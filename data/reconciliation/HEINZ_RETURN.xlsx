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249\adm$\MASTER BARANG NEW\HEINZ\"/>
    </mc:Choice>
  </mc:AlternateContent>
  <xr:revisionPtr revIDLastSave="0" documentId="13_ncr:1_{691B0460-7E94-4C4F-A8C9-976F787512FB}" xr6:coauthVersionLast="47" xr6:coauthVersionMax="47" xr10:uidLastSave="{00000000-0000-0000-0000-000000000000}"/>
  <bookViews>
    <workbookView xWindow="-120" yWindow="-120" windowWidth="29040" windowHeight="15720" firstSheet="2" activeTab="3" xr2:uid="{BF519ECE-2DA5-4DA0-9181-8645A13B27C8}"/>
  </bookViews>
  <sheets>
    <sheet name="PRICE LIST Motasa" sheetId="33" r:id="rId1"/>
    <sheet name="FORM DASAR KLP" sheetId="20" r:id="rId2"/>
    <sheet name="Cara Buat" sheetId="5" r:id="rId3"/>
    <sheet name="Pvt Map 1" sheetId="24" r:id="rId4"/>
    <sheet name="Table Pvt 1" sheetId="36" r:id="rId5"/>
    <sheet name="Fix Mapping" sheetId="37" r:id="rId6"/>
    <sheet name="Query Map.BrgDoubleDms" sheetId="30" r:id="rId7"/>
    <sheet name="Form Fix" sheetId="27" r:id="rId8"/>
    <sheet name="Sheet2" sheetId="39" r:id="rId9"/>
    <sheet name="Sheet1" sheetId="38" r:id="rId10"/>
    <sheet name="Upload To Win" sheetId="35" r:id="rId11"/>
    <sheet name="LIST PCPL" sheetId="14" r:id="rId12"/>
  </sheets>
  <externalReferences>
    <externalReference r:id="rId13"/>
    <externalReference r:id="rId14"/>
    <externalReference r:id="rId15"/>
  </externalReferences>
  <definedNames>
    <definedName name="_xlnm._FilterDatabase" localSheetId="1" hidden="1">'FORM DASAR KLP'!$A$3:$G$1082</definedName>
    <definedName name="_xlnm._FilterDatabase" localSheetId="7" hidden="1">'Form Fix'!$BS$5:$BU$308</definedName>
    <definedName name="_xlnm._FilterDatabase" localSheetId="0" hidden="1">'PRICE LIST Motasa'!$A$3:$G$8</definedName>
    <definedName name="_xlnm._FilterDatabase" hidden="1">#REF!</definedName>
    <definedName name="Consol">"Error"</definedName>
    <definedName name="ExternalData_1" localSheetId="6" hidden="1">'Query Map.BrgDoubleDms'!$A$1:$B$168</definedName>
    <definedName name="ExternalData_1" localSheetId="4" hidden="1">'Table Pvt 1'!$A$1:$E$305</definedName>
    <definedName name="ExternalData_1" localSheetId="10" hidden="1">'Upload To Win'!$A$1:$AF$168</definedName>
    <definedName name="ExternalData_2" localSheetId="5" hidden="1">'Fix Mapping'!$A$1:$R$160</definedName>
  </definedNames>
  <calcPr calcId="191029"/>
  <pivotCaches>
    <pivotCache cacheId="1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27" l="1"/>
  <c r="BI47" i="27" s="1"/>
  <c r="J47" i="27"/>
  <c r="K47" i="27"/>
  <c r="L47" i="27"/>
  <c r="A47" i="27" s="1"/>
  <c r="N47" i="27"/>
  <c r="O47" i="27" s="1"/>
  <c r="AL47" i="27"/>
  <c r="AQ47" i="27"/>
  <c r="AS47" i="27" s="1"/>
  <c r="AR47" i="27"/>
  <c r="AU47" i="27"/>
  <c r="AV47" i="27"/>
  <c r="AW47" i="27" s="1"/>
  <c r="BA47" i="27"/>
  <c r="BB47" i="27"/>
  <c r="BE47" i="27"/>
  <c r="BF47" i="27"/>
  <c r="BN47" i="27"/>
  <c r="BP47" i="27"/>
  <c r="BQ47" i="27" s="1"/>
  <c r="AM47" i="27" l="1"/>
  <c r="AO47" i="27" s="1"/>
  <c r="AN47" i="27"/>
  <c r="BK47" i="27"/>
  <c r="BL47" i="27"/>
  <c r="BJ47" i="27"/>
  <c r="BD47" i="27"/>
  <c r="BR47" i="27"/>
  <c r="M47" i="27"/>
  <c r="I195" i="27"/>
  <c r="BK195" i="27" s="1"/>
  <c r="J195" i="27"/>
  <c r="K195" i="27"/>
  <c r="L195" i="27"/>
  <c r="A195" i="27" s="1"/>
  <c r="N195" i="27"/>
  <c r="O195" i="27" s="1"/>
  <c r="AL195" i="27"/>
  <c r="AM195" i="27" s="1"/>
  <c r="AO195" i="27" s="1"/>
  <c r="AQ195" i="27"/>
  <c r="AS195" i="27" s="1"/>
  <c r="AR195" i="27"/>
  <c r="AU195" i="27"/>
  <c r="AV195" i="27"/>
  <c r="AW195" i="27" s="1"/>
  <c r="BA195" i="27"/>
  <c r="BB195" i="27"/>
  <c r="BE195" i="27"/>
  <c r="BF195" i="27"/>
  <c r="BP195" i="27"/>
  <c r="BQ195" i="27" s="1"/>
  <c r="BJ195" i="27" l="1"/>
  <c r="AN195" i="27"/>
  <c r="BN195" i="27"/>
  <c r="BI195" i="27"/>
  <c r="BL195" i="27"/>
  <c r="BD195" i="27"/>
  <c r="BR195" i="27"/>
  <c r="M195" i="27"/>
  <c r="I233" i="27" l="1"/>
  <c r="BI233" i="27" s="1"/>
  <c r="J233" i="27"/>
  <c r="K233" i="27"/>
  <c r="L233" i="27"/>
  <c r="M233" i="27" s="1"/>
  <c r="N233" i="27"/>
  <c r="O233" i="27" s="1"/>
  <c r="AL233" i="27"/>
  <c r="AQ233" i="27"/>
  <c r="AS233" i="27" s="1"/>
  <c r="AR233" i="27"/>
  <c r="AU233" i="27"/>
  <c r="AV233" i="27"/>
  <c r="AW233" i="27" s="1"/>
  <c r="BA233" i="27"/>
  <c r="BB233" i="27"/>
  <c r="BE233" i="27"/>
  <c r="BF233" i="27"/>
  <c r="BL233" i="27"/>
  <c r="BP233" i="27"/>
  <c r="BQ233" i="27" s="1"/>
  <c r="I166" i="27"/>
  <c r="J166" i="27"/>
  <c r="K166" i="27"/>
  <c r="L166" i="27"/>
  <c r="A166" i="27" s="1"/>
  <c r="N166" i="27"/>
  <c r="O166" i="27" s="1"/>
  <c r="AL166" i="27"/>
  <c r="AM166" i="27" s="1"/>
  <c r="AO166" i="27" s="1"/>
  <c r="AQ166" i="27"/>
  <c r="AS166" i="27" s="1"/>
  <c r="AR166" i="27"/>
  <c r="AU166" i="27"/>
  <c r="AV166" i="27"/>
  <c r="AW166" i="27" s="1"/>
  <c r="BA166" i="27"/>
  <c r="BB166" i="27"/>
  <c r="BE166" i="27"/>
  <c r="BF166" i="27"/>
  <c r="BP166" i="27"/>
  <c r="BQ166" i="27" s="1"/>
  <c r="I167" i="27"/>
  <c r="BL167" i="27" s="1"/>
  <c r="J167" i="27"/>
  <c r="K167" i="27"/>
  <c r="L167" i="27"/>
  <c r="M167" i="27" s="1"/>
  <c r="N167" i="27"/>
  <c r="O167" i="27" s="1"/>
  <c r="AL167" i="27"/>
  <c r="AN167" i="27" s="1"/>
  <c r="AQ167" i="27"/>
  <c r="AS167" i="27" s="1"/>
  <c r="AR167" i="27"/>
  <c r="AU167" i="27"/>
  <c r="AV167" i="27"/>
  <c r="AW167" i="27" s="1"/>
  <c r="BA167" i="27"/>
  <c r="BB167" i="27"/>
  <c r="BE167" i="27"/>
  <c r="BF167" i="27"/>
  <c r="BP167" i="27"/>
  <c r="BR167" i="27" s="1"/>
  <c r="BS167" i="27"/>
  <c r="BT167" i="27" s="1"/>
  <c r="BV167" i="27"/>
  <c r="BX167" i="27" s="1"/>
  <c r="BK233" i="27" l="1"/>
  <c r="AM167" i="27"/>
  <c r="AO167" i="27" s="1"/>
  <c r="BD233" i="27"/>
  <c r="BJ233" i="27"/>
  <c r="BN233" i="27"/>
  <c r="A233" i="27"/>
  <c r="AM233" i="27"/>
  <c r="AO233" i="27" s="1"/>
  <c r="AN233" i="27"/>
  <c r="BR233" i="27"/>
  <c r="BN166" i="27"/>
  <c r="BI166" i="27"/>
  <c r="BJ166" i="27"/>
  <c r="BL166" i="27"/>
  <c r="BK166" i="27"/>
  <c r="BK167" i="27"/>
  <c r="BD166" i="27"/>
  <c r="AN166" i="27"/>
  <c r="BJ167" i="27"/>
  <c r="BU167" i="27"/>
  <c r="BQ167" i="27"/>
  <c r="BN167" i="27"/>
  <c r="BI167" i="27"/>
  <c r="BR166" i="27"/>
  <c r="BD167" i="27"/>
  <c r="A167" i="27"/>
  <c r="BW167" i="27"/>
  <c r="M166" i="27"/>
  <c r="I45" i="27"/>
  <c r="BI45" i="27" s="1"/>
  <c r="J45" i="27"/>
  <c r="K45" i="27"/>
  <c r="L45" i="27"/>
  <c r="A45" i="27" s="1"/>
  <c r="N45" i="27"/>
  <c r="O45" i="27" s="1"/>
  <c r="AL45" i="27"/>
  <c r="AM45" i="27" s="1"/>
  <c r="AO45" i="27" s="1"/>
  <c r="AQ45" i="27"/>
  <c r="AS45" i="27" s="1"/>
  <c r="AR45" i="27"/>
  <c r="AU45" i="27"/>
  <c r="AV45" i="27"/>
  <c r="AW45" i="27" s="1"/>
  <c r="BA45" i="27"/>
  <c r="BB45" i="27"/>
  <c r="BE45" i="27"/>
  <c r="BF45" i="27"/>
  <c r="BP45" i="27"/>
  <c r="BQ45" i="27" s="1"/>
  <c r="I170" i="27"/>
  <c r="BI170" i="27" s="1"/>
  <c r="J170" i="27"/>
  <c r="K170" i="27"/>
  <c r="L170" i="27"/>
  <c r="A170" i="27" s="1"/>
  <c r="N170" i="27"/>
  <c r="O170" i="27" s="1"/>
  <c r="AL170" i="27"/>
  <c r="AN170" i="27" s="1"/>
  <c r="AQ170" i="27"/>
  <c r="AS170" i="27" s="1"/>
  <c r="AR170" i="27"/>
  <c r="AU170" i="27"/>
  <c r="AV170" i="27"/>
  <c r="AW170" i="27" s="1"/>
  <c r="BA170" i="27"/>
  <c r="BB170" i="27"/>
  <c r="BE170" i="27"/>
  <c r="BF170" i="27"/>
  <c r="BP170" i="27"/>
  <c r="BQ170" i="27" s="1"/>
  <c r="BN170" i="27" l="1"/>
  <c r="BD45" i="27"/>
  <c r="BJ170" i="27"/>
  <c r="BN45" i="27"/>
  <c r="BJ45" i="27"/>
  <c r="BK170" i="27"/>
  <c r="BR45" i="27"/>
  <c r="BL45" i="27"/>
  <c r="AN45" i="27"/>
  <c r="BK45" i="27"/>
  <c r="M45" i="27"/>
  <c r="AM170" i="27"/>
  <c r="AO170" i="27" s="1"/>
  <c r="BD170" i="27"/>
  <c r="BL170" i="27"/>
  <c r="BR170" i="27"/>
  <c r="M170" i="27"/>
  <c r="I206" i="27"/>
  <c r="BI206" i="27" s="1"/>
  <c r="J206" i="27"/>
  <c r="K206" i="27"/>
  <c r="L206" i="27"/>
  <c r="A206" i="27" s="1"/>
  <c r="N206" i="27"/>
  <c r="O206" i="27" s="1"/>
  <c r="AL206" i="27"/>
  <c r="AM206" i="27" s="1"/>
  <c r="AO206" i="27" s="1"/>
  <c r="AQ206" i="27"/>
  <c r="AS206" i="27" s="1"/>
  <c r="AR206" i="27"/>
  <c r="AU206" i="27"/>
  <c r="AV206" i="27"/>
  <c r="AW206" i="27" s="1"/>
  <c r="BA206" i="27"/>
  <c r="BB206" i="27"/>
  <c r="BE206" i="27"/>
  <c r="BF206" i="27"/>
  <c r="BP206" i="27"/>
  <c r="BR206" i="27" s="1"/>
  <c r="BK206" i="27" l="1"/>
  <c r="BN206" i="27"/>
  <c r="BL206" i="27"/>
  <c r="BJ206" i="27"/>
  <c r="BD206" i="27"/>
  <c r="BQ206" i="27"/>
  <c r="AN206" i="27"/>
  <c r="M206" i="27"/>
  <c r="I164" i="27"/>
  <c r="BK164" i="27" s="1"/>
  <c r="J164" i="27"/>
  <c r="K164" i="27"/>
  <c r="L164" i="27"/>
  <c r="A164" i="27" s="1"/>
  <c r="N164" i="27"/>
  <c r="O164" i="27" s="1"/>
  <c r="AL164" i="27"/>
  <c r="AM164" i="27" s="1"/>
  <c r="AO164" i="27" s="1"/>
  <c r="AQ164" i="27"/>
  <c r="AS164" i="27" s="1"/>
  <c r="AR164" i="27"/>
  <c r="AU164" i="27"/>
  <c r="AV164" i="27"/>
  <c r="AW164" i="27" s="1"/>
  <c r="BA164" i="27"/>
  <c r="BB164" i="27"/>
  <c r="BE164" i="27"/>
  <c r="BF164" i="27"/>
  <c r="BP164" i="27"/>
  <c r="BQ164" i="27" s="1"/>
  <c r="AN164" i="27" l="1"/>
  <c r="BJ164" i="27"/>
  <c r="BN164" i="27"/>
  <c r="BI164" i="27"/>
  <c r="BL164" i="27"/>
  <c r="BD164" i="27"/>
  <c r="BR164" i="27"/>
  <c r="M164" i="27"/>
  <c r="I156" i="27"/>
  <c r="BL156" i="27" s="1"/>
  <c r="J156" i="27"/>
  <c r="K156" i="27"/>
  <c r="L156" i="27"/>
  <c r="A156" i="27" s="1"/>
  <c r="N156" i="27"/>
  <c r="O156" i="27" s="1"/>
  <c r="AL156" i="27"/>
  <c r="AM156" i="27" s="1"/>
  <c r="AO156" i="27" s="1"/>
  <c r="AQ156" i="27"/>
  <c r="AS156" i="27" s="1"/>
  <c r="AR156" i="27"/>
  <c r="AU156" i="27"/>
  <c r="AV156" i="27"/>
  <c r="AW156" i="27" s="1"/>
  <c r="BA156" i="27"/>
  <c r="BB156" i="27"/>
  <c r="BE156" i="27"/>
  <c r="BF156" i="27"/>
  <c r="BP156" i="27"/>
  <c r="BQ156" i="27" s="1"/>
  <c r="BK156" i="27" l="1"/>
  <c r="BJ156" i="27"/>
  <c r="BN156" i="27"/>
  <c r="BI156" i="27"/>
  <c r="AN156" i="27"/>
  <c r="BD156" i="27"/>
  <c r="BR156" i="27"/>
  <c r="M156" i="27"/>
  <c r="I161" i="27"/>
  <c r="BL161" i="27" s="1"/>
  <c r="J161" i="27"/>
  <c r="K161" i="27"/>
  <c r="L161" i="27"/>
  <c r="A161" i="27" s="1"/>
  <c r="N161" i="27"/>
  <c r="O161" i="27" s="1"/>
  <c r="AL161" i="27"/>
  <c r="AM161" i="27" s="1"/>
  <c r="AO161" i="27" s="1"/>
  <c r="AQ161" i="27"/>
  <c r="AS161" i="27" s="1"/>
  <c r="AR161" i="27"/>
  <c r="AU161" i="27"/>
  <c r="AV161" i="27"/>
  <c r="AW161" i="27" s="1"/>
  <c r="BA161" i="27"/>
  <c r="BB161" i="27"/>
  <c r="BE161" i="27"/>
  <c r="BF161" i="27"/>
  <c r="BP161" i="27"/>
  <c r="BQ161" i="27" s="1"/>
  <c r="BN161" i="27" l="1"/>
  <c r="BJ161" i="27"/>
  <c r="BK161" i="27"/>
  <c r="BI161" i="27"/>
  <c r="AN161" i="27"/>
  <c r="BD161" i="27"/>
  <c r="BR161" i="27"/>
  <c r="M161" i="27"/>
  <c r="L207" i="27" l="1"/>
  <c r="BD207" i="27" s="1"/>
  <c r="K207" i="27"/>
  <c r="J207" i="27"/>
  <c r="I207" i="27"/>
  <c r="BL207" i="27" s="1"/>
  <c r="N207" i="27"/>
  <c r="O207" i="27" s="1"/>
  <c r="AL207" i="27"/>
  <c r="AM207" i="27" s="1"/>
  <c r="AO207" i="27" s="1"/>
  <c r="AQ207" i="27"/>
  <c r="AS207" i="27" s="1"/>
  <c r="AR207" i="27"/>
  <c r="AU207" i="27"/>
  <c r="AV207" i="27"/>
  <c r="AW207" i="27" s="1"/>
  <c r="BA207" i="27"/>
  <c r="BB207" i="27"/>
  <c r="BE207" i="27"/>
  <c r="BF207" i="27"/>
  <c r="BP207" i="27"/>
  <c r="BQ207" i="27" s="1"/>
  <c r="BK207" i="27" l="1"/>
  <c r="BJ207" i="27"/>
  <c r="BN207" i="27"/>
  <c r="BI207" i="27"/>
  <c r="A207" i="27"/>
  <c r="BR207" i="27"/>
  <c r="AN207" i="27"/>
  <c r="M207" i="27"/>
  <c r="I205" i="27"/>
  <c r="BL205" i="27" s="1"/>
  <c r="J205" i="27"/>
  <c r="K205" i="27"/>
  <c r="L205" i="27"/>
  <c r="A205" i="27" s="1"/>
  <c r="N205" i="27"/>
  <c r="O205" i="27" s="1"/>
  <c r="AL205" i="27"/>
  <c r="AM205" i="27" s="1"/>
  <c r="AO205" i="27" s="1"/>
  <c r="AQ205" i="27"/>
  <c r="AS205" i="27" s="1"/>
  <c r="AR205" i="27"/>
  <c r="AU205" i="27"/>
  <c r="AV205" i="27"/>
  <c r="AW205" i="27" s="1"/>
  <c r="BA205" i="27"/>
  <c r="BB205" i="27"/>
  <c r="BE205" i="27"/>
  <c r="BF205" i="27"/>
  <c r="BP205" i="27"/>
  <c r="BQ205" i="27" s="1"/>
  <c r="I159" i="27"/>
  <c r="BL159" i="27" s="1"/>
  <c r="J159" i="27"/>
  <c r="K159" i="27"/>
  <c r="L159" i="27"/>
  <c r="A159" i="27" s="1"/>
  <c r="N159" i="27"/>
  <c r="O159" i="27" s="1"/>
  <c r="AL159" i="27"/>
  <c r="AM159" i="27" s="1"/>
  <c r="AO159" i="27" s="1"/>
  <c r="AQ159" i="27"/>
  <c r="AS159" i="27" s="1"/>
  <c r="AR159" i="27"/>
  <c r="AU159" i="27"/>
  <c r="AV159" i="27"/>
  <c r="AW159" i="27" s="1"/>
  <c r="BA159" i="27"/>
  <c r="BB159" i="27"/>
  <c r="BE159" i="27"/>
  <c r="BF159" i="27"/>
  <c r="BP159" i="27"/>
  <c r="BQ159" i="27" s="1"/>
  <c r="BK205" i="27" l="1"/>
  <c r="BJ205" i="27"/>
  <c r="BN205" i="27"/>
  <c r="BI205" i="27"/>
  <c r="BK159" i="27"/>
  <c r="BJ159" i="27"/>
  <c r="AN205" i="27"/>
  <c r="BD205" i="27"/>
  <c r="BN159" i="27"/>
  <c r="BI159" i="27"/>
  <c r="BR205" i="27"/>
  <c r="AN159" i="27"/>
  <c r="M205" i="27"/>
  <c r="BD159" i="27"/>
  <c r="BR159" i="27"/>
  <c r="M159" i="27"/>
  <c r="I23" i="27"/>
  <c r="J23" i="27"/>
  <c r="K23" i="27"/>
  <c r="L23" i="27"/>
  <c r="A23" i="27" s="1"/>
  <c r="N23" i="27"/>
  <c r="O23" i="27" s="1"/>
  <c r="AL23" i="27"/>
  <c r="AN23" i="27" s="1"/>
  <c r="AQ23" i="27"/>
  <c r="AS23" i="27" s="1"/>
  <c r="AR23" i="27"/>
  <c r="AU23" i="27"/>
  <c r="AV23" i="27"/>
  <c r="AW23" i="27" s="1"/>
  <c r="BA23" i="27"/>
  <c r="BB23" i="27"/>
  <c r="BE23" i="27"/>
  <c r="BF23" i="27"/>
  <c r="BP23" i="27"/>
  <c r="BQ23" i="27" s="1"/>
  <c r="N310" i="27"/>
  <c r="O310" i="27" s="1"/>
  <c r="L310" i="27"/>
  <c r="BD310" i="27" s="1"/>
  <c r="K310" i="27"/>
  <c r="J310" i="27"/>
  <c r="I310" i="27"/>
  <c r="BK310" i="27" s="1"/>
  <c r="AL310" i="27"/>
  <c r="AQ310" i="27"/>
  <c r="AS310" i="27" s="1"/>
  <c r="AR310" i="27"/>
  <c r="AU310" i="27"/>
  <c r="AV310" i="27"/>
  <c r="AW310" i="27" s="1"/>
  <c r="BA310" i="27"/>
  <c r="BB310" i="27"/>
  <c r="BE310" i="27"/>
  <c r="BF310" i="27"/>
  <c r="BP310" i="27"/>
  <c r="AM23" i="27" l="1"/>
  <c r="AO23" i="27" s="1"/>
  <c r="BN23" i="27"/>
  <c r="BK23" i="27"/>
  <c r="BL23" i="27"/>
  <c r="BD23" i="27"/>
  <c r="BJ23" i="27"/>
  <c r="BI23" i="27"/>
  <c r="BR23" i="27"/>
  <c r="M23" i="27"/>
  <c r="BJ310" i="27"/>
  <c r="M310" i="27"/>
  <c r="BN310" i="27"/>
  <c r="BI310" i="27"/>
  <c r="BL310" i="27"/>
  <c r="AM310" i="27"/>
  <c r="AO310" i="27" s="1"/>
  <c r="AN310" i="27"/>
  <c r="BQ310" i="27"/>
  <c r="BR310" i="27"/>
  <c r="A310" i="27"/>
  <c r="K215" i="27" l="1"/>
  <c r="N215" i="27" l="1"/>
  <c r="O215" i="27" s="1"/>
  <c r="L215" i="27"/>
  <c r="A215" i="27" s="1"/>
  <c r="K216" i="27"/>
  <c r="J215" i="27"/>
  <c r="I215" i="27"/>
  <c r="BJ215" i="27" s="1"/>
  <c r="AL215" i="27"/>
  <c r="AM215" i="27" s="1"/>
  <c r="AO215" i="27" s="1"/>
  <c r="AQ215" i="27"/>
  <c r="AS215" i="27" s="1"/>
  <c r="AR215" i="27"/>
  <c r="AU215" i="27"/>
  <c r="AV215" i="27"/>
  <c r="AW215" i="27" s="1"/>
  <c r="BA215" i="27"/>
  <c r="BB215" i="27"/>
  <c r="BE215" i="27"/>
  <c r="BF215" i="27"/>
  <c r="BP215" i="27"/>
  <c r="BQ215" i="27" s="1"/>
  <c r="BL215" i="27" l="1"/>
  <c r="BK215" i="27"/>
  <c r="BI215" i="27"/>
  <c r="BN215" i="27"/>
  <c r="AN215" i="27"/>
  <c r="M215" i="27"/>
  <c r="BD215" i="27"/>
  <c r="BR215" i="27"/>
  <c r="N16" i="27" l="1"/>
  <c r="O16" i="27" s="1"/>
  <c r="I16" i="27"/>
  <c r="BI16" i="27" s="1"/>
  <c r="J16" i="27"/>
  <c r="K16" i="27"/>
  <c r="L16" i="27"/>
  <c r="A16" i="27" s="1"/>
  <c r="AL16" i="27"/>
  <c r="AM16" i="27" s="1"/>
  <c r="AO16" i="27" s="1"/>
  <c r="AQ16" i="27"/>
  <c r="AS16" i="27" s="1"/>
  <c r="AR16" i="27"/>
  <c r="AU16" i="27"/>
  <c r="AV16" i="27"/>
  <c r="AW16" i="27" s="1"/>
  <c r="BA16" i="27"/>
  <c r="BB16" i="27"/>
  <c r="BE16" i="27"/>
  <c r="BF16" i="27"/>
  <c r="BP16" i="27"/>
  <c r="BQ16" i="27" s="1"/>
  <c r="BL16" i="27" l="1"/>
  <c r="BK16" i="27"/>
  <c r="BJ16" i="27"/>
  <c r="BN16" i="27"/>
  <c r="BD16" i="27"/>
  <c r="BR16" i="27"/>
  <c r="AN16" i="27"/>
  <c r="M16" i="27"/>
  <c r="I140" i="27" l="1"/>
  <c r="BN140" i="27" s="1"/>
  <c r="J140" i="27"/>
  <c r="K140" i="27"/>
  <c r="L140" i="27"/>
  <c r="A140" i="27" s="1"/>
  <c r="N140" i="27"/>
  <c r="O140" i="27" s="1"/>
  <c r="AL140" i="27"/>
  <c r="AM140" i="27" s="1"/>
  <c r="AO140" i="27" s="1"/>
  <c r="AQ140" i="27"/>
  <c r="AS140" i="27" s="1"/>
  <c r="AR140" i="27"/>
  <c r="AU140" i="27"/>
  <c r="AV140" i="27"/>
  <c r="AW140" i="27" s="1"/>
  <c r="BA140" i="27"/>
  <c r="BB140" i="27"/>
  <c r="BE140" i="27"/>
  <c r="BF140" i="27"/>
  <c r="BP140" i="27"/>
  <c r="BQ140" i="27" s="1"/>
  <c r="BI140" i="27" l="1"/>
  <c r="BJ140" i="27"/>
  <c r="BL140" i="27"/>
  <c r="BK140" i="27"/>
  <c r="AN140" i="27"/>
  <c r="BD140" i="27"/>
  <c r="M140" i="27"/>
  <c r="BR140" i="27"/>
  <c r="I132" i="27"/>
  <c r="BK132" i="27" s="1"/>
  <c r="J132" i="27"/>
  <c r="K132" i="27"/>
  <c r="L132" i="27"/>
  <c r="A132" i="27" s="1"/>
  <c r="N132" i="27"/>
  <c r="O132" i="27" s="1"/>
  <c r="AL132" i="27"/>
  <c r="AQ132" i="27"/>
  <c r="AS132" i="27" s="1"/>
  <c r="AR132" i="27"/>
  <c r="AU132" i="27"/>
  <c r="AV132" i="27"/>
  <c r="AW132" i="27" s="1"/>
  <c r="BA132" i="27"/>
  <c r="BB132" i="27"/>
  <c r="BE132" i="27"/>
  <c r="BF132" i="27"/>
  <c r="BP132" i="27"/>
  <c r="BQ132" i="27" s="1"/>
  <c r="BN132" i="27" l="1"/>
  <c r="BJ132" i="27"/>
  <c r="BI132" i="27"/>
  <c r="AM132" i="27"/>
  <c r="AO132" i="27" s="1"/>
  <c r="AN132" i="27"/>
  <c r="BL132" i="27"/>
  <c r="BD132" i="27"/>
  <c r="BR132" i="27"/>
  <c r="M132" i="27"/>
  <c r="I24" i="27"/>
  <c r="BK24" i="27" s="1"/>
  <c r="J24" i="27"/>
  <c r="K24" i="27"/>
  <c r="L24" i="27"/>
  <c r="A24" i="27" s="1"/>
  <c r="N24" i="27"/>
  <c r="O24" i="27" s="1"/>
  <c r="AL24" i="27"/>
  <c r="AM24" i="27" s="1"/>
  <c r="AO24" i="27" s="1"/>
  <c r="AQ24" i="27"/>
  <c r="AS24" i="27" s="1"/>
  <c r="AR24" i="27"/>
  <c r="AU24" i="27"/>
  <c r="AV24" i="27"/>
  <c r="AW24" i="27" s="1"/>
  <c r="BA24" i="27"/>
  <c r="BB24" i="27"/>
  <c r="BE24" i="27"/>
  <c r="BF24" i="27"/>
  <c r="BP24" i="27"/>
  <c r="BQ24" i="27" s="1"/>
  <c r="BJ24" i="27" l="1"/>
  <c r="AN24" i="27"/>
  <c r="BN24" i="27"/>
  <c r="BL24" i="27"/>
  <c r="BI24" i="27"/>
  <c r="BD24" i="27"/>
  <c r="BR24" i="27"/>
  <c r="M24" i="27"/>
  <c r="I22" i="27"/>
  <c r="BJ22" i="27" s="1"/>
  <c r="J22" i="27"/>
  <c r="K22" i="27"/>
  <c r="L22" i="27"/>
  <c r="A22" i="27" s="1"/>
  <c r="N22" i="27"/>
  <c r="O22" i="27" s="1"/>
  <c r="AL22" i="27"/>
  <c r="AM22" i="27" s="1"/>
  <c r="AO22" i="27" s="1"/>
  <c r="AQ22" i="27"/>
  <c r="AS22" i="27" s="1"/>
  <c r="AR22" i="27"/>
  <c r="AU22" i="27"/>
  <c r="AV22" i="27"/>
  <c r="AW22" i="27" s="1"/>
  <c r="BA22" i="27"/>
  <c r="BB22" i="27"/>
  <c r="BE22" i="27"/>
  <c r="BF22" i="27"/>
  <c r="BP22" i="27"/>
  <c r="BQ22" i="27" s="1"/>
  <c r="BN22" i="27" l="1"/>
  <c r="BL22" i="27"/>
  <c r="BI22" i="27"/>
  <c r="AN22" i="27"/>
  <c r="BK22" i="27"/>
  <c r="BD22" i="27"/>
  <c r="BR22" i="27"/>
  <c r="M22" i="27"/>
  <c r="I61" i="27"/>
  <c r="BK61" i="27" s="1"/>
  <c r="J61" i="27"/>
  <c r="K61" i="27"/>
  <c r="L61" i="27"/>
  <c r="A61" i="27" s="1"/>
  <c r="N61" i="27"/>
  <c r="O61" i="27" s="1"/>
  <c r="AL61" i="27"/>
  <c r="AM61" i="27" s="1"/>
  <c r="AO61" i="27" s="1"/>
  <c r="AQ61" i="27"/>
  <c r="AS61" i="27" s="1"/>
  <c r="AR61" i="27"/>
  <c r="AU61" i="27"/>
  <c r="AV61" i="27"/>
  <c r="AW61" i="27" s="1"/>
  <c r="BA61" i="27"/>
  <c r="BB61" i="27"/>
  <c r="BE61" i="27"/>
  <c r="BF61" i="27"/>
  <c r="BP61" i="27"/>
  <c r="BQ61" i="27" s="1"/>
  <c r="BI61" i="27" l="1"/>
  <c r="BJ61" i="27"/>
  <c r="BN61" i="27"/>
  <c r="AN61" i="27"/>
  <c r="BL61" i="27"/>
  <c r="BD61" i="27"/>
  <c r="BR61" i="27"/>
  <c r="M61" i="27"/>
  <c r="J284" i="27"/>
  <c r="I284" i="27"/>
  <c r="BJ284" i="27" s="1"/>
  <c r="K284" i="27"/>
  <c r="L284" i="27"/>
  <c r="A284" i="27" s="1"/>
  <c r="N284" i="27"/>
  <c r="O284" i="27" s="1"/>
  <c r="AL284" i="27"/>
  <c r="AM284" i="27" s="1"/>
  <c r="AO284" i="27" s="1"/>
  <c r="AQ284" i="27"/>
  <c r="AS284" i="27" s="1"/>
  <c r="AR284" i="27"/>
  <c r="AU284" i="27"/>
  <c r="AV284" i="27"/>
  <c r="AW284" i="27" s="1"/>
  <c r="BA284" i="27"/>
  <c r="BB284" i="27"/>
  <c r="BE284" i="27"/>
  <c r="BF284" i="27"/>
  <c r="BP284" i="27"/>
  <c r="BQ284" i="27" s="1"/>
  <c r="BI284" i="27" l="1"/>
  <c r="AN284" i="27"/>
  <c r="BN284" i="27"/>
  <c r="BD284" i="27"/>
  <c r="BL284" i="27"/>
  <c r="BK284" i="27"/>
  <c r="BR284" i="27"/>
  <c r="M284" i="27"/>
  <c r="I81" i="27"/>
  <c r="BK81" i="27" s="1"/>
  <c r="J81" i="27"/>
  <c r="K81" i="27"/>
  <c r="L81" i="27"/>
  <c r="A81" i="27" s="1"/>
  <c r="N81" i="27"/>
  <c r="O81" i="27" s="1"/>
  <c r="AL81" i="27"/>
  <c r="AM81" i="27" s="1"/>
  <c r="AO81" i="27" s="1"/>
  <c r="AQ81" i="27"/>
  <c r="AS81" i="27" s="1"/>
  <c r="AR81" i="27"/>
  <c r="AU81" i="27"/>
  <c r="AV81" i="27"/>
  <c r="AW81" i="27" s="1"/>
  <c r="BA81" i="27"/>
  <c r="BB81" i="27"/>
  <c r="BE81" i="27"/>
  <c r="BF81" i="27"/>
  <c r="BP81" i="27"/>
  <c r="BQ81" i="27" s="1"/>
  <c r="BJ81" i="27" l="1"/>
  <c r="BL81" i="27"/>
  <c r="BI81" i="27"/>
  <c r="BN81" i="27"/>
  <c r="BD81" i="27"/>
  <c r="BR81" i="27"/>
  <c r="AN81" i="27"/>
  <c r="M81" i="27"/>
  <c r="I135" i="27"/>
  <c r="BK135" i="27" s="1"/>
  <c r="J135" i="27"/>
  <c r="K135" i="27"/>
  <c r="L135" i="27"/>
  <c r="A135" i="27" s="1"/>
  <c r="N135" i="27"/>
  <c r="O135" i="27" s="1"/>
  <c r="AM135" i="27"/>
  <c r="AO135" i="27" s="1"/>
  <c r="AN135" i="27"/>
  <c r="AQ135" i="27"/>
  <c r="AS135" i="27" s="1"/>
  <c r="AR135" i="27"/>
  <c r="AU135" i="27"/>
  <c r="AV135" i="27"/>
  <c r="AW135" i="27" s="1"/>
  <c r="BA135" i="27"/>
  <c r="BB135" i="27"/>
  <c r="BE135" i="27"/>
  <c r="BF135" i="27"/>
  <c r="BP135" i="27"/>
  <c r="BR135" i="27" s="1"/>
  <c r="BJ135" i="27" l="1"/>
  <c r="BN135" i="27"/>
  <c r="BI135" i="27"/>
  <c r="BL135" i="27"/>
  <c r="BD135" i="27"/>
  <c r="BQ135" i="27"/>
  <c r="M135" i="27"/>
  <c r="I168" i="27" l="1"/>
  <c r="J168" i="27"/>
  <c r="K168" i="27"/>
  <c r="L168" i="27"/>
  <c r="A168" i="27" s="1"/>
  <c r="N168" i="27"/>
  <c r="O168" i="27" s="1"/>
  <c r="AL168" i="27"/>
  <c r="AM168" i="27" s="1"/>
  <c r="AO168" i="27" s="1"/>
  <c r="AQ168" i="27"/>
  <c r="AS168" i="27" s="1"/>
  <c r="AR168" i="27"/>
  <c r="AU168" i="27"/>
  <c r="AV168" i="27"/>
  <c r="AW168" i="27" s="1"/>
  <c r="BA168" i="27"/>
  <c r="BB168" i="27"/>
  <c r="BE168" i="27"/>
  <c r="BF168" i="27"/>
  <c r="BP168" i="27"/>
  <c r="BQ168" i="27" s="1"/>
  <c r="BL168" i="27" l="1"/>
  <c r="BJ168" i="27"/>
  <c r="BK168" i="27"/>
  <c r="BN168" i="27"/>
  <c r="BI168" i="27"/>
  <c r="AN168" i="27"/>
  <c r="BD168" i="27"/>
  <c r="BR168" i="27"/>
  <c r="M168" i="27"/>
  <c r="I154" i="27"/>
  <c r="BK154" i="27" s="1"/>
  <c r="J154" i="27"/>
  <c r="K154" i="27"/>
  <c r="L154" i="27"/>
  <c r="A154" i="27" s="1"/>
  <c r="N154" i="27"/>
  <c r="O154" i="27" s="1"/>
  <c r="AL154" i="27"/>
  <c r="AM154" i="27" s="1"/>
  <c r="AO154" i="27" s="1"/>
  <c r="AQ154" i="27"/>
  <c r="AS154" i="27" s="1"/>
  <c r="AR154" i="27"/>
  <c r="AU154" i="27"/>
  <c r="AV154" i="27"/>
  <c r="AW154" i="27" s="1"/>
  <c r="BA154" i="27"/>
  <c r="BB154" i="27"/>
  <c r="BE154" i="27"/>
  <c r="BF154" i="27"/>
  <c r="BP154" i="27"/>
  <c r="BQ154" i="27" s="1"/>
  <c r="BJ154" i="27" l="1"/>
  <c r="AN154" i="27"/>
  <c r="BL154" i="27"/>
  <c r="BN154" i="27"/>
  <c r="BI154" i="27"/>
  <c r="BD154" i="27"/>
  <c r="BR154" i="27"/>
  <c r="M154" i="27"/>
  <c r="BP37" i="27"/>
  <c r="BQ37" i="27" s="1"/>
  <c r="I37" i="27"/>
  <c r="BN37" i="27" s="1"/>
  <c r="J37" i="27"/>
  <c r="K37" i="27"/>
  <c r="L37" i="27"/>
  <c r="A37" i="27" s="1"/>
  <c r="N37" i="27"/>
  <c r="O37" i="27" s="1"/>
  <c r="AL37" i="27"/>
  <c r="AM37" i="27" s="1"/>
  <c r="AO37" i="27" s="1"/>
  <c r="AQ37" i="27"/>
  <c r="AS37" i="27" s="1"/>
  <c r="AR37" i="27"/>
  <c r="AU37" i="27"/>
  <c r="AV37" i="27"/>
  <c r="AW37" i="27" s="1"/>
  <c r="BA37" i="27"/>
  <c r="BB37" i="27"/>
  <c r="BE37" i="27"/>
  <c r="BF37" i="27"/>
  <c r="BJ37" i="27" l="1"/>
  <c r="BK37" i="27"/>
  <c r="BL37" i="27"/>
  <c r="BI37" i="27"/>
  <c r="AN37" i="27"/>
  <c r="BD37" i="27"/>
  <c r="BR37" i="27"/>
  <c r="M37" i="27"/>
  <c r="L158" i="27"/>
  <c r="I80" i="27" l="1"/>
  <c r="BI80" i="27" s="1"/>
  <c r="J80" i="27"/>
  <c r="K80" i="27"/>
  <c r="L80" i="27"/>
  <c r="A80" i="27" s="1"/>
  <c r="N80" i="27"/>
  <c r="O80" i="27" s="1"/>
  <c r="AL80" i="27"/>
  <c r="AM80" i="27" s="1"/>
  <c r="AO80" i="27" s="1"/>
  <c r="AQ80" i="27"/>
  <c r="AS80" i="27" s="1"/>
  <c r="AR80" i="27"/>
  <c r="AU80" i="27"/>
  <c r="AV80" i="27"/>
  <c r="AW80" i="27" s="1"/>
  <c r="BA80" i="27"/>
  <c r="BB80" i="27"/>
  <c r="BE80" i="27"/>
  <c r="BF80" i="27"/>
  <c r="BP80" i="27"/>
  <c r="BQ80" i="27" s="1"/>
  <c r="BL80" i="27" l="1"/>
  <c r="BJ80" i="27"/>
  <c r="BN80" i="27"/>
  <c r="BK80" i="27"/>
  <c r="BD80" i="27"/>
  <c r="AN80" i="27"/>
  <c r="BR80" i="27"/>
  <c r="M80" i="27"/>
  <c r="I178" i="27" l="1"/>
  <c r="BN178" i="27" s="1"/>
  <c r="J178" i="27"/>
  <c r="K178" i="27"/>
  <c r="L178" i="27"/>
  <c r="A178" i="27" s="1"/>
  <c r="N178" i="27"/>
  <c r="O178" i="27" s="1"/>
  <c r="AL178" i="27"/>
  <c r="AM178" i="27" s="1"/>
  <c r="AO178" i="27" s="1"/>
  <c r="AQ178" i="27"/>
  <c r="AS178" i="27" s="1"/>
  <c r="AR178" i="27"/>
  <c r="AU178" i="27"/>
  <c r="AV178" i="27"/>
  <c r="AW178" i="27" s="1"/>
  <c r="BA178" i="27"/>
  <c r="BB178" i="27"/>
  <c r="BE178" i="27"/>
  <c r="BF178" i="27"/>
  <c r="BP178" i="27"/>
  <c r="BQ178" i="27" s="1"/>
  <c r="BJ178" i="27" l="1"/>
  <c r="BI178" i="27"/>
  <c r="BK178" i="27"/>
  <c r="BL178" i="27"/>
  <c r="AN178" i="27"/>
  <c r="BD178" i="27"/>
  <c r="BR178" i="27"/>
  <c r="M178" i="27"/>
  <c r="I286" i="27" l="1"/>
  <c r="BI286" i="27" s="1"/>
  <c r="J286" i="27"/>
  <c r="K286" i="27"/>
  <c r="L286" i="27"/>
  <c r="A286" i="27" s="1"/>
  <c r="N286" i="27"/>
  <c r="O286" i="27" s="1"/>
  <c r="AL286" i="27"/>
  <c r="AM286" i="27" s="1"/>
  <c r="AO286" i="27" s="1"/>
  <c r="AQ286" i="27"/>
  <c r="AS286" i="27" s="1"/>
  <c r="AR286" i="27"/>
  <c r="AU286" i="27"/>
  <c r="AV286" i="27"/>
  <c r="AW286" i="27" s="1"/>
  <c r="BA286" i="27"/>
  <c r="BB286" i="27"/>
  <c r="BE286" i="27"/>
  <c r="BF286" i="27"/>
  <c r="BP286" i="27"/>
  <c r="BQ286" i="27" s="1"/>
  <c r="BL286" i="27" l="1"/>
  <c r="BK286" i="27"/>
  <c r="BJ286" i="27"/>
  <c r="BN286" i="27"/>
  <c r="AN286" i="27"/>
  <c r="BD286" i="27"/>
  <c r="BR286" i="27"/>
  <c r="M286" i="27"/>
  <c r="I57" i="27" l="1"/>
  <c r="BI57" i="27" s="1"/>
  <c r="J57" i="27"/>
  <c r="K57" i="27"/>
  <c r="L57" i="27"/>
  <c r="A57" i="27" s="1"/>
  <c r="N57" i="27"/>
  <c r="O57" i="27" s="1"/>
  <c r="AL57" i="27"/>
  <c r="AM57" i="27" s="1"/>
  <c r="AO57" i="27" s="1"/>
  <c r="AQ57" i="27"/>
  <c r="AS57" i="27" s="1"/>
  <c r="AR57" i="27"/>
  <c r="AU57" i="27"/>
  <c r="AV57" i="27"/>
  <c r="AW57" i="27" s="1"/>
  <c r="BA57" i="27"/>
  <c r="BB57" i="27"/>
  <c r="BE57" i="27"/>
  <c r="BF57" i="27"/>
  <c r="BP57" i="27"/>
  <c r="BQ57" i="27" s="1"/>
  <c r="BL57" i="27" l="1"/>
  <c r="BK57" i="27"/>
  <c r="BJ57" i="27"/>
  <c r="BN57" i="27"/>
  <c r="AN57" i="27"/>
  <c r="BD57" i="27"/>
  <c r="BR57" i="27"/>
  <c r="M57" i="27"/>
  <c r="I65" i="27" l="1"/>
  <c r="BL65" i="27" s="1"/>
  <c r="J65" i="27"/>
  <c r="K65" i="27"/>
  <c r="L65" i="27"/>
  <c r="M65" i="27" s="1"/>
  <c r="N65" i="27"/>
  <c r="O65" i="27" s="1"/>
  <c r="AL65" i="27"/>
  <c r="AM65" i="27" s="1"/>
  <c r="AO65" i="27" s="1"/>
  <c r="AQ65" i="27"/>
  <c r="AS65" i="27" s="1"/>
  <c r="AR65" i="27"/>
  <c r="AU65" i="27"/>
  <c r="AV65" i="27"/>
  <c r="AW65" i="27" s="1"/>
  <c r="BA65" i="27"/>
  <c r="BB65" i="27"/>
  <c r="BE65" i="27"/>
  <c r="BF65" i="27"/>
  <c r="BP65" i="27"/>
  <c r="BQ65" i="27" s="1"/>
  <c r="BK65" i="27" l="1"/>
  <c r="BN65" i="27"/>
  <c r="BI65" i="27"/>
  <c r="BJ65" i="27"/>
  <c r="BD65" i="27"/>
  <c r="A65" i="27"/>
  <c r="AN65" i="27"/>
  <c r="BR65" i="27"/>
  <c r="I105" i="27"/>
  <c r="BJ105" i="27" s="1"/>
  <c r="J105" i="27"/>
  <c r="K105" i="27"/>
  <c r="L105" i="27"/>
  <c r="A105" i="27" s="1"/>
  <c r="N105" i="27"/>
  <c r="O105" i="27" s="1"/>
  <c r="AL105" i="27"/>
  <c r="AM105" i="27" s="1"/>
  <c r="AO105" i="27" s="1"/>
  <c r="AQ105" i="27"/>
  <c r="AS105" i="27" s="1"/>
  <c r="AR105" i="27"/>
  <c r="AU105" i="27"/>
  <c r="AV105" i="27"/>
  <c r="AW105" i="27" s="1"/>
  <c r="BA105" i="27"/>
  <c r="BB105" i="27"/>
  <c r="BE105" i="27"/>
  <c r="BF105" i="27"/>
  <c r="BP105" i="27"/>
  <c r="BQ105" i="27" s="1"/>
  <c r="I93" i="27"/>
  <c r="BJ93" i="27" s="1"/>
  <c r="J93" i="27"/>
  <c r="K93" i="27"/>
  <c r="L93" i="27"/>
  <c r="A93" i="27" s="1"/>
  <c r="N93" i="27"/>
  <c r="O93" i="27" s="1"/>
  <c r="AL93" i="27"/>
  <c r="AM93" i="27" s="1"/>
  <c r="AO93" i="27" s="1"/>
  <c r="AQ93" i="27"/>
  <c r="AS93" i="27" s="1"/>
  <c r="AR93" i="27"/>
  <c r="AU93" i="27"/>
  <c r="AV93" i="27"/>
  <c r="AW93" i="27" s="1"/>
  <c r="BA93" i="27"/>
  <c r="BB93" i="27"/>
  <c r="BE93" i="27"/>
  <c r="BF93" i="27"/>
  <c r="BP93" i="27"/>
  <c r="BQ93" i="27" s="1"/>
  <c r="BL105" i="27" l="1"/>
  <c r="BI105" i="27"/>
  <c r="AN93" i="27"/>
  <c r="AN105" i="27"/>
  <c r="BN105" i="27"/>
  <c r="BD105" i="27"/>
  <c r="BK105" i="27"/>
  <c r="BR105" i="27"/>
  <c r="M105" i="27"/>
  <c r="BL93" i="27"/>
  <c r="BI93" i="27"/>
  <c r="BN93" i="27"/>
  <c r="BD93" i="27"/>
  <c r="BK93" i="27"/>
  <c r="BR93" i="27"/>
  <c r="M93" i="27"/>
  <c r="I283" i="27" l="1"/>
  <c r="BK283" i="27" s="1"/>
  <c r="J283" i="27"/>
  <c r="K283" i="27"/>
  <c r="L283" i="27"/>
  <c r="A283" i="27" s="1"/>
  <c r="N283" i="27"/>
  <c r="O283" i="27" s="1"/>
  <c r="AL283" i="27"/>
  <c r="AM283" i="27" s="1"/>
  <c r="AO283" i="27" s="1"/>
  <c r="AQ283" i="27"/>
  <c r="AS283" i="27" s="1"/>
  <c r="AR283" i="27"/>
  <c r="AU283" i="27"/>
  <c r="AV283" i="27"/>
  <c r="AW283" i="27" s="1"/>
  <c r="BA283" i="27"/>
  <c r="BB283" i="27"/>
  <c r="BE283" i="27"/>
  <c r="BF283" i="27"/>
  <c r="BP283" i="27"/>
  <c r="BQ283" i="27" s="1"/>
  <c r="BN283" i="27" l="1"/>
  <c r="BJ283" i="27"/>
  <c r="BI283" i="27"/>
  <c r="AN283" i="27"/>
  <c r="BL283" i="27"/>
  <c r="BD283" i="27"/>
  <c r="BR283" i="27"/>
  <c r="M283" i="27"/>
  <c r="I182" i="27" l="1"/>
  <c r="BL182" i="27" s="1"/>
  <c r="J182" i="27"/>
  <c r="K182" i="27"/>
  <c r="L182" i="27"/>
  <c r="A182" i="27" s="1"/>
  <c r="N182" i="27"/>
  <c r="O182" i="27" s="1"/>
  <c r="AL182" i="27"/>
  <c r="AM182" i="27" s="1"/>
  <c r="AO182" i="27" s="1"/>
  <c r="AQ182" i="27"/>
  <c r="AS182" i="27" s="1"/>
  <c r="AR182" i="27"/>
  <c r="AU182" i="27"/>
  <c r="AV182" i="27"/>
  <c r="AW182" i="27" s="1"/>
  <c r="BA182" i="27"/>
  <c r="BB182" i="27"/>
  <c r="BE182" i="27"/>
  <c r="BF182" i="27"/>
  <c r="BP182" i="27"/>
  <c r="BQ182" i="27" s="1"/>
  <c r="K40" i="27"/>
  <c r="BK182" i="27" l="1"/>
  <c r="BJ182" i="27"/>
  <c r="BN182" i="27"/>
  <c r="BI182" i="27"/>
  <c r="BD182" i="27"/>
  <c r="BR182" i="27"/>
  <c r="AN182" i="27"/>
  <c r="M182" i="27"/>
  <c r="BV308" i="27" l="1"/>
  <c r="BX308" i="27" s="1"/>
  <c r="BS308" i="27"/>
  <c r="BP309" i="27"/>
  <c r="BR309" i="27" s="1"/>
  <c r="BF309" i="27"/>
  <c r="BE309" i="27"/>
  <c r="BB309" i="27"/>
  <c r="BA309" i="27"/>
  <c r="AV309" i="27"/>
  <c r="AW309" i="27" s="1"/>
  <c r="AU309" i="27"/>
  <c r="AR309" i="27"/>
  <c r="AQ309" i="27"/>
  <c r="AS309" i="27" s="1"/>
  <c r="AL309" i="27"/>
  <c r="AN309" i="27" s="1"/>
  <c r="N309" i="27"/>
  <c r="O309" i="27" s="1"/>
  <c r="L309" i="27"/>
  <c r="K309" i="27"/>
  <c r="J309" i="27"/>
  <c r="I309" i="27"/>
  <c r="BK309" i="27" s="1"/>
  <c r="BV307" i="27"/>
  <c r="BX307" i="27" s="1"/>
  <c r="BS307" i="27"/>
  <c r="BU307" i="27" s="1"/>
  <c r="BP308" i="27"/>
  <c r="BR308" i="27" s="1"/>
  <c r="BF308" i="27"/>
  <c r="BE308" i="27"/>
  <c r="BB308" i="27"/>
  <c r="BA308" i="27"/>
  <c r="AV308" i="27"/>
  <c r="AW308" i="27" s="1"/>
  <c r="AU308" i="27"/>
  <c r="AR308" i="27"/>
  <c r="AQ308" i="27"/>
  <c r="AS308" i="27" s="1"/>
  <c r="AL308" i="27"/>
  <c r="N308" i="27"/>
  <c r="O308" i="27" s="1"/>
  <c r="L308" i="27"/>
  <c r="BD308" i="27" s="1"/>
  <c r="K308" i="27"/>
  <c r="J308" i="27"/>
  <c r="I308" i="27"/>
  <c r="BK308" i="27" s="1"/>
  <c r="BV306" i="27"/>
  <c r="BX306" i="27" s="1"/>
  <c r="BS306" i="27"/>
  <c r="BU306" i="27" s="1"/>
  <c r="BP307" i="27"/>
  <c r="BR307" i="27" s="1"/>
  <c r="BF307" i="27"/>
  <c r="BE307" i="27"/>
  <c r="BB307" i="27"/>
  <c r="BA307" i="27"/>
  <c r="AV307" i="27"/>
  <c r="AW307" i="27" s="1"/>
  <c r="AU307" i="27"/>
  <c r="AR307" i="27"/>
  <c r="AQ307" i="27"/>
  <c r="AS307" i="27" s="1"/>
  <c r="AL307" i="27"/>
  <c r="AN307" i="27" s="1"/>
  <c r="N307" i="27"/>
  <c r="O307" i="27" s="1"/>
  <c r="L307" i="27"/>
  <c r="K307" i="27"/>
  <c r="J307" i="27"/>
  <c r="I307" i="27"/>
  <c r="BK307" i="27" s="1"/>
  <c r="BV305" i="27"/>
  <c r="BX305" i="27" s="1"/>
  <c r="BS305" i="27"/>
  <c r="BP306" i="27"/>
  <c r="BR306" i="27" s="1"/>
  <c r="BF306" i="27"/>
  <c r="BE306" i="27"/>
  <c r="BB306" i="27"/>
  <c r="BA306" i="27"/>
  <c r="AV306" i="27"/>
  <c r="AW306" i="27" s="1"/>
  <c r="AU306" i="27"/>
  <c r="AR306" i="27"/>
  <c r="AQ306" i="27"/>
  <c r="AS306" i="27" s="1"/>
  <c r="AL306" i="27"/>
  <c r="N306" i="27"/>
  <c r="O306" i="27" s="1"/>
  <c r="L306" i="27"/>
  <c r="A306" i="27" s="1"/>
  <c r="K306" i="27"/>
  <c r="J306" i="27"/>
  <c r="I306" i="27"/>
  <c r="BK306" i="27" s="1"/>
  <c r="BV304" i="27"/>
  <c r="BX304" i="27" s="1"/>
  <c r="BS304" i="27"/>
  <c r="BU304" i="27" s="1"/>
  <c r="BP305" i="27"/>
  <c r="BR305" i="27" s="1"/>
  <c r="BF305" i="27"/>
  <c r="BE305" i="27"/>
  <c r="BB305" i="27"/>
  <c r="BA305" i="27"/>
  <c r="AV305" i="27"/>
  <c r="AW305" i="27" s="1"/>
  <c r="AU305" i="27"/>
  <c r="AR305" i="27"/>
  <c r="AQ305" i="27"/>
  <c r="AS305" i="27" s="1"/>
  <c r="AL305" i="27"/>
  <c r="AN305" i="27" s="1"/>
  <c r="N305" i="27"/>
  <c r="O305" i="27" s="1"/>
  <c r="L305" i="27"/>
  <c r="K305" i="27"/>
  <c r="J305" i="27"/>
  <c r="I305" i="27"/>
  <c r="BV303" i="27"/>
  <c r="BX303" i="27" s="1"/>
  <c r="BS303" i="27"/>
  <c r="BU303" i="27" s="1"/>
  <c r="BP304" i="27"/>
  <c r="BR304" i="27" s="1"/>
  <c r="BF304" i="27"/>
  <c r="BE304" i="27"/>
  <c r="BB304" i="27"/>
  <c r="BA304" i="27"/>
  <c r="AV304" i="27"/>
  <c r="AW304" i="27" s="1"/>
  <c r="AU304" i="27"/>
  <c r="AR304" i="27"/>
  <c r="AQ304" i="27"/>
  <c r="AS304" i="27" s="1"/>
  <c r="AL304" i="27"/>
  <c r="N304" i="27"/>
  <c r="O304" i="27" s="1"/>
  <c r="L304" i="27"/>
  <c r="BD304" i="27" s="1"/>
  <c r="K304" i="27"/>
  <c r="J304" i="27"/>
  <c r="I304" i="27"/>
  <c r="BK304" i="27" s="1"/>
  <c r="BV302" i="27"/>
  <c r="BX302" i="27" s="1"/>
  <c r="BS302" i="27"/>
  <c r="BP303" i="27"/>
  <c r="BR303" i="27" s="1"/>
  <c r="BF303" i="27"/>
  <c r="BE303" i="27"/>
  <c r="BB303" i="27"/>
  <c r="BA303" i="27"/>
  <c r="AV303" i="27"/>
  <c r="AW303" i="27" s="1"/>
  <c r="AU303" i="27"/>
  <c r="AR303" i="27"/>
  <c r="AQ303" i="27"/>
  <c r="AS303" i="27" s="1"/>
  <c r="AL303" i="27"/>
  <c r="AN303" i="27" s="1"/>
  <c r="N303" i="27"/>
  <c r="O303" i="27" s="1"/>
  <c r="L303" i="27"/>
  <c r="K303" i="27"/>
  <c r="J303" i="27"/>
  <c r="I303" i="27"/>
  <c r="BK303" i="27" s="1"/>
  <c r="BV301" i="27"/>
  <c r="BX301" i="27" s="1"/>
  <c r="BS301" i="27"/>
  <c r="BP302" i="27"/>
  <c r="BR302" i="27" s="1"/>
  <c r="BF302" i="27"/>
  <c r="BE302" i="27"/>
  <c r="BB302" i="27"/>
  <c r="BA302" i="27"/>
  <c r="AV302" i="27"/>
  <c r="AW302" i="27" s="1"/>
  <c r="AU302" i="27"/>
  <c r="AR302" i="27"/>
  <c r="AQ302" i="27"/>
  <c r="AS302" i="27" s="1"/>
  <c r="AL302" i="27"/>
  <c r="N302" i="27"/>
  <c r="O302" i="27" s="1"/>
  <c r="L302" i="27"/>
  <c r="A302" i="27" s="1"/>
  <c r="K302" i="27"/>
  <c r="J302" i="27"/>
  <c r="I302" i="27"/>
  <c r="BK302" i="27" s="1"/>
  <c r="BV300" i="27"/>
  <c r="BX300" i="27" s="1"/>
  <c r="BS300" i="27"/>
  <c r="BU300" i="27" s="1"/>
  <c r="BP301" i="27"/>
  <c r="BR301" i="27" s="1"/>
  <c r="BF301" i="27"/>
  <c r="BE301" i="27"/>
  <c r="BB301" i="27"/>
  <c r="BA301" i="27"/>
  <c r="AV301" i="27"/>
  <c r="AW301" i="27" s="1"/>
  <c r="AU301" i="27"/>
  <c r="AR301" i="27"/>
  <c r="AQ301" i="27"/>
  <c r="AS301" i="27" s="1"/>
  <c r="AL301" i="27"/>
  <c r="AN301" i="27" s="1"/>
  <c r="N301" i="27"/>
  <c r="O301" i="27" s="1"/>
  <c r="L301" i="27"/>
  <c r="K301" i="27"/>
  <c r="J301" i="27"/>
  <c r="I301" i="27"/>
  <c r="BK301" i="27" s="1"/>
  <c r="BV299" i="27"/>
  <c r="BX299" i="27" s="1"/>
  <c r="BS299" i="27"/>
  <c r="BP300" i="27"/>
  <c r="BR300" i="27" s="1"/>
  <c r="BF300" i="27"/>
  <c r="BE300" i="27"/>
  <c r="BB300" i="27"/>
  <c r="BA300" i="27"/>
  <c r="AV300" i="27"/>
  <c r="AW300" i="27" s="1"/>
  <c r="AU300" i="27"/>
  <c r="AR300" i="27"/>
  <c r="AQ300" i="27"/>
  <c r="AS300" i="27" s="1"/>
  <c r="AL300" i="27"/>
  <c r="N300" i="27"/>
  <c r="O300" i="27" s="1"/>
  <c r="L300" i="27"/>
  <c r="BD300" i="27" s="1"/>
  <c r="K300" i="27"/>
  <c r="J300" i="27"/>
  <c r="I300" i="27"/>
  <c r="BK300" i="27" s="1"/>
  <c r="BV298" i="27"/>
  <c r="BX298" i="27" s="1"/>
  <c r="BS298" i="27"/>
  <c r="BU298" i="27" s="1"/>
  <c r="BP299" i="27"/>
  <c r="BR299" i="27" s="1"/>
  <c r="BF299" i="27"/>
  <c r="BE299" i="27"/>
  <c r="BB299" i="27"/>
  <c r="BA299" i="27"/>
  <c r="AV299" i="27"/>
  <c r="AW299" i="27" s="1"/>
  <c r="AU299" i="27"/>
  <c r="AR299" i="27"/>
  <c r="AQ299" i="27"/>
  <c r="AS299" i="27" s="1"/>
  <c r="AL299" i="27"/>
  <c r="AN299" i="27" s="1"/>
  <c r="N299" i="27"/>
  <c r="O299" i="27" s="1"/>
  <c r="L299" i="27"/>
  <c r="K299" i="27"/>
  <c r="J299" i="27"/>
  <c r="I299" i="27"/>
  <c r="BK299" i="27" s="1"/>
  <c r="BV297" i="27"/>
  <c r="BX297" i="27" s="1"/>
  <c r="BS297" i="27"/>
  <c r="BP298" i="27"/>
  <c r="BR298" i="27" s="1"/>
  <c r="BF298" i="27"/>
  <c r="BE298" i="27"/>
  <c r="BB298" i="27"/>
  <c r="BA298" i="27"/>
  <c r="AV298" i="27"/>
  <c r="AW298" i="27" s="1"/>
  <c r="AU298" i="27"/>
  <c r="AR298" i="27"/>
  <c r="AQ298" i="27"/>
  <c r="AS298" i="27" s="1"/>
  <c r="AL298" i="27"/>
  <c r="AN298" i="27" s="1"/>
  <c r="N298" i="27"/>
  <c r="O298" i="27" s="1"/>
  <c r="L298" i="27"/>
  <c r="A298" i="27" s="1"/>
  <c r="K298" i="27"/>
  <c r="J298" i="27"/>
  <c r="I298" i="27"/>
  <c r="BL298" i="27" s="1"/>
  <c r="BV296" i="27"/>
  <c r="BX296" i="27" s="1"/>
  <c r="BS296" i="27"/>
  <c r="BP297" i="27"/>
  <c r="BR297" i="27" s="1"/>
  <c r="BF297" i="27"/>
  <c r="BE297" i="27"/>
  <c r="BB297" i="27"/>
  <c r="BA297" i="27"/>
  <c r="AV297" i="27"/>
  <c r="AW297" i="27" s="1"/>
  <c r="AU297" i="27"/>
  <c r="AR297" i="27"/>
  <c r="AQ297" i="27"/>
  <c r="AS297" i="27" s="1"/>
  <c r="AL297" i="27"/>
  <c r="AM297" i="27" s="1"/>
  <c r="AO297" i="27" s="1"/>
  <c r="N297" i="27"/>
  <c r="O297" i="27" s="1"/>
  <c r="L297" i="27"/>
  <c r="A297" i="27" s="1"/>
  <c r="K297" i="27"/>
  <c r="J297" i="27"/>
  <c r="I297" i="27"/>
  <c r="BK297" i="27" s="1"/>
  <c r="BV295" i="27"/>
  <c r="BX295" i="27" s="1"/>
  <c r="BS295" i="27"/>
  <c r="BP296" i="27"/>
  <c r="BR296" i="27" s="1"/>
  <c r="BF296" i="27"/>
  <c r="BE296" i="27"/>
  <c r="BB296" i="27"/>
  <c r="BA296" i="27"/>
  <c r="AV296" i="27"/>
  <c r="AW296" i="27" s="1"/>
  <c r="AU296" i="27"/>
  <c r="AR296" i="27"/>
  <c r="AQ296" i="27"/>
  <c r="AS296" i="27" s="1"/>
  <c r="AL296" i="27"/>
  <c r="AM296" i="27" s="1"/>
  <c r="AO296" i="27" s="1"/>
  <c r="N296" i="27"/>
  <c r="O296" i="27" s="1"/>
  <c r="L296" i="27"/>
  <c r="A296" i="27" s="1"/>
  <c r="K296" i="27"/>
  <c r="J296" i="27"/>
  <c r="I296" i="27"/>
  <c r="BK296" i="27" s="1"/>
  <c r="BV294" i="27"/>
  <c r="BX294" i="27" s="1"/>
  <c r="BS294" i="27"/>
  <c r="BP295" i="27"/>
  <c r="BR295" i="27" s="1"/>
  <c r="BF295" i="27"/>
  <c r="BE295" i="27"/>
  <c r="BB295" i="27"/>
  <c r="BA295" i="27"/>
  <c r="AV295" i="27"/>
  <c r="AW295" i="27" s="1"/>
  <c r="AU295" i="27"/>
  <c r="AR295" i="27"/>
  <c r="AQ295" i="27"/>
  <c r="AS295" i="27" s="1"/>
  <c r="AL295" i="27"/>
  <c r="AN295" i="27" s="1"/>
  <c r="N295" i="27"/>
  <c r="O295" i="27" s="1"/>
  <c r="L295" i="27"/>
  <c r="A295" i="27" s="1"/>
  <c r="K295" i="27"/>
  <c r="J295" i="27"/>
  <c r="I295" i="27"/>
  <c r="BK295" i="27" s="1"/>
  <c r="BV293" i="27"/>
  <c r="BX293" i="27" s="1"/>
  <c r="BS293" i="27"/>
  <c r="BP294" i="27"/>
  <c r="BF294" i="27"/>
  <c r="BE294" i="27"/>
  <c r="BB294" i="27"/>
  <c r="BA294" i="27"/>
  <c r="AV294" i="27"/>
  <c r="AW294" i="27" s="1"/>
  <c r="AU294" i="27"/>
  <c r="AR294" i="27"/>
  <c r="AQ294" i="27"/>
  <c r="AS294" i="27" s="1"/>
  <c r="AL294" i="27"/>
  <c r="AN294" i="27" s="1"/>
  <c r="N294" i="27"/>
  <c r="O294" i="27" s="1"/>
  <c r="L294" i="27"/>
  <c r="BD294" i="27" s="1"/>
  <c r="K294" i="27"/>
  <c r="J294" i="27"/>
  <c r="I294" i="27"/>
  <c r="BV292" i="27"/>
  <c r="BX292" i="27" s="1"/>
  <c r="BS292" i="27"/>
  <c r="BP293" i="27"/>
  <c r="BF293" i="27"/>
  <c r="BE293" i="27"/>
  <c r="BB293" i="27"/>
  <c r="BA293" i="27"/>
  <c r="AV293" i="27"/>
  <c r="AW293" i="27" s="1"/>
  <c r="AU293" i="27"/>
  <c r="AR293" i="27"/>
  <c r="AQ293" i="27"/>
  <c r="AS293" i="27" s="1"/>
  <c r="AL293" i="27"/>
  <c r="N293" i="27"/>
  <c r="O293" i="27" s="1"/>
  <c r="L293" i="27"/>
  <c r="BD293" i="27" s="1"/>
  <c r="K293" i="27"/>
  <c r="J293" i="27"/>
  <c r="I293" i="27"/>
  <c r="BK293" i="27" s="1"/>
  <c r="BV291" i="27"/>
  <c r="BX291" i="27" s="1"/>
  <c r="BS291" i="27"/>
  <c r="BP292" i="27"/>
  <c r="BR292" i="27" s="1"/>
  <c r="BF292" i="27"/>
  <c r="BE292" i="27"/>
  <c r="BB292" i="27"/>
  <c r="BA292" i="27"/>
  <c r="AV292" i="27"/>
  <c r="AW292" i="27" s="1"/>
  <c r="AU292" i="27"/>
  <c r="AR292" i="27"/>
  <c r="AQ292" i="27"/>
  <c r="AS292" i="27" s="1"/>
  <c r="AL292" i="27"/>
  <c r="N292" i="27"/>
  <c r="O292" i="27" s="1"/>
  <c r="L292" i="27"/>
  <c r="BD292" i="27" s="1"/>
  <c r="K292" i="27"/>
  <c r="J292" i="27"/>
  <c r="I292" i="27"/>
  <c r="BI292" i="27" s="1"/>
  <c r="BV290" i="27"/>
  <c r="BX290" i="27" s="1"/>
  <c r="BS290" i="27"/>
  <c r="BP291" i="27"/>
  <c r="BR291" i="27" s="1"/>
  <c r="BF291" i="27"/>
  <c r="BE291" i="27"/>
  <c r="BB291" i="27"/>
  <c r="BA291" i="27"/>
  <c r="AV291" i="27"/>
  <c r="AW291" i="27" s="1"/>
  <c r="AU291" i="27"/>
  <c r="AR291" i="27"/>
  <c r="AQ291" i="27"/>
  <c r="AS291" i="27" s="1"/>
  <c r="AL291" i="27"/>
  <c r="N291" i="27"/>
  <c r="O291" i="27" s="1"/>
  <c r="L291" i="27"/>
  <c r="BD291" i="27" s="1"/>
  <c r="K291" i="27"/>
  <c r="J291" i="27"/>
  <c r="I291" i="27"/>
  <c r="BV289" i="27"/>
  <c r="BX289" i="27" s="1"/>
  <c r="BS289" i="27"/>
  <c r="BP290" i="27"/>
  <c r="BF290" i="27"/>
  <c r="BE290" i="27"/>
  <c r="BB290" i="27"/>
  <c r="BA290" i="27"/>
  <c r="AV290" i="27"/>
  <c r="AW290" i="27" s="1"/>
  <c r="AU290" i="27"/>
  <c r="AR290" i="27"/>
  <c r="AQ290" i="27"/>
  <c r="AS290" i="27" s="1"/>
  <c r="AL290" i="27"/>
  <c r="AM290" i="27" s="1"/>
  <c r="AO290" i="27" s="1"/>
  <c r="N290" i="27"/>
  <c r="O290" i="27" s="1"/>
  <c r="L290" i="27"/>
  <c r="BD290" i="27" s="1"/>
  <c r="K290" i="27"/>
  <c r="J290" i="27"/>
  <c r="I290" i="27"/>
  <c r="BV288" i="27"/>
  <c r="BX288" i="27" s="1"/>
  <c r="BS288" i="27"/>
  <c r="BP289" i="27"/>
  <c r="BQ289" i="27" s="1"/>
  <c r="BF289" i="27"/>
  <c r="BE289" i="27"/>
  <c r="BB289" i="27"/>
  <c r="BA289" i="27"/>
  <c r="AV289" i="27"/>
  <c r="AW289" i="27" s="1"/>
  <c r="AU289" i="27"/>
  <c r="AR289" i="27"/>
  <c r="AQ289" i="27"/>
  <c r="AS289" i="27" s="1"/>
  <c r="AL289" i="27"/>
  <c r="AM289" i="27" s="1"/>
  <c r="AO289" i="27" s="1"/>
  <c r="N289" i="27"/>
  <c r="O289" i="27" s="1"/>
  <c r="L289" i="27"/>
  <c r="A289" i="27" s="1"/>
  <c r="K289" i="27"/>
  <c r="J289" i="27"/>
  <c r="I289" i="27"/>
  <c r="BL289" i="27" s="1"/>
  <c r="BV287" i="27"/>
  <c r="BX287" i="27" s="1"/>
  <c r="BS287" i="27"/>
  <c r="BP288" i="27"/>
  <c r="BF288" i="27"/>
  <c r="BE288" i="27"/>
  <c r="BB288" i="27"/>
  <c r="BA288" i="27"/>
  <c r="AV288" i="27"/>
  <c r="AW288" i="27" s="1"/>
  <c r="AU288" i="27"/>
  <c r="AR288" i="27"/>
  <c r="AQ288" i="27"/>
  <c r="AS288" i="27" s="1"/>
  <c r="AL288" i="27"/>
  <c r="AM288" i="27" s="1"/>
  <c r="AO288" i="27" s="1"/>
  <c r="N288" i="27"/>
  <c r="O288" i="27" s="1"/>
  <c r="L288" i="27"/>
  <c r="A288" i="27" s="1"/>
  <c r="K288" i="27"/>
  <c r="J288" i="27"/>
  <c r="I288" i="27"/>
  <c r="BV286" i="27"/>
  <c r="BX286" i="27" s="1"/>
  <c r="BS286" i="27"/>
  <c r="BP287" i="27"/>
  <c r="BF287" i="27"/>
  <c r="BE287" i="27"/>
  <c r="BB287" i="27"/>
  <c r="BA287" i="27"/>
  <c r="AV287" i="27"/>
  <c r="AW287" i="27" s="1"/>
  <c r="AU287" i="27"/>
  <c r="AR287" i="27"/>
  <c r="AQ287" i="27"/>
  <c r="AS287" i="27" s="1"/>
  <c r="AL287" i="27"/>
  <c r="AM287" i="27" s="1"/>
  <c r="AO287" i="27" s="1"/>
  <c r="N287" i="27"/>
  <c r="O287" i="27" s="1"/>
  <c r="L287" i="27"/>
  <c r="M287" i="27" s="1"/>
  <c r="K287" i="27"/>
  <c r="J287" i="27"/>
  <c r="I287" i="27"/>
  <c r="BV283" i="27"/>
  <c r="BX283" i="27" s="1"/>
  <c r="BS283" i="27"/>
  <c r="BP285" i="27"/>
  <c r="BF285" i="27"/>
  <c r="BE285" i="27"/>
  <c r="BB285" i="27"/>
  <c r="BA285" i="27"/>
  <c r="AV285" i="27"/>
  <c r="AW285" i="27" s="1"/>
  <c r="AU285" i="27"/>
  <c r="AR285" i="27"/>
  <c r="AQ285" i="27"/>
  <c r="AS285" i="27" s="1"/>
  <c r="AL285" i="27"/>
  <c r="AN285" i="27" s="1"/>
  <c r="N285" i="27"/>
  <c r="O285" i="27" s="1"/>
  <c r="L285" i="27"/>
  <c r="A285" i="27" s="1"/>
  <c r="K285" i="27"/>
  <c r="J285" i="27"/>
  <c r="I285" i="27"/>
  <c r="BI285" i="27" s="1"/>
  <c r="BV282" i="27"/>
  <c r="BX282" i="27" s="1"/>
  <c r="BS282" i="27"/>
  <c r="BP282" i="27"/>
  <c r="BF282" i="27"/>
  <c r="BE282" i="27"/>
  <c r="BB282" i="27"/>
  <c r="BA282" i="27"/>
  <c r="AV282" i="27"/>
  <c r="AW282" i="27" s="1"/>
  <c r="AU282" i="27"/>
  <c r="AR282" i="27"/>
  <c r="AQ282" i="27"/>
  <c r="AS282" i="27" s="1"/>
  <c r="AL282" i="27"/>
  <c r="N282" i="27"/>
  <c r="O282" i="27" s="1"/>
  <c r="L282" i="27"/>
  <c r="A282" i="27" s="1"/>
  <c r="K282" i="27"/>
  <c r="J282" i="27"/>
  <c r="I282" i="27"/>
  <c r="BK282" i="27" s="1"/>
  <c r="BV281" i="27"/>
  <c r="BX281" i="27" s="1"/>
  <c r="BS281" i="27"/>
  <c r="BP281" i="27"/>
  <c r="BF281" i="27"/>
  <c r="BE281" i="27"/>
  <c r="BB281" i="27"/>
  <c r="BA281" i="27"/>
  <c r="AV281" i="27"/>
  <c r="AW281" i="27" s="1"/>
  <c r="AU281" i="27"/>
  <c r="AR281" i="27"/>
  <c r="AQ281" i="27"/>
  <c r="AS281" i="27" s="1"/>
  <c r="AL281" i="27"/>
  <c r="AM281" i="27" s="1"/>
  <c r="AO281" i="27" s="1"/>
  <c r="N281" i="27"/>
  <c r="O281" i="27" s="1"/>
  <c r="L281" i="27"/>
  <c r="M281" i="27" s="1"/>
  <c r="K281" i="27"/>
  <c r="J281" i="27"/>
  <c r="I281" i="27"/>
  <c r="BK281" i="27" s="1"/>
  <c r="BV280" i="27"/>
  <c r="BX280" i="27" s="1"/>
  <c r="BS280" i="27"/>
  <c r="BP280" i="27"/>
  <c r="BF280" i="27"/>
  <c r="BE280" i="27"/>
  <c r="BB280" i="27"/>
  <c r="BA280" i="27"/>
  <c r="AV280" i="27"/>
  <c r="AW280" i="27" s="1"/>
  <c r="AU280" i="27"/>
  <c r="AR280" i="27"/>
  <c r="AQ280" i="27"/>
  <c r="AS280" i="27" s="1"/>
  <c r="AL280" i="27"/>
  <c r="AM280" i="27" s="1"/>
  <c r="AO280" i="27" s="1"/>
  <c r="N280" i="27"/>
  <c r="O280" i="27" s="1"/>
  <c r="L280" i="27"/>
  <c r="M280" i="27" s="1"/>
  <c r="K280" i="27"/>
  <c r="J280" i="27"/>
  <c r="I280" i="27"/>
  <c r="BV278" i="27"/>
  <c r="BX278" i="27" s="1"/>
  <c r="BS278" i="27"/>
  <c r="BP279" i="27"/>
  <c r="BQ279" i="27" s="1"/>
  <c r="BF279" i="27"/>
  <c r="BE279" i="27"/>
  <c r="BB279" i="27"/>
  <c r="BA279" i="27"/>
  <c r="AV279" i="27"/>
  <c r="AW279" i="27" s="1"/>
  <c r="AU279" i="27"/>
  <c r="AR279" i="27"/>
  <c r="AQ279" i="27"/>
  <c r="AS279" i="27" s="1"/>
  <c r="AL279" i="27"/>
  <c r="AM279" i="27" s="1"/>
  <c r="AO279" i="27" s="1"/>
  <c r="N279" i="27"/>
  <c r="O279" i="27" s="1"/>
  <c r="L279" i="27"/>
  <c r="A279" i="27" s="1"/>
  <c r="K279" i="27"/>
  <c r="J279" i="27"/>
  <c r="I279" i="27"/>
  <c r="BK279" i="27" s="1"/>
  <c r="BV277" i="27"/>
  <c r="BX277" i="27" s="1"/>
  <c r="BS277" i="27"/>
  <c r="BP278" i="27"/>
  <c r="BQ278" i="27" s="1"/>
  <c r="BF278" i="27"/>
  <c r="BE278" i="27"/>
  <c r="BB278" i="27"/>
  <c r="BA278" i="27"/>
  <c r="AV278" i="27"/>
  <c r="AW278" i="27" s="1"/>
  <c r="AU278" i="27"/>
  <c r="AR278" i="27"/>
  <c r="AQ278" i="27"/>
  <c r="AS278" i="27" s="1"/>
  <c r="AL278" i="27"/>
  <c r="N278" i="27"/>
  <c r="O278" i="27" s="1"/>
  <c r="L278" i="27"/>
  <c r="M278" i="27" s="1"/>
  <c r="K278" i="27"/>
  <c r="J278" i="27"/>
  <c r="I278" i="27"/>
  <c r="BK278" i="27" s="1"/>
  <c r="BV276" i="27"/>
  <c r="BX276" i="27" s="1"/>
  <c r="BS276" i="27"/>
  <c r="BP277" i="27"/>
  <c r="BF277" i="27"/>
  <c r="BE277" i="27"/>
  <c r="BB277" i="27"/>
  <c r="BA277" i="27"/>
  <c r="AV277" i="27"/>
  <c r="AW277" i="27" s="1"/>
  <c r="AU277" i="27"/>
  <c r="AR277" i="27"/>
  <c r="AQ277" i="27"/>
  <c r="AS277" i="27" s="1"/>
  <c r="AL277" i="27"/>
  <c r="AM277" i="27" s="1"/>
  <c r="AO277" i="27" s="1"/>
  <c r="N277" i="27"/>
  <c r="O277" i="27" s="1"/>
  <c r="L277" i="27"/>
  <c r="A277" i="27" s="1"/>
  <c r="K277" i="27"/>
  <c r="J277" i="27"/>
  <c r="I277" i="27"/>
  <c r="BK277" i="27" s="1"/>
  <c r="BV275" i="27"/>
  <c r="BX275" i="27" s="1"/>
  <c r="BS275" i="27"/>
  <c r="BP276" i="27"/>
  <c r="BF276" i="27"/>
  <c r="BE276" i="27"/>
  <c r="BB276" i="27"/>
  <c r="BA276" i="27"/>
  <c r="AV276" i="27"/>
  <c r="AW276" i="27" s="1"/>
  <c r="AU276" i="27"/>
  <c r="AR276" i="27"/>
  <c r="AQ276" i="27"/>
  <c r="AS276" i="27" s="1"/>
  <c r="AL276" i="27"/>
  <c r="AM276" i="27" s="1"/>
  <c r="AO276" i="27" s="1"/>
  <c r="N276" i="27"/>
  <c r="O276" i="27" s="1"/>
  <c r="L276" i="27"/>
  <c r="M276" i="27" s="1"/>
  <c r="K276" i="27"/>
  <c r="J276" i="27"/>
  <c r="I276" i="27"/>
  <c r="BV274" i="27"/>
  <c r="BX274" i="27" s="1"/>
  <c r="BS274" i="27"/>
  <c r="BP275" i="27"/>
  <c r="BF275" i="27"/>
  <c r="BE275" i="27"/>
  <c r="BB275" i="27"/>
  <c r="BA275" i="27"/>
  <c r="AV275" i="27"/>
  <c r="AW275" i="27" s="1"/>
  <c r="AU275" i="27"/>
  <c r="AR275" i="27"/>
  <c r="AQ275" i="27"/>
  <c r="AS275" i="27" s="1"/>
  <c r="AL275" i="27"/>
  <c r="N275" i="27"/>
  <c r="O275" i="27" s="1"/>
  <c r="L275" i="27"/>
  <c r="M275" i="27" s="1"/>
  <c r="K275" i="27"/>
  <c r="J275" i="27"/>
  <c r="I275" i="27"/>
  <c r="BV273" i="27"/>
  <c r="BX273" i="27" s="1"/>
  <c r="BS273" i="27"/>
  <c r="BP274" i="27"/>
  <c r="BF274" i="27"/>
  <c r="BE274" i="27"/>
  <c r="BB274" i="27"/>
  <c r="BA274" i="27"/>
  <c r="AV274" i="27"/>
  <c r="AW274" i="27" s="1"/>
  <c r="AU274" i="27"/>
  <c r="AR274" i="27"/>
  <c r="AQ274" i="27"/>
  <c r="AS274" i="27" s="1"/>
  <c r="AL274" i="27"/>
  <c r="N274" i="27"/>
  <c r="O274" i="27" s="1"/>
  <c r="L274" i="27"/>
  <c r="A274" i="27" s="1"/>
  <c r="K274" i="27"/>
  <c r="J274" i="27"/>
  <c r="I274" i="27"/>
  <c r="BL274" i="27" s="1"/>
  <c r="BV272" i="27"/>
  <c r="BX272" i="27" s="1"/>
  <c r="BS272" i="27"/>
  <c r="BP273" i="27"/>
  <c r="BF273" i="27"/>
  <c r="BE273" i="27"/>
  <c r="BB273" i="27"/>
  <c r="BA273" i="27"/>
  <c r="AV273" i="27"/>
  <c r="AW273" i="27" s="1"/>
  <c r="AU273" i="27"/>
  <c r="AR273" i="27"/>
  <c r="AQ273" i="27"/>
  <c r="AS273" i="27" s="1"/>
  <c r="AL273" i="27"/>
  <c r="N273" i="27"/>
  <c r="O273" i="27" s="1"/>
  <c r="L273" i="27"/>
  <c r="M273" i="27" s="1"/>
  <c r="K273" i="27"/>
  <c r="J273" i="27"/>
  <c r="I273" i="27"/>
  <c r="BV271" i="27"/>
  <c r="BX271" i="27" s="1"/>
  <c r="BS271" i="27"/>
  <c r="BU271" i="27" s="1"/>
  <c r="BP272" i="27"/>
  <c r="BF272" i="27"/>
  <c r="BE272" i="27"/>
  <c r="BB272" i="27"/>
  <c r="BA272" i="27"/>
  <c r="AV272" i="27"/>
  <c r="AW272" i="27" s="1"/>
  <c r="AU272" i="27"/>
  <c r="AR272" i="27"/>
  <c r="AQ272" i="27"/>
  <c r="AS272" i="27" s="1"/>
  <c r="AL272" i="27"/>
  <c r="N272" i="27"/>
  <c r="O272" i="27" s="1"/>
  <c r="L272" i="27"/>
  <c r="A272" i="27" s="1"/>
  <c r="K272" i="27"/>
  <c r="J272" i="27"/>
  <c r="I272" i="27"/>
  <c r="BV270" i="27"/>
  <c r="BX270" i="27" s="1"/>
  <c r="BS270" i="27"/>
  <c r="BP271" i="27"/>
  <c r="BF271" i="27"/>
  <c r="BE271" i="27"/>
  <c r="BB271" i="27"/>
  <c r="BA271" i="27"/>
  <c r="AV271" i="27"/>
  <c r="AW271" i="27" s="1"/>
  <c r="AU271" i="27"/>
  <c r="AR271" i="27"/>
  <c r="AQ271" i="27"/>
  <c r="AS271" i="27" s="1"/>
  <c r="AL271" i="27"/>
  <c r="N271" i="27"/>
  <c r="O271" i="27" s="1"/>
  <c r="L271" i="27"/>
  <c r="M271" i="27" s="1"/>
  <c r="K271" i="27"/>
  <c r="J271" i="27"/>
  <c r="I271" i="27"/>
  <c r="BJ271" i="27" s="1"/>
  <c r="BV269" i="27"/>
  <c r="BX269" i="27" s="1"/>
  <c r="BS269" i="27"/>
  <c r="BP270" i="27"/>
  <c r="BF270" i="27"/>
  <c r="BE270" i="27"/>
  <c r="BB270" i="27"/>
  <c r="BA270" i="27"/>
  <c r="AV270" i="27"/>
  <c r="AW270" i="27" s="1"/>
  <c r="AU270" i="27"/>
  <c r="AR270" i="27"/>
  <c r="AQ270" i="27"/>
  <c r="AS270" i="27" s="1"/>
  <c r="AL270" i="27"/>
  <c r="N270" i="27"/>
  <c r="O270" i="27" s="1"/>
  <c r="L270" i="27"/>
  <c r="A270" i="27" s="1"/>
  <c r="K270" i="27"/>
  <c r="J270" i="27"/>
  <c r="I270" i="27"/>
  <c r="BV268" i="27"/>
  <c r="BX268" i="27" s="1"/>
  <c r="BS268" i="27"/>
  <c r="BP269" i="27"/>
  <c r="BF269" i="27"/>
  <c r="BE269" i="27"/>
  <c r="BB269" i="27"/>
  <c r="BA269" i="27"/>
  <c r="AV269" i="27"/>
  <c r="AW269" i="27" s="1"/>
  <c r="AU269" i="27"/>
  <c r="AR269" i="27"/>
  <c r="AQ269" i="27"/>
  <c r="AS269" i="27" s="1"/>
  <c r="AL269" i="27"/>
  <c r="N269" i="27"/>
  <c r="O269" i="27" s="1"/>
  <c r="L269" i="27"/>
  <c r="M269" i="27" s="1"/>
  <c r="K269" i="27"/>
  <c r="J269" i="27"/>
  <c r="I269" i="27"/>
  <c r="BV267" i="27"/>
  <c r="BX267" i="27" s="1"/>
  <c r="BS267" i="27"/>
  <c r="BP262" i="27"/>
  <c r="BF262" i="27"/>
  <c r="BE262" i="27"/>
  <c r="BB262" i="27"/>
  <c r="BA262" i="27"/>
  <c r="AV262" i="27"/>
  <c r="AW262" i="27" s="1"/>
  <c r="AU262" i="27"/>
  <c r="AR262" i="27"/>
  <c r="AQ262" i="27"/>
  <c r="AS262" i="27" s="1"/>
  <c r="AL262" i="27"/>
  <c r="N262" i="27"/>
  <c r="O262" i="27" s="1"/>
  <c r="L262" i="27"/>
  <c r="A262" i="27" s="1"/>
  <c r="K262" i="27"/>
  <c r="J262" i="27"/>
  <c r="I262" i="27"/>
  <c r="BL262" i="27" s="1"/>
  <c r="BV266" i="27"/>
  <c r="BX266" i="27" s="1"/>
  <c r="BS266" i="27"/>
  <c r="BP261" i="27"/>
  <c r="BR261" i="27" s="1"/>
  <c r="BF261" i="27"/>
  <c r="BE261" i="27"/>
  <c r="BB261" i="27"/>
  <c r="BA261" i="27"/>
  <c r="AV261" i="27"/>
  <c r="AW261" i="27" s="1"/>
  <c r="AU261" i="27"/>
  <c r="AR261" i="27"/>
  <c r="AQ261" i="27"/>
  <c r="AS261" i="27" s="1"/>
  <c r="AL261" i="27"/>
  <c r="AN261" i="27" s="1"/>
  <c r="N261" i="27"/>
  <c r="O261" i="27" s="1"/>
  <c r="L261" i="27"/>
  <c r="K261" i="27"/>
  <c r="J261" i="27"/>
  <c r="I261" i="27"/>
  <c r="BV265" i="27"/>
  <c r="BX265" i="27" s="1"/>
  <c r="BS265" i="27"/>
  <c r="BT265" i="27" s="1"/>
  <c r="BP260" i="27"/>
  <c r="BF260" i="27"/>
  <c r="BE260" i="27"/>
  <c r="BB260" i="27"/>
  <c r="BA260" i="27"/>
  <c r="AV260" i="27"/>
  <c r="AW260" i="27" s="1"/>
  <c r="AU260" i="27"/>
  <c r="AR260" i="27"/>
  <c r="AQ260" i="27"/>
  <c r="AS260" i="27" s="1"/>
  <c r="AL260" i="27"/>
  <c r="N260" i="27"/>
  <c r="O260" i="27" s="1"/>
  <c r="L260" i="27"/>
  <c r="K260" i="27"/>
  <c r="J260" i="27"/>
  <c r="I260" i="27"/>
  <c r="BL260" i="27" s="1"/>
  <c r="BV264" i="27"/>
  <c r="BX264" i="27" s="1"/>
  <c r="BS264" i="27"/>
  <c r="BU264" i="27" s="1"/>
  <c r="BP259" i="27"/>
  <c r="BF259" i="27"/>
  <c r="BE259" i="27"/>
  <c r="BB259" i="27"/>
  <c r="BA259" i="27"/>
  <c r="AV259" i="27"/>
  <c r="AW259" i="27" s="1"/>
  <c r="AU259" i="27"/>
  <c r="AR259" i="27"/>
  <c r="AQ259" i="27"/>
  <c r="AS259" i="27" s="1"/>
  <c r="AL259" i="27"/>
  <c r="AN259" i="27" s="1"/>
  <c r="N259" i="27"/>
  <c r="O259" i="27" s="1"/>
  <c r="L259" i="27"/>
  <c r="A259" i="27" s="1"/>
  <c r="K259" i="27"/>
  <c r="J259" i="27"/>
  <c r="I259" i="27"/>
  <c r="BV263" i="27"/>
  <c r="BX263" i="27" s="1"/>
  <c r="BS263" i="27"/>
  <c r="BP258" i="27"/>
  <c r="BR258" i="27" s="1"/>
  <c r="BF258" i="27"/>
  <c r="BE258" i="27"/>
  <c r="BB258" i="27"/>
  <c r="BA258" i="27"/>
  <c r="AV258" i="27"/>
  <c r="AW258" i="27" s="1"/>
  <c r="AU258" i="27"/>
  <c r="AR258" i="27"/>
  <c r="AQ258" i="27"/>
  <c r="AS258" i="27" s="1"/>
  <c r="AL258" i="27"/>
  <c r="AN258" i="27" s="1"/>
  <c r="N258" i="27"/>
  <c r="O258" i="27" s="1"/>
  <c r="L258" i="27"/>
  <c r="A258" i="27" s="1"/>
  <c r="K258" i="27"/>
  <c r="J258" i="27"/>
  <c r="I258" i="27"/>
  <c r="BJ258" i="27" s="1"/>
  <c r="BV262" i="27"/>
  <c r="BX262" i="27" s="1"/>
  <c r="BS262" i="27"/>
  <c r="BU262" i="27" s="1"/>
  <c r="BP257" i="27"/>
  <c r="BF257" i="27"/>
  <c r="BE257" i="27"/>
  <c r="BB257" i="27"/>
  <c r="BA257" i="27"/>
  <c r="AV257" i="27"/>
  <c r="AW257" i="27" s="1"/>
  <c r="AU257" i="27"/>
  <c r="AR257" i="27"/>
  <c r="AQ257" i="27"/>
  <c r="AS257" i="27" s="1"/>
  <c r="AL257" i="27"/>
  <c r="AN257" i="27" s="1"/>
  <c r="N257" i="27"/>
  <c r="O257" i="27" s="1"/>
  <c r="L257" i="27"/>
  <c r="A257" i="27" s="1"/>
  <c r="K257" i="27"/>
  <c r="J257" i="27"/>
  <c r="I257" i="27"/>
  <c r="BL257" i="27" s="1"/>
  <c r="BV261" i="27"/>
  <c r="BX261" i="27" s="1"/>
  <c r="BS261" i="27"/>
  <c r="BP256" i="27"/>
  <c r="BR256" i="27" s="1"/>
  <c r="BF256" i="27"/>
  <c r="BE256" i="27"/>
  <c r="BB256" i="27"/>
  <c r="BA256" i="27"/>
  <c r="AV256" i="27"/>
  <c r="AW256" i="27" s="1"/>
  <c r="AU256" i="27"/>
  <c r="AR256" i="27"/>
  <c r="AQ256" i="27"/>
  <c r="AS256" i="27" s="1"/>
  <c r="AL256" i="27"/>
  <c r="N256" i="27"/>
  <c r="O256" i="27" s="1"/>
  <c r="L256" i="27"/>
  <c r="K256" i="27"/>
  <c r="J256" i="27"/>
  <c r="I256" i="27"/>
  <c r="BK256" i="27" s="1"/>
  <c r="BV260" i="27"/>
  <c r="BX260" i="27" s="1"/>
  <c r="BS260" i="27"/>
  <c r="BT260" i="27" s="1"/>
  <c r="BP255" i="27"/>
  <c r="BF255" i="27"/>
  <c r="BE255" i="27"/>
  <c r="BB255" i="27"/>
  <c r="BA255" i="27"/>
  <c r="AV255" i="27"/>
  <c r="AW255" i="27" s="1"/>
  <c r="AU255" i="27"/>
  <c r="AR255" i="27"/>
  <c r="AQ255" i="27"/>
  <c r="AS255" i="27" s="1"/>
  <c r="AL255" i="27"/>
  <c r="AN255" i="27" s="1"/>
  <c r="N255" i="27"/>
  <c r="O255" i="27" s="1"/>
  <c r="L255" i="27"/>
  <c r="A255" i="27" s="1"/>
  <c r="K255" i="27"/>
  <c r="J255" i="27"/>
  <c r="I255" i="27"/>
  <c r="BV259" i="27"/>
  <c r="BX259" i="27" s="1"/>
  <c r="BS259" i="27"/>
  <c r="BP254" i="27"/>
  <c r="BF254" i="27"/>
  <c r="BE254" i="27"/>
  <c r="BB254" i="27"/>
  <c r="BA254" i="27"/>
  <c r="AV254" i="27"/>
  <c r="AW254" i="27" s="1"/>
  <c r="AU254" i="27"/>
  <c r="AR254" i="27"/>
  <c r="AQ254" i="27"/>
  <c r="AS254" i="27" s="1"/>
  <c r="AL254" i="27"/>
  <c r="N254" i="27"/>
  <c r="O254" i="27" s="1"/>
  <c r="L254" i="27"/>
  <c r="BD254" i="27" s="1"/>
  <c r="K254" i="27"/>
  <c r="J254" i="27"/>
  <c r="I254" i="27"/>
  <c r="BV258" i="27"/>
  <c r="BX258" i="27" s="1"/>
  <c r="BS258" i="27"/>
  <c r="BP253" i="27"/>
  <c r="BR253" i="27" s="1"/>
  <c r="BF253" i="27"/>
  <c r="BE253" i="27"/>
  <c r="BB253" i="27"/>
  <c r="BA253" i="27"/>
  <c r="AV253" i="27"/>
  <c r="AW253" i="27" s="1"/>
  <c r="AU253" i="27"/>
  <c r="AR253" i="27"/>
  <c r="AQ253" i="27"/>
  <c r="AS253" i="27" s="1"/>
  <c r="AL253" i="27"/>
  <c r="AN253" i="27" s="1"/>
  <c r="N253" i="27"/>
  <c r="O253" i="27" s="1"/>
  <c r="L253" i="27"/>
  <c r="K253" i="27"/>
  <c r="J253" i="27"/>
  <c r="I253" i="27"/>
  <c r="BJ253" i="27" s="1"/>
  <c r="BV257" i="27"/>
  <c r="BX257" i="27" s="1"/>
  <c r="BS257" i="27"/>
  <c r="BP252" i="27"/>
  <c r="BR252" i="27" s="1"/>
  <c r="BF252" i="27"/>
  <c r="BE252" i="27"/>
  <c r="BB252" i="27"/>
  <c r="BA252" i="27"/>
  <c r="AV252" i="27"/>
  <c r="AW252" i="27" s="1"/>
  <c r="AU252" i="27"/>
  <c r="AR252" i="27"/>
  <c r="AQ252" i="27"/>
  <c r="AS252" i="27" s="1"/>
  <c r="AL252" i="27"/>
  <c r="AN252" i="27" s="1"/>
  <c r="N252" i="27"/>
  <c r="O252" i="27" s="1"/>
  <c r="L252" i="27"/>
  <c r="K252" i="27"/>
  <c r="J252" i="27"/>
  <c r="I252" i="27"/>
  <c r="BJ252" i="27" s="1"/>
  <c r="BV256" i="27"/>
  <c r="BX256" i="27" s="1"/>
  <c r="BS256" i="27"/>
  <c r="BP251" i="27"/>
  <c r="BR251" i="27" s="1"/>
  <c r="BF251" i="27"/>
  <c r="BE251" i="27"/>
  <c r="BB251" i="27"/>
  <c r="BA251" i="27"/>
  <c r="AV251" i="27"/>
  <c r="AW251" i="27" s="1"/>
  <c r="AU251" i="27"/>
  <c r="AR251" i="27"/>
  <c r="AQ251" i="27"/>
  <c r="AS251" i="27" s="1"/>
  <c r="AL251" i="27"/>
  <c r="AN251" i="27" s="1"/>
  <c r="N251" i="27"/>
  <c r="O251" i="27" s="1"/>
  <c r="L251" i="27"/>
  <c r="K251" i="27"/>
  <c r="J251" i="27"/>
  <c r="I251" i="27"/>
  <c r="BJ251" i="27" s="1"/>
  <c r="BV255" i="27"/>
  <c r="BX255" i="27" s="1"/>
  <c r="BS255" i="27"/>
  <c r="BP250" i="27"/>
  <c r="BR250" i="27" s="1"/>
  <c r="BF250" i="27"/>
  <c r="BE250" i="27"/>
  <c r="BB250" i="27"/>
  <c r="BA250" i="27"/>
  <c r="AV250" i="27"/>
  <c r="AW250" i="27" s="1"/>
  <c r="AU250" i="27"/>
  <c r="AR250" i="27"/>
  <c r="AQ250" i="27"/>
  <c r="AS250" i="27" s="1"/>
  <c r="AL250" i="27"/>
  <c r="AN250" i="27" s="1"/>
  <c r="N250" i="27"/>
  <c r="O250" i="27" s="1"/>
  <c r="L250" i="27"/>
  <c r="K250" i="27"/>
  <c r="J250" i="27"/>
  <c r="I250" i="27"/>
  <c r="BJ250" i="27" s="1"/>
  <c r="BV254" i="27"/>
  <c r="BX254" i="27" s="1"/>
  <c r="BS254" i="27"/>
  <c r="BP249" i="27"/>
  <c r="BR249" i="27" s="1"/>
  <c r="BF249" i="27"/>
  <c r="BE249" i="27"/>
  <c r="BB249" i="27"/>
  <c r="BA249" i="27"/>
  <c r="AV249" i="27"/>
  <c r="AW249" i="27" s="1"/>
  <c r="AU249" i="27"/>
  <c r="AR249" i="27"/>
  <c r="AQ249" i="27"/>
  <c r="AS249" i="27" s="1"/>
  <c r="AL249" i="27"/>
  <c r="AN249" i="27" s="1"/>
  <c r="N249" i="27"/>
  <c r="O249" i="27" s="1"/>
  <c r="L249" i="27"/>
  <c r="K249" i="27"/>
  <c r="J249" i="27"/>
  <c r="I249" i="27"/>
  <c r="BJ249" i="27" s="1"/>
  <c r="BV253" i="27"/>
  <c r="BX253" i="27" s="1"/>
  <c r="BS253" i="27"/>
  <c r="BP248" i="27"/>
  <c r="BR248" i="27" s="1"/>
  <c r="BF248" i="27"/>
  <c r="BE248" i="27"/>
  <c r="BB248" i="27"/>
  <c r="BA248" i="27"/>
  <c r="AV248" i="27"/>
  <c r="AW248" i="27" s="1"/>
  <c r="AU248" i="27"/>
  <c r="AR248" i="27"/>
  <c r="AQ248" i="27"/>
  <c r="AS248" i="27" s="1"/>
  <c r="AL248" i="27"/>
  <c r="AN248" i="27" s="1"/>
  <c r="N248" i="27"/>
  <c r="O248" i="27" s="1"/>
  <c r="L248" i="27"/>
  <c r="K248" i="27"/>
  <c r="J248" i="27"/>
  <c r="I248" i="27"/>
  <c r="BJ248" i="27" s="1"/>
  <c r="BV252" i="27"/>
  <c r="BX252" i="27" s="1"/>
  <c r="BS252" i="27"/>
  <c r="BP247" i="27"/>
  <c r="BR247" i="27" s="1"/>
  <c r="BF247" i="27"/>
  <c r="BE247" i="27"/>
  <c r="BB247" i="27"/>
  <c r="BA247" i="27"/>
  <c r="AV247" i="27"/>
  <c r="AW247" i="27" s="1"/>
  <c r="AU247" i="27"/>
  <c r="AR247" i="27"/>
  <c r="AQ247" i="27"/>
  <c r="AS247" i="27" s="1"/>
  <c r="AL247" i="27"/>
  <c r="AN247" i="27" s="1"/>
  <c r="N247" i="27"/>
  <c r="O247" i="27" s="1"/>
  <c r="L247" i="27"/>
  <c r="K247" i="27"/>
  <c r="J247" i="27"/>
  <c r="I247" i="27"/>
  <c r="BJ247" i="27" s="1"/>
  <c r="BV251" i="27"/>
  <c r="BX251" i="27" s="1"/>
  <c r="BS251" i="27"/>
  <c r="BU251" i="27" s="1"/>
  <c r="BP246" i="27"/>
  <c r="BR246" i="27" s="1"/>
  <c r="BF246" i="27"/>
  <c r="BE246" i="27"/>
  <c r="BB246" i="27"/>
  <c r="BA246" i="27"/>
  <c r="AV246" i="27"/>
  <c r="AW246" i="27" s="1"/>
  <c r="AU246" i="27"/>
  <c r="AR246" i="27"/>
  <c r="AQ246" i="27"/>
  <c r="AS246" i="27" s="1"/>
  <c r="AL246" i="27"/>
  <c r="AN246" i="27" s="1"/>
  <c r="N246" i="27"/>
  <c r="O246" i="27" s="1"/>
  <c r="L246" i="27"/>
  <c r="K246" i="27"/>
  <c r="J246" i="27"/>
  <c r="I246" i="27"/>
  <c r="BJ246" i="27" s="1"/>
  <c r="BV250" i="27"/>
  <c r="BX250" i="27" s="1"/>
  <c r="BS250" i="27"/>
  <c r="BP245" i="27"/>
  <c r="BR245" i="27" s="1"/>
  <c r="BF245" i="27"/>
  <c r="BE245" i="27"/>
  <c r="BB245" i="27"/>
  <c r="BA245" i="27"/>
  <c r="AV245" i="27"/>
  <c r="AW245" i="27" s="1"/>
  <c r="AU245" i="27"/>
  <c r="AR245" i="27"/>
  <c r="AQ245" i="27"/>
  <c r="AS245" i="27" s="1"/>
  <c r="AL245" i="27"/>
  <c r="AN245" i="27" s="1"/>
  <c r="N245" i="27"/>
  <c r="O245" i="27" s="1"/>
  <c r="L245" i="27"/>
  <c r="K245" i="27"/>
  <c r="J245" i="27"/>
  <c r="I245" i="27"/>
  <c r="BJ245" i="27" s="1"/>
  <c r="BV249" i="27"/>
  <c r="BX249" i="27" s="1"/>
  <c r="BS249" i="27"/>
  <c r="BP244" i="27"/>
  <c r="BF244" i="27"/>
  <c r="BE244" i="27"/>
  <c r="BB244" i="27"/>
  <c r="BA244" i="27"/>
  <c r="AV244" i="27"/>
  <c r="AW244" i="27" s="1"/>
  <c r="AU244" i="27"/>
  <c r="AR244" i="27"/>
  <c r="AQ244" i="27"/>
  <c r="AS244" i="27" s="1"/>
  <c r="AL244" i="27"/>
  <c r="AM244" i="27" s="1"/>
  <c r="AO244" i="27" s="1"/>
  <c r="N244" i="27"/>
  <c r="O244" i="27" s="1"/>
  <c r="L244" i="27"/>
  <c r="BD244" i="27" s="1"/>
  <c r="K244" i="27"/>
  <c r="J244" i="27"/>
  <c r="I244" i="27"/>
  <c r="BK244" i="27" s="1"/>
  <c r="BV248" i="27"/>
  <c r="BX248" i="27" s="1"/>
  <c r="BS248" i="27"/>
  <c r="BT248" i="27" s="1"/>
  <c r="BP243" i="27"/>
  <c r="BF243" i="27"/>
  <c r="BE243" i="27"/>
  <c r="BB243" i="27"/>
  <c r="BA243" i="27"/>
  <c r="AV243" i="27"/>
  <c r="AW243" i="27" s="1"/>
  <c r="AU243" i="27"/>
  <c r="AR243" i="27"/>
  <c r="AQ243" i="27"/>
  <c r="AS243" i="27" s="1"/>
  <c r="AL243" i="27"/>
  <c r="AM243" i="27" s="1"/>
  <c r="AO243" i="27" s="1"/>
  <c r="N243" i="27"/>
  <c r="O243" i="27" s="1"/>
  <c r="L243" i="27"/>
  <c r="A243" i="27" s="1"/>
  <c r="K243" i="27"/>
  <c r="J243" i="27"/>
  <c r="I243" i="27"/>
  <c r="BL243" i="27" s="1"/>
  <c r="BV247" i="27"/>
  <c r="BX247" i="27" s="1"/>
  <c r="BS247" i="27"/>
  <c r="BP242" i="27"/>
  <c r="BF242" i="27"/>
  <c r="BE242" i="27"/>
  <c r="BB242" i="27"/>
  <c r="BA242" i="27"/>
  <c r="AV242" i="27"/>
  <c r="AW242" i="27" s="1"/>
  <c r="AU242" i="27"/>
  <c r="AR242" i="27"/>
  <c r="AQ242" i="27"/>
  <c r="AS242" i="27" s="1"/>
  <c r="AL242" i="27"/>
  <c r="AN242" i="27" s="1"/>
  <c r="N242" i="27"/>
  <c r="O242" i="27" s="1"/>
  <c r="L242" i="27"/>
  <c r="A242" i="27" s="1"/>
  <c r="K242" i="27"/>
  <c r="J242" i="27"/>
  <c r="I242" i="27"/>
  <c r="BV246" i="27"/>
  <c r="BX246" i="27" s="1"/>
  <c r="BS246" i="27"/>
  <c r="BP241" i="27"/>
  <c r="BR241" i="27" s="1"/>
  <c r="BF241" i="27"/>
  <c r="BE241" i="27"/>
  <c r="BB241" i="27"/>
  <c r="BA241" i="27"/>
  <c r="AV241" i="27"/>
  <c r="AW241" i="27" s="1"/>
  <c r="AU241" i="27"/>
  <c r="AR241" i="27"/>
  <c r="AQ241" i="27"/>
  <c r="AS241" i="27" s="1"/>
  <c r="AL241" i="27"/>
  <c r="AN241" i="27" s="1"/>
  <c r="N241" i="27"/>
  <c r="O241" i="27" s="1"/>
  <c r="L241" i="27"/>
  <c r="A241" i="27" s="1"/>
  <c r="K241" i="27"/>
  <c r="J241" i="27"/>
  <c r="I241" i="27"/>
  <c r="BK241" i="27" s="1"/>
  <c r="BV245" i="27"/>
  <c r="BX245" i="27" s="1"/>
  <c r="BS245" i="27"/>
  <c r="BP240" i="27"/>
  <c r="BR240" i="27" s="1"/>
  <c r="BF240" i="27"/>
  <c r="BE240" i="27"/>
  <c r="BB240" i="27"/>
  <c r="BA240" i="27"/>
  <c r="AV240" i="27"/>
  <c r="AW240" i="27" s="1"/>
  <c r="AU240" i="27"/>
  <c r="AR240" i="27"/>
  <c r="AQ240" i="27"/>
  <c r="AS240" i="27" s="1"/>
  <c r="AL240" i="27"/>
  <c r="AN240" i="27" s="1"/>
  <c r="N240" i="27"/>
  <c r="O240" i="27" s="1"/>
  <c r="L240" i="27"/>
  <c r="A240" i="27" s="1"/>
  <c r="K240" i="27"/>
  <c r="J240" i="27"/>
  <c r="I240" i="27"/>
  <c r="BK240" i="27" s="1"/>
  <c r="BV244" i="27"/>
  <c r="BX244" i="27" s="1"/>
  <c r="BS244" i="27"/>
  <c r="BP239" i="27"/>
  <c r="BR239" i="27" s="1"/>
  <c r="BF239" i="27"/>
  <c r="BE239" i="27"/>
  <c r="BB239" i="27"/>
  <c r="BA239" i="27"/>
  <c r="AV239" i="27"/>
  <c r="AW239" i="27" s="1"/>
  <c r="AU239" i="27"/>
  <c r="AR239" i="27"/>
  <c r="AQ239" i="27"/>
  <c r="AS239" i="27" s="1"/>
  <c r="AL239" i="27"/>
  <c r="AN239" i="27" s="1"/>
  <c r="N239" i="27"/>
  <c r="O239" i="27" s="1"/>
  <c r="L239" i="27"/>
  <c r="A239" i="27" s="1"/>
  <c r="K239" i="27"/>
  <c r="J239" i="27"/>
  <c r="I239" i="27"/>
  <c r="BK239" i="27" s="1"/>
  <c r="BV243" i="27"/>
  <c r="BX243" i="27" s="1"/>
  <c r="BS243" i="27"/>
  <c r="BP238" i="27"/>
  <c r="BR238" i="27" s="1"/>
  <c r="BF238" i="27"/>
  <c r="BE238" i="27"/>
  <c r="BB238" i="27"/>
  <c r="BA238" i="27"/>
  <c r="AV238" i="27"/>
  <c r="AW238" i="27" s="1"/>
  <c r="AU238" i="27"/>
  <c r="AR238" i="27"/>
  <c r="AQ238" i="27"/>
  <c r="AS238" i="27" s="1"/>
  <c r="AN238" i="27"/>
  <c r="AM238" i="27"/>
  <c r="AO238" i="27" s="1"/>
  <c r="N238" i="27"/>
  <c r="O238" i="27" s="1"/>
  <c r="L238" i="27"/>
  <c r="M238" i="27" s="1"/>
  <c r="K238" i="27"/>
  <c r="J238" i="27"/>
  <c r="I238" i="27"/>
  <c r="BL238" i="27" s="1"/>
  <c r="BV242" i="27"/>
  <c r="BX242" i="27" s="1"/>
  <c r="BS242" i="27"/>
  <c r="BP237" i="27"/>
  <c r="BF237" i="27"/>
  <c r="BE237" i="27"/>
  <c r="BB237" i="27"/>
  <c r="BA237" i="27"/>
  <c r="AV237" i="27"/>
  <c r="AW237" i="27" s="1"/>
  <c r="AU237" i="27"/>
  <c r="AR237" i="27"/>
  <c r="AQ237" i="27"/>
  <c r="AS237" i="27" s="1"/>
  <c r="AL237" i="27"/>
  <c r="AN237" i="27" s="1"/>
  <c r="N237" i="27"/>
  <c r="O237" i="27" s="1"/>
  <c r="L237" i="27"/>
  <c r="K237" i="27"/>
  <c r="J237" i="27"/>
  <c r="I237" i="27"/>
  <c r="BK237" i="27" s="1"/>
  <c r="BV241" i="27"/>
  <c r="BX241" i="27" s="1"/>
  <c r="BS241" i="27"/>
  <c r="BT241" i="27" s="1"/>
  <c r="BP236" i="27"/>
  <c r="BF236" i="27"/>
  <c r="BE236" i="27"/>
  <c r="BB236" i="27"/>
  <c r="BA236" i="27"/>
  <c r="AV236" i="27"/>
  <c r="AW236" i="27" s="1"/>
  <c r="AU236" i="27"/>
  <c r="AR236" i="27"/>
  <c r="AQ236" i="27"/>
  <c r="AS236" i="27" s="1"/>
  <c r="AL236" i="27"/>
  <c r="AN236" i="27" s="1"/>
  <c r="N236" i="27"/>
  <c r="O236" i="27" s="1"/>
  <c r="L236" i="27"/>
  <c r="K236" i="27"/>
  <c r="J236" i="27"/>
  <c r="I236" i="27"/>
  <c r="BK236" i="27" s="1"/>
  <c r="BV240" i="27"/>
  <c r="BX240" i="27" s="1"/>
  <c r="BS240" i="27"/>
  <c r="BU240" i="27" s="1"/>
  <c r="BP235" i="27"/>
  <c r="BQ235" i="27" s="1"/>
  <c r="BF235" i="27"/>
  <c r="BE235" i="27"/>
  <c r="BB235" i="27"/>
  <c r="BA235" i="27"/>
  <c r="AV235" i="27"/>
  <c r="AW235" i="27" s="1"/>
  <c r="AU235" i="27"/>
  <c r="AR235" i="27"/>
  <c r="AQ235" i="27"/>
  <c r="AS235" i="27" s="1"/>
  <c r="AL235" i="27"/>
  <c r="N235" i="27"/>
  <c r="O235" i="27" s="1"/>
  <c r="L235" i="27"/>
  <c r="BD235" i="27" s="1"/>
  <c r="K235" i="27"/>
  <c r="J235" i="27"/>
  <c r="I235" i="27"/>
  <c r="BK235" i="27" s="1"/>
  <c r="BV239" i="27"/>
  <c r="BX239" i="27" s="1"/>
  <c r="BS239" i="27"/>
  <c r="BU239" i="27" s="1"/>
  <c r="BP234" i="27"/>
  <c r="BF234" i="27"/>
  <c r="BE234" i="27"/>
  <c r="BB234" i="27"/>
  <c r="BA234" i="27"/>
  <c r="AV234" i="27"/>
  <c r="AW234" i="27" s="1"/>
  <c r="AU234" i="27"/>
  <c r="AR234" i="27"/>
  <c r="AQ234" i="27"/>
  <c r="AS234" i="27" s="1"/>
  <c r="AL234" i="27"/>
  <c r="N234" i="27"/>
  <c r="O234" i="27" s="1"/>
  <c r="L234" i="27"/>
  <c r="BD234" i="27" s="1"/>
  <c r="K234" i="27"/>
  <c r="J234" i="27"/>
  <c r="I234" i="27"/>
  <c r="BK234" i="27" s="1"/>
  <c r="BV238" i="27"/>
  <c r="BX238" i="27" s="1"/>
  <c r="BS238" i="27"/>
  <c r="BU238" i="27" s="1"/>
  <c r="BP232" i="27"/>
  <c r="BQ232" i="27" s="1"/>
  <c r="BF232" i="27"/>
  <c r="BE232" i="27"/>
  <c r="BB232" i="27"/>
  <c r="BA232" i="27"/>
  <c r="AV232" i="27"/>
  <c r="AW232" i="27" s="1"/>
  <c r="AU232" i="27"/>
  <c r="AR232" i="27"/>
  <c r="AQ232" i="27"/>
  <c r="AS232" i="27" s="1"/>
  <c r="AL232" i="27"/>
  <c r="N232" i="27"/>
  <c r="O232" i="27" s="1"/>
  <c r="L232" i="27"/>
  <c r="BD232" i="27" s="1"/>
  <c r="K232" i="27"/>
  <c r="J232" i="27"/>
  <c r="I232" i="27"/>
  <c r="BK232" i="27" s="1"/>
  <c r="BV237" i="27"/>
  <c r="BX237" i="27" s="1"/>
  <c r="BS237" i="27"/>
  <c r="BP231" i="27"/>
  <c r="BF231" i="27"/>
  <c r="BE231" i="27"/>
  <c r="BB231" i="27"/>
  <c r="BA231" i="27"/>
  <c r="AV231" i="27"/>
  <c r="AW231" i="27" s="1"/>
  <c r="AU231" i="27"/>
  <c r="AR231" i="27"/>
  <c r="AQ231" i="27"/>
  <c r="AS231" i="27" s="1"/>
  <c r="AL231" i="27"/>
  <c r="AM231" i="27" s="1"/>
  <c r="AO231" i="27" s="1"/>
  <c r="N231" i="27"/>
  <c r="O231" i="27" s="1"/>
  <c r="L231" i="27"/>
  <c r="BD231" i="27" s="1"/>
  <c r="K231" i="27"/>
  <c r="J231" i="27"/>
  <c r="I231" i="27"/>
  <c r="BV236" i="27"/>
  <c r="BX236" i="27" s="1"/>
  <c r="BS236" i="27"/>
  <c r="BP230" i="27"/>
  <c r="BF230" i="27"/>
  <c r="BE230" i="27"/>
  <c r="BB230" i="27"/>
  <c r="BA230" i="27"/>
  <c r="AV230" i="27"/>
  <c r="AW230" i="27" s="1"/>
  <c r="AU230" i="27"/>
  <c r="AR230" i="27"/>
  <c r="AQ230" i="27"/>
  <c r="AS230" i="27" s="1"/>
  <c r="AL230" i="27"/>
  <c r="AN230" i="27" s="1"/>
  <c r="N230" i="27"/>
  <c r="O230" i="27" s="1"/>
  <c r="L230" i="27"/>
  <c r="A230" i="27" s="1"/>
  <c r="K230" i="27"/>
  <c r="J230" i="27"/>
  <c r="I230" i="27"/>
  <c r="BN230" i="27" s="1"/>
  <c r="BV235" i="27"/>
  <c r="BX235" i="27" s="1"/>
  <c r="BS235" i="27"/>
  <c r="BT235" i="27" s="1"/>
  <c r="BP229" i="27"/>
  <c r="BQ229" i="27" s="1"/>
  <c r="BF229" i="27"/>
  <c r="BE229" i="27"/>
  <c r="BB229" i="27"/>
  <c r="BA229" i="27"/>
  <c r="AV229" i="27"/>
  <c r="AW229" i="27" s="1"/>
  <c r="AU229" i="27"/>
  <c r="AR229" i="27"/>
  <c r="AQ229" i="27"/>
  <c r="AS229" i="27" s="1"/>
  <c r="AL229" i="27"/>
  <c r="N229" i="27"/>
  <c r="O229" i="27" s="1"/>
  <c r="L229" i="27"/>
  <c r="BD229" i="27" s="1"/>
  <c r="K229" i="27"/>
  <c r="J229" i="27"/>
  <c r="I229" i="27"/>
  <c r="BJ229" i="27" s="1"/>
  <c r="BV234" i="27"/>
  <c r="BX234" i="27" s="1"/>
  <c r="BS234" i="27"/>
  <c r="BP228" i="27"/>
  <c r="BF228" i="27"/>
  <c r="BE228" i="27"/>
  <c r="BB228" i="27"/>
  <c r="BA228" i="27"/>
  <c r="AV228" i="27"/>
  <c r="AW228" i="27" s="1"/>
  <c r="AU228" i="27"/>
  <c r="AR228" i="27"/>
  <c r="AQ228" i="27"/>
  <c r="AS228" i="27" s="1"/>
  <c r="AL228" i="27"/>
  <c r="AM228" i="27" s="1"/>
  <c r="AO228" i="27" s="1"/>
  <c r="N228" i="27"/>
  <c r="O228" i="27" s="1"/>
  <c r="L228" i="27"/>
  <c r="BD228" i="27" s="1"/>
  <c r="K228" i="27"/>
  <c r="J228" i="27"/>
  <c r="I228" i="27"/>
  <c r="BL228" i="27" s="1"/>
  <c r="BV232" i="27"/>
  <c r="BX232" i="27" s="1"/>
  <c r="BS232" i="27"/>
  <c r="BP227" i="27"/>
  <c r="BR227" i="27" s="1"/>
  <c r="BF227" i="27"/>
  <c r="BE227" i="27"/>
  <c r="BB227" i="27"/>
  <c r="BA227" i="27"/>
  <c r="AV227" i="27"/>
  <c r="AW227" i="27" s="1"/>
  <c r="AU227" i="27"/>
  <c r="AR227" i="27"/>
  <c r="AQ227" i="27"/>
  <c r="AS227" i="27" s="1"/>
  <c r="AL227" i="27"/>
  <c r="N227" i="27"/>
  <c r="O227" i="27" s="1"/>
  <c r="L227" i="27"/>
  <c r="A227" i="27" s="1"/>
  <c r="K227" i="27"/>
  <c r="J227" i="27"/>
  <c r="I227" i="27"/>
  <c r="BI227" i="27" s="1"/>
  <c r="BV231" i="27"/>
  <c r="BX231" i="27" s="1"/>
  <c r="BS231" i="27"/>
  <c r="BP226" i="27"/>
  <c r="BR226" i="27" s="1"/>
  <c r="BF226" i="27"/>
  <c r="BE226" i="27"/>
  <c r="BB226" i="27"/>
  <c r="BA226" i="27"/>
  <c r="AV226" i="27"/>
  <c r="AW226" i="27" s="1"/>
  <c r="AU226" i="27"/>
  <c r="AR226" i="27"/>
  <c r="AQ226" i="27"/>
  <c r="AS226" i="27" s="1"/>
  <c r="AL226" i="27"/>
  <c r="N226" i="27"/>
  <c r="O226" i="27" s="1"/>
  <c r="L226" i="27"/>
  <c r="BD226" i="27" s="1"/>
  <c r="K226" i="27"/>
  <c r="J226" i="27"/>
  <c r="I226" i="27"/>
  <c r="BV230" i="27"/>
  <c r="BX230" i="27" s="1"/>
  <c r="BS230" i="27"/>
  <c r="BT230" i="27" s="1"/>
  <c r="BP223" i="27"/>
  <c r="BQ223" i="27" s="1"/>
  <c r="BF223" i="27"/>
  <c r="BE223" i="27"/>
  <c r="BB223" i="27"/>
  <c r="BA223" i="27"/>
  <c r="AV223" i="27"/>
  <c r="AW223" i="27" s="1"/>
  <c r="AU223" i="27"/>
  <c r="AR223" i="27"/>
  <c r="AQ223" i="27"/>
  <c r="AS223" i="27" s="1"/>
  <c r="AL223" i="27"/>
  <c r="AM223" i="27" s="1"/>
  <c r="AO223" i="27" s="1"/>
  <c r="N223" i="27"/>
  <c r="O223" i="27" s="1"/>
  <c r="L223" i="27"/>
  <c r="A223" i="27" s="1"/>
  <c r="K223" i="27"/>
  <c r="J223" i="27"/>
  <c r="I223" i="27"/>
  <c r="BV229" i="27"/>
  <c r="BX229" i="27" s="1"/>
  <c r="BS229" i="27"/>
  <c r="BP222" i="27"/>
  <c r="BR222" i="27" s="1"/>
  <c r="BF222" i="27"/>
  <c r="BE222" i="27"/>
  <c r="BB222" i="27"/>
  <c r="BA222" i="27"/>
  <c r="AV222" i="27"/>
  <c r="AW222" i="27" s="1"/>
  <c r="AU222" i="27"/>
  <c r="AR222" i="27"/>
  <c r="AQ222" i="27"/>
  <c r="AS222" i="27" s="1"/>
  <c r="AL222" i="27"/>
  <c r="AM222" i="27" s="1"/>
  <c r="AO222" i="27" s="1"/>
  <c r="N222" i="27"/>
  <c r="O222" i="27" s="1"/>
  <c r="L222" i="27"/>
  <c r="A222" i="27" s="1"/>
  <c r="K222" i="27"/>
  <c r="J222" i="27"/>
  <c r="I222" i="27"/>
  <c r="BL222" i="27" s="1"/>
  <c r="BV228" i="27"/>
  <c r="BX228" i="27" s="1"/>
  <c r="BS228" i="27"/>
  <c r="BU228" i="27" s="1"/>
  <c r="BP221" i="27"/>
  <c r="BF221" i="27"/>
  <c r="BE221" i="27"/>
  <c r="BB221" i="27"/>
  <c r="BA221" i="27"/>
  <c r="AV221" i="27"/>
  <c r="AW221" i="27" s="1"/>
  <c r="AU221" i="27"/>
  <c r="AR221" i="27"/>
  <c r="AQ221" i="27"/>
  <c r="AS221" i="27" s="1"/>
  <c r="AL221" i="27"/>
  <c r="N221" i="27"/>
  <c r="O221" i="27" s="1"/>
  <c r="L221" i="27"/>
  <c r="A221" i="27" s="1"/>
  <c r="K221" i="27"/>
  <c r="J221" i="27"/>
  <c r="I221" i="27"/>
  <c r="BN221" i="27" s="1"/>
  <c r="BV227" i="27"/>
  <c r="BX227" i="27" s="1"/>
  <c r="BS227" i="27"/>
  <c r="BT227" i="27" s="1"/>
  <c r="BP220" i="27"/>
  <c r="BF220" i="27"/>
  <c r="BE220" i="27"/>
  <c r="BB220" i="27"/>
  <c r="BA220" i="27"/>
  <c r="AV220" i="27"/>
  <c r="AW220" i="27" s="1"/>
  <c r="AU220" i="27"/>
  <c r="AR220" i="27"/>
  <c r="AQ220" i="27"/>
  <c r="AS220" i="27" s="1"/>
  <c r="AL220" i="27"/>
  <c r="N220" i="27"/>
  <c r="O220" i="27" s="1"/>
  <c r="L220" i="27"/>
  <c r="A220" i="27" s="1"/>
  <c r="K220" i="27"/>
  <c r="J220" i="27"/>
  <c r="I220" i="27"/>
  <c r="BK220" i="27" s="1"/>
  <c r="BV226" i="27"/>
  <c r="BX226" i="27" s="1"/>
  <c r="BS226" i="27"/>
  <c r="BT226" i="27" s="1"/>
  <c r="BP219" i="27"/>
  <c r="BR219" i="27" s="1"/>
  <c r="BF219" i="27"/>
  <c r="BE219" i="27"/>
  <c r="BB219" i="27"/>
  <c r="BA219" i="27"/>
  <c r="AV219" i="27"/>
  <c r="AW219" i="27" s="1"/>
  <c r="AU219" i="27"/>
  <c r="AR219" i="27"/>
  <c r="AQ219" i="27"/>
  <c r="AS219" i="27" s="1"/>
  <c r="AL219" i="27"/>
  <c r="AM219" i="27" s="1"/>
  <c r="AO219" i="27" s="1"/>
  <c r="N219" i="27"/>
  <c r="O219" i="27" s="1"/>
  <c r="L219" i="27"/>
  <c r="BD219" i="27" s="1"/>
  <c r="K219" i="27"/>
  <c r="J219" i="27"/>
  <c r="I219" i="27"/>
  <c r="BV225" i="27"/>
  <c r="BX225" i="27" s="1"/>
  <c r="BS225" i="27"/>
  <c r="BP218" i="27"/>
  <c r="BR218" i="27" s="1"/>
  <c r="BF218" i="27"/>
  <c r="BE218" i="27"/>
  <c r="BB218" i="27"/>
  <c r="BA218" i="27"/>
  <c r="AV218" i="27"/>
  <c r="AW218" i="27" s="1"/>
  <c r="AU218" i="27"/>
  <c r="AR218" i="27"/>
  <c r="AQ218" i="27"/>
  <c r="AS218" i="27" s="1"/>
  <c r="AL218" i="27"/>
  <c r="N218" i="27"/>
  <c r="O218" i="27" s="1"/>
  <c r="L218" i="27"/>
  <c r="M218" i="27" s="1"/>
  <c r="K218" i="27"/>
  <c r="J218" i="27"/>
  <c r="I218" i="27"/>
  <c r="BV224" i="27"/>
  <c r="BX224" i="27" s="1"/>
  <c r="BS224" i="27"/>
  <c r="BT224" i="27" s="1"/>
  <c r="BP217" i="27"/>
  <c r="BQ217" i="27" s="1"/>
  <c r="BF217" i="27"/>
  <c r="BE217" i="27"/>
  <c r="BB217" i="27"/>
  <c r="BA217" i="27"/>
  <c r="AV217" i="27"/>
  <c r="AW217" i="27" s="1"/>
  <c r="AU217" i="27"/>
  <c r="AR217" i="27"/>
  <c r="AQ217" i="27"/>
  <c r="AS217" i="27" s="1"/>
  <c r="AL217" i="27"/>
  <c r="N217" i="27"/>
  <c r="O217" i="27" s="1"/>
  <c r="L217" i="27"/>
  <c r="BD217" i="27" s="1"/>
  <c r="K217" i="27"/>
  <c r="J217" i="27"/>
  <c r="I217" i="27"/>
  <c r="BK217" i="27" s="1"/>
  <c r="BV223" i="27"/>
  <c r="BX223" i="27" s="1"/>
  <c r="BS223" i="27"/>
  <c r="BT223" i="27" s="1"/>
  <c r="BP216" i="27"/>
  <c r="BF216" i="27"/>
  <c r="BE216" i="27"/>
  <c r="BB216" i="27"/>
  <c r="BA216" i="27"/>
  <c r="AV216" i="27"/>
  <c r="AW216" i="27" s="1"/>
  <c r="AU216" i="27"/>
  <c r="AR216" i="27"/>
  <c r="AQ216" i="27"/>
  <c r="AS216" i="27" s="1"/>
  <c r="AL216" i="27"/>
  <c r="N216" i="27"/>
  <c r="O216" i="27" s="1"/>
  <c r="L216" i="27"/>
  <c r="A216" i="27" s="1"/>
  <c r="J216" i="27"/>
  <c r="I216" i="27"/>
  <c r="BK216" i="27" s="1"/>
  <c r="BV222" i="27"/>
  <c r="BX222" i="27" s="1"/>
  <c r="BS222" i="27"/>
  <c r="BT222" i="27" s="1"/>
  <c r="BP214" i="27"/>
  <c r="BQ214" i="27" s="1"/>
  <c r="BF214" i="27"/>
  <c r="BE214" i="27"/>
  <c r="BB214" i="27"/>
  <c r="BA214" i="27"/>
  <c r="AV214" i="27"/>
  <c r="AW214" i="27" s="1"/>
  <c r="AU214" i="27"/>
  <c r="AR214" i="27"/>
  <c r="AQ214" i="27"/>
  <c r="AS214" i="27" s="1"/>
  <c r="AL214" i="27"/>
  <c r="N214" i="27"/>
  <c r="O214" i="27" s="1"/>
  <c r="L214" i="27"/>
  <c r="A214" i="27" s="1"/>
  <c r="K214" i="27"/>
  <c r="J214" i="27"/>
  <c r="I214" i="27"/>
  <c r="BK214" i="27" s="1"/>
  <c r="BV221" i="27"/>
  <c r="BX221" i="27" s="1"/>
  <c r="BS221" i="27"/>
  <c r="BP213" i="27"/>
  <c r="BQ213" i="27" s="1"/>
  <c r="BF213" i="27"/>
  <c r="BE213" i="27"/>
  <c r="BB213" i="27"/>
  <c r="BA213" i="27"/>
  <c r="AV213" i="27"/>
  <c r="AW213" i="27" s="1"/>
  <c r="AU213" i="27"/>
  <c r="AR213" i="27"/>
  <c r="AQ213" i="27"/>
  <c r="AS213" i="27" s="1"/>
  <c r="AL213" i="27"/>
  <c r="N213" i="27"/>
  <c r="O213" i="27" s="1"/>
  <c r="L213" i="27"/>
  <c r="A213" i="27" s="1"/>
  <c r="K213" i="27"/>
  <c r="J213" i="27"/>
  <c r="I213" i="27"/>
  <c r="BL213" i="27" s="1"/>
  <c r="BV220" i="27"/>
  <c r="BX220" i="27" s="1"/>
  <c r="BS220" i="27"/>
  <c r="BP212" i="27"/>
  <c r="BQ212" i="27" s="1"/>
  <c r="BF212" i="27"/>
  <c r="BE212" i="27"/>
  <c r="BB212" i="27"/>
  <c r="BA212" i="27"/>
  <c r="AV212" i="27"/>
  <c r="AW212" i="27" s="1"/>
  <c r="AU212" i="27"/>
  <c r="AR212" i="27"/>
  <c r="AQ212" i="27"/>
  <c r="AS212" i="27" s="1"/>
  <c r="AL212" i="27"/>
  <c r="N212" i="27"/>
  <c r="O212" i="27" s="1"/>
  <c r="L212" i="27"/>
  <c r="A212" i="27" s="1"/>
  <c r="K212" i="27"/>
  <c r="J212" i="27"/>
  <c r="I212" i="27"/>
  <c r="BK212" i="27" s="1"/>
  <c r="BV219" i="27"/>
  <c r="BX219" i="27" s="1"/>
  <c r="BS219" i="27"/>
  <c r="BP211" i="27"/>
  <c r="BF211" i="27"/>
  <c r="BE211" i="27"/>
  <c r="BB211" i="27"/>
  <c r="BA211" i="27"/>
  <c r="AV211" i="27"/>
  <c r="AW211" i="27" s="1"/>
  <c r="AU211" i="27"/>
  <c r="AR211" i="27"/>
  <c r="AQ211" i="27"/>
  <c r="AS211" i="27" s="1"/>
  <c r="AL211" i="27"/>
  <c r="AM211" i="27" s="1"/>
  <c r="AO211" i="27" s="1"/>
  <c r="N211" i="27"/>
  <c r="O211" i="27" s="1"/>
  <c r="L211" i="27"/>
  <c r="M211" i="27" s="1"/>
  <c r="K211" i="27"/>
  <c r="J211" i="27"/>
  <c r="I211" i="27"/>
  <c r="BV218" i="27"/>
  <c r="BX218" i="27" s="1"/>
  <c r="BS218" i="27"/>
  <c r="BP210" i="27"/>
  <c r="BQ210" i="27" s="1"/>
  <c r="BF210" i="27"/>
  <c r="BE210" i="27"/>
  <c r="BB210" i="27"/>
  <c r="BA210" i="27"/>
  <c r="AV210" i="27"/>
  <c r="AW210" i="27" s="1"/>
  <c r="AU210" i="27"/>
  <c r="AR210" i="27"/>
  <c r="AQ210" i="27"/>
  <c r="AS210" i="27" s="1"/>
  <c r="AL210" i="27"/>
  <c r="AM210" i="27" s="1"/>
  <c r="AO210" i="27" s="1"/>
  <c r="N210" i="27"/>
  <c r="O210" i="27" s="1"/>
  <c r="L210" i="27"/>
  <c r="M210" i="27" s="1"/>
  <c r="K210" i="27"/>
  <c r="J210" i="27"/>
  <c r="I210" i="27"/>
  <c r="BV217" i="27"/>
  <c r="BX217" i="27" s="1"/>
  <c r="BS217" i="27"/>
  <c r="BP209" i="27"/>
  <c r="BQ209" i="27" s="1"/>
  <c r="BF209" i="27"/>
  <c r="BE209" i="27"/>
  <c r="BB209" i="27"/>
  <c r="BA209" i="27"/>
  <c r="AV209" i="27"/>
  <c r="AW209" i="27" s="1"/>
  <c r="AU209" i="27"/>
  <c r="AR209" i="27"/>
  <c r="AQ209" i="27"/>
  <c r="AS209" i="27" s="1"/>
  <c r="AL209" i="27"/>
  <c r="AM209" i="27" s="1"/>
  <c r="AO209" i="27" s="1"/>
  <c r="N209" i="27"/>
  <c r="O209" i="27" s="1"/>
  <c r="L209" i="27"/>
  <c r="A209" i="27" s="1"/>
  <c r="K209" i="27"/>
  <c r="J209" i="27"/>
  <c r="I209" i="27"/>
  <c r="BK209" i="27" s="1"/>
  <c r="BV216" i="27"/>
  <c r="BX216" i="27" s="1"/>
  <c r="BS216" i="27"/>
  <c r="BP208" i="27"/>
  <c r="BQ208" i="27" s="1"/>
  <c r="BF208" i="27"/>
  <c r="BE208" i="27"/>
  <c r="BB208" i="27"/>
  <c r="BA208" i="27"/>
  <c r="AV208" i="27"/>
  <c r="AW208" i="27" s="1"/>
  <c r="AU208" i="27"/>
  <c r="AR208" i="27"/>
  <c r="AQ208" i="27"/>
  <c r="AS208" i="27" s="1"/>
  <c r="AL208" i="27"/>
  <c r="N208" i="27"/>
  <c r="O208" i="27" s="1"/>
  <c r="L208" i="27"/>
  <c r="M208" i="27" s="1"/>
  <c r="K208" i="27"/>
  <c r="J208" i="27"/>
  <c r="I208" i="27"/>
  <c r="BK208" i="27" s="1"/>
  <c r="BV214" i="27"/>
  <c r="BX214" i="27" s="1"/>
  <c r="BS214" i="27"/>
  <c r="BP204" i="27"/>
  <c r="BF204" i="27"/>
  <c r="BE204" i="27"/>
  <c r="BB204" i="27"/>
  <c r="BA204" i="27"/>
  <c r="AV204" i="27"/>
  <c r="AW204" i="27" s="1"/>
  <c r="AU204" i="27"/>
  <c r="AR204" i="27"/>
  <c r="AQ204" i="27"/>
  <c r="AS204" i="27" s="1"/>
  <c r="AL204" i="27"/>
  <c r="N204" i="27"/>
  <c r="O204" i="27" s="1"/>
  <c r="L204" i="27"/>
  <c r="M204" i="27" s="1"/>
  <c r="K204" i="27"/>
  <c r="J204" i="27"/>
  <c r="I204" i="27"/>
  <c r="BK204" i="27" s="1"/>
  <c r="BV213" i="27"/>
  <c r="BX213" i="27" s="1"/>
  <c r="BS213" i="27"/>
  <c r="BP203" i="27"/>
  <c r="BF203" i="27"/>
  <c r="BE203" i="27"/>
  <c r="BB203" i="27"/>
  <c r="BA203" i="27"/>
  <c r="AV203" i="27"/>
  <c r="AW203" i="27" s="1"/>
  <c r="AU203" i="27"/>
  <c r="AR203" i="27"/>
  <c r="AQ203" i="27"/>
  <c r="AS203" i="27" s="1"/>
  <c r="AL203" i="27"/>
  <c r="AN203" i="27" s="1"/>
  <c r="N203" i="27"/>
  <c r="O203" i="27" s="1"/>
  <c r="L203" i="27"/>
  <c r="A203" i="27" s="1"/>
  <c r="K203" i="27"/>
  <c r="J203" i="27"/>
  <c r="I203" i="27"/>
  <c r="BV212" i="27"/>
  <c r="BX212" i="27" s="1"/>
  <c r="BS212" i="27"/>
  <c r="BT212" i="27" s="1"/>
  <c r="BP202" i="27"/>
  <c r="BR202" i="27" s="1"/>
  <c r="BF202" i="27"/>
  <c r="BE202" i="27"/>
  <c r="BB202" i="27"/>
  <c r="BA202" i="27"/>
  <c r="AV202" i="27"/>
  <c r="AW202" i="27" s="1"/>
  <c r="AU202" i="27"/>
  <c r="AR202" i="27"/>
  <c r="AQ202" i="27"/>
  <c r="AS202" i="27" s="1"/>
  <c r="AL202" i="27"/>
  <c r="N202" i="27"/>
  <c r="O202" i="27" s="1"/>
  <c r="L202" i="27"/>
  <c r="A202" i="27" s="1"/>
  <c r="K202" i="27"/>
  <c r="J202" i="27"/>
  <c r="I202" i="27"/>
  <c r="BI202" i="27" s="1"/>
  <c r="BV211" i="27"/>
  <c r="BX211" i="27" s="1"/>
  <c r="BS211" i="27"/>
  <c r="BT211" i="27" s="1"/>
  <c r="BP201" i="27"/>
  <c r="BR201" i="27" s="1"/>
  <c r="BF201" i="27"/>
  <c r="BE201" i="27"/>
  <c r="BB201" i="27"/>
  <c r="BA201" i="27"/>
  <c r="AV201" i="27"/>
  <c r="AW201" i="27" s="1"/>
  <c r="AU201" i="27"/>
  <c r="AR201" i="27"/>
  <c r="AQ201" i="27"/>
  <c r="AS201" i="27" s="1"/>
  <c r="AL201" i="27"/>
  <c r="AN201" i="27" s="1"/>
  <c r="N201" i="27"/>
  <c r="O201" i="27" s="1"/>
  <c r="L201" i="27"/>
  <c r="K201" i="27"/>
  <c r="J201" i="27"/>
  <c r="I201" i="27"/>
  <c r="BI201" i="27" s="1"/>
  <c r="BV210" i="27"/>
  <c r="BX210" i="27" s="1"/>
  <c r="BS210" i="27"/>
  <c r="BP200" i="27"/>
  <c r="BR200" i="27" s="1"/>
  <c r="BF200" i="27"/>
  <c r="BE200" i="27"/>
  <c r="BB200" i="27"/>
  <c r="BA200" i="27"/>
  <c r="AV200" i="27"/>
  <c r="AW200" i="27" s="1"/>
  <c r="AU200" i="27"/>
  <c r="AR200" i="27"/>
  <c r="AQ200" i="27"/>
  <c r="AS200" i="27" s="1"/>
  <c r="AL200" i="27"/>
  <c r="AN200" i="27" s="1"/>
  <c r="N200" i="27"/>
  <c r="O200" i="27" s="1"/>
  <c r="L200" i="27"/>
  <c r="K200" i="27"/>
  <c r="J200" i="27"/>
  <c r="I200" i="27"/>
  <c r="BI200" i="27" s="1"/>
  <c r="BV209" i="27"/>
  <c r="BX209" i="27" s="1"/>
  <c r="BS209" i="27"/>
  <c r="BT209" i="27" s="1"/>
  <c r="BP199" i="27"/>
  <c r="BF199" i="27"/>
  <c r="BE199" i="27"/>
  <c r="BB199" i="27"/>
  <c r="BA199" i="27"/>
  <c r="AV199" i="27"/>
  <c r="AW199" i="27" s="1"/>
  <c r="AU199" i="27"/>
  <c r="AR199" i="27"/>
  <c r="AQ199" i="27"/>
  <c r="AS199" i="27" s="1"/>
  <c r="AL199" i="27"/>
  <c r="AN199" i="27" s="1"/>
  <c r="N199" i="27"/>
  <c r="O199" i="27" s="1"/>
  <c r="L199" i="27"/>
  <c r="M199" i="27" s="1"/>
  <c r="K199" i="27"/>
  <c r="J199" i="27"/>
  <c r="I199" i="27"/>
  <c r="BI199" i="27" s="1"/>
  <c r="BV208" i="27"/>
  <c r="BX208" i="27" s="1"/>
  <c r="BS208" i="27"/>
  <c r="BT208" i="27" s="1"/>
  <c r="BP198" i="27"/>
  <c r="BR198" i="27" s="1"/>
  <c r="BF198" i="27"/>
  <c r="BE198" i="27"/>
  <c r="BB198" i="27"/>
  <c r="BA198" i="27"/>
  <c r="AV198" i="27"/>
  <c r="AW198" i="27" s="1"/>
  <c r="AU198" i="27"/>
  <c r="AR198" i="27"/>
  <c r="AQ198" i="27"/>
  <c r="AS198" i="27" s="1"/>
  <c r="AL198" i="27"/>
  <c r="AN198" i="27" s="1"/>
  <c r="N198" i="27"/>
  <c r="O198" i="27" s="1"/>
  <c r="L198" i="27"/>
  <c r="M198" i="27" s="1"/>
  <c r="K198" i="27"/>
  <c r="J198" i="27"/>
  <c r="I198" i="27"/>
  <c r="BI198" i="27" s="1"/>
  <c r="BV204" i="27"/>
  <c r="BX204" i="27" s="1"/>
  <c r="BS204" i="27"/>
  <c r="BT204" i="27" s="1"/>
  <c r="BP197" i="27"/>
  <c r="BR197" i="27" s="1"/>
  <c r="BF197" i="27"/>
  <c r="BE197" i="27"/>
  <c r="BB197" i="27"/>
  <c r="BA197" i="27"/>
  <c r="AV197" i="27"/>
  <c r="AW197" i="27" s="1"/>
  <c r="AU197" i="27"/>
  <c r="AR197" i="27"/>
  <c r="AQ197" i="27"/>
  <c r="AS197" i="27" s="1"/>
  <c r="AL197" i="27"/>
  <c r="AN197" i="27" s="1"/>
  <c r="N197" i="27"/>
  <c r="O197" i="27" s="1"/>
  <c r="L197" i="27"/>
  <c r="BD197" i="27" s="1"/>
  <c r="K197" i="27"/>
  <c r="J197" i="27"/>
  <c r="I197" i="27"/>
  <c r="BI197" i="27" s="1"/>
  <c r="BV203" i="27"/>
  <c r="BX203" i="27" s="1"/>
  <c r="BS203" i="27"/>
  <c r="BT203" i="27" s="1"/>
  <c r="BP196" i="27"/>
  <c r="BF196" i="27"/>
  <c r="BE196" i="27"/>
  <c r="BB196" i="27"/>
  <c r="BA196" i="27"/>
  <c r="AV196" i="27"/>
  <c r="AW196" i="27" s="1"/>
  <c r="AU196" i="27"/>
  <c r="AR196" i="27"/>
  <c r="AQ196" i="27"/>
  <c r="AS196" i="27" s="1"/>
  <c r="AL196" i="27"/>
  <c r="N196" i="27"/>
  <c r="O196" i="27" s="1"/>
  <c r="L196" i="27"/>
  <c r="A196" i="27" s="1"/>
  <c r="K196" i="27"/>
  <c r="J196" i="27"/>
  <c r="I196" i="27"/>
  <c r="BI196" i="27" s="1"/>
  <c r="BV202" i="27"/>
  <c r="BX202" i="27" s="1"/>
  <c r="BS202" i="27"/>
  <c r="BP194" i="27"/>
  <c r="BF194" i="27"/>
  <c r="BE194" i="27"/>
  <c r="BB194" i="27"/>
  <c r="BA194" i="27"/>
  <c r="AV194" i="27"/>
  <c r="AW194" i="27" s="1"/>
  <c r="AU194" i="27"/>
  <c r="AR194" i="27"/>
  <c r="AQ194" i="27"/>
  <c r="AS194" i="27" s="1"/>
  <c r="AL194" i="27"/>
  <c r="N194" i="27"/>
  <c r="O194" i="27" s="1"/>
  <c r="L194" i="27"/>
  <c r="A194" i="27" s="1"/>
  <c r="K194" i="27"/>
  <c r="J194" i="27"/>
  <c r="I194" i="27"/>
  <c r="BI194" i="27" s="1"/>
  <c r="BV201" i="27"/>
  <c r="BX201" i="27" s="1"/>
  <c r="BS201" i="27"/>
  <c r="BP193" i="27"/>
  <c r="BR193" i="27" s="1"/>
  <c r="BF193" i="27"/>
  <c r="BE193" i="27"/>
  <c r="BB193" i="27"/>
  <c r="BA193" i="27"/>
  <c r="AV193" i="27"/>
  <c r="AW193" i="27" s="1"/>
  <c r="AU193" i="27"/>
  <c r="AR193" i="27"/>
  <c r="AQ193" i="27"/>
  <c r="AS193" i="27" s="1"/>
  <c r="AL193" i="27"/>
  <c r="N193" i="27"/>
  <c r="O193" i="27" s="1"/>
  <c r="L193" i="27"/>
  <c r="BD193" i="27" s="1"/>
  <c r="K193" i="27"/>
  <c r="J193" i="27"/>
  <c r="I193" i="27"/>
  <c r="BI193" i="27" s="1"/>
  <c r="BV200" i="27"/>
  <c r="BX200" i="27" s="1"/>
  <c r="BS200" i="27"/>
  <c r="BT200" i="27" s="1"/>
  <c r="BP192" i="27"/>
  <c r="BR192" i="27" s="1"/>
  <c r="BF192" i="27"/>
  <c r="BE192" i="27"/>
  <c r="BB192" i="27"/>
  <c r="BA192" i="27"/>
  <c r="AV192" i="27"/>
  <c r="AW192" i="27" s="1"/>
  <c r="AU192" i="27"/>
  <c r="AR192" i="27"/>
  <c r="AQ192" i="27"/>
  <c r="AS192" i="27" s="1"/>
  <c r="AL192" i="27"/>
  <c r="N192" i="27"/>
  <c r="O192" i="27" s="1"/>
  <c r="L192" i="27"/>
  <c r="A192" i="27" s="1"/>
  <c r="K192" i="27"/>
  <c r="J192" i="27"/>
  <c r="I192" i="27"/>
  <c r="BI192" i="27" s="1"/>
  <c r="BV199" i="27"/>
  <c r="BX199" i="27" s="1"/>
  <c r="BS199" i="27"/>
  <c r="BP173" i="27"/>
  <c r="BR173" i="27" s="1"/>
  <c r="BF173" i="27"/>
  <c r="BE173" i="27"/>
  <c r="BB173" i="27"/>
  <c r="BA173" i="27"/>
  <c r="AV173" i="27"/>
  <c r="AW173" i="27" s="1"/>
  <c r="AU173" i="27"/>
  <c r="AR173" i="27"/>
  <c r="AQ173" i="27"/>
  <c r="AS173" i="27" s="1"/>
  <c r="AL173" i="27"/>
  <c r="AM173" i="27" s="1"/>
  <c r="AO173" i="27" s="1"/>
  <c r="N173" i="27"/>
  <c r="O173" i="27" s="1"/>
  <c r="L173" i="27"/>
  <c r="K173" i="27"/>
  <c r="J173" i="27"/>
  <c r="I173" i="27"/>
  <c r="BV198" i="27"/>
  <c r="BX198" i="27" s="1"/>
  <c r="BS198" i="27"/>
  <c r="BT198" i="27" s="1"/>
  <c r="BP172" i="27"/>
  <c r="BF172" i="27"/>
  <c r="BE172" i="27"/>
  <c r="BB172" i="27"/>
  <c r="BA172" i="27"/>
  <c r="AV172" i="27"/>
  <c r="AW172" i="27" s="1"/>
  <c r="AU172" i="27"/>
  <c r="AR172" i="27"/>
  <c r="AQ172" i="27"/>
  <c r="AS172" i="27" s="1"/>
  <c r="AL172" i="27"/>
  <c r="AN172" i="27" s="1"/>
  <c r="N172" i="27"/>
  <c r="O172" i="27" s="1"/>
  <c r="L172" i="27"/>
  <c r="A172" i="27" s="1"/>
  <c r="K172" i="27"/>
  <c r="J172" i="27"/>
  <c r="I172" i="27"/>
  <c r="BK172" i="27" s="1"/>
  <c r="BV197" i="27"/>
  <c r="BX197" i="27" s="1"/>
  <c r="BS197" i="27"/>
  <c r="BP171" i="27"/>
  <c r="BR171" i="27" s="1"/>
  <c r="BF171" i="27"/>
  <c r="BE171" i="27"/>
  <c r="BB171" i="27"/>
  <c r="BA171" i="27"/>
  <c r="AV171" i="27"/>
  <c r="AW171" i="27" s="1"/>
  <c r="AU171" i="27"/>
  <c r="AR171" i="27"/>
  <c r="AQ171" i="27"/>
  <c r="AS171" i="27" s="1"/>
  <c r="AL171" i="27"/>
  <c r="N171" i="27"/>
  <c r="O171" i="27" s="1"/>
  <c r="L171" i="27"/>
  <c r="BD171" i="27" s="1"/>
  <c r="K171" i="27"/>
  <c r="J171" i="27"/>
  <c r="I171" i="27"/>
  <c r="BV196" i="27"/>
  <c r="BX196" i="27" s="1"/>
  <c r="BS196" i="27"/>
  <c r="BP169" i="27"/>
  <c r="BR169" i="27" s="1"/>
  <c r="BF169" i="27"/>
  <c r="BE169" i="27"/>
  <c r="BB169" i="27"/>
  <c r="BA169" i="27"/>
  <c r="AV169" i="27"/>
  <c r="AW169" i="27" s="1"/>
  <c r="AU169" i="27"/>
  <c r="AR169" i="27"/>
  <c r="AQ169" i="27"/>
  <c r="AS169" i="27" s="1"/>
  <c r="AL169" i="27"/>
  <c r="N169" i="27"/>
  <c r="O169" i="27" s="1"/>
  <c r="L169" i="27"/>
  <c r="K169" i="27"/>
  <c r="J169" i="27"/>
  <c r="I169" i="27"/>
  <c r="BK169" i="27" s="1"/>
  <c r="BV194" i="27"/>
  <c r="BX194" i="27" s="1"/>
  <c r="BS194" i="27"/>
  <c r="BU194" i="27" s="1"/>
  <c r="BV192" i="27"/>
  <c r="BX192" i="27" s="1"/>
  <c r="BS192" i="27"/>
  <c r="BP165" i="27"/>
  <c r="BF165" i="27"/>
  <c r="BE165" i="27"/>
  <c r="BB165" i="27"/>
  <c r="BA165" i="27"/>
  <c r="AV165" i="27"/>
  <c r="AW165" i="27" s="1"/>
  <c r="AU165" i="27"/>
  <c r="AR165" i="27"/>
  <c r="AQ165" i="27"/>
  <c r="AS165" i="27" s="1"/>
  <c r="AL165" i="27"/>
  <c r="N165" i="27"/>
  <c r="O165" i="27" s="1"/>
  <c r="L165" i="27"/>
  <c r="BD165" i="27" s="1"/>
  <c r="K165" i="27"/>
  <c r="J165" i="27"/>
  <c r="I165" i="27"/>
  <c r="BK165" i="27" s="1"/>
  <c r="BV191" i="27"/>
  <c r="BX191" i="27" s="1"/>
  <c r="BS191" i="27"/>
  <c r="BT191" i="27" s="1"/>
  <c r="BP163" i="27"/>
  <c r="BF163" i="27"/>
  <c r="BE163" i="27"/>
  <c r="BB163" i="27"/>
  <c r="BA163" i="27"/>
  <c r="AV163" i="27"/>
  <c r="AW163" i="27" s="1"/>
  <c r="AU163" i="27"/>
  <c r="AR163" i="27"/>
  <c r="AQ163" i="27"/>
  <c r="AS163" i="27" s="1"/>
  <c r="AL163" i="27"/>
  <c r="AM163" i="27" s="1"/>
  <c r="AO163" i="27" s="1"/>
  <c r="N163" i="27"/>
  <c r="O163" i="27" s="1"/>
  <c r="L163" i="27"/>
  <c r="A163" i="27" s="1"/>
  <c r="K163" i="27"/>
  <c r="J163" i="27"/>
  <c r="I163" i="27"/>
  <c r="BK163" i="27" s="1"/>
  <c r="BV190" i="27"/>
  <c r="BX190" i="27" s="1"/>
  <c r="BS190" i="27"/>
  <c r="BP162" i="27"/>
  <c r="BF162" i="27"/>
  <c r="BE162" i="27"/>
  <c r="BB162" i="27"/>
  <c r="BA162" i="27"/>
  <c r="AV162" i="27"/>
  <c r="AW162" i="27" s="1"/>
  <c r="AU162" i="27"/>
  <c r="AR162" i="27"/>
  <c r="AQ162" i="27"/>
  <c r="AS162" i="27" s="1"/>
  <c r="AL162" i="27"/>
  <c r="AN162" i="27" s="1"/>
  <c r="N162" i="27"/>
  <c r="O162" i="27" s="1"/>
  <c r="L162" i="27"/>
  <c r="A162" i="27" s="1"/>
  <c r="K162" i="27"/>
  <c r="J162" i="27"/>
  <c r="I162" i="27"/>
  <c r="BL162" i="27" s="1"/>
  <c r="BV189" i="27"/>
  <c r="BX189" i="27" s="1"/>
  <c r="BS189" i="27"/>
  <c r="BP160" i="27"/>
  <c r="BR160" i="27" s="1"/>
  <c r="BF160" i="27"/>
  <c r="BE160" i="27"/>
  <c r="BB160" i="27"/>
  <c r="BA160" i="27"/>
  <c r="AV160" i="27"/>
  <c r="AW160" i="27" s="1"/>
  <c r="AU160" i="27"/>
  <c r="AR160" i="27"/>
  <c r="AQ160" i="27"/>
  <c r="AS160" i="27" s="1"/>
  <c r="AL160" i="27"/>
  <c r="N160" i="27"/>
  <c r="O160" i="27" s="1"/>
  <c r="L160" i="27"/>
  <c r="BD160" i="27" s="1"/>
  <c r="K160" i="27"/>
  <c r="J160" i="27"/>
  <c r="I160" i="27"/>
  <c r="BV188" i="27"/>
  <c r="BX188" i="27" s="1"/>
  <c r="BS188" i="27"/>
  <c r="BT188" i="27" s="1"/>
  <c r="BP158" i="27"/>
  <c r="BQ158" i="27" s="1"/>
  <c r="BF158" i="27"/>
  <c r="BE158" i="27"/>
  <c r="BB158" i="27"/>
  <c r="BA158" i="27"/>
  <c r="AV158" i="27"/>
  <c r="AW158" i="27" s="1"/>
  <c r="AU158" i="27"/>
  <c r="AR158" i="27"/>
  <c r="AQ158" i="27"/>
  <c r="AS158" i="27" s="1"/>
  <c r="AL158" i="27"/>
  <c r="N158" i="27"/>
  <c r="O158" i="27" s="1"/>
  <c r="M158" i="27"/>
  <c r="K158" i="27"/>
  <c r="J158" i="27"/>
  <c r="I158" i="27"/>
  <c r="BK158" i="27" s="1"/>
  <c r="BV186" i="27"/>
  <c r="BX186" i="27" s="1"/>
  <c r="BS186" i="27"/>
  <c r="BT186" i="27" s="1"/>
  <c r="BP157" i="27"/>
  <c r="BQ157" i="27" s="1"/>
  <c r="BF157" i="27"/>
  <c r="BE157" i="27"/>
  <c r="BB157" i="27"/>
  <c r="BA157" i="27"/>
  <c r="AV157" i="27"/>
  <c r="AW157" i="27" s="1"/>
  <c r="AU157" i="27"/>
  <c r="AR157" i="27"/>
  <c r="AQ157" i="27"/>
  <c r="AS157" i="27" s="1"/>
  <c r="AL157" i="27"/>
  <c r="N157" i="27"/>
  <c r="O157" i="27" s="1"/>
  <c r="L157" i="27"/>
  <c r="A157" i="27" s="1"/>
  <c r="K157" i="27"/>
  <c r="J157" i="27"/>
  <c r="I157" i="27"/>
  <c r="BK157" i="27" s="1"/>
  <c r="BV185" i="27"/>
  <c r="BX185" i="27" s="1"/>
  <c r="BS185" i="27"/>
  <c r="BT185" i="27" s="1"/>
  <c r="BP155" i="27"/>
  <c r="BQ155" i="27" s="1"/>
  <c r="BF155" i="27"/>
  <c r="BE155" i="27"/>
  <c r="BB155" i="27"/>
  <c r="BA155" i="27"/>
  <c r="AV155" i="27"/>
  <c r="AW155" i="27" s="1"/>
  <c r="AU155" i="27"/>
  <c r="AR155" i="27"/>
  <c r="AQ155" i="27"/>
  <c r="AS155" i="27" s="1"/>
  <c r="AL155" i="27"/>
  <c r="AN155" i="27" s="1"/>
  <c r="N155" i="27"/>
  <c r="O155" i="27" s="1"/>
  <c r="L155" i="27"/>
  <c r="BD155" i="27" s="1"/>
  <c r="K155" i="27"/>
  <c r="J155" i="27"/>
  <c r="I155" i="27"/>
  <c r="BK155" i="27" s="1"/>
  <c r="BV184" i="27"/>
  <c r="BX184" i="27" s="1"/>
  <c r="BS184" i="27"/>
  <c r="BT184" i="27" s="1"/>
  <c r="BP152" i="27"/>
  <c r="BR152" i="27" s="1"/>
  <c r="BF152" i="27"/>
  <c r="BE152" i="27"/>
  <c r="BB152" i="27"/>
  <c r="BA152" i="27"/>
  <c r="AV152" i="27"/>
  <c r="AW152" i="27" s="1"/>
  <c r="AU152" i="27"/>
  <c r="AR152" i="27"/>
  <c r="AQ152" i="27"/>
  <c r="AS152" i="27" s="1"/>
  <c r="AL152" i="27"/>
  <c r="N152" i="27"/>
  <c r="O152" i="27" s="1"/>
  <c r="L152" i="27"/>
  <c r="BD152" i="27" s="1"/>
  <c r="K152" i="27"/>
  <c r="J152" i="27"/>
  <c r="I152" i="27"/>
  <c r="BL152" i="27" s="1"/>
  <c r="BV183" i="27"/>
  <c r="BX183" i="27" s="1"/>
  <c r="BS183" i="27"/>
  <c r="BT183" i="27" s="1"/>
  <c r="BP153" i="27"/>
  <c r="BF153" i="27"/>
  <c r="BE153" i="27"/>
  <c r="BB153" i="27"/>
  <c r="BA153" i="27"/>
  <c r="AV153" i="27"/>
  <c r="AW153" i="27" s="1"/>
  <c r="AU153" i="27"/>
  <c r="AR153" i="27"/>
  <c r="AQ153" i="27"/>
  <c r="AS153" i="27" s="1"/>
  <c r="AL153" i="27"/>
  <c r="AM153" i="27" s="1"/>
  <c r="AO153" i="27" s="1"/>
  <c r="N153" i="27"/>
  <c r="O153" i="27" s="1"/>
  <c r="L153" i="27"/>
  <c r="A153" i="27" s="1"/>
  <c r="K153" i="27"/>
  <c r="J153" i="27"/>
  <c r="I153" i="27"/>
  <c r="BK153" i="27" s="1"/>
  <c r="BV181" i="27"/>
  <c r="BX181" i="27" s="1"/>
  <c r="BS181" i="27"/>
  <c r="BT181" i="27" s="1"/>
  <c r="BP151" i="27"/>
  <c r="BF151" i="27"/>
  <c r="BE151" i="27"/>
  <c r="BB151" i="27"/>
  <c r="BA151" i="27"/>
  <c r="AV151" i="27"/>
  <c r="AW151" i="27" s="1"/>
  <c r="AU151" i="27"/>
  <c r="AR151" i="27"/>
  <c r="AQ151" i="27"/>
  <c r="AS151" i="27" s="1"/>
  <c r="AL151" i="27"/>
  <c r="AM151" i="27" s="1"/>
  <c r="AO151" i="27" s="1"/>
  <c r="N151" i="27"/>
  <c r="O151" i="27" s="1"/>
  <c r="L151" i="27"/>
  <c r="BD151" i="27" s="1"/>
  <c r="K151" i="27"/>
  <c r="J151" i="27"/>
  <c r="I151" i="27"/>
  <c r="BK151" i="27" s="1"/>
  <c r="BV180" i="27"/>
  <c r="BX180" i="27" s="1"/>
  <c r="BS180" i="27"/>
  <c r="BT180" i="27" s="1"/>
  <c r="BP150" i="27"/>
  <c r="BF150" i="27"/>
  <c r="BE150" i="27"/>
  <c r="BB150" i="27"/>
  <c r="BA150" i="27"/>
  <c r="AV150" i="27"/>
  <c r="AW150" i="27" s="1"/>
  <c r="AU150" i="27"/>
  <c r="AR150" i="27"/>
  <c r="AQ150" i="27"/>
  <c r="AS150" i="27" s="1"/>
  <c r="AL150" i="27"/>
  <c r="AM150" i="27" s="1"/>
  <c r="AO150" i="27" s="1"/>
  <c r="N150" i="27"/>
  <c r="O150" i="27" s="1"/>
  <c r="L150" i="27"/>
  <c r="BD150" i="27" s="1"/>
  <c r="K150" i="27"/>
  <c r="J150" i="27"/>
  <c r="I150" i="27"/>
  <c r="BK150" i="27" s="1"/>
  <c r="BV179" i="27"/>
  <c r="BX179" i="27" s="1"/>
  <c r="BS179" i="27"/>
  <c r="BP149" i="27"/>
  <c r="BQ149" i="27" s="1"/>
  <c r="BF149" i="27"/>
  <c r="BE149" i="27"/>
  <c r="BB149" i="27"/>
  <c r="BA149" i="27"/>
  <c r="AV149" i="27"/>
  <c r="AW149" i="27" s="1"/>
  <c r="AU149" i="27"/>
  <c r="AR149" i="27"/>
  <c r="AQ149" i="27"/>
  <c r="AS149" i="27" s="1"/>
  <c r="AL149" i="27"/>
  <c r="AM149" i="27" s="1"/>
  <c r="AO149" i="27" s="1"/>
  <c r="N149" i="27"/>
  <c r="O149" i="27" s="1"/>
  <c r="L149" i="27"/>
  <c r="A149" i="27" s="1"/>
  <c r="K149" i="27"/>
  <c r="J149" i="27"/>
  <c r="I149" i="27"/>
  <c r="BK149" i="27" s="1"/>
  <c r="BV178" i="27"/>
  <c r="BX178" i="27" s="1"/>
  <c r="BS178" i="27"/>
  <c r="BP148" i="27"/>
  <c r="BQ148" i="27" s="1"/>
  <c r="BF148" i="27"/>
  <c r="BE148" i="27"/>
  <c r="BB148" i="27"/>
  <c r="BA148" i="27"/>
  <c r="AV148" i="27"/>
  <c r="AW148" i="27" s="1"/>
  <c r="AU148" i="27"/>
  <c r="AR148" i="27"/>
  <c r="AQ148" i="27"/>
  <c r="AS148" i="27" s="1"/>
  <c r="AL148" i="27"/>
  <c r="AM148" i="27" s="1"/>
  <c r="AO148" i="27" s="1"/>
  <c r="N148" i="27"/>
  <c r="O148" i="27" s="1"/>
  <c r="L148" i="27"/>
  <c r="M148" i="27" s="1"/>
  <c r="K148" i="27"/>
  <c r="J148" i="27"/>
  <c r="I148" i="27"/>
  <c r="BK148" i="27" s="1"/>
  <c r="BV177" i="27"/>
  <c r="BX177" i="27" s="1"/>
  <c r="BS177" i="27"/>
  <c r="BP147" i="27"/>
  <c r="BF147" i="27"/>
  <c r="BE147" i="27"/>
  <c r="BB147" i="27"/>
  <c r="BA147" i="27"/>
  <c r="AV147" i="27"/>
  <c r="AW147" i="27" s="1"/>
  <c r="AU147" i="27"/>
  <c r="AR147" i="27"/>
  <c r="AQ147" i="27"/>
  <c r="AS147" i="27" s="1"/>
  <c r="AL147" i="27"/>
  <c r="N147" i="27"/>
  <c r="O147" i="27" s="1"/>
  <c r="L147" i="27"/>
  <c r="M147" i="27" s="1"/>
  <c r="K147" i="27"/>
  <c r="J147" i="27"/>
  <c r="I147" i="27"/>
  <c r="BL147" i="27" s="1"/>
  <c r="BV176" i="27"/>
  <c r="BX176" i="27" s="1"/>
  <c r="BS176" i="27"/>
  <c r="BP146" i="27"/>
  <c r="BQ146" i="27" s="1"/>
  <c r="BF146" i="27"/>
  <c r="BE146" i="27"/>
  <c r="BB146" i="27"/>
  <c r="BA146" i="27"/>
  <c r="AV146" i="27"/>
  <c r="AW146" i="27" s="1"/>
  <c r="AU146" i="27"/>
  <c r="AR146" i="27"/>
  <c r="AQ146" i="27"/>
  <c r="AS146" i="27" s="1"/>
  <c r="AL146" i="27"/>
  <c r="AM146" i="27" s="1"/>
  <c r="AO146" i="27" s="1"/>
  <c r="N146" i="27"/>
  <c r="O146" i="27" s="1"/>
  <c r="L146" i="27"/>
  <c r="M146" i="27" s="1"/>
  <c r="K146" i="27"/>
  <c r="J146" i="27"/>
  <c r="I146" i="27"/>
  <c r="BV175" i="27"/>
  <c r="BX175" i="27" s="1"/>
  <c r="BS175" i="27"/>
  <c r="BP145" i="27"/>
  <c r="BQ145" i="27" s="1"/>
  <c r="BF145" i="27"/>
  <c r="BE145" i="27"/>
  <c r="BB145" i="27"/>
  <c r="BA145" i="27"/>
  <c r="AV145" i="27"/>
  <c r="AW145" i="27" s="1"/>
  <c r="AU145" i="27"/>
  <c r="AR145" i="27"/>
  <c r="AQ145" i="27"/>
  <c r="AS145" i="27" s="1"/>
  <c r="AL145" i="27"/>
  <c r="AM145" i="27" s="1"/>
  <c r="AO145" i="27" s="1"/>
  <c r="N145" i="27"/>
  <c r="O145" i="27" s="1"/>
  <c r="L145" i="27"/>
  <c r="A145" i="27" s="1"/>
  <c r="K145" i="27"/>
  <c r="J145" i="27"/>
  <c r="I145" i="27"/>
  <c r="BI145" i="27" s="1"/>
  <c r="BV174" i="27"/>
  <c r="BX174" i="27" s="1"/>
  <c r="BS174" i="27"/>
  <c r="BP144" i="27"/>
  <c r="BF144" i="27"/>
  <c r="BE144" i="27"/>
  <c r="BB144" i="27"/>
  <c r="BA144" i="27"/>
  <c r="AV144" i="27"/>
  <c r="AW144" i="27" s="1"/>
  <c r="AU144" i="27"/>
  <c r="AR144" i="27"/>
  <c r="AQ144" i="27"/>
  <c r="AS144" i="27" s="1"/>
  <c r="AL144" i="27"/>
  <c r="N144" i="27"/>
  <c r="O144" i="27" s="1"/>
  <c r="L144" i="27"/>
  <c r="A144" i="27" s="1"/>
  <c r="K144" i="27"/>
  <c r="J144" i="27"/>
  <c r="I144" i="27"/>
  <c r="BL144" i="27" s="1"/>
  <c r="BV173" i="27"/>
  <c r="BX173" i="27" s="1"/>
  <c r="BS173" i="27"/>
  <c r="BP143" i="27"/>
  <c r="BF143" i="27"/>
  <c r="BE143" i="27"/>
  <c r="BB143" i="27"/>
  <c r="BA143" i="27"/>
  <c r="AV143" i="27"/>
  <c r="AW143" i="27" s="1"/>
  <c r="AU143" i="27"/>
  <c r="AR143" i="27"/>
  <c r="AQ143" i="27"/>
  <c r="AS143" i="27" s="1"/>
  <c r="AL143" i="27"/>
  <c r="AN143" i="27" s="1"/>
  <c r="N143" i="27"/>
  <c r="O143" i="27" s="1"/>
  <c r="L143" i="27"/>
  <c r="BD143" i="27" s="1"/>
  <c r="K143" i="27"/>
  <c r="J143" i="27"/>
  <c r="I143" i="27"/>
  <c r="BI143" i="27" s="1"/>
  <c r="BV172" i="27"/>
  <c r="BX172" i="27" s="1"/>
  <c r="BS172" i="27"/>
  <c r="BP142" i="27"/>
  <c r="BF142" i="27"/>
  <c r="BE142" i="27"/>
  <c r="BB142" i="27"/>
  <c r="BA142" i="27"/>
  <c r="AV142" i="27"/>
  <c r="AW142" i="27" s="1"/>
  <c r="AU142" i="27"/>
  <c r="AR142" i="27"/>
  <c r="AQ142" i="27"/>
  <c r="AS142" i="27" s="1"/>
  <c r="AL142" i="27"/>
  <c r="N142" i="27"/>
  <c r="O142" i="27" s="1"/>
  <c r="L142" i="27"/>
  <c r="A142" i="27" s="1"/>
  <c r="K142" i="27"/>
  <c r="J142" i="27"/>
  <c r="I142" i="27"/>
  <c r="BV171" i="27"/>
  <c r="BX171" i="27" s="1"/>
  <c r="BS171" i="27"/>
  <c r="BU171" i="27" s="1"/>
  <c r="BP141" i="27"/>
  <c r="BF141" i="27"/>
  <c r="BE141" i="27"/>
  <c r="BB141" i="27"/>
  <c r="BA141" i="27"/>
  <c r="AV141" i="27"/>
  <c r="AW141" i="27" s="1"/>
  <c r="AU141" i="27"/>
  <c r="AR141" i="27"/>
  <c r="AQ141" i="27"/>
  <c r="AS141" i="27" s="1"/>
  <c r="AL141" i="27"/>
  <c r="N141" i="27"/>
  <c r="O141" i="27" s="1"/>
  <c r="L141" i="27"/>
  <c r="M141" i="27" s="1"/>
  <c r="K141" i="27"/>
  <c r="J141" i="27"/>
  <c r="I141" i="27"/>
  <c r="BV169" i="27"/>
  <c r="BX169" i="27" s="1"/>
  <c r="BS169" i="27"/>
  <c r="BP139" i="27"/>
  <c r="BF139" i="27"/>
  <c r="BE139" i="27"/>
  <c r="BB139" i="27"/>
  <c r="BA139" i="27"/>
  <c r="AV139" i="27"/>
  <c r="AW139" i="27" s="1"/>
  <c r="AU139" i="27"/>
  <c r="AR139" i="27"/>
  <c r="AQ139" i="27"/>
  <c r="AS139" i="27" s="1"/>
  <c r="AL139" i="27"/>
  <c r="N139" i="27"/>
  <c r="O139" i="27" s="1"/>
  <c r="L139" i="27"/>
  <c r="M139" i="27" s="1"/>
  <c r="K139" i="27"/>
  <c r="J139" i="27"/>
  <c r="I139" i="27"/>
  <c r="BP138" i="27"/>
  <c r="BF138" i="27"/>
  <c r="BE138" i="27"/>
  <c r="BB138" i="27"/>
  <c r="BA138" i="27"/>
  <c r="AV138" i="27"/>
  <c r="AW138" i="27" s="1"/>
  <c r="AU138" i="27"/>
  <c r="AR138" i="27"/>
  <c r="AQ138" i="27"/>
  <c r="AS138" i="27" s="1"/>
  <c r="AL138" i="27"/>
  <c r="AN138" i="27" s="1"/>
  <c r="N138" i="27"/>
  <c r="O138" i="27" s="1"/>
  <c r="L138" i="27"/>
  <c r="A138" i="27" s="1"/>
  <c r="K138" i="27"/>
  <c r="J138" i="27"/>
  <c r="I138" i="27"/>
  <c r="BV165" i="27"/>
  <c r="BX165" i="27" s="1"/>
  <c r="BS165" i="27"/>
  <c r="BP137" i="27"/>
  <c r="BF137" i="27"/>
  <c r="BE137" i="27"/>
  <c r="BB137" i="27"/>
  <c r="BA137" i="27"/>
  <c r="AV137" i="27"/>
  <c r="AW137" i="27" s="1"/>
  <c r="AU137" i="27"/>
  <c r="AR137" i="27"/>
  <c r="AQ137" i="27"/>
  <c r="AS137" i="27" s="1"/>
  <c r="AL137" i="27"/>
  <c r="N137" i="27"/>
  <c r="O137" i="27" s="1"/>
  <c r="L137" i="27"/>
  <c r="A137" i="27" s="1"/>
  <c r="K137" i="27"/>
  <c r="J137" i="27"/>
  <c r="I137" i="27"/>
  <c r="BP136" i="27"/>
  <c r="BF136" i="27"/>
  <c r="BE136" i="27"/>
  <c r="BB136" i="27"/>
  <c r="BA136" i="27"/>
  <c r="AV136" i="27"/>
  <c r="AW136" i="27" s="1"/>
  <c r="AU136" i="27"/>
  <c r="AR136" i="27"/>
  <c r="AQ136" i="27"/>
  <c r="AS136" i="27" s="1"/>
  <c r="AL136" i="27"/>
  <c r="N136" i="27"/>
  <c r="O136" i="27" s="1"/>
  <c r="L136" i="27"/>
  <c r="M136" i="27" s="1"/>
  <c r="K136" i="27"/>
  <c r="J136" i="27"/>
  <c r="I136" i="27"/>
  <c r="BV163" i="27"/>
  <c r="BX163" i="27" s="1"/>
  <c r="BS163" i="27"/>
  <c r="BP134" i="27"/>
  <c r="BF134" i="27"/>
  <c r="BE134" i="27"/>
  <c r="BB134" i="27"/>
  <c r="BA134" i="27"/>
  <c r="AV134" i="27"/>
  <c r="AW134" i="27" s="1"/>
  <c r="AU134" i="27"/>
  <c r="AR134" i="27"/>
  <c r="AQ134" i="27"/>
  <c r="AS134" i="27" s="1"/>
  <c r="AL134" i="27"/>
  <c r="AN134" i="27" s="1"/>
  <c r="N134" i="27"/>
  <c r="O134" i="27" s="1"/>
  <c r="L134" i="27"/>
  <c r="M134" i="27" s="1"/>
  <c r="K134" i="27"/>
  <c r="J134" i="27"/>
  <c r="I134" i="27"/>
  <c r="BV162" i="27"/>
  <c r="BX162" i="27" s="1"/>
  <c r="BS162" i="27"/>
  <c r="BU162" i="27" s="1"/>
  <c r="BP133" i="27"/>
  <c r="BF133" i="27"/>
  <c r="BE133" i="27"/>
  <c r="BB133" i="27"/>
  <c r="BA133" i="27"/>
  <c r="AV133" i="27"/>
  <c r="AW133" i="27" s="1"/>
  <c r="AU133" i="27"/>
  <c r="AR133" i="27"/>
  <c r="AQ133" i="27"/>
  <c r="AS133" i="27" s="1"/>
  <c r="AL133" i="27"/>
  <c r="N133" i="27"/>
  <c r="O133" i="27" s="1"/>
  <c r="L133" i="27"/>
  <c r="A133" i="27" s="1"/>
  <c r="K133" i="27"/>
  <c r="J133" i="27"/>
  <c r="I133" i="27"/>
  <c r="BN133" i="27" s="1"/>
  <c r="BV160" i="27"/>
  <c r="BX160" i="27" s="1"/>
  <c r="BS160" i="27"/>
  <c r="BP131" i="27"/>
  <c r="BF131" i="27"/>
  <c r="BE131" i="27"/>
  <c r="BB131" i="27"/>
  <c r="BA131" i="27"/>
  <c r="AV131" i="27"/>
  <c r="AW131" i="27" s="1"/>
  <c r="AU131" i="27"/>
  <c r="AR131" i="27"/>
  <c r="AQ131" i="27"/>
  <c r="AS131" i="27" s="1"/>
  <c r="AL131" i="27"/>
  <c r="AN131" i="27" s="1"/>
  <c r="N131" i="27"/>
  <c r="O131" i="27" s="1"/>
  <c r="L131" i="27"/>
  <c r="A131" i="27" s="1"/>
  <c r="K131" i="27"/>
  <c r="J131" i="27"/>
  <c r="I131" i="27"/>
  <c r="BV158" i="27"/>
  <c r="BX158" i="27" s="1"/>
  <c r="BS158" i="27"/>
  <c r="BT158" i="27" s="1"/>
  <c r="BP130" i="27"/>
  <c r="BF130" i="27"/>
  <c r="BE130" i="27"/>
  <c r="BB130" i="27"/>
  <c r="BA130" i="27"/>
  <c r="AV130" i="27"/>
  <c r="AW130" i="27" s="1"/>
  <c r="AU130" i="27"/>
  <c r="AR130" i="27"/>
  <c r="AQ130" i="27"/>
  <c r="AS130" i="27" s="1"/>
  <c r="AL130" i="27"/>
  <c r="N130" i="27"/>
  <c r="O130" i="27" s="1"/>
  <c r="L130" i="27"/>
  <c r="M130" i="27" s="1"/>
  <c r="K130" i="27"/>
  <c r="J130" i="27"/>
  <c r="I130" i="27"/>
  <c r="BJ130" i="27" s="1"/>
  <c r="BV157" i="27"/>
  <c r="BX157" i="27" s="1"/>
  <c r="BS157" i="27"/>
  <c r="BP129" i="27"/>
  <c r="BF129" i="27"/>
  <c r="BE129" i="27"/>
  <c r="BB129" i="27"/>
  <c r="BA129" i="27"/>
  <c r="AV129" i="27"/>
  <c r="AW129" i="27" s="1"/>
  <c r="AU129" i="27"/>
  <c r="AR129" i="27"/>
  <c r="AQ129" i="27"/>
  <c r="AS129" i="27" s="1"/>
  <c r="AL129" i="27"/>
  <c r="AN129" i="27" s="1"/>
  <c r="N129" i="27"/>
  <c r="O129" i="27" s="1"/>
  <c r="L129" i="27"/>
  <c r="A129" i="27" s="1"/>
  <c r="K129" i="27"/>
  <c r="J129" i="27"/>
  <c r="I129" i="27"/>
  <c r="BL129" i="27" s="1"/>
  <c r="BP128" i="27"/>
  <c r="BQ128" i="27" s="1"/>
  <c r="BF128" i="27"/>
  <c r="BE128" i="27"/>
  <c r="BB128" i="27"/>
  <c r="BA128" i="27"/>
  <c r="AV128" i="27"/>
  <c r="AW128" i="27" s="1"/>
  <c r="AU128" i="27"/>
  <c r="AR128" i="27"/>
  <c r="AQ128" i="27"/>
  <c r="AS128" i="27" s="1"/>
  <c r="AL128" i="27"/>
  <c r="N128" i="27"/>
  <c r="O128" i="27" s="1"/>
  <c r="L128" i="27"/>
  <c r="K128" i="27"/>
  <c r="J128" i="27"/>
  <c r="I128" i="27"/>
  <c r="BV155" i="27"/>
  <c r="BX155" i="27" s="1"/>
  <c r="BS155" i="27"/>
  <c r="BU155" i="27" s="1"/>
  <c r="BP127" i="27"/>
  <c r="BF127" i="27"/>
  <c r="BE127" i="27"/>
  <c r="BB127" i="27"/>
  <c r="BA127" i="27"/>
  <c r="AV127" i="27"/>
  <c r="AW127" i="27" s="1"/>
  <c r="AU127" i="27"/>
  <c r="AR127" i="27"/>
  <c r="AQ127" i="27"/>
  <c r="AS127" i="27" s="1"/>
  <c r="AL127" i="27"/>
  <c r="N127" i="27"/>
  <c r="O127" i="27" s="1"/>
  <c r="L127" i="27"/>
  <c r="A127" i="27" s="1"/>
  <c r="K127" i="27"/>
  <c r="J127" i="27"/>
  <c r="I127" i="27"/>
  <c r="BK127" i="27" s="1"/>
  <c r="BV153" i="27"/>
  <c r="BX153" i="27" s="1"/>
  <c r="BS153" i="27"/>
  <c r="BP126" i="27"/>
  <c r="BR126" i="27" s="1"/>
  <c r="BF126" i="27"/>
  <c r="BE126" i="27"/>
  <c r="BB126" i="27"/>
  <c r="BA126" i="27"/>
  <c r="AV126" i="27"/>
  <c r="AW126" i="27" s="1"/>
  <c r="AU126" i="27"/>
  <c r="AR126" i="27"/>
  <c r="AQ126" i="27"/>
  <c r="AS126" i="27" s="1"/>
  <c r="AL126" i="27"/>
  <c r="N126" i="27"/>
  <c r="O126" i="27" s="1"/>
  <c r="L126" i="27"/>
  <c r="A126" i="27" s="1"/>
  <c r="K126" i="27"/>
  <c r="J126" i="27"/>
  <c r="I126" i="27"/>
  <c r="BV152" i="27"/>
  <c r="BX152" i="27" s="1"/>
  <c r="BS152" i="27"/>
  <c r="BT152" i="27" s="1"/>
  <c r="BP125" i="27"/>
  <c r="BR125" i="27" s="1"/>
  <c r="BF125" i="27"/>
  <c r="BE125" i="27"/>
  <c r="BB125" i="27"/>
  <c r="BA125" i="27"/>
  <c r="AV125" i="27"/>
  <c r="AW125" i="27" s="1"/>
  <c r="AU125" i="27"/>
  <c r="AR125" i="27"/>
  <c r="AQ125" i="27"/>
  <c r="AS125" i="27" s="1"/>
  <c r="AL125" i="27"/>
  <c r="AN125" i="27" s="1"/>
  <c r="N125" i="27"/>
  <c r="O125" i="27" s="1"/>
  <c r="L125" i="27"/>
  <c r="K125" i="27"/>
  <c r="J125" i="27"/>
  <c r="I125" i="27"/>
  <c r="BN125" i="27" s="1"/>
  <c r="BV151" i="27"/>
  <c r="BX151" i="27" s="1"/>
  <c r="BS151" i="27"/>
  <c r="BT151" i="27" s="1"/>
  <c r="BP124" i="27"/>
  <c r="BF124" i="27"/>
  <c r="BE124" i="27"/>
  <c r="BB124" i="27"/>
  <c r="BA124" i="27"/>
  <c r="AV124" i="27"/>
  <c r="AW124" i="27" s="1"/>
  <c r="AU124" i="27"/>
  <c r="AR124" i="27"/>
  <c r="AQ124" i="27"/>
  <c r="AS124" i="27" s="1"/>
  <c r="AL124" i="27"/>
  <c r="AN124" i="27" s="1"/>
  <c r="N124" i="27"/>
  <c r="O124" i="27" s="1"/>
  <c r="L124" i="27"/>
  <c r="A124" i="27" s="1"/>
  <c r="K124" i="27"/>
  <c r="J124" i="27"/>
  <c r="I124" i="27"/>
  <c r="BI124" i="27" s="1"/>
  <c r="BP123" i="27"/>
  <c r="BR123" i="27" s="1"/>
  <c r="BF123" i="27"/>
  <c r="BE123" i="27"/>
  <c r="BB123" i="27"/>
  <c r="BA123" i="27"/>
  <c r="AV123" i="27"/>
  <c r="AW123" i="27" s="1"/>
  <c r="AU123" i="27"/>
  <c r="AR123" i="27"/>
  <c r="AQ123" i="27"/>
  <c r="AS123" i="27" s="1"/>
  <c r="AL123" i="27"/>
  <c r="AN123" i="27" s="1"/>
  <c r="N123" i="27"/>
  <c r="O123" i="27" s="1"/>
  <c r="L123" i="27"/>
  <c r="BD123" i="27" s="1"/>
  <c r="K123" i="27"/>
  <c r="J123" i="27"/>
  <c r="I123" i="27"/>
  <c r="BJ123" i="27" s="1"/>
  <c r="BV150" i="27"/>
  <c r="BX150" i="27" s="1"/>
  <c r="BS150" i="27"/>
  <c r="BP122" i="27"/>
  <c r="BR122" i="27" s="1"/>
  <c r="BF122" i="27"/>
  <c r="BE122" i="27"/>
  <c r="BB122" i="27"/>
  <c r="BA122" i="27"/>
  <c r="AV122" i="27"/>
  <c r="AW122" i="27" s="1"/>
  <c r="AU122" i="27"/>
  <c r="AR122" i="27"/>
  <c r="AQ122" i="27"/>
  <c r="AS122" i="27" s="1"/>
  <c r="AL122" i="27"/>
  <c r="AN122" i="27" s="1"/>
  <c r="N122" i="27"/>
  <c r="O122" i="27" s="1"/>
  <c r="L122" i="27"/>
  <c r="A122" i="27" s="1"/>
  <c r="K122" i="27"/>
  <c r="J122" i="27"/>
  <c r="I122" i="27"/>
  <c r="BL122" i="27" s="1"/>
  <c r="BV149" i="27"/>
  <c r="BX149" i="27" s="1"/>
  <c r="BS149" i="27"/>
  <c r="BP121" i="27"/>
  <c r="BQ121" i="27" s="1"/>
  <c r="BF121" i="27"/>
  <c r="BE121" i="27"/>
  <c r="BB121" i="27"/>
  <c r="BA121" i="27"/>
  <c r="AV121" i="27"/>
  <c r="AW121" i="27" s="1"/>
  <c r="AU121" i="27"/>
  <c r="AR121" i="27"/>
  <c r="AQ121" i="27"/>
  <c r="AS121" i="27" s="1"/>
  <c r="AL121" i="27"/>
  <c r="AN121" i="27" s="1"/>
  <c r="N121" i="27"/>
  <c r="O121" i="27" s="1"/>
  <c r="L121" i="27"/>
  <c r="A121" i="27" s="1"/>
  <c r="K121" i="27"/>
  <c r="J121" i="27"/>
  <c r="I121" i="27"/>
  <c r="BI121" i="27" s="1"/>
  <c r="BV148" i="27"/>
  <c r="BX148" i="27" s="1"/>
  <c r="BS148" i="27"/>
  <c r="BT148" i="27" s="1"/>
  <c r="BP120" i="27"/>
  <c r="BF120" i="27"/>
  <c r="BE120" i="27"/>
  <c r="BB120" i="27"/>
  <c r="BA120" i="27"/>
  <c r="AV120" i="27"/>
  <c r="AW120" i="27" s="1"/>
  <c r="AU120" i="27"/>
  <c r="AR120" i="27"/>
  <c r="AQ120" i="27"/>
  <c r="AS120" i="27" s="1"/>
  <c r="AL120" i="27"/>
  <c r="AN120" i="27" s="1"/>
  <c r="N120" i="27"/>
  <c r="O120" i="27" s="1"/>
  <c r="L120" i="27"/>
  <c r="BD120" i="27" s="1"/>
  <c r="K120" i="27"/>
  <c r="J120" i="27"/>
  <c r="I120" i="27"/>
  <c r="BK120" i="27" s="1"/>
  <c r="BV147" i="27"/>
  <c r="BX147" i="27" s="1"/>
  <c r="BS147" i="27"/>
  <c r="BT147" i="27" s="1"/>
  <c r="BP119" i="27"/>
  <c r="BQ119" i="27" s="1"/>
  <c r="BF119" i="27"/>
  <c r="BE119" i="27"/>
  <c r="BB119" i="27"/>
  <c r="BA119" i="27"/>
  <c r="AV119" i="27"/>
  <c r="AW119" i="27" s="1"/>
  <c r="AU119" i="27"/>
  <c r="AR119" i="27"/>
  <c r="AQ119" i="27"/>
  <c r="AS119" i="27" s="1"/>
  <c r="AL119" i="27"/>
  <c r="AN119" i="27" s="1"/>
  <c r="N119" i="27"/>
  <c r="O119" i="27" s="1"/>
  <c r="L119" i="27"/>
  <c r="M119" i="27" s="1"/>
  <c r="K119" i="27"/>
  <c r="J119" i="27"/>
  <c r="I119" i="27"/>
  <c r="BJ119" i="27" s="1"/>
  <c r="BV146" i="27"/>
  <c r="BX146" i="27" s="1"/>
  <c r="BS146" i="27"/>
  <c r="BP118" i="27"/>
  <c r="BR118" i="27" s="1"/>
  <c r="BF118" i="27"/>
  <c r="BE118" i="27"/>
  <c r="BB118" i="27"/>
  <c r="BA118" i="27"/>
  <c r="AV118" i="27"/>
  <c r="AW118" i="27" s="1"/>
  <c r="AU118" i="27"/>
  <c r="AR118" i="27"/>
  <c r="AQ118" i="27"/>
  <c r="AS118" i="27" s="1"/>
  <c r="AL118" i="27"/>
  <c r="AM118" i="27" s="1"/>
  <c r="AO118" i="27" s="1"/>
  <c r="N118" i="27"/>
  <c r="O118" i="27" s="1"/>
  <c r="L118" i="27"/>
  <c r="BD118" i="27" s="1"/>
  <c r="K118" i="27"/>
  <c r="J118" i="27"/>
  <c r="I118" i="27"/>
  <c r="BL118" i="27" s="1"/>
  <c r="BV145" i="27"/>
  <c r="BX145" i="27" s="1"/>
  <c r="BS145" i="27"/>
  <c r="BP117" i="27"/>
  <c r="BQ117" i="27" s="1"/>
  <c r="BF117" i="27"/>
  <c r="BE117" i="27"/>
  <c r="BB117" i="27"/>
  <c r="BA117" i="27"/>
  <c r="AV117" i="27"/>
  <c r="AW117" i="27" s="1"/>
  <c r="AU117" i="27"/>
  <c r="AR117" i="27"/>
  <c r="AQ117" i="27"/>
  <c r="AS117" i="27" s="1"/>
  <c r="AL117" i="27"/>
  <c r="AM117" i="27" s="1"/>
  <c r="AO117" i="27" s="1"/>
  <c r="N117" i="27"/>
  <c r="O117" i="27" s="1"/>
  <c r="L117" i="27"/>
  <c r="A117" i="27" s="1"/>
  <c r="K117" i="27"/>
  <c r="J117" i="27"/>
  <c r="I117" i="27"/>
  <c r="BI117" i="27" s="1"/>
  <c r="BV144" i="27"/>
  <c r="BX144" i="27" s="1"/>
  <c r="BS144" i="27"/>
  <c r="BP116" i="27"/>
  <c r="BQ116" i="27" s="1"/>
  <c r="BF116" i="27"/>
  <c r="BE116" i="27"/>
  <c r="BB116" i="27"/>
  <c r="BA116" i="27"/>
  <c r="AV116" i="27"/>
  <c r="AW116" i="27" s="1"/>
  <c r="AU116" i="27"/>
  <c r="AR116" i="27"/>
  <c r="AQ116" i="27"/>
  <c r="AS116" i="27" s="1"/>
  <c r="AL116" i="27"/>
  <c r="N116" i="27"/>
  <c r="O116" i="27" s="1"/>
  <c r="L116" i="27"/>
  <c r="A116" i="27" s="1"/>
  <c r="K116" i="27"/>
  <c r="J116" i="27"/>
  <c r="I116" i="27"/>
  <c r="BK116" i="27" s="1"/>
  <c r="BV143" i="27"/>
  <c r="BX143" i="27" s="1"/>
  <c r="BS143" i="27"/>
  <c r="BT143" i="27" s="1"/>
  <c r="BP115" i="27"/>
  <c r="BQ115" i="27" s="1"/>
  <c r="BF115" i="27"/>
  <c r="BE115" i="27"/>
  <c r="BB115" i="27"/>
  <c r="BA115" i="27"/>
  <c r="AV115" i="27"/>
  <c r="AW115" i="27" s="1"/>
  <c r="AU115" i="27"/>
  <c r="AR115" i="27"/>
  <c r="AQ115" i="27"/>
  <c r="AS115" i="27" s="1"/>
  <c r="AL115" i="27"/>
  <c r="AM115" i="27" s="1"/>
  <c r="AO115" i="27" s="1"/>
  <c r="N115" i="27"/>
  <c r="O115" i="27" s="1"/>
  <c r="L115" i="27"/>
  <c r="BD115" i="27" s="1"/>
  <c r="K115" i="27"/>
  <c r="J115" i="27"/>
  <c r="I115" i="27"/>
  <c r="BJ115" i="27" s="1"/>
  <c r="BV142" i="27"/>
  <c r="BX142" i="27" s="1"/>
  <c r="BS142" i="27"/>
  <c r="BP114" i="27"/>
  <c r="BQ114" i="27" s="1"/>
  <c r="BF114" i="27"/>
  <c r="BE114" i="27"/>
  <c r="BB114" i="27"/>
  <c r="BA114" i="27"/>
  <c r="AV114" i="27"/>
  <c r="AW114" i="27" s="1"/>
  <c r="AU114" i="27"/>
  <c r="AR114" i="27"/>
  <c r="AQ114" i="27"/>
  <c r="AS114" i="27" s="1"/>
  <c r="AL114" i="27"/>
  <c r="N114" i="27"/>
  <c r="O114" i="27" s="1"/>
  <c r="L114" i="27"/>
  <c r="M114" i="27" s="1"/>
  <c r="K114" i="27"/>
  <c r="J114" i="27"/>
  <c r="I114" i="27"/>
  <c r="BL114" i="27" s="1"/>
  <c r="BV141" i="27"/>
  <c r="BX141" i="27" s="1"/>
  <c r="BS141" i="27"/>
  <c r="BU141" i="27" s="1"/>
  <c r="BP113" i="27"/>
  <c r="BF113" i="27"/>
  <c r="BE113" i="27"/>
  <c r="BB113" i="27"/>
  <c r="BA113" i="27"/>
  <c r="AV113" i="27"/>
  <c r="AW113" i="27" s="1"/>
  <c r="AU113" i="27"/>
  <c r="AR113" i="27"/>
  <c r="AQ113" i="27"/>
  <c r="AS113" i="27" s="1"/>
  <c r="AL113" i="27"/>
  <c r="AM113" i="27" s="1"/>
  <c r="AO113" i="27" s="1"/>
  <c r="N113" i="27"/>
  <c r="O113" i="27" s="1"/>
  <c r="L113" i="27"/>
  <c r="A113" i="27" s="1"/>
  <c r="K113" i="27"/>
  <c r="J113" i="27"/>
  <c r="I113" i="27"/>
  <c r="BK113" i="27" s="1"/>
  <c r="BV139" i="27"/>
  <c r="BX139" i="27" s="1"/>
  <c r="BS139" i="27"/>
  <c r="BU139" i="27" s="1"/>
  <c r="BP111" i="27"/>
  <c r="BQ111" i="27" s="1"/>
  <c r="BF111" i="27"/>
  <c r="BE111" i="27"/>
  <c r="BB111" i="27"/>
  <c r="BA111" i="27"/>
  <c r="AV111" i="27"/>
  <c r="AW111" i="27" s="1"/>
  <c r="AU111" i="27"/>
  <c r="AR111" i="27"/>
  <c r="AQ111" i="27"/>
  <c r="AS111" i="27" s="1"/>
  <c r="AL111" i="27"/>
  <c r="N111" i="27"/>
  <c r="O111" i="27" s="1"/>
  <c r="L111" i="27"/>
  <c r="M111" i="27" s="1"/>
  <c r="K111" i="27"/>
  <c r="J111" i="27"/>
  <c r="I111" i="27"/>
  <c r="BV138" i="27"/>
  <c r="BX138" i="27" s="1"/>
  <c r="BS138" i="27"/>
  <c r="BU138" i="27" s="1"/>
  <c r="BP110" i="27"/>
  <c r="BF110" i="27"/>
  <c r="BE110" i="27"/>
  <c r="BB110" i="27"/>
  <c r="BA110" i="27"/>
  <c r="AV110" i="27"/>
  <c r="AW110" i="27" s="1"/>
  <c r="AU110" i="27"/>
  <c r="AR110" i="27"/>
  <c r="AQ110" i="27"/>
  <c r="AS110" i="27" s="1"/>
  <c r="AL110" i="27"/>
  <c r="N110" i="27"/>
  <c r="O110" i="27" s="1"/>
  <c r="L110" i="27"/>
  <c r="M110" i="27" s="1"/>
  <c r="K110" i="27"/>
  <c r="J110" i="27"/>
  <c r="I110" i="27"/>
  <c r="BJ110" i="27" s="1"/>
  <c r="BV137" i="27"/>
  <c r="BX137" i="27" s="1"/>
  <c r="BS137" i="27"/>
  <c r="BU137" i="27" s="1"/>
  <c r="BP109" i="27"/>
  <c r="BQ109" i="27" s="1"/>
  <c r="BF109" i="27"/>
  <c r="BE109" i="27"/>
  <c r="BB109" i="27"/>
  <c r="BA109" i="27"/>
  <c r="AV109" i="27"/>
  <c r="AW109" i="27" s="1"/>
  <c r="AU109" i="27"/>
  <c r="AR109" i="27"/>
  <c r="AQ109" i="27"/>
  <c r="AS109" i="27" s="1"/>
  <c r="AL109" i="27"/>
  <c r="N109" i="27"/>
  <c r="O109" i="27" s="1"/>
  <c r="L109" i="27"/>
  <c r="M109" i="27" s="1"/>
  <c r="K109" i="27"/>
  <c r="J109" i="27"/>
  <c r="I109" i="27"/>
  <c r="BV133" i="27"/>
  <c r="BX133" i="27" s="1"/>
  <c r="BS133" i="27"/>
  <c r="BP108" i="27"/>
  <c r="BR108" i="27" s="1"/>
  <c r="BF108" i="27"/>
  <c r="BE108" i="27"/>
  <c r="BB108" i="27"/>
  <c r="BA108" i="27"/>
  <c r="AV108" i="27"/>
  <c r="AW108" i="27" s="1"/>
  <c r="AU108" i="27"/>
  <c r="AR108" i="27"/>
  <c r="AQ108" i="27"/>
  <c r="AS108" i="27" s="1"/>
  <c r="AL108" i="27"/>
  <c r="N108" i="27"/>
  <c r="O108" i="27" s="1"/>
  <c r="L108" i="27"/>
  <c r="K108" i="27"/>
  <c r="J108" i="27"/>
  <c r="I108" i="27"/>
  <c r="BK108" i="27" s="1"/>
  <c r="BV132" i="27"/>
  <c r="BX132" i="27" s="1"/>
  <c r="BS132" i="27"/>
  <c r="BP112" i="27"/>
  <c r="BR112" i="27" s="1"/>
  <c r="BF112" i="27"/>
  <c r="BE112" i="27"/>
  <c r="BB112" i="27"/>
  <c r="BA112" i="27"/>
  <c r="AV112" i="27"/>
  <c r="AW112" i="27" s="1"/>
  <c r="AU112" i="27"/>
  <c r="AR112" i="27"/>
  <c r="AQ112" i="27"/>
  <c r="AS112" i="27" s="1"/>
  <c r="AL112" i="27"/>
  <c r="N112" i="27"/>
  <c r="O112" i="27" s="1"/>
  <c r="L112" i="27"/>
  <c r="K112" i="27"/>
  <c r="J112" i="27"/>
  <c r="I112" i="27"/>
  <c r="BL112" i="27" s="1"/>
  <c r="BV131" i="27"/>
  <c r="BX131" i="27" s="1"/>
  <c r="BS131" i="27"/>
  <c r="BP107" i="27"/>
  <c r="BR107" i="27" s="1"/>
  <c r="BF107" i="27"/>
  <c r="BE107" i="27"/>
  <c r="BB107" i="27"/>
  <c r="BA107" i="27"/>
  <c r="AV107" i="27"/>
  <c r="AW107" i="27" s="1"/>
  <c r="AU107" i="27"/>
  <c r="AR107" i="27"/>
  <c r="AQ107" i="27"/>
  <c r="AS107" i="27" s="1"/>
  <c r="AL107" i="27"/>
  <c r="N107" i="27"/>
  <c r="O107" i="27" s="1"/>
  <c r="L107" i="27"/>
  <c r="A107" i="27" s="1"/>
  <c r="K107" i="27"/>
  <c r="J107" i="27"/>
  <c r="I107" i="27"/>
  <c r="BL107" i="27" s="1"/>
  <c r="BV130" i="27"/>
  <c r="BX130" i="27" s="1"/>
  <c r="BS130" i="27"/>
  <c r="BP106" i="27"/>
  <c r="BR106" i="27" s="1"/>
  <c r="BF106" i="27"/>
  <c r="BE106" i="27"/>
  <c r="BB106" i="27"/>
  <c r="BA106" i="27"/>
  <c r="AV106" i="27"/>
  <c r="AW106" i="27" s="1"/>
  <c r="AU106" i="27"/>
  <c r="AR106" i="27"/>
  <c r="AQ106" i="27"/>
  <c r="AS106" i="27" s="1"/>
  <c r="AL106" i="27"/>
  <c r="N106" i="27"/>
  <c r="O106" i="27" s="1"/>
  <c r="L106" i="27"/>
  <c r="K106" i="27"/>
  <c r="J106" i="27"/>
  <c r="I106" i="27"/>
  <c r="BL106" i="27" s="1"/>
  <c r="BV129" i="27"/>
  <c r="BX129" i="27" s="1"/>
  <c r="BS129" i="27"/>
  <c r="BP104" i="27"/>
  <c r="BR104" i="27" s="1"/>
  <c r="BF104" i="27"/>
  <c r="BE104" i="27"/>
  <c r="BB104" i="27"/>
  <c r="BA104" i="27"/>
  <c r="AV104" i="27"/>
  <c r="AW104" i="27" s="1"/>
  <c r="AU104" i="27"/>
  <c r="AR104" i="27"/>
  <c r="AQ104" i="27"/>
  <c r="AS104" i="27" s="1"/>
  <c r="AL104" i="27"/>
  <c r="N104" i="27"/>
  <c r="O104" i="27" s="1"/>
  <c r="L104" i="27"/>
  <c r="K104" i="27"/>
  <c r="J104" i="27"/>
  <c r="I104" i="27"/>
  <c r="BL104" i="27" s="1"/>
  <c r="BV128" i="27"/>
  <c r="BX128" i="27" s="1"/>
  <c r="BS128" i="27"/>
  <c r="BP103" i="27"/>
  <c r="BR103" i="27" s="1"/>
  <c r="BF103" i="27"/>
  <c r="BE103" i="27"/>
  <c r="BB103" i="27"/>
  <c r="BA103" i="27"/>
  <c r="AV103" i="27"/>
  <c r="AW103" i="27" s="1"/>
  <c r="AU103" i="27"/>
  <c r="AR103" i="27"/>
  <c r="AQ103" i="27"/>
  <c r="AS103" i="27" s="1"/>
  <c r="AL103" i="27"/>
  <c r="N103" i="27"/>
  <c r="O103" i="27" s="1"/>
  <c r="L103" i="27"/>
  <c r="A103" i="27" s="1"/>
  <c r="K103" i="27"/>
  <c r="J103" i="27"/>
  <c r="I103" i="27"/>
  <c r="BL103" i="27" s="1"/>
  <c r="BV127" i="27"/>
  <c r="BX127" i="27" s="1"/>
  <c r="BS127" i="27"/>
  <c r="BP102" i="27"/>
  <c r="BR102" i="27" s="1"/>
  <c r="BF102" i="27"/>
  <c r="BE102" i="27"/>
  <c r="BB102" i="27"/>
  <c r="BA102" i="27"/>
  <c r="AV102" i="27"/>
  <c r="AW102" i="27" s="1"/>
  <c r="AU102" i="27"/>
  <c r="AR102" i="27"/>
  <c r="AQ102" i="27"/>
  <c r="AS102" i="27" s="1"/>
  <c r="AL102" i="27"/>
  <c r="N102" i="27"/>
  <c r="O102" i="27" s="1"/>
  <c r="L102" i="27"/>
  <c r="A102" i="27" s="1"/>
  <c r="K102" i="27"/>
  <c r="J102" i="27"/>
  <c r="I102" i="27"/>
  <c r="BV126" i="27"/>
  <c r="BX126" i="27" s="1"/>
  <c r="BS126" i="27"/>
  <c r="BP101" i="27"/>
  <c r="BR101" i="27" s="1"/>
  <c r="BF101" i="27"/>
  <c r="BE101" i="27"/>
  <c r="BB101" i="27"/>
  <c r="BA101" i="27"/>
  <c r="AV101" i="27"/>
  <c r="AW101" i="27" s="1"/>
  <c r="AU101" i="27"/>
  <c r="AR101" i="27"/>
  <c r="AQ101" i="27"/>
  <c r="AS101" i="27" s="1"/>
  <c r="AL101" i="27"/>
  <c r="N101" i="27"/>
  <c r="O101" i="27" s="1"/>
  <c r="L101" i="27"/>
  <c r="K101" i="27"/>
  <c r="J101" i="27"/>
  <c r="I101" i="27"/>
  <c r="BK101" i="27" s="1"/>
  <c r="BV125" i="27"/>
  <c r="BX125" i="27" s="1"/>
  <c r="BS125" i="27"/>
  <c r="BP100" i="27"/>
  <c r="BR100" i="27" s="1"/>
  <c r="BF100" i="27"/>
  <c r="BE100" i="27"/>
  <c r="BB100" i="27"/>
  <c r="BA100" i="27"/>
  <c r="AV100" i="27"/>
  <c r="AW100" i="27" s="1"/>
  <c r="AU100" i="27"/>
  <c r="AR100" i="27"/>
  <c r="AQ100" i="27"/>
  <c r="AS100" i="27" s="1"/>
  <c r="AL100" i="27"/>
  <c r="N100" i="27"/>
  <c r="O100" i="27" s="1"/>
  <c r="L100" i="27"/>
  <c r="K100" i="27"/>
  <c r="J100" i="27"/>
  <c r="I100" i="27"/>
  <c r="BL100" i="27" s="1"/>
  <c r="BV124" i="27"/>
  <c r="BX124" i="27" s="1"/>
  <c r="BS124" i="27"/>
  <c r="BP99" i="27"/>
  <c r="BR99" i="27" s="1"/>
  <c r="BF99" i="27"/>
  <c r="BE99" i="27"/>
  <c r="BB99" i="27"/>
  <c r="BA99" i="27"/>
  <c r="AV99" i="27"/>
  <c r="AW99" i="27" s="1"/>
  <c r="AU99" i="27"/>
  <c r="AR99" i="27"/>
  <c r="AQ99" i="27"/>
  <c r="AS99" i="27" s="1"/>
  <c r="AL99" i="27"/>
  <c r="N99" i="27"/>
  <c r="O99" i="27" s="1"/>
  <c r="L99" i="27"/>
  <c r="A99" i="27" s="1"/>
  <c r="K99" i="27"/>
  <c r="J99" i="27"/>
  <c r="I99" i="27"/>
  <c r="BV123" i="27"/>
  <c r="BX123" i="27" s="1"/>
  <c r="BS123" i="27"/>
  <c r="BP98" i="27"/>
  <c r="BR98" i="27" s="1"/>
  <c r="BF98" i="27"/>
  <c r="BE98" i="27"/>
  <c r="BB98" i="27"/>
  <c r="BA98" i="27"/>
  <c r="AV98" i="27"/>
  <c r="AW98" i="27" s="1"/>
  <c r="AU98" i="27"/>
  <c r="AR98" i="27"/>
  <c r="AQ98" i="27"/>
  <c r="AS98" i="27" s="1"/>
  <c r="AL98" i="27"/>
  <c r="N98" i="27"/>
  <c r="O98" i="27" s="1"/>
  <c r="L98" i="27"/>
  <c r="A98" i="27" s="1"/>
  <c r="K98" i="27"/>
  <c r="J98" i="27"/>
  <c r="I98" i="27"/>
  <c r="BL98" i="27" s="1"/>
  <c r="BV122" i="27"/>
  <c r="BX122" i="27" s="1"/>
  <c r="BS122" i="27"/>
  <c r="BP76" i="27"/>
  <c r="BF76" i="27"/>
  <c r="BE76" i="27"/>
  <c r="BB76" i="27"/>
  <c r="BA76" i="27"/>
  <c r="AV76" i="27"/>
  <c r="AW76" i="27" s="1"/>
  <c r="AU76" i="27"/>
  <c r="AR76" i="27"/>
  <c r="AQ76" i="27"/>
  <c r="AS76" i="27" s="1"/>
  <c r="AL76" i="27"/>
  <c r="AN76" i="27" s="1"/>
  <c r="N76" i="27"/>
  <c r="O76" i="27" s="1"/>
  <c r="L76" i="27"/>
  <c r="A76" i="27" s="1"/>
  <c r="K76" i="27"/>
  <c r="J76" i="27"/>
  <c r="I76" i="27"/>
  <c r="BL76" i="27" s="1"/>
  <c r="BV121" i="27"/>
  <c r="BX121" i="27" s="1"/>
  <c r="BS121" i="27"/>
  <c r="BU121" i="27" s="1"/>
  <c r="BP75" i="27"/>
  <c r="BQ75" i="27" s="1"/>
  <c r="BF75" i="27"/>
  <c r="BE75" i="27"/>
  <c r="BB75" i="27"/>
  <c r="BA75" i="27"/>
  <c r="AV75" i="27"/>
  <c r="AW75" i="27" s="1"/>
  <c r="AU75" i="27"/>
  <c r="AR75" i="27"/>
  <c r="AQ75" i="27"/>
  <c r="AS75" i="27" s="1"/>
  <c r="AL75" i="27"/>
  <c r="N75" i="27"/>
  <c r="O75" i="27" s="1"/>
  <c r="L75" i="27"/>
  <c r="A75" i="27" s="1"/>
  <c r="K75" i="27"/>
  <c r="J75" i="27"/>
  <c r="I75" i="27"/>
  <c r="BK75" i="27" s="1"/>
  <c r="BV120" i="27"/>
  <c r="BX120" i="27" s="1"/>
  <c r="BS120" i="27"/>
  <c r="BP74" i="27"/>
  <c r="BF74" i="27"/>
  <c r="BE74" i="27"/>
  <c r="BB74" i="27"/>
  <c r="BA74" i="27"/>
  <c r="AV74" i="27"/>
  <c r="AW74" i="27" s="1"/>
  <c r="AU74" i="27"/>
  <c r="AR74" i="27"/>
  <c r="AQ74" i="27"/>
  <c r="AS74" i="27" s="1"/>
  <c r="AL74" i="27"/>
  <c r="AM74" i="27" s="1"/>
  <c r="AO74" i="27" s="1"/>
  <c r="N74" i="27"/>
  <c r="O74" i="27" s="1"/>
  <c r="L74" i="27"/>
  <c r="M74" i="27" s="1"/>
  <c r="K74" i="27"/>
  <c r="J74" i="27"/>
  <c r="I74" i="27"/>
  <c r="BV119" i="27"/>
  <c r="BX119" i="27" s="1"/>
  <c r="BS119" i="27"/>
  <c r="BU119" i="27" s="1"/>
  <c r="BP73" i="27"/>
  <c r="BF73" i="27"/>
  <c r="BE73" i="27"/>
  <c r="BB73" i="27"/>
  <c r="BA73" i="27"/>
  <c r="AV73" i="27"/>
  <c r="AW73" i="27" s="1"/>
  <c r="AU73" i="27"/>
  <c r="AR73" i="27"/>
  <c r="AQ73" i="27"/>
  <c r="AS73" i="27" s="1"/>
  <c r="AL73" i="27"/>
  <c r="N73" i="27"/>
  <c r="O73" i="27" s="1"/>
  <c r="L73" i="27"/>
  <c r="M73" i="27" s="1"/>
  <c r="K73" i="27"/>
  <c r="J73" i="27"/>
  <c r="I73" i="27"/>
  <c r="BJ73" i="27" s="1"/>
  <c r="BV118" i="27"/>
  <c r="BX118" i="27" s="1"/>
  <c r="BP94" i="27"/>
  <c r="BF94" i="27"/>
  <c r="BE94" i="27"/>
  <c r="BB94" i="27"/>
  <c r="BA94" i="27"/>
  <c r="AV94" i="27"/>
  <c r="AW94" i="27" s="1"/>
  <c r="AU94" i="27"/>
  <c r="AR94" i="27"/>
  <c r="AQ94" i="27"/>
  <c r="AS94" i="27" s="1"/>
  <c r="AL94" i="27"/>
  <c r="AM94" i="27" s="1"/>
  <c r="AO94" i="27" s="1"/>
  <c r="N94" i="27"/>
  <c r="O94" i="27" s="1"/>
  <c r="L94" i="27"/>
  <c r="BD94" i="27" s="1"/>
  <c r="K94" i="27"/>
  <c r="J94" i="27"/>
  <c r="I94" i="27"/>
  <c r="BV117" i="27"/>
  <c r="BX117" i="27" s="1"/>
  <c r="BS117" i="27"/>
  <c r="BT117" i="27" s="1"/>
  <c r="BP68" i="27"/>
  <c r="BR68" i="27" s="1"/>
  <c r="BF68" i="27"/>
  <c r="BE68" i="27"/>
  <c r="BB68" i="27"/>
  <c r="BA68" i="27"/>
  <c r="AV68" i="27"/>
  <c r="AW68" i="27" s="1"/>
  <c r="AU68" i="27"/>
  <c r="AR68" i="27"/>
  <c r="AQ68" i="27"/>
  <c r="AS68" i="27" s="1"/>
  <c r="AL68" i="27"/>
  <c r="AN68" i="27" s="1"/>
  <c r="N68" i="27"/>
  <c r="O68" i="27" s="1"/>
  <c r="L68" i="27"/>
  <c r="BD68" i="27" s="1"/>
  <c r="K68" i="27"/>
  <c r="J68" i="27"/>
  <c r="I68" i="27"/>
  <c r="BJ68" i="27" s="1"/>
  <c r="BV116" i="27"/>
  <c r="BX116" i="27" s="1"/>
  <c r="BS116" i="27"/>
  <c r="BP67" i="27"/>
  <c r="BF67" i="27"/>
  <c r="BE67" i="27"/>
  <c r="BB67" i="27"/>
  <c r="BA67" i="27"/>
  <c r="AV67" i="27"/>
  <c r="AW67" i="27" s="1"/>
  <c r="AU67" i="27"/>
  <c r="AR67" i="27"/>
  <c r="AQ67" i="27"/>
  <c r="AS67" i="27" s="1"/>
  <c r="AL67" i="27"/>
  <c r="N67" i="27"/>
  <c r="O67" i="27" s="1"/>
  <c r="L67" i="27"/>
  <c r="M67" i="27" s="1"/>
  <c r="K67" i="27"/>
  <c r="J67" i="27"/>
  <c r="I67" i="27"/>
  <c r="BK67" i="27" s="1"/>
  <c r="BV115" i="27"/>
  <c r="BX115" i="27" s="1"/>
  <c r="BS115" i="27"/>
  <c r="BP66" i="27"/>
  <c r="BF66" i="27"/>
  <c r="BE66" i="27"/>
  <c r="BB66" i="27"/>
  <c r="BA66" i="27"/>
  <c r="AV66" i="27"/>
  <c r="AW66" i="27" s="1"/>
  <c r="AU66" i="27"/>
  <c r="AR66" i="27"/>
  <c r="AQ66" i="27"/>
  <c r="AS66" i="27" s="1"/>
  <c r="AL66" i="27"/>
  <c r="N66" i="27"/>
  <c r="O66" i="27" s="1"/>
  <c r="L66" i="27"/>
  <c r="M66" i="27" s="1"/>
  <c r="K66" i="27"/>
  <c r="J66" i="27"/>
  <c r="I66" i="27"/>
  <c r="BK66" i="27" s="1"/>
  <c r="BV113" i="27"/>
  <c r="BX113" i="27" s="1"/>
  <c r="BS113" i="27"/>
  <c r="BP64" i="27"/>
  <c r="BF64" i="27"/>
  <c r="BE64" i="27"/>
  <c r="BB64" i="27"/>
  <c r="BA64" i="27"/>
  <c r="AV64" i="27"/>
  <c r="AW64" i="27" s="1"/>
  <c r="AU64" i="27"/>
  <c r="AR64" i="27"/>
  <c r="AQ64" i="27"/>
  <c r="AS64" i="27" s="1"/>
  <c r="AL64" i="27"/>
  <c r="N64" i="27"/>
  <c r="O64" i="27" s="1"/>
  <c r="L64" i="27"/>
  <c r="M64" i="27" s="1"/>
  <c r="K64" i="27"/>
  <c r="J64" i="27"/>
  <c r="I64" i="27"/>
  <c r="BK64" i="27" s="1"/>
  <c r="BV112" i="27"/>
  <c r="BX112" i="27" s="1"/>
  <c r="BS112" i="27"/>
  <c r="BP63" i="27"/>
  <c r="BF63" i="27"/>
  <c r="BE63" i="27"/>
  <c r="BB63" i="27"/>
  <c r="BA63" i="27"/>
  <c r="AV63" i="27"/>
  <c r="AW63" i="27" s="1"/>
  <c r="AU63" i="27"/>
  <c r="AR63" i="27"/>
  <c r="AQ63" i="27"/>
  <c r="AS63" i="27" s="1"/>
  <c r="AL63" i="27"/>
  <c r="N63" i="27"/>
  <c r="O63" i="27" s="1"/>
  <c r="L63" i="27"/>
  <c r="M63" i="27" s="1"/>
  <c r="K63" i="27"/>
  <c r="J63" i="27"/>
  <c r="I63" i="27"/>
  <c r="BK63" i="27" s="1"/>
  <c r="BV111" i="27"/>
  <c r="BX111" i="27" s="1"/>
  <c r="BS111" i="27"/>
  <c r="BP62" i="27"/>
  <c r="BF62" i="27"/>
  <c r="BE62" i="27"/>
  <c r="BB62" i="27"/>
  <c r="BA62" i="27"/>
  <c r="AV62" i="27"/>
  <c r="AW62" i="27" s="1"/>
  <c r="AU62" i="27"/>
  <c r="AR62" i="27"/>
  <c r="AQ62" i="27"/>
  <c r="AS62" i="27" s="1"/>
  <c r="AL62" i="27"/>
  <c r="N62" i="27"/>
  <c r="O62" i="27" s="1"/>
  <c r="L62" i="27"/>
  <c r="M62" i="27" s="1"/>
  <c r="K62" i="27"/>
  <c r="J62" i="27"/>
  <c r="I62" i="27"/>
  <c r="BK62" i="27" s="1"/>
  <c r="BV110" i="27"/>
  <c r="BX110" i="27" s="1"/>
  <c r="BS110" i="27"/>
  <c r="BP60" i="27"/>
  <c r="BF60" i="27"/>
  <c r="BE60" i="27"/>
  <c r="BB60" i="27"/>
  <c r="BA60" i="27"/>
  <c r="AV60" i="27"/>
  <c r="AW60" i="27" s="1"/>
  <c r="AU60" i="27"/>
  <c r="AR60" i="27"/>
  <c r="AQ60" i="27"/>
  <c r="AS60" i="27" s="1"/>
  <c r="AL60" i="27"/>
  <c r="N60" i="27"/>
  <c r="O60" i="27" s="1"/>
  <c r="L60" i="27"/>
  <c r="A60" i="27" s="1"/>
  <c r="K60" i="27"/>
  <c r="J60" i="27"/>
  <c r="I60" i="27"/>
  <c r="BK60" i="27" s="1"/>
  <c r="BV109" i="27"/>
  <c r="BX109" i="27" s="1"/>
  <c r="BS109" i="27"/>
  <c r="BP59" i="27"/>
  <c r="BF59" i="27"/>
  <c r="BE59" i="27"/>
  <c r="BB59" i="27"/>
  <c r="BA59" i="27"/>
  <c r="AV59" i="27"/>
  <c r="AW59" i="27" s="1"/>
  <c r="AU59" i="27"/>
  <c r="AR59" i="27"/>
  <c r="AQ59" i="27"/>
  <c r="AS59" i="27" s="1"/>
  <c r="AL59" i="27"/>
  <c r="N59" i="27"/>
  <c r="O59" i="27" s="1"/>
  <c r="L59" i="27"/>
  <c r="M59" i="27" s="1"/>
  <c r="K59" i="27"/>
  <c r="J59" i="27"/>
  <c r="I59" i="27"/>
  <c r="BK59" i="27" s="1"/>
  <c r="BV108" i="27"/>
  <c r="BX108" i="27" s="1"/>
  <c r="BS108" i="27"/>
  <c r="BP58" i="27"/>
  <c r="BF58" i="27"/>
  <c r="BE58" i="27"/>
  <c r="BB58" i="27"/>
  <c r="BA58" i="27"/>
  <c r="AV58" i="27"/>
  <c r="AW58" i="27" s="1"/>
  <c r="AU58" i="27"/>
  <c r="AR58" i="27"/>
  <c r="AQ58" i="27"/>
  <c r="AS58" i="27" s="1"/>
  <c r="AL58" i="27"/>
  <c r="N58" i="27"/>
  <c r="O58" i="27" s="1"/>
  <c r="L58" i="27"/>
  <c r="M58" i="27" s="1"/>
  <c r="K58" i="27"/>
  <c r="J58" i="27"/>
  <c r="I58" i="27"/>
  <c r="BV106" i="27"/>
  <c r="BX106" i="27" s="1"/>
  <c r="BS106" i="27"/>
  <c r="BP56" i="27"/>
  <c r="BF56" i="27"/>
  <c r="BE56" i="27"/>
  <c r="BB56" i="27"/>
  <c r="BA56" i="27"/>
  <c r="AV56" i="27"/>
  <c r="AW56" i="27" s="1"/>
  <c r="AU56" i="27"/>
  <c r="AR56" i="27"/>
  <c r="AQ56" i="27"/>
  <c r="AS56" i="27" s="1"/>
  <c r="AL56" i="27"/>
  <c r="N56" i="27"/>
  <c r="O56" i="27" s="1"/>
  <c r="L56" i="27"/>
  <c r="M56" i="27" s="1"/>
  <c r="K56" i="27"/>
  <c r="J56" i="27"/>
  <c r="I56" i="27"/>
  <c r="BK56" i="27" s="1"/>
  <c r="BV105" i="27"/>
  <c r="BX105" i="27" s="1"/>
  <c r="BS105" i="27"/>
  <c r="BU105" i="27" s="1"/>
  <c r="BP55" i="27"/>
  <c r="BF55" i="27"/>
  <c r="BE55" i="27"/>
  <c r="BB55" i="27"/>
  <c r="BA55" i="27"/>
  <c r="AV55" i="27"/>
  <c r="AW55" i="27" s="1"/>
  <c r="AU55" i="27"/>
  <c r="AR55" i="27"/>
  <c r="AQ55" i="27"/>
  <c r="AS55" i="27" s="1"/>
  <c r="AL55" i="27"/>
  <c r="N55" i="27"/>
  <c r="O55" i="27" s="1"/>
  <c r="L55" i="27"/>
  <c r="A55" i="27" s="1"/>
  <c r="K55" i="27"/>
  <c r="J55" i="27"/>
  <c r="I55" i="27"/>
  <c r="BL55" i="27" s="1"/>
  <c r="BV104" i="27"/>
  <c r="BX104" i="27" s="1"/>
  <c r="BS104" i="27"/>
  <c r="BP54" i="27"/>
  <c r="BF54" i="27"/>
  <c r="BE54" i="27"/>
  <c r="BB54" i="27"/>
  <c r="BA54" i="27"/>
  <c r="AV54" i="27"/>
  <c r="AW54" i="27" s="1"/>
  <c r="AU54" i="27"/>
  <c r="AR54" i="27"/>
  <c r="AQ54" i="27"/>
  <c r="AS54" i="27" s="1"/>
  <c r="AL54" i="27"/>
  <c r="N54" i="27"/>
  <c r="O54" i="27" s="1"/>
  <c r="L54" i="27"/>
  <c r="M54" i="27" s="1"/>
  <c r="K54" i="27"/>
  <c r="J54" i="27"/>
  <c r="I54" i="27"/>
  <c r="BV103" i="27"/>
  <c r="BX103" i="27" s="1"/>
  <c r="BS103" i="27"/>
  <c r="BU103" i="27" s="1"/>
  <c r="BP53" i="27"/>
  <c r="BF53" i="27"/>
  <c r="BE53" i="27"/>
  <c r="BB53" i="27"/>
  <c r="BA53" i="27"/>
  <c r="AV53" i="27"/>
  <c r="AW53" i="27" s="1"/>
  <c r="AU53" i="27"/>
  <c r="AR53" i="27"/>
  <c r="AQ53" i="27"/>
  <c r="AS53" i="27" s="1"/>
  <c r="AL53" i="27"/>
  <c r="N53" i="27"/>
  <c r="O53" i="27" s="1"/>
  <c r="L53" i="27"/>
  <c r="A53" i="27" s="1"/>
  <c r="K53" i="27"/>
  <c r="J53" i="27"/>
  <c r="I53" i="27"/>
  <c r="BV102" i="27"/>
  <c r="BX102" i="27" s="1"/>
  <c r="BS102" i="27"/>
  <c r="BU102" i="27" s="1"/>
  <c r="BP51" i="27"/>
  <c r="BF51" i="27"/>
  <c r="BE51" i="27"/>
  <c r="BB51" i="27"/>
  <c r="BA51" i="27"/>
  <c r="AV51" i="27"/>
  <c r="AW51" i="27" s="1"/>
  <c r="AU51" i="27"/>
  <c r="AR51" i="27"/>
  <c r="AQ51" i="27"/>
  <c r="AS51" i="27" s="1"/>
  <c r="AL51" i="27"/>
  <c r="N51" i="27"/>
  <c r="O51" i="27" s="1"/>
  <c r="L51" i="27"/>
  <c r="M51" i="27" s="1"/>
  <c r="K51" i="27"/>
  <c r="J51" i="27"/>
  <c r="I51" i="27"/>
  <c r="BV101" i="27"/>
  <c r="BX101" i="27" s="1"/>
  <c r="BS101" i="27"/>
  <c r="BU101" i="27" s="1"/>
  <c r="BP52" i="27"/>
  <c r="BF52" i="27"/>
  <c r="BE52" i="27"/>
  <c r="BB52" i="27"/>
  <c r="BA52" i="27"/>
  <c r="AV52" i="27"/>
  <c r="AW52" i="27" s="1"/>
  <c r="AU52" i="27"/>
  <c r="AR52" i="27"/>
  <c r="AQ52" i="27"/>
  <c r="AS52" i="27" s="1"/>
  <c r="AL52" i="27"/>
  <c r="N52" i="27"/>
  <c r="O52" i="27" s="1"/>
  <c r="L52" i="27"/>
  <c r="A52" i="27" s="1"/>
  <c r="K52" i="27"/>
  <c r="J52" i="27"/>
  <c r="I52" i="27"/>
  <c r="BL52" i="27" s="1"/>
  <c r="BV100" i="27"/>
  <c r="BX100" i="27" s="1"/>
  <c r="BS100" i="27"/>
  <c r="BP50" i="27"/>
  <c r="BF50" i="27"/>
  <c r="BE50" i="27"/>
  <c r="BB50" i="27"/>
  <c r="BA50" i="27"/>
  <c r="AV50" i="27"/>
  <c r="AW50" i="27" s="1"/>
  <c r="AU50" i="27"/>
  <c r="AR50" i="27"/>
  <c r="AQ50" i="27"/>
  <c r="AS50" i="27" s="1"/>
  <c r="AL50" i="27"/>
  <c r="AN50" i="27" s="1"/>
  <c r="N50" i="27"/>
  <c r="O50" i="27" s="1"/>
  <c r="L50" i="27"/>
  <c r="K50" i="27"/>
  <c r="J50" i="27"/>
  <c r="I50" i="27"/>
  <c r="BK50" i="27" s="1"/>
  <c r="BV99" i="27"/>
  <c r="BX99" i="27" s="1"/>
  <c r="BS99" i="27"/>
  <c r="BP49" i="27"/>
  <c r="BF49" i="27"/>
  <c r="BE49" i="27"/>
  <c r="BB49" i="27"/>
  <c r="BA49" i="27"/>
  <c r="AV49" i="27"/>
  <c r="AW49" i="27" s="1"/>
  <c r="AU49" i="27"/>
  <c r="AR49" i="27"/>
  <c r="AQ49" i="27"/>
  <c r="AS49" i="27" s="1"/>
  <c r="AL49" i="27"/>
  <c r="AN49" i="27" s="1"/>
  <c r="N49" i="27"/>
  <c r="O49" i="27" s="1"/>
  <c r="L49" i="27"/>
  <c r="BD49" i="27" s="1"/>
  <c r="K49" i="27"/>
  <c r="J49" i="27"/>
  <c r="I49" i="27"/>
  <c r="BK49" i="27" s="1"/>
  <c r="BV98" i="27"/>
  <c r="BX98" i="27" s="1"/>
  <c r="BS98" i="27"/>
  <c r="BP48" i="27"/>
  <c r="BR48" i="27" s="1"/>
  <c r="BF48" i="27"/>
  <c r="BE48" i="27"/>
  <c r="BB48" i="27"/>
  <c r="BA48" i="27"/>
  <c r="AV48" i="27"/>
  <c r="AW48" i="27" s="1"/>
  <c r="AU48" i="27"/>
  <c r="AR48" i="27"/>
  <c r="AQ48" i="27"/>
  <c r="AS48" i="27" s="1"/>
  <c r="AL48" i="27"/>
  <c r="N48" i="27"/>
  <c r="O48" i="27" s="1"/>
  <c r="L48" i="27"/>
  <c r="K48" i="27"/>
  <c r="J48" i="27"/>
  <c r="I48" i="27"/>
  <c r="BK48" i="27" s="1"/>
  <c r="BV97" i="27"/>
  <c r="BX97" i="27" s="1"/>
  <c r="BS97" i="27"/>
  <c r="BU97" i="27" s="1"/>
  <c r="BP46" i="27"/>
  <c r="BR46" i="27" s="1"/>
  <c r="BF46" i="27"/>
  <c r="BE46" i="27"/>
  <c r="BB46" i="27"/>
  <c r="BA46" i="27"/>
  <c r="AV46" i="27"/>
  <c r="AW46" i="27" s="1"/>
  <c r="AU46" i="27"/>
  <c r="AR46" i="27"/>
  <c r="AQ46" i="27"/>
  <c r="AS46" i="27" s="1"/>
  <c r="AL46" i="27"/>
  <c r="N46" i="27"/>
  <c r="O46" i="27" s="1"/>
  <c r="L46" i="27"/>
  <c r="K46" i="27"/>
  <c r="J46" i="27"/>
  <c r="I46" i="27"/>
  <c r="BV96" i="27"/>
  <c r="BX96" i="27" s="1"/>
  <c r="BS96" i="27"/>
  <c r="BU96" i="27" s="1"/>
  <c r="BP44" i="27"/>
  <c r="BF44" i="27"/>
  <c r="BE44" i="27"/>
  <c r="BB44" i="27"/>
  <c r="BA44" i="27"/>
  <c r="AV44" i="27"/>
  <c r="AW44" i="27" s="1"/>
  <c r="AU44" i="27"/>
  <c r="AR44" i="27"/>
  <c r="AQ44" i="27"/>
  <c r="AS44" i="27" s="1"/>
  <c r="AL44" i="27"/>
  <c r="AN44" i="27" s="1"/>
  <c r="N44" i="27"/>
  <c r="O44" i="27" s="1"/>
  <c r="L44" i="27"/>
  <c r="A44" i="27" s="1"/>
  <c r="K44" i="27"/>
  <c r="J44" i="27"/>
  <c r="I44" i="27"/>
  <c r="BK44" i="27" s="1"/>
  <c r="BV95" i="27"/>
  <c r="BX95" i="27" s="1"/>
  <c r="BS95" i="27"/>
  <c r="BP43" i="27"/>
  <c r="BR43" i="27" s="1"/>
  <c r="BF43" i="27"/>
  <c r="BE43" i="27"/>
  <c r="BB43" i="27"/>
  <c r="BA43" i="27"/>
  <c r="AV43" i="27"/>
  <c r="AW43" i="27" s="1"/>
  <c r="AU43" i="27"/>
  <c r="AR43" i="27"/>
  <c r="AQ43" i="27"/>
  <c r="AS43" i="27" s="1"/>
  <c r="AL43" i="27"/>
  <c r="AN43" i="27" s="1"/>
  <c r="N43" i="27"/>
  <c r="O43" i="27" s="1"/>
  <c r="L43" i="27"/>
  <c r="BD43" i="27" s="1"/>
  <c r="K43" i="27"/>
  <c r="J43" i="27"/>
  <c r="I43" i="27"/>
  <c r="BJ43" i="27" s="1"/>
  <c r="BV94" i="27"/>
  <c r="BX94" i="27" s="1"/>
  <c r="BS94" i="27"/>
  <c r="BP42" i="27"/>
  <c r="BR42" i="27" s="1"/>
  <c r="BF42" i="27"/>
  <c r="BE42" i="27"/>
  <c r="BB42" i="27"/>
  <c r="BA42" i="27"/>
  <c r="AV42" i="27"/>
  <c r="AW42" i="27" s="1"/>
  <c r="AU42" i="27"/>
  <c r="AR42" i="27"/>
  <c r="AQ42" i="27"/>
  <c r="AS42" i="27" s="1"/>
  <c r="AL42" i="27"/>
  <c r="N42" i="27"/>
  <c r="O42" i="27" s="1"/>
  <c r="L42" i="27"/>
  <c r="A42" i="27" s="1"/>
  <c r="K42" i="27"/>
  <c r="J42" i="27"/>
  <c r="I42" i="27"/>
  <c r="BV93" i="27"/>
  <c r="BX93" i="27" s="1"/>
  <c r="BS93" i="27"/>
  <c r="BP39" i="27"/>
  <c r="BR39" i="27" s="1"/>
  <c r="BF39" i="27"/>
  <c r="BE39" i="27"/>
  <c r="BB39" i="27"/>
  <c r="BA39" i="27"/>
  <c r="AV39" i="27"/>
  <c r="AW39" i="27" s="1"/>
  <c r="AU39" i="27"/>
  <c r="AR39" i="27"/>
  <c r="AQ39" i="27"/>
  <c r="AS39" i="27" s="1"/>
  <c r="AL39" i="27"/>
  <c r="AN39" i="27" s="1"/>
  <c r="N39" i="27"/>
  <c r="O39" i="27" s="1"/>
  <c r="L39" i="27"/>
  <c r="BW93" i="27" s="1"/>
  <c r="K39" i="27"/>
  <c r="J39" i="27"/>
  <c r="I39" i="27"/>
  <c r="BV92" i="27"/>
  <c r="BX92" i="27" s="1"/>
  <c r="BS92" i="27"/>
  <c r="BU92" i="27" s="1"/>
  <c r="BP38" i="27"/>
  <c r="BF38" i="27"/>
  <c r="BE38" i="27"/>
  <c r="BB38" i="27"/>
  <c r="BA38" i="27"/>
  <c r="AV38" i="27"/>
  <c r="AW38" i="27" s="1"/>
  <c r="AU38" i="27"/>
  <c r="AR38" i="27"/>
  <c r="AQ38" i="27"/>
  <c r="AS38" i="27" s="1"/>
  <c r="AL38" i="27"/>
  <c r="N38" i="27"/>
  <c r="O38" i="27" s="1"/>
  <c r="L38" i="27"/>
  <c r="A38" i="27" s="1"/>
  <c r="K38" i="27"/>
  <c r="J38" i="27"/>
  <c r="I38" i="27"/>
  <c r="BK38" i="27" s="1"/>
  <c r="BV91" i="27"/>
  <c r="BX91" i="27" s="1"/>
  <c r="BS91" i="27"/>
  <c r="BP36" i="27"/>
  <c r="BR36" i="27" s="1"/>
  <c r="BF36" i="27"/>
  <c r="BE36" i="27"/>
  <c r="BB36" i="27"/>
  <c r="BA36" i="27"/>
  <c r="AV36" i="27"/>
  <c r="AW36" i="27" s="1"/>
  <c r="AU36" i="27"/>
  <c r="AR36" i="27"/>
  <c r="AQ36" i="27"/>
  <c r="AS36" i="27" s="1"/>
  <c r="AL36" i="27"/>
  <c r="AN36" i="27" s="1"/>
  <c r="N36" i="27"/>
  <c r="O36" i="27" s="1"/>
  <c r="L36" i="27"/>
  <c r="A36" i="27" s="1"/>
  <c r="K36" i="27"/>
  <c r="J36" i="27"/>
  <c r="I36" i="27"/>
  <c r="BK36" i="27" s="1"/>
  <c r="BV90" i="27"/>
  <c r="BX90" i="27" s="1"/>
  <c r="BS90" i="27"/>
  <c r="BU90" i="27" s="1"/>
  <c r="BP35" i="27"/>
  <c r="BR35" i="27" s="1"/>
  <c r="BF35" i="27"/>
  <c r="BE35" i="27"/>
  <c r="BB35" i="27"/>
  <c r="BA35" i="27"/>
  <c r="AV35" i="27"/>
  <c r="AW35" i="27" s="1"/>
  <c r="AU35" i="27"/>
  <c r="AR35" i="27"/>
  <c r="AQ35" i="27"/>
  <c r="AS35" i="27" s="1"/>
  <c r="AL35" i="27"/>
  <c r="N35" i="27"/>
  <c r="O35" i="27" s="1"/>
  <c r="L35" i="27"/>
  <c r="A35" i="27" s="1"/>
  <c r="K35" i="27"/>
  <c r="J35" i="27"/>
  <c r="I35" i="27"/>
  <c r="BV89" i="27"/>
  <c r="BX89" i="27" s="1"/>
  <c r="BS89" i="27"/>
  <c r="BP34" i="27"/>
  <c r="BF34" i="27"/>
  <c r="BE34" i="27"/>
  <c r="BB34" i="27"/>
  <c r="BA34" i="27"/>
  <c r="AV34" i="27"/>
  <c r="AW34" i="27" s="1"/>
  <c r="AU34" i="27"/>
  <c r="AR34" i="27"/>
  <c r="AQ34" i="27"/>
  <c r="AS34" i="27" s="1"/>
  <c r="AL34" i="27"/>
  <c r="AM34" i="27" s="1"/>
  <c r="AO34" i="27" s="1"/>
  <c r="N34" i="27"/>
  <c r="O34" i="27" s="1"/>
  <c r="L34" i="27"/>
  <c r="BD34" i="27" s="1"/>
  <c r="K34" i="27"/>
  <c r="J34" i="27"/>
  <c r="I34" i="27"/>
  <c r="BK34" i="27" s="1"/>
  <c r="BV88" i="27"/>
  <c r="BX88" i="27" s="1"/>
  <c r="BS88" i="27"/>
  <c r="BT88" i="27" s="1"/>
  <c r="BP33" i="27"/>
  <c r="BF33" i="27"/>
  <c r="BE33" i="27"/>
  <c r="BB33" i="27"/>
  <c r="BA33" i="27"/>
  <c r="AV33" i="27"/>
  <c r="AW33" i="27" s="1"/>
  <c r="AU33" i="27"/>
  <c r="AR33" i="27"/>
  <c r="AQ33" i="27"/>
  <c r="AS33" i="27" s="1"/>
  <c r="AL33" i="27"/>
  <c r="AM33" i="27" s="1"/>
  <c r="AO33" i="27" s="1"/>
  <c r="N33" i="27"/>
  <c r="O33" i="27" s="1"/>
  <c r="L33" i="27"/>
  <c r="A33" i="27" s="1"/>
  <c r="K33" i="27"/>
  <c r="J33" i="27"/>
  <c r="I33" i="27"/>
  <c r="BK33" i="27" s="1"/>
  <c r="BV87" i="27"/>
  <c r="BX87" i="27" s="1"/>
  <c r="BS87" i="27"/>
  <c r="BP32" i="27"/>
  <c r="BF32" i="27"/>
  <c r="BE32" i="27"/>
  <c r="BB32" i="27"/>
  <c r="BA32" i="27"/>
  <c r="AV32" i="27"/>
  <c r="AW32" i="27" s="1"/>
  <c r="AU32" i="27"/>
  <c r="AR32" i="27"/>
  <c r="AQ32" i="27"/>
  <c r="AS32" i="27" s="1"/>
  <c r="AL32" i="27"/>
  <c r="N32" i="27"/>
  <c r="O32" i="27" s="1"/>
  <c r="L32" i="27"/>
  <c r="BD32" i="27" s="1"/>
  <c r="K32" i="27"/>
  <c r="J32" i="27"/>
  <c r="I32" i="27"/>
  <c r="BL32" i="27" s="1"/>
  <c r="BV86" i="27"/>
  <c r="BX86" i="27" s="1"/>
  <c r="BS86" i="27"/>
  <c r="BT86" i="27" s="1"/>
  <c r="BP31" i="27"/>
  <c r="BF31" i="27"/>
  <c r="BE31" i="27"/>
  <c r="BB31" i="27"/>
  <c r="BA31" i="27"/>
  <c r="AV31" i="27"/>
  <c r="AW31" i="27" s="1"/>
  <c r="AU31" i="27"/>
  <c r="AR31" i="27"/>
  <c r="AQ31" i="27"/>
  <c r="AS31" i="27" s="1"/>
  <c r="AL31" i="27"/>
  <c r="AN31" i="27" s="1"/>
  <c r="N31" i="27"/>
  <c r="O31" i="27" s="1"/>
  <c r="L31" i="27"/>
  <c r="K31" i="27"/>
  <c r="J31" i="27"/>
  <c r="I31" i="27"/>
  <c r="BK31" i="27" s="1"/>
  <c r="BV85" i="27"/>
  <c r="BX85" i="27" s="1"/>
  <c r="BS85" i="27"/>
  <c r="BP30" i="27"/>
  <c r="BR30" i="27" s="1"/>
  <c r="BF30" i="27"/>
  <c r="BE30" i="27"/>
  <c r="BB30" i="27"/>
  <c r="BA30" i="27"/>
  <c r="AV30" i="27"/>
  <c r="AW30" i="27" s="1"/>
  <c r="AU30" i="27"/>
  <c r="AR30" i="27"/>
  <c r="AQ30" i="27"/>
  <c r="AS30" i="27" s="1"/>
  <c r="AL30" i="27"/>
  <c r="AN30" i="27" s="1"/>
  <c r="N30" i="27"/>
  <c r="O30" i="27" s="1"/>
  <c r="L30" i="27"/>
  <c r="A30" i="27" s="1"/>
  <c r="K30" i="27"/>
  <c r="J30" i="27"/>
  <c r="I30" i="27"/>
  <c r="BK30" i="27" s="1"/>
  <c r="BV84" i="27"/>
  <c r="BX84" i="27" s="1"/>
  <c r="BS84" i="27"/>
  <c r="BP29" i="27"/>
  <c r="BQ29" i="27" s="1"/>
  <c r="BF29" i="27"/>
  <c r="BE29" i="27"/>
  <c r="BB29" i="27"/>
  <c r="BA29" i="27"/>
  <c r="AV29" i="27"/>
  <c r="AW29" i="27" s="1"/>
  <c r="AU29" i="27"/>
  <c r="AR29" i="27"/>
  <c r="AQ29" i="27"/>
  <c r="AS29" i="27" s="1"/>
  <c r="AL29" i="27"/>
  <c r="N29" i="27"/>
  <c r="O29" i="27" s="1"/>
  <c r="L29" i="27"/>
  <c r="M29" i="27" s="1"/>
  <c r="K29" i="27"/>
  <c r="J29" i="27"/>
  <c r="I29" i="27"/>
  <c r="BL29" i="27" s="1"/>
  <c r="BV82" i="27"/>
  <c r="BX82" i="27" s="1"/>
  <c r="BS82" i="27"/>
  <c r="BP28" i="27"/>
  <c r="BF28" i="27"/>
  <c r="BE28" i="27"/>
  <c r="BB28" i="27"/>
  <c r="BA28" i="27"/>
  <c r="AV28" i="27"/>
  <c r="AW28" i="27" s="1"/>
  <c r="AU28" i="27"/>
  <c r="AR28" i="27"/>
  <c r="AQ28" i="27"/>
  <c r="AS28" i="27" s="1"/>
  <c r="AL28" i="27"/>
  <c r="AM28" i="27" s="1"/>
  <c r="AO28" i="27" s="1"/>
  <c r="N28" i="27"/>
  <c r="O28" i="27" s="1"/>
  <c r="L28" i="27"/>
  <c r="M28" i="27" s="1"/>
  <c r="K28" i="27"/>
  <c r="J28" i="27"/>
  <c r="I28" i="27"/>
  <c r="BK28" i="27" s="1"/>
  <c r="BV81" i="27"/>
  <c r="BX81" i="27" s="1"/>
  <c r="BS81" i="27"/>
  <c r="BP27" i="27"/>
  <c r="BQ27" i="27" s="1"/>
  <c r="BF27" i="27"/>
  <c r="BE27" i="27"/>
  <c r="BB27" i="27"/>
  <c r="BA27" i="27"/>
  <c r="AV27" i="27"/>
  <c r="AW27" i="27" s="1"/>
  <c r="AU27" i="27"/>
  <c r="AR27" i="27"/>
  <c r="AQ27" i="27"/>
  <c r="AS27" i="27" s="1"/>
  <c r="AL27" i="27"/>
  <c r="AM27" i="27" s="1"/>
  <c r="AO27" i="27" s="1"/>
  <c r="N27" i="27"/>
  <c r="O27" i="27" s="1"/>
  <c r="L27" i="27"/>
  <c r="M27" i="27" s="1"/>
  <c r="K27" i="27"/>
  <c r="J27" i="27"/>
  <c r="I27" i="27"/>
  <c r="BN27" i="27" s="1"/>
  <c r="BV80" i="27"/>
  <c r="BX80" i="27" s="1"/>
  <c r="BS80" i="27"/>
  <c r="BP26" i="27"/>
  <c r="BQ26" i="27" s="1"/>
  <c r="BF26" i="27"/>
  <c r="BE26" i="27"/>
  <c r="BB26" i="27"/>
  <c r="BA26" i="27"/>
  <c r="AV26" i="27"/>
  <c r="AW26" i="27" s="1"/>
  <c r="AU26" i="27"/>
  <c r="AR26" i="27"/>
  <c r="AQ26" i="27"/>
  <c r="AS26" i="27" s="1"/>
  <c r="AL26" i="27"/>
  <c r="N26" i="27"/>
  <c r="O26" i="27" s="1"/>
  <c r="L26" i="27"/>
  <c r="A26" i="27" s="1"/>
  <c r="K26" i="27"/>
  <c r="J26" i="27"/>
  <c r="I26" i="27"/>
  <c r="BV79" i="27"/>
  <c r="BX79" i="27" s="1"/>
  <c r="BS79" i="27"/>
  <c r="BP25" i="27"/>
  <c r="BQ25" i="27" s="1"/>
  <c r="BF25" i="27"/>
  <c r="BE25" i="27"/>
  <c r="BB25" i="27"/>
  <c r="BA25" i="27"/>
  <c r="AV25" i="27"/>
  <c r="AW25" i="27" s="1"/>
  <c r="AU25" i="27"/>
  <c r="AR25" i="27"/>
  <c r="AQ25" i="27"/>
  <c r="AS25" i="27" s="1"/>
  <c r="AL25" i="27"/>
  <c r="N25" i="27"/>
  <c r="O25" i="27" s="1"/>
  <c r="L25" i="27"/>
  <c r="M25" i="27" s="1"/>
  <c r="K25" i="27"/>
  <c r="J25" i="27"/>
  <c r="I25" i="27"/>
  <c r="BK25" i="27" s="1"/>
  <c r="BV78" i="27"/>
  <c r="BX78" i="27" s="1"/>
  <c r="BS78" i="27"/>
  <c r="BP21" i="27"/>
  <c r="BF21" i="27"/>
  <c r="BE21" i="27"/>
  <c r="BB21" i="27"/>
  <c r="BA21" i="27"/>
  <c r="AV21" i="27"/>
  <c r="AW21" i="27" s="1"/>
  <c r="AU21" i="27"/>
  <c r="AR21" i="27"/>
  <c r="AQ21" i="27"/>
  <c r="AS21" i="27" s="1"/>
  <c r="AL21" i="27"/>
  <c r="AM21" i="27" s="1"/>
  <c r="AO21" i="27" s="1"/>
  <c r="N21" i="27"/>
  <c r="O21" i="27" s="1"/>
  <c r="L21" i="27"/>
  <c r="M21" i="27" s="1"/>
  <c r="K21" i="27"/>
  <c r="J21" i="27"/>
  <c r="I21" i="27"/>
  <c r="BL21" i="27" s="1"/>
  <c r="BV77" i="27"/>
  <c r="BX77" i="27" s="1"/>
  <c r="BS77" i="27"/>
  <c r="BP20" i="27"/>
  <c r="BQ20" i="27" s="1"/>
  <c r="BF20" i="27"/>
  <c r="BE20" i="27"/>
  <c r="BB20" i="27"/>
  <c r="BA20" i="27"/>
  <c r="AV20" i="27"/>
  <c r="AW20" i="27" s="1"/>
  <c r="AU20" i="27"/>
  <c r="AR20" i="27"/>
  <c r="AQ20" i="27"/>
  <c r="AS20" i="27" s="1"/>
  <c r="AL20" i="27"/>
  <c r="AM20" i="27" s="1"/>
  <c r="AO20" i="27" s="1"/>
  <c r="N20" i="27"/>
  <c r="O20" i="27" s="1"/>
  <c r="L20" i="27"/>
  <c r="M20" i="27" s="1"/>
  <c r="K20" i="27"/>
  <c r="J20" i="27"/>
  <c r="I20" i="27"/>
  <c r="BN20" i="27" s="1"/>
  <c r="BV76" i="27"/>
  <c r="BX76" i="27" s="1"/>
  <c r="BS76" i="27"/>
  <c r="BP19" i="27"/>
  <c r="BQ19" i="27" s="1"/>
  <c r="BF19" i="27"/>
  <c r="BE19" i="27"/>
  <c r="BB19" i="27"/>
  <c r="BA19" i="27"/>
  <c r="AV19" i="27"/>
  <c r="AW19" i="27" s="1"/>
  <c r="AU19" i="27"/>
  <c r="AR19" i="27"/>
  <c r="AQ19" i="27"/>
  <c r="AS19" i="27" s="1"/>
  <c r="AL19" i="27"/>
  <c r="AM19" i="27" s="1"/>
  <c r="AO19" i="27" s="1"/>
  <c r="N19" i="27"/>
  <c r="O19" i="27" s="1"/>
  <c r="L19" i="27"/>
  <c r="A19" i="27" s="1"/>
  <c r="K19" i="27"/>
  <c r="J19" i="27"/>
  <c r="I19" i="27"/>
  <c r="BV75" i="27"/>
  <c r="BX75" i="27" s="1"/>
  <c r="BS75" i="27"/>
  <c r="BP18" i="27"/>
  <c r="BF18" i="27"/>
  <c r="BE18" i="27"/>
  <c r="BB18" i="27"/>
  <c r="BA18" i="27"/>
  <c r="AV18" i="27"/>
  <c r="AW18" i="27" s="1"/>
  <c r="AU18" i="27"/>
  <c r="AR18" i="27"/>
  <c r="AQ18" i="27"/>
  <c r="AS18" i="27" s="1"/>
  <c r="AL18" i="27"/>
  <c r="N18" i="27"/>
  <c r="O18" i="27" s="1"/>
  <c r="L18" i="27"/>
  <c r="M18" i="27" s="1"/>
  <c r="K18" i="27"/>
  <c r="J18" i="27"/>
  <c r="I18" i="27"/>
  <c r="BK18" i="27" s="1"/>
  <c r="BV74" i="27"/>
  <c r="BX74" i="27" s="1"/>
  <c r="BS74" i="27"/>
  <c r="BP17" i="27"/>
  <c r="BF17" i="27"/>
  <c r="BE17" i="27"/>
  <c r="BB17" i="27"/>
  <c r="BA17" i="27"/>
  <c r="AV17" i="27"/>
  <c r="AW17" i="27" s="1"/>
  <c r="AU17" i="27"/>
  <c r="AR17" i="27"/>
  <c r="AQ17" i="27"/>
  <c r="AS17" i="27" s="1"/>
  <c r="AL17" i="27"/>
  <c r="AM17" i="27" s="1"/>
  <c r="AO17" i="27" s="1"/>
  <c r="N17" i="27"/>
  <c r="O17" i="27" s="1"/>
  <c r="L17" i="27"/>
  <c r="K17" i="27"/>
  <c r="J17" i="27"/>
  <c r="I17" i="27"/>
  <c r="BV73" i="27"/>
  <c r="BX73" i="27" s="1"/>
  <c r="BS73" i="27"/>
  <c r="BP15" i="27"/>
  <c r="BQ15" i="27" s="1"/>
  <c r="BF15" i="27"/>
  <c r="BE15" i="27"/>
  <c r="BB15" i="27"/>
  <c r="BA15" i="27"/>
  <c r="AV15" i="27"/>
  <c r="AW15" i="27" s="1"/>
  <c r="AU15" i="27"/>
  <c r="AR15" i="27"/>
  <c r="AQ15" i="27"/>
  <c r="AS15" i="27" s="1"/>
  <c r="AL15" i="27"/>
  <c r="AM15" i="27" s="1"/>
  <c r="AO15" i="27" s="1"/>
  <c r="N15" i="27"/>
  <c r="O15" i="27" s="1"/>
  <c r="L15" i="27"/>
  <c r="M15" i="27" s="1"/>
  <c r="K15" i="27"/>
  <c r="J15" i="27"/>
  <c r="I15" i="27"/>
  <c r="BK15" i="27" s="1"/>
  <c r="BV72" i="27"/>
  <c r="BX72" i="27" s="1"/>
  <c r="BS72" i="27"/>
  <c r="BT72" i="27" s="1"/>
  <c r="BP14" i="27"/>
  <c r="BF14" i="27"/>
  <c r="BE14" i="27"/>
  <c r="BB14" i="27"/>
  <c r="BA14" i="27"/>
  <c r="AV14" i="27"/>
  <c r="AW14" i="27" s="1"/>
  <c r="AU14" i="27"/>
  <c r="AR14" i="27"/>
  <c r="AQ14" i="27"/>
  <c r="AS14" i="27" s="1"/>
  <c r="AL14" i="27"/>
  <c r="AN14" i="27" s="1"/>
  <c r="N14" i="27"/>
  <c r="O14" i="27" s="1"/>
  <c r="L14" i="27"/>
  <c r="K14" i="27"/>
  <c r="J14" i="27"/>
  <c r="I14" i="27"/>
  <c r="BI14" i="27" s="1"/>
  <c r="BV71" i="27"/>
  <c r="BX71" i="27" s="1"/>
  <c r="BS71" i="27"/>
  <c r="BT71" i="27" s="1"/>
  <c r="BP13" i="27"/>
  <c r="BF13" i="27"/>
  <c r="BE13" i="27"/>
  <c r="BB13" i="27"/>
  <c r="BA13" i="27"/>
  <c r="AV13" i="27"/>
  <c r="AW13" i="27" s="1"/>
  <c r="AU13" i="27"/>
  <c r="N13" i="27"/>
  <c r="O13" i="27" s="1"/>
  <c r="L13" i="27"/>
  <c r="BD13" i="27" s="1"/>
  <c r="K13" i="27"/>
  <c r="J13" i="27"/>
  <c r="I13" i="27"/>
  <c r="BI13" i="27" s="1"/>
  <c r="BV70" i="27"/>
  <c r="BX70" i="27" s="1"/>
  <c r="BS70" i="27"/>
  <c r="BT70" i="27" s="1"/>
  <c r="BP12" i="27"/>
  <c r="BF12" i="27"/>
  <c r="BE12" i="27"/>
  <c r="BB12" i="27"/>
  <c r="BA12" i="27"/>
  <c r="AV12" i="27"/>
  <c r="AW12" i="27" s="1"/>
  <c r="AU12" i="27"/>
  <c r="AR12" i="27"/>
  <c r="AQ12" i="27"/>
  <c r="AS12" i="27" s="1"/>
  <c r="AL12" i="27"/>
  <c r="N12" i="27"/>
  <c r="O12" i="27" s="1"/>
  <c r="L12" i="27"/>
  <c r="A12" i="27" s="1"/>
  <c r="K12" i="27"/>
  <c r="J12" i="27"/>
  <c r="I12" i="27"/>
  <c r="BI12" i="27" s="1"/>
  <c r="BV69" i="27"/>
  <c r="BX69" i="27" s="1"/>
  <c r="BS69" i="27"/>
  <c r="BP11" i="27"/>
  <c r="BF11" i="27"/>
  <c r="BE11" i="27"/>
  <c r="BB11" i="27"/>
  <c r="BA11" i="27"/>
  <c r="AV11" i="27"/>
  <c r="AW11" i="27" s="1"/>
  <c r="AU11" i="27"/>
  <c r="AR11" i="27"/>
  <c r="AQ11" i="27"/>
  <c r="AS11" i="27" s="1"/>
  <c r="AL11" i="27"/>
  <c r="AN11" i="27" s="1"/>
  <c r="N11" i="27"/>
  <c r="O11" i="27" s="1"/>
  <c r="L11" i="27"/>
  <c r="K11" i="27"/>
  <c r="J11" i="27"/>
  <c r="I11" i="27"/>
  <c r="BI11" i="27" s="1"/>
  <c r="BV68" i="27"/>
  <c r="BX68" i="27" s="1"/>
  <c r="BS68" i="27"/>
  <c r="BP10" i="27"/>
  <c r="BF10" i="27"/>
  <c r="BE10" i="27"/>
  <c r="BB10" i="27"/>
  <c r="BA10" i="27"/>
  <c r="AV10" i="27"/>
  <c r="AW10" i="27" s="1"/>
  <c r="AU10" i="27"/>
  <c r="AR10" i="27"/>
  <c r="AQ10" i="27"/>
  <c r="AS10" i="27" s="1"/>
  <c r="AL10" i="27"/>
  <c r="AN10" i="27" s="1"/>
  <c r="N10" i="27"/>
  <c r="O10" i="27" s="1"/>
  <c r="L10" i="27"/>
  <c r="BD10" i="27" s="1"/>
  <c r="K10" i="27"/>
  <c r="J10" i="27"/>
  <c r="I10" i="27"/>
  <c r="BI10" i="27" s="1"/>
  <c r="BV67" i="27"/>
  <c r="BX67" i="27" s="1"/>
  <c r="BS67" i="27"/>
  <c r="BT67" i="27" s="1"/>
  <c r="BP9" i="27"/>
  <c r="BR9" i="27" s="1"/>
  <c r="BF9" i="27"/>
  <c r="BE9" i="27"/>
  <c r="BB9" i="27"/>
  <c r="BA9" i="27"/>
  <c r="AV9" i="27"/>
  <c r="AW9" i="27" s="1"/>
  <c r="AU9" i="27"/>
  <c r="AR9" i="27"/>
  <c r="AQ9" i="27"/>
  <c r="AS9" i="27" s="1"/>
  <c r="AL9" i="27"/>
  <c r="N9" i="27"/>
  <c r="O9" i="27" s="1"/>
  <c r="L9" i="27"/>
  <c r="K9" i="27"/>
  <c r="J9" i="27"/>
  <c r="I9" i="27"/>
  <c r="BV66" i="27"/>
  <c r="BX66" i="27" s="1"/>
  <c r="BS66" i="27"/>
  <c r="BU66" i="27" s="1"/>
  <c r="BP8" i="27"/>
  <c r="BR8" i="27" s="1"/>
  <c r="BF8" i="27"/>
  <c r="BE8" i="27"/>
  <c r="BB8" i="27"/>
  <c r="BA8" i="27"/>
  <c r="AV8" i="27"/>
  <c r="AW8" i="27" s="1"/>
  <c r="AU8" i="27"/>
  <c r="AR8" i="27"/>
  <c r="AQ8" i="27"/>
  <c r="AS8" i="27" s="1"/>
  <c r="AL8" i="27"/>
  <c r="AN8" i="27" s="1"/>
  <c r="N8" i="27"/>
  <c r="O8" i="27" s="1"/>
  <c r="L8" i="27"/>
  <c r="A8" i="27" s="1"/>
  <c r="K8" i="27"/>
  <c r="J8" i="27"/>
  <c r="I8" i="27"/>
  <c r="BJ8" i="27" s="1"/>
  <c r="BV65" i="27"/>
  <c r="BX65" i="27" s="1"/>
  <c r="BS65" i="27"/>
  <c r="BU65" i="27" s="1"/>
  <c r="BP7" i="27"/>
  <c r="BF7" i="27"/>
  <c r="BE7" i="27"/>
  <c r="BB7" i="27"/>
  <c r="BA7" i="27"/>
  <c r="AV7" i="27"/>
  <c r="AW7" i="27" s="1"/>
  <c r="AU7" i="27"/>
  <c r="AR7" i="27"/>
  <c r="AQ7" i="27"/>
  <c r="AS7" i="27" s="1"/>
  <c r="AL7" i="27"/>
  <c r="N7" i="27"/>
  <c r="O7" i="27" s="1"/>
  <c r="L7" i="27"/>
  <c r="A7" i="27" s="1"/>
  <c r="K7" i="27"/>
  <c r="J7" i="27"/>
  <c r="I7" i="27"/>
  <c r="BL7" i="27" s="1"/>
  <c r="BV64" i="27"/>
  <c r="BX64" i="27" s="1"/>
  <c r="BS64" i="27"/>
  <c r="BU64" i="27" s="1"/>
  <c r="BP6" i="27"/>
  <c r="BQ6" i="27" s="1"/>
  <c r="BF6" i="27"/>
  <c r="BE6" i="27"/>
  <c r="BB6" i="27"/>
  <c r="BA6" i="27"/>
  <c r="AV6" i="27"/>
  <c r="AW6" i="27" s="1"/>
  <c r="AU6" i="27"/>
  <c r="AR6" i="27"/>
  <c r="AQ6" i="27"/>
  <c r="AS6" i="27" s="1"/>
  <c r="AL6" i="27"/>
  <c r="N6" i="27"/>
  <c r="O6" i="27" s="1"/>
  <c r="L6" i="27"/>
  <c r="A6" i="27" s="1"/>
  <c r="K6" i="27"/>
  <c r="J6" i="27"/>
  <c r="I6" i="27"/>
  <c r="BL6" i="27" s="1"/>
  <c r="BV63" i="27"/>
  <c r="BX63" i="27" s="1"/>
  <c r="BS63" i="27"/>
  <c r="BP268" i="27"/>
  <c r="BR268" i="27" s="1"/>
  <c r="BF268" i="27"/>
  <c r="BE268" i="27"/>
  <c r="BB268" i="27"/>
  <c r="BA268" i="27"/>
  <c r="AV268" i="27"/>
  <c r="AW268" i="27" s="1"/>
  <c r="AU268" i="27"/>
  <c r="AR268" i="27"/>
  <c r="AQ268" i="27"/>
  <c r="AS268" i="27" s="1"/>
  <c r="AL268" i="27"/>
  <c r="N268" i="27"/>
  <c r="O268" i="27" s="1"/>
  <c r="L268" i="27"/>
  <c r="K268" i="27"/>
  <c r="J268" i="27"/>
  <c r="I268" i="27"/>
  <c r="BJ268" i="27" s="1"/>
  <c r="BV62" i="27"/>
  <c r="BX62" i="27" s="1"/>
  <c r="BS62" i="27"/>
  <c r="BP267" i="27"/>
  <c r="BR267" i="27" s="1"/>
  <c r="BF267" i="27"/>
  <c r="BE267" i="27"/>
  <c r="BB267" i="27"/>
  <c r="BA267" i="27"/>
  <c r="AV267" i="27"/>
  <c r="AW267" i="27" s="1"/>
  <c r="AU267" i="27"/>
  <c r="AR267" i="27"/>
  <c r="AQ267" i="27"/>
  <c r="AS267" i="27" s="1"/>
  <c r="AL267" i="27"/>
  <c r="AN267" i="27" s="1"/>
  <c r="N267" i="27"/>
  <c r="O267" i="27" s="1"/>
  <c r="L267" i="27"/>
  <c r="A267" i="27" s="1"/>
  <c r="K267" i="27"/>
  <c r="J267" i="27"/>
  <c r="I267" i="27"/>
  <c r="BV60" i="27"/>
  <c r="BX60" i="27" s="1"/>
  <c r="BS60" i="27"/>
  <c r="BU60" i="27" s="1"/>
  <c r="BP266" i="27"/>
  <c r="BF266" i="27"/>
  <c r="BE266" i="27"/>
  <c r="BB266" i="27"/>
  <c r="BA266" i="27"/>
  <c r="AV266" i="27"/>
  <c r="AW266" i="27" s="1"/>
  <c r="AU266" i="27"/>
  <c r="AR266" i="27"/>
  <c r="AQ266" i="27"/>
  <c r="AS266" i="27" s="1"/>
  <c r="AL266" i="27"/>
  <c r="AN266" i="27" s="1"/>
  <c r="N266" i="27"/>
  <c r="O266" i="27" s="1"/>
  <c r="L266" i="27"/>
  <c r="A266" i="27" s="1"/>
  <c r="K266" i="27"/>
  <c r="J266" i="27"/>
  <c r="I266" i="27"/>
  <c r="BL266" i="27" s="1"/>
  <c r="BV59" i="27"/>
  <c r="BX59" i="27" s="1"/>
  <c r="BS59" i="27"/>
  <c r="BP265" i="27"/>
  <c r="BQ265" i="27" s="1"/>
  <c r="BF265" i="27"/>
  <c r="BE265" i="27"/>
  <c r="BB265" i="27"/>
  <c r="BA265" i="27"/>
  <c r="AV265" i="27"/>
  <c r="AW265" i="27" s="1"/>
  <c r="AU265" i="27"/>
  <c r="AR265" i="27"/>
  <c r="AQ265" i="27"/>
  <c r="AS265" i="27" s="1"/>
  <c r="AL265" i="27"/>
  <c r="N265" i="27"/>
  <c r="O265" i="27" s="1"/>
  <c r="L265" i="27"/>
  <c r="K265" i="27"/>
  <c r="J265" i="27"/>
  <c r="I265" i="27"/>
  <c r="BV58" i="27"/>
  <c r="BX58" i="27" s="1"/>
  <c r="BS58" i="27"/>
  <c r="BP264" i="27"/>
  <c r="BQ264" i="27" s="1"/>
  <c r="BF264" i="27"/>
  <c r="BE264" i="27"/>
  <c r="BB264" i="27"/>
  <c r="BA264" i="27"/>
  <c r="AV264" i="27"/>
  <c r="AW264" i="27" s="1"/>
  <c r="AU264" i="27"/>
  <c r="AR264" i="27"/>
  <c r="AQ264" i="27"/>
  <c r="AS264" i="27" s="1"/>
  <c r="AL264" i="27"/>
  <c r="AM264" i="27" s="1"/>
  <c r="AO264" i="27" s="1"/>
  <c r="N264" i="27"/>
  <c r="O264" i="27" s="1"/>
  <c r="L264" i="27"/>
  <c r="A264" i="27" s="1"/>
  <c r="K264" i="27"/>
  <c r="J264" i="27"/>
  <c r="I264" i="27"/>
  <c r="BV57" i="27"/>
  <c r="BX57" i="27" s="1"/>
  <c r="BS57" i="27"/>
  <c r="BU57" i="27" s="1"/>
  <c r="BP263" i="27"/>
  <c r="BR263" i="27" s="1"/>
  <c r="BF263" i="27"/>
  <c r="BE263" i="27"/>
  <c r="BB263" i="27"/>
  <c r="BA263" i="27"/>
  <c r="AV263" i="27"/>
  <c r="AW263" i="27" s="1"/>
  <c r="AU263" i="27"/>
  <c r="AR263" i="27"/>
  <c r="AQ263" i="27"/>
  <c r="AS263" i="27" s="1"/>
  <c r="AL263" i="27"/>
  <c r="N263" i="27"/>
  <c r="O263" i="27" s="1"/>
  <c r="L263" i="27"/>
  <c r="A263" i="27" s="1"/>
  <c r="K263" i="27"/>
  <c r="J263" i="27"/>
  <c r="I263" i="27"/>
  <c r="BJ263" i="27" s="1"/>
  <c r="BV56" i="27"/>
  <c r="BX56" i="27" s="1"/>
  <c r="BS56" i="27"/>
  <c r="BU56" i="27" s="1"/>
  <c r="BP225" i="27"/>
  <c r="BF225" i="27"/>
  <c r="BE225" i="27"/>
  <c r="BB225" i="27"/>
  <c r="BA225" i="27"/>
  <c r="AV225" i="27"/>
  <c r="AW225" i="27" s="1"/>
  <c r="AU225" i="27"/>
  <c r="AR225" i="27"/>
  <c r="AQ225" i="27"/>
  <c r="AS225" i="27" s="1"/>
  <c r="AL225" i="27"/>
  <c r="AN225" i="27" s="1"/>
  <c r="N225" i="27"/>
  <c r="O225" i="27" s="1"/>
  <c r="L225" i="27"/>
  <c r="A225" i="27" s="1"/>
  <c r="K225" i="27"/>
  <c r="J225" i="27"/>
  <c r="I225" i="27"/>
  <c r="BL225" i="27" s="1"/>
  <c r="BV55" i="27"/>
  <c r="BX55" i="27" s="1"/>
  <c r="BS55" i="27"/>
  <c r="BU55" i="27" s="1"/>
  <c r="BP224" i="27"/>
  <c r="BQ224" i="27" s="1"/>
  <c r="BF224" i="27"/>
  <c r="BE224" i="27"/>
  <c r="BB224" i="27"/>
  <c r="BA224" i="27"/>
  <c r="AV224" i="27"/>
  <c r="AW224" i="27" s="1"/>
  <c r="AU224" i="27"/>
  <c r="AR224" i="27"/>
  <c r="AQ224" i="27"/>
  <c r="AS224" i="27" s="1"/>
  <c r="AL224" i="27"/>
  <c r="N224" i="27"/>
  <c r="O224" i="27" s="1"/>
  <c r="L224" i="27"/>
  <c r="K224" i="27"/>
  <c r="J224" i="27"/>
  <c r="I224" i="27"/>
  <c r="BL224" i="27" s="1"/>
  <c r="BV54" i="27"/>
  <c r="BX54" i="27" s="1"/>
  <c r="BS54" i="27"/>
  <c r="BT54" i="27" s="1"/>
  <c r="BP191" i="27"/>
  <c r="BR191" i="27" s="1"/>
  <c r="BF191" i="27"/>
  <c r="BE191" i="27"/>
  <c r="BB191" i="27"/>
  <c r="BA191" i="27"/>
  <c r="AV191" i="27"/>
  <c r="AW191" i="27" s="1"/>
  <c r="AU191" i="27"/>
  <c r="AR191" i="27"/>
  <c r="AQ191" i="27"/>
  <c r="AS191" i="27" s="1"/>
  <c r="AL191" i="27"/>
  <c r="AN191" i="27" s="1"/>
  <c r="N191" i="27"/>
  <c r="O191" i="27" s="1"/>
  <c r="L191" i="27"/>
  <c r="BD191" i="27" s="1"/>
  <c r="K191" i="27"/>
  <c r="J191" i="27"/>
  <c r="I191" i="27"/>
  <c r="BJ191" i="27" s="1"/>
  <c r="BV53" i="27"/>
  <c r="BX53" i="27" s="1"/>
  <c r="BS53" i="27"/>
  <c r="BP190" i="27"/>
  <c r="BQ190" i="27" s="1"/>
  <c r="BF190" i="27"/>
  <c r="BE190" i="27"/>
  <c r="BB190" i="27"/>
  <c r="BA190" i="27"/>
  <c r="AV190" i="27"/>
  <c r="AW190" i="27" s="1"/>
  <c r="AU190" i="27"/>
  <c r="AR190" i="27"/>
  <c r="AQ190" i="27"/>
  <c r="AS190" i="27" s="1"/>
  <c r="AL190" i="27"/>
  <c r="N190" i="27"/>
  <c r="O190" i="27" s="1"/>
  <c r="L190" i="27"/>
  <c r="BD190" i="27" s="1"/>
  <c r="K190" i="27"/>
  <c r="J190" i="27"/>
  <c r="I190" i="27"/>
  <c r="BN190" i="27" s="1"/>
  <c r="BV52" i="27"/>
  <c r="BX52" i="27" s="1"/>
  <c r="BS52" i="27"/>
  <c r="BT52" i="27" s="1"/>
  <c r="BP189" i="27"/>
  <c r="BR189" i="27" s="1"/>
  <c r="BF189" i="27"/>
  <c r="BE189" i="27"/>
  <c r="BB189" i="27"/>
  <c r="BA189" i="27"/>
  <c r="AV189" i="27"/>
  <c r="AW189" i="27" s="1"/>
  <c r="AU189" i="27"/>
  <c r="AR189" i="27"/>
  <c r="AQ189" i="27"/>
  <c r="AS189" i="27" s="1"/>
  <c r="AL189" i="27"/>
  <c r="AN189" i="27" s="1"/>
  <c r="N189" i="27"/>
  <c r="O189" i="27" s="1"/>
  <c r="L189" i="27"/>
  <c r="BD189" i="27" s="1"/>
  <c r="K189" i="27"/>
  <c r="J189" i="27"/>
  <c r="I189" i="27"/>
  <c r="BI189" i="27" s="1"/>
  <c r="BV51" i="27"/>
  <c r="BX51" i="27" s="1"/>
  <c r="BS51" i="27"/>
  <c r="BT51" i="27" s="1"/>
  <c r="BP188" i="27"/>
  <c r="BR188" i="27" s="1"/>
  <c r="BF188" i="27"/>
  <c r="BE188" i="27"/>
  <c r="BB188" i="27"/>
  <c r="BA188" i="27"/>
  <c r="AV188" i="27"/>
  <c r="AW188" i="27" s="1"/>
  <c r="AU188" i="27"/>
  <c r="AR188" i="27"/>
  <c r="AQ188" i="27"/>
  <c r="AS188" i="27" s="1"/>
  <c r="AL188" i="27"/>
  <c r="AN188" i="27" s="1"/>
  <c r="N188" i="27"/>
  <c r="O188" i="27" s="1"/>
  <c r="L188" i="27"/>
  <c r="BD188" i="27" s="1"/>
  <c r="K188" i="27"/>
  <c r="J188" i="27"/>
  <c r="I188" i="27"/>
  <c r="BV50" i="27"/>
  <c r="BX50" i="27" s="1"/>
  <c r="BS50" i="27"/>
  <c r="BT50" i="27" s="1"/>
  <c r="BP187" i="27"/>
  <c r="BR187" i="27" s="1"/>
  <c r="BF187" i="27"/>
  <c r="BE187" i="27"/>
  <c r="BB187" i="27"/>
  <c r="BA187" i="27"/>
  <c r="AV187" i="27"/>
  <c r="AW187" i="27" s="1"/>
  <c r="AU187" i="27"/>
  <c r="AR187" i="27"/>
  <c r="AQ187" i="27"/>
  <c r="AS187" i="27" s="1"/>
  <c r="AL187" i="27"/>
  <c r="AN187" i="27" s="1"/>
  <c r="N187" i="27"/>
  <c r="O187" i="27" s="1"/>
  <c r="L187" i="27"/>
  <c r="BD187" i="27" s="1"/>
  <c r="K187" i="27"/>
  <c r="J187" i="27"/>
  <c r="I187" i="27"/>
  <c r="BJ187" i="27" s="1"/>
  <c r="BV49" i="27"/>
  <c r="BX49" i="27" s="1"/>
  <c r="BS49" i="27"/>
  <c r="BP186" i="27"/>
  <c r="BQ186" i="27" s="1"/>
  <c r="BF186" i="27"/>
  <c r="BE186" i="27"/>
  <c r="BB186" i="27"/>
  <c r="BA186" i="27"/>
  <c r="AV186" i="27"/>
  <c r="AW186" i="27" s="1"/>
  <c r="AU186" i="27"/>
  <c r="AR186" i="27"/>
  <c r="AQ186" i="27"/>
  <c r="AS186" i="27" s="1"/>
  <c r="AL186" i="27"/>
  <c r="N186" i="27"/>
  <c r="O186" i="27" s="1"/>
  <c r="L186" i="27"/>
  <c r="M186" i="27" s="1"/>
  <c r="K186" i="27"/>
  <c r="J186" i="27"/>
  <c r="I186" i="27"/>
  <c r="BK186" i="27" s="1"/>
  <c r="BV48" i="27"/>
  <c r="BX48" i="27" s="1"/>
  <c r="BS48" i="27"/>
  <c r="BU48" i="27" s="1"/>
  <c r="BP185" i="27"/>
  <c r="BQ185" i="27" s="1"/>
  <c r="BF185" i="27"/>
  <c r="BE185" i="27"/>
  <c r="BB185" i="27"/>
  <c r="BA185" i="27"/>
  <c r="AV185" i="27"/>
  <c r="AW185" i="27" s="1"/>
  <c r="AU185" i="27"/>
  <c r="AR185" i="27"/>
  <c r="AQ185" i="27"/>
  <c r="AS185" i="27" s="1"/>
  <c r="AL185" i="27"/>
  <c r="AM185" i="27" s="1"/>
  <c r="AO185" i="27" s="1"/>
  <c r="N185" i="27"/>
  <c r="O185" i="27" s="1"/>
  <c r="L185" i="27"/>
  <c r="M185" i="27" s="1"/>
  <c r="K185" i="27"/>
  <c r="J185" i="27"/>
  <c r="I185" i="27"/>
  <c r="BK185" i="27" s="1"/>
  <c r="BV46" i="27"/>
  <c r="BX46" i="27" s="1"/>
  <c r="BS46" i="27"/>
  <c r="BP184" i="27"/>
  <c r="BQ184" i="27" s="1"/>
  <c r="BF184" i="27"/>
  <c r="BE184" i="27"/>
  <c r="BB184" i="27"/>
  <c r="BA184" i="27"/>
  <c r="AV184" i="27"/>
  <c r="AW184" i="27" s="1"/>
  <c r="AU184" i="27"/>
  <c r="AR184" i="27"/>
  <c r="AQ184" i="27"/>
  <c r="AS184" i="27" s="1"/>
  <c r="AL184" i="27"/>
  <c r="N184" i="27"/>
  <c r="O184" i="27" s="1"/>
  <c r="L184" i="27"/>
  <c r="M184" i="27" s="1"/>
  <c r="K184" i="27"/>
  <c r="J184" i="27"/>
  <c r="I184" i="27"/>
  <c r="BV44" i="27"/>
  <c r="BX44" i="27" s="1"/>
  <c r="BS44" i="27"/>
  <c r="BU44" i="27" s="1"/>
  <c r="BP183" i="27"/>
  <c r="BQ183" i="27" s="1"/>
  <c r="BF183" i="27"/>
  <c r="BE183" i="27"/>
  <c r="BB183" i="27"/>
  <c r="BA183" i="27"/>
  <c r="AV183" i="27"/>
  <c r="AW183" i="27" s="1"/>
  <c r="AU183" i="27"/>
  <c r="AR183" i="27"/>
  <c r="AQ183" i="27"/>
  <c r="AS183" i="27" s="1"/>
  <c r="AL183" i="27"/>
  <c r="AM183" i="27" s="1"/>
  <c r="AO183" i="27" s="1"/>
  <c r="N183" i="27"/>
  <c r="O183" i="27" s="1"/>
  <c r="L183" i="27"/>
  <c r="M183" i="27" s="1"/>
  <c r="K183" i="27"/>
  <c r="J183" i="27"/>
  <c r="I183" i="27"/>
  <c r="BK183" i="27" s="1"/>
  <c r="BV42" i="27"/>
  <c r="BX42" i="27" s="1"/>
  <c r="BS42" i="27"/>
  <c r="BP181" i="27"/>
  <c r="BQ181" i="27" s="1"/>
  <c r="BF181" i="27"/>
  <c r="BE181" i="27"/>
  <c r="BB181" i="27"/>
  <c r="BA181" i="27"/>
  <c r="AV181" i="27"/>
  <c r="AW181" i="27" s="1"/>
  <c r="AU181" i="27"/>
  <c r="AR181" i="27"/>
  <c r="AQ181" i="27"/>
  <c r="AS181" i="27" s="1"/>
  <c r="AL181" i="27"/>
  <c r="N181" i="27"/>
  <c r="O181" i="27" s="1"/>
  <c r="L181" i="27"/>
  <c r="M181" i="27" s="1"/>
  <c r="K181" i="27"/>
  <c r="J181" i="27"/>
  <c r="I181" i="27"/>
  <c r="BK181" i="27" s="1"/>
  <c r="BV41" i="27"/>
  <c r="BX41" i="27" s="1"/>
  <c r="BP180" i="27"/>
  <c r="BQ180" i="27" s="1"/>
  <c r="BF180" i="27"/>
  <c r="BE180" i="27"/>
  <c r="BB180" i="27"/>
  <c r="BA180" i="27"/>
  <c r="AV180" i="27"/>
  <c r="AW180" i="27" s="1"/>
  <c r="AU180" i="27"/>
  <c r="AR180" i="27"/>
  <c r="AQ180" i="27"/>
  <c r="AS180" i="27" s="1"/>
  <c r="AL180" i="27"/>
  <c r="AM180" i="27" s="1"/>
  <c r="AO180" i="27" s="1"/>
  <c r="N180" i="27"/>
  <c r="O180" i="27" s="1"/>
  <c r="L180" i="27"/>
  <c r="M180" i="27" s="1"/>
  <c r="K180" i="27"/>
  <c r="J180" i="27"/>
  <c r="I180" i="27"/>
  <c r="BK180" i="27" s="1"/>
  <c r="BV40" i="27"/>
  <c r="BX40" i="27" s="1"/>
  <c r="BS40" i="27"/>
  <c r="BU40" i="27" s="1"/>
  <c r="BP179" i="27"/>
  <c r="BF179" i="27"/>
  <c r="BE179" i="27"/>
  <c r="BB179" i="27"/>
  <c r="BA179" i="27"/>
  <c r="AV179" i="27"/>
  <c r="AW179" i="27" s="1"/>
  <c r="AU179" i="27"/>
  <c r="AR179" i="27"/>
  <c r="AQ179" i="27"/>
  <c r="AS179" i="27" s="1"/>
  <c r="AL179" i="27"/>
  <c r="N179" i="27"/>
  <c r="O179" i="27" s="1"/>
  <c r="L179" i="27"/>
  <c r="A179" i="27" s="1"/>
  <c r="K179" i="27"/>
  <c r="J179" i="27"/>
  <c r="I179" i="27"/>
  <c r="BK179" i="27" s="1"/>
  <c r="BV38" i="27"/>
  <c r="BX38" i="27" s="1"/>
  <c r="BS38" i="27"/>
  <c r="BP177" i="27"/>
  <c r="BQ177" i="27" s="1"/>
  <c r="BF177" i="27"/>
  <c r="BE177" i="27"/>
  <c r="BB177" i="27"/>
  <c r="BA177" i="27"/>
  <c r="AV177" i="27"/>
  <c r="AW177" i="27" s="1"/>
  <c r="AU177" i="27"/>
  <c r="AR177" i="27"/>
  <c r="AQ177" i="27"/>
  <c r="AS177" i="27" s="1"/>
  <c r="AL177" i="27"/>
  <c r="AM177" i="27" s="1"/>
  <c r="AO177" i="27" s="1"/>
  <c r="N177" i="27"/>
  <c r="O177" i="27" s="1"/>
  <c r="L177" i="27"/>
  <c r="M177" i="27" s="1"/>
  <c r="K177" i="27"/>
  <c r="J177" i="27"/>
  <c r="I177" i="27"/>
  <c r="BK177" i="27" s="1"/>
  <c r="BV36" i="27"/>
  <c r="BX36" i="27" s="1"/>
  <c r="BS36" i="27"/>
  <c r="BP176" i="27"/>
  <c r="BR176" i="27" s="1"/>
  <c r="BF176" i="27"/>
  <c r="BE176" i="27"/>
  <c r="BB176" i="27"/>
  <c r="BA176" i="27"/>
  <c r="AV176" i="27"/>
  <c r="AW176" i="27" s="1"/>
  <c r="AU176" i="27"/>
  <c r="AR176" i="27"/>
  <c r="AQ176" i="27"/>
  <c r="AS176" i="27" s="1"/>
  <c r="AL176" i="27"/>
  <c r="AN176" i="27" s="1"/>
  <c r="N176" i="27"/>
  <c r="O176" i="27" s="1"/>
  <c r="L176" i="27"/>
  <c r="BD176" i="27" s="1"/>
  <c r="K176" i="27"/>
  <c r="J176" i="27"/>
  <c r="I176" i="27"/>
  <c r="BL176" i="27" s="1"/>
  <c r="BV35" i="27"/>
  <c r="BX35" i="27" s="1"/>
  <c r="BS35" i="27"/>
  <c r="BP175" i="27"/>
  <c r="BR175" i="27" s="1"/>
  <c r="BF175" i="27"/>
  <c r="BE175" i="27"/>
  <c r="BB175" i="27"/>
  <c r="BA175" i="27"/>
  <c r="AV175" i="27"/>
  <c r="AW175" i="27" s="1"/>
  <c r="AU175" i="27"/>
  <c r="AR175" i="27"/>
  <c r="AQ175" i="27"/>
  <c r="AS175" i="27" s="1"/>
  <c r="AL175" i="27"/>
  <c r="AN175" i="27" s="1"/>
  <c r="N175" i="27"/>
  <c r="O175" i="27" s="1"/>
  <c r="L175" i="27"/>
  <c r="A175" i="27" s="1"/>
  <c r="K175" i="27"/>
  <c r="J175" i="27"/>
  <c r="I175" i="27"/>
  <c r="BL175" i="27" s="1"/>
  <c r="BV34" i="27"/>
  <c r="BX34" i="27" s="1"/>
  <c r="BS34" i="27"/>
  <c r="BP174" i="27"/>
  <c r="BR174" i="27" s="1"/>
  <c r="BF174" i="27"/>
  <c r="BE174" i="27"/>
  <c r="BB174" i="27"/>
  <c r="BA174" i="27"/>
  <c r="AV174" i="27"/>
  <c r="AW174" i="27" s="1"/>
  <c r="AU174" i="27"/>
  <c r="AR174" i="27"/>
  <c r="AQ174" i="27"/>
  <c r="AS174" i="27" s="1"/>
  <c r="AL174" i="27"/>
  <c r="AN174" i="27" s="1"/>
  <c r="N174" i="27"/>
  <c r="O174" i="27" s="1"/>
  <c r="L174" i="27"/>
  <c r="K174" i="27"/>
  <c r="J174" i="27"/>
  <c r="I174" i="27"/>
  <c r="BL174" i="27" s="1"/>
  <c r="BV33" i="27"/>
  <c r="BX33" i="27" s="1"/>
  <c r="BS33" i="27"/>
  <c r="BP97" i="27"/>
  <c r="BR97" i="27" s="1"/>
  <c r="BF97" i="27"/>
  <c r="BE97" i="27"/>
  <c r="BB97" i="27"/>
  <c r="BA97" i="27"/>
  <c r="AV97" i="27"/>
  <c r="AW97" i="27" s="1"/>
  <c r="AU97" i="27"/>
  <c r="AR97" i="27"/>
  <c r="AQ97" i="27"/>
  <c r="AS97" i="27" s="1"/>
  <c r="AL97" i="27"/>
  <c r="N97" i="27"/>
  <c r="O97" i="27" s="1"/>
  <c r="L97" i="27"/>
  <c r="BD97" i="27" s="1"/>
  <c r="K97" i="27"/>
  <c r="J97" i="27"/>
  <c r="I97" i="27"/>
  <c r="BL97" i="27" s="1"/>
  <c r="BV32" i="27"/>
  <c r="BX32" i="27" s="1"/>
  <c r="BS32" i="27"/>
  <c r="BU32" i="27" s="1"/>
  <c r="BP96" i="27"/>
  <c r="BQ96" i="27" s="1"/>
  <c r="BF96" i="27"/>
  <c r="BE96" i="27"/>
  <c r="BB96" i="27"/>
  <c r="BA96" i="27"/>
  <c r="AV96" i="27"/>
  <c r="AW96" i="27" s="1"/>
  <c r="AU96" i="27"/>
  <c r="AR96" i="27"/>
  <c r="AQ96" i="27"/>
  <c r="AS96" i="27" s="1"/>
  <c r="AL96" i="27"/>
  <c r="N96" i="27"/>
  <c r="O96" i="27" s="1"/>
  <c r="L96" i="27"/>
  <c r="K96" i="27"/>
  <c r="J96" i="27"/>
  <c r="I96" i="27"/>
  <c r="BL96" i="27" s="1"/>
  <c r="BV31" i="27"/>
  <c r="BX31" i="27" s="1"/>
  <c r="BS31" i="27"/>
  <c r="BU31" i="27" s="1"/>
  <c r="BP95" i="27"/>
  <c r="BR95" i="27" s="1"/>
  <c r="BF95" i="27"/>
  <c r="BE95" i="27"/>
  <c r="BB95" i="27"/>
  <c r="BA95" i="27"/>
  <c r="AV95" i="27"/>
  <c r="AW95" i="27" s="1"/>
  <c r="AU95" i="27"/>
  <c r="AR95" i="27"/>
  <c r="AQ95" i="27"/>
  <c r="AS95" i="27" s="1"/>
  <c r="AL95" i="27"/>
  <c r="AN95" i="27" s="1"/>
  <c r="N95" i="27"/>
  <c r="O95" i="27" s="1"/>
  <c r="L95" i="27"/>
  <c r="K95" i="27"/>
  <c r="J95" i="27"/>
  <c r="I95" i="27"/>
  <c r="BK95" i="27" s="1"/>
  <c r="BV30" i="27"/>
  <c r="BX30" i="27" s="1"/>
  <c r="BS30" i="27"/>
  <c r="BU30" i="27" s="1"/>
  <c r="BP92" i="27"/>
  <c r="BR92" i="27" s="1"/>
  <c r="BF92" i="27"/>
  <c r="BE92" i="27"/>
  <c r="BB92" i="27"/>
  <c r="BA92" i="27"/>
  <c r="AV92" i="27"/>
  <c r="AW92" i="27" s="1"/>
  <c r="AU92" i="27"/>
  <c r="AR92" i="27"/>
  <c r="AQ92" i="27"/>
  <c r="AS92" i="27" s="1"/>
  <c r="AL92" i="27"/>
  <c r="AM92" i="27" s="1"/>
  <c r="AO92" i="27" s="1"/>
  <c r="N92" i="27"/>
  <c r="O92" i="27" s="1"/>
  <c r="L92" i="27"/>
  <c r="A92" i="27" s="1"/>
  <c r="K92" i="27"/>
  <c r="J92" i="27"/>
  <c r="I92" i="27"/>
  <c r="BJ92" i="27" s="1"/>
  <c r="BV28" i="27"/>
  <c r="BX28" i="27" s="1"/>
  <c r="BS28" i="27"/>
  <c r="BU28" i="27" s="1"/>
  <c r="BP91" i="27"/>
  <c r="BF91" i="27"/>
  <c r="BE91" i="27"/>
  <c r="BB91" i="27"/>
  <c r="BA91" i="27"/>
  <c r="AV91" i="27"/>
  <c r="AW91" i="27" s="1"/>
  <c r="AU91" i="27"/>
  <c r="AR91" i="27"/>
  <c r="AQ91" i="27"/>
  <c r="AS91" i="27" s="1"/>
  <c r="AL91" i="27"/>
  <c r="AN91" i="27" s="1"/>
  <c r="N91" i="27"/>
  <c r="O91" i="27" s="1"/>
  <c r="L91" i="27"/>
  <c r="A91" i="27" s="1"/>
  <c r="K91" i="27"/>
  <c r="J91" i="27"/>
  <c r="I91" i="27"/>
  <c r="BK91" i="27" s="1"/>
  <c r="BV27" i="27"/>
  <c r="BX27" i="27" s="1"/>
  <c r="BS27" i="27"/>
  <c r="BU27" i="27" s="1"/>
  <c r="BP90" i="27"/>
  <c r="BR90" i="27" s="1"/>
  <c r="BF90" i="27"/>
  <c r="BE90" i="27"/>
  <c r="BB90" i="27"/>
  <c r="BA90" i="27"/>
  <c r="AV90" i="27"/>
  <c r="AW90" i="27" s="1"/>
  <c r="AU90" i="27"/>
  <c r="AR90" i="27"/>
  <c r="AQ90" i="27"/>
  <c r="AS90" i="27" s="1"/>
  <c r="AL90" i="27"/>
  <c r="N90" i="27"/>
  <c r="O90" i="27" s="1"/>
  <c r="L90" i="27"/>
  <c r="A90" i="27" s="1"/>
  <c r="K90" i="27"/>
  <c r="J90" i="27"/>
  <c r="I90" i="27"/>
  <c r="BK90" i="27" s="1"/>
  <c r="BV26" i="27"/>
  <c r="BX26" i="27" s="1"/>
  <c r="BS26" i="27"/>
  <c r="BT26" i="27" s="1"/>
  <c r="BP89" i="27"/>
  <c r="BR89" i="27" s="1"/>
  <c r="BF89" i="27"/>
  <c r="BE89" i="27"/>
  <c r="BB89" i="27"/>
  <c r="BA89" i="27"/>
  <c r="AV89" i="27"/>
  <c r="AW89" i="27" s="1"/>
  <c r="AU89" i="27"/>
  <c r="AR89" i="27"/>
  <c r="AQ89" i="27"/>
  <c r="AS89" i="27" s="1"/>
  <c r="AL89" i="27"/>
  <c r="AN89" i="27" s="1"/>
  <c r="N89" i="27"/>
  <c r="O89" i="27" s="1"/>
  <c r="L89" i="27"/>
  <c r="K89" i="27"/>
  <c r="J89" i="27"/>
  <c r="I89" i="27"/>
  <c r="BK89" i="27" s="1"/>
  <c r="BV24" i="27"/>
  <c r="BX24" i="27" s="1"/>
  <c r="BS24" i="27"/>
  <c r="BT24" i="27" s="1"/>
  <c r="BP88" i="27"/>
  <c r="BR88" i="27" s="1"/>
  <c r="BF88" i="27"/>
  <c r="BE88" i="27"/>
  <c r="BB88" i="27"/>
  <c r="BA88" i="27"/>
  <c r="AV88" i="27"/>
  <c r="AW88" i="27" s="1"/>
  <c r="AU88" i="27"/>
  <c r="AR88" i="27"/>
  <c r="AQ88" i="27"/>
  <c r="AS88" i="27" s="1"/>
  <c r="AL88" i="27"/>
  <c r="AM88" i="27" s="1"/>
  <c r="AO88" i="27" s="1"/>
  <c r="N88" i="27"/>
  <c r="O88" i="27" s="1"/>
  <c r="L88" i="27"/>
  <c r="A88" i="27" s="1"/>
  <c r="K88" i="27"/>
  <c r="J88" i="27"/>
  <c r="I88" i="27"/>
  <c r="BJ88" i="27" s="1"/>
  <c r="BV21" i="27"/>
  <c r="BX21" i="27" s="1"/>
  <c r="BS21" i="27"/>
  <c r="BU21" i="27" s="1"/>
  <c r="BP87" i="27"/>
  <c r="BF87" i="27"/>
  <c r="BE87" i="27"/>
  <c r="BB87" i="27"/>
  <c r="BA87" i="27"/>
  <c r="AV87" i="27"/>
  <c r="AW87" i="27" s="1"/>
  <c r="AU87" i="27"/>
  <c r="AR87" i="27"/>
  <c r="AQ87" i="27"/>
  <c r="AS87" i="27" s="1"/>
  <c r="AL87" i="27"/>
  <c r="AN87" i="27" s="1"/>
  <c r="N87" i="27"/>
  <c r="O87" i="27" s="1"/>
  <c r="L87" i="27"/>
  <c r="A87" i="27" s="1"/>
  <c r="K87" i="27"/>
  <c r="J87" i="27"/>
  <c r="I87" i="27"/>
  <c r="BL87" i="27" s="1"/>
  <c r="BV20" i="27"/>
  <c r="BX20" i="27" s="1"/>
  <c r="BS20" i="27"/>
  <c r="BP86" i="27"/>
  <c r="BR86" i="27" s="1"/>
  <c r="BF86" i="27"/>
  <c r="BE86" i="27"/>
  <c r="BB86" i="27"/>
  <c r="BA86" i="27"/>
  <c r="AV86" i="27"/>
  <c r="AW86" i="27" s="1"/>
  <c r="AU86" i="27"/>
  <c r="AR86" i="27"/>
  <c r="AQ86" i="27"/>
  <c r="AS86" i="27" s="1"/>
  <c r="AL86" i="27"/>
  <c r="AN86" i="27" s="1"/>
  <c r="N86" i="27"/>
  <c r="O86" i="27" s="1"/>
  <c r="L86" i="27"/>
  <c r="BD86" i="27" s="1"/>
  <c r="K86" i="27"/>
  <c r="J86" i="27"/>
  <c r="I86" i="27"/>
  <c r="BV19" i="27"/>
  <c r="BX19" i="27" s="1"/>
  <c r="BS19" i="27"/>
  <c r="BP85" i="27"/>
  <c r="BQ85" i="27" s="1"/>
  <c r="BF85" i="27"/>
  <c r="BE85" i="27"/>
  <c r="BB85" i="27"/>
  <c r="BA85" i="27"/>
  <c r="AV85" i="27"/>
  <c r="AW85" i="27" s="1"/>
  <c r="AU85" i="27"/>
  <c r="AR85" i="27"/>
  <c r="AQ85" i="27"/>
  <c r="AS85" i="27" s="1"/>
  <c r="AL85" i="27"/>
  <c r="AN85" i="27" s="1"/>
  <c r="N85" i="27"/>
  <c r="O85" i="27" s="1"/>
  <c r="L85" i="27"/>
  <c r="BD85" i="27" s="1"/>
  <c r="K85" i="27"/>
  <c r="J85" i="27"/>
  <c r="I85" i="27"/>
  <c r="BV18" i="27"/>
  <c r="BX18" i="27" s="1"/>
  <c r="BS18" i="27"/>
  <c r="BT18" i="27" s="1"/>
  <c r="BP84" i="27"/>
  <c r="BR84" i="27" s="1"/>
  <c r="BF84" i="27"/>
  <c r="BE84" i="27"/>
  <c r="BB84" i="27"/>
  <c r="BA84" i="27"/>
  <c r="AV84" i="27"/>
  <c r="AW84" i="27" s="1"/>
  <c r="AU84" i="27"/>
  <c r="AR84" i="27"/>
  <c r="AQ84" i="27"/>
  <c r="AS84" i="27" s="1"/>
  <c r="AL84" i="27"/>
  <c r="AN84" i="27" s="1"/>
  <c r="N84" i="27"/>
  <c r="O84" i="27" s="1"/>
  <c r="L84" i="27"/>
  <c r="BD84" i="27" s="1"/>
  <c r="K84" i="27"/>
  <c r="J84" i="27"/>
  <c r="I84" i="27"/>
  <c r="BJ84" i="27" s="1"/>
  <c r="BV17" i="27"/>
  <c r="BX17" i="27" s="1"/>
  <c r="BS17" i="27"/>
  <c r="BP83" i="27"/>
  <c r="BQ83" i="27" s="1"/>
  <c r="BF83" i="27"/>
  <c r="BE83" i="27"/>
  <c r="BB83" i="27"/>
  <c r="BA83" i="27"/>
  <c r="AV83" i="27"/>
  <c r="AW83" i="27" s="1"/>
  <c r="AU83" i="27"/>
  <c r="AR83" i="27"/>
  <c r="AQ83" i="27"/>
  <c r="AS83" i="27" s="1"/>
  <c r="AL83" i="27"/>
  <c r="AM83" i="27" s="1"/>
  <c r="AO83" i="27" s="1"/>
  <c r="N83" i="27"/>
  <c r="O83" i="27" s="1"/>
  <c r="L83" i="27"/>
  <c r="M83" i="27" s="1"/>
  <c r="K83" i="27"/>
  <c r="J83" i="27"/>
  <c r="I83" i="27"/>
  <c r="BK83" i="27" s="1"/>
  <c r="BV15" i="27"/>
  <c r="BX15" i="27" s="1"/>
  <c r="BS15" i="27"/>
  <c r="BU15" i="27" s="1"/>
  <c r="BP82" i="27"/>
  <c r="BF82" i="27"/>
  <c r="BE82" i="27"/>
  <c r="BB82" i="27"/>
  <c r="BA82" i="27"/>
  <c r="AV82" i="27"/>
  <c r="AW82" i="27" s="1"/>
  <c r="AU82" i="27"/>
  <c r="AR82" i="27"/>
  <c r="AQ82" i="27"/>
  <c r="AS82" i="27" s="1"/>
  <c r="AL82" i="27"/>
  <c r="N82" i="27"/>
  <c r="O82" i="27" s="1"/>
  <c r="L82" i="27"/>
  <c r="A82" i="27" s="1"/>
  <c r="K82" i="27"/>
  <c r="J82" i="27"/>
  <c r="I82" i="27"/>
  <c r="BK82" i="27" s="1"/>
  <c r="BV14" i="27"/>
  <c r="BX14" i="27" s="1"/>
  <c r="BS14" i="27"/>
  <c r="BP79" i="27"/>
  <c r="BQ79" i="27" s="1"/>
  <c r="BF79" i="27"/>
  <c r="BE79" i="27"/>
  <c r="BB79" i="27"/>
  <c r="BA79" i="27"/>
  <c r="AV79" i="27"/>
  <c r="AW79" i="27" s="1"/>
  <c r="AU79" i="27"/>
  <c r="AR79" i="27"/>
  <c r="AQ79" i="27"/>
  <c r="AS79" i="27" s="1"/>
  <c r="AL79" i="27"/>
  <c r="AM79" i="27" s="1"/>
  <c r="AO79" i="27" s="1"/>
  <c r="N79" i="27"/>
  <c r="O79" i="27" s="1"/>
  <c r="L79" i="27"/>
  <c r="M79" i="27" s="1"/>
  <c r="K79" i="27"/>
  <c r="J79" i="27"/>
  <c r="I79" i="27"/>
  <c r="BK79" i="27" s="1"/>
  <c r="BV13" i="27"/>
  <c r="BX13" i="27" s="1"/>
  <c r="BS13" i="27"/>
  <c r="BU13" i="27" s="1"/>
  <c r="BP78" i="27"/>
  <c r="BF78" i="27"/>
  <c r="BE78" i="27"/>
  <c r="BB78" i="27"/>
  <c r="BA78" i="27"/>
  <c r="AV78" i="27"/>
  <c r="AW78" i="27" s="1"/>
  <c r="AU78" i="27"/>
  <c r="AR78" i="27"/>
  <c r="AQ78" i="27"/>
  <c r="AS78" i="27" s="1"/>
  <c r="AL78" i="27"/>
  <c r="AM78" i="27" s="1"/>
  <c r="AO78" i="27" s="1"/>
  <c r="N78" i="27"/>
  <c r="O78" i="27" s="1"/>
  <c r="L78" i="27"/>
  <c r="A78" i="27" s="1"/>
  <c r="K78" i="27"/>
  <c r="J78" i="27"/>
  <c r="I78" i="27"/>
  <c r="BK78" i="27" s="1"/>
  <c r="BV12" i="27"/>
  <c r="BX12" i="27" s="1"/>
  <c r="BS12" i="27"/>
  <c r="BP77" i="27"/>
  <c r="BQ77" i="27" s="1"/>
  <c r="BF77" i="27"/>
  <c r="BE77" i="27"/>
  <c r="BB77" i="27"/>
  <c r="BA77" i="27"/>
  <c r="AV77" i="27"/>
  <c r="AW77" i="27" s="1"/>
  <c r="AU77" i="27"/>
  <c r="AR77" i="27"/>
  <c r="AQ77" i="27"/>
  <c r="AS77" i="27" s="1"/>
  <c r="AL77" i="27"/>
  <c r="AM77" i="27" s="1"/>
  <c r="AO77" i="27" s="1"/>
  <c r="N77" i="27"/>
  <c r="O77" i="27" s="1"/>
  <c r="L77" i="27"/>
  <c r="M77" i="27" s="1"/>
  <c r="K77" i="27"/>
  <c r="J77" i="27"/>
  <c r="I77" i="27"/>
  <c r="BK77" i="27" s="1"/>
  <c r="BV11" i="27"/>
  <c r="BX11" i="27" s="1"/>
  <c r="BS11" i="27"/>
  <c r="BU11" i="27" s="1"/>
  <c r="BP72" i="27"/>
  <c r="BF72" i="27"/>
  <c r="BE72" i="27"/>
  <c r="BB72" i="27"/>
  <c r="BA72" i="27"/>
  <c r="AV72" i="27"/>
  <c r="AW72" i="27" s="1"/>
  <c r="AU72" i="27"/>
  <c r="AR72" i="27"/>
  <c r="AQ72" i="27"/>
  <c r="AS72" i="27" s="1"/>
  <c r="AL72" i="27"/>
  <c r="N72" i="27"/>
  <c r="O72" i="27" s="1"/>
  <c r="L72" i="27"/>
  <c r="A72" i="27" s="1"/>
  <c r="K72" i="27"/>
  <c r="J72" i="27"/>
  <c r="I72" i="27"/>
  <c r="BK72" i="27" s="1"/>
  <c r="BV10" i="27"/>
  <c r="BX10" i="27" s="1"/>
  <c r="BS10" i="27"/>
  <c r="BP71" i="27"/>
  <c r="BF71" i="27"/>
  <c r="BE71" i="27"/>
  <c r="BB71" i="27"/>
  <c r="BA71" i="27"/>
  <c r="AV71" i="27"/>
  <c r="AW71" i="27" s="1"/>
  <c r="AU71" i="27"/>
  <c r="AR71" i="27"/>
  <c r="AQ71" i="27"/>
  <c r="AS71" i="27" s="1"/>
  <c r="AL71" i="27"/>
  <c r="N71" i="27"/>
  <c r="O71" i="27" s="1"/>
  <c r="L71" i="27"/>
  <c r="A71" i="27" s="1"/>
  <c r="K71" i="27"/>
  <c r="J71" i="27"/>
  <c r="I71" i="27"/>
  <c r="BK71" i="27" s="1"/>
  <c r="BV9" i="27"/>
  <c r="BX9" i="27" s="1"/>
  <c r="BS9" i="27"/>
  <c r="BU9" i="27" s="1"/>
  <c r="BP70" i="27"/>
  <c r="BF70" i="27"/>
  <c r="BE70" i="27"/>
  <c r="BB70" i="27"/>
  <c r="BA70" i="27"/>
  <c r="AV70" i="27"/>
  <c r="AW70" i="27" s="1"/>
  <c r="AU70" i="27"/>
  <c r="AR70" i="27"/>
  <c r="AQ70" i="27"/>
  <c r="AS70" i="27" s="1"/>
  <c r="AL70" i="27"/>
  <c r="AM70" i="27" s="1"/>
  <c r="AO70" i="27" s="1"/>
  <c r="N70" i="27"/>
  <c r="O70" i="27" s="1"/>
  <c r="L70" i="27"/>
  <c r="A70" i="27" s="1"/>
  <c r="K70" i="27"/>
  <c r="J70" i="27"/>
  <c r="I70" i="27"/>
  <c r="BK70" i="27" s="1"/>
  <c r="BV8" i="27"/>
  <c r="BX8" i="27" s="1"/>
  <c r="BS8" i="27"/>
  <c r="BP69" i="27"/>
  <c r="BF69" i="27"/>
  <c r="BE69" i="27"/>
  <c r="BB69" i="27"/>
  <c r="BA69" i="27"/>
  <c r="AV69" i="27"/>
  <c r="AW69" i="27" s="1"/>
  <c r="AU69" i="27"/>
  <c r="AR69" i="27"/>
  <c r="AQ69" i="27"/>
  <c r="AS69" i="27" s="1"/>
  <c r="AL69" i="27"/>
  <c r="AN69" i="27" s="1"/>
  <c r="N69" i="27"/>
  <c r="O69" i="27" s="1"/>
  <c r="L69" i="27"/>
  <c r="BD69" i="27" s="1"/>
  <c r="K69" i="27"/>
  <c r="J69" i="27"/>
  <c r="I69" i="27"/>
  <c r="BI69" i="27" s="1"/>
  <c r="BV7" i="27"/>
  <c r="BX7" i="27" s="1"/>
  <c r="BS7" i="27"/>
  <c r="BU7" i="27" s="1"/>
  <c r="BP41" i="27"/>
  <c r="BR41" i="27" s="1"/>
  <c r="BF41" i="27"/>
  <c r="BE41" i="27"/>
  <c r="BB41" i="27"/>
  <c r="BA41" i="27"/>
  <c r="AV41" i="27"/>
  <c r="AW41" i="27" s="1"/>
  <c r="AU41" i="27"/>
  <c r="AR41" i="27"/>
  <c r="AQ41" i="27"/>
  <c r="AS41" i="27" s="1"/>
  <c r="AL41" i="27"/>
  <c r="AM41" i="27" s="1"/>
  <c r="AO41" i="27" s="1"/>
  <c r="N41" i="27"/>
  <c r="O41" i="27" s="1"/>
  <c r="L41" i="27"/>
  <c r="A41" i="27" s="1"/>
  <c r="K41" i="27"/>
  <c r="J41" i="27"/>
  <c r="I41" i="27"/>
  <c r="BJ41" i="27" s="1"/>
  <c r="BV6" i="27"/>
  <c r="BX6" i="27" s="1"/>
  <c r="BS6" i="27"/>
  <c r="BP40" i="27"/>
  <c r="BQ40" i="27" s="1"/>
  <c r="BF40" i="27"/>
  <c r="BE40" i="27"/>
  <c r="BB40" i="27"/>
  <c r="BA40" i="27"/>
  <c r="AV40" i="27"/>
  <c r="AW40" i="27" s="1"/>
  <c r="AU40" i="27"/>
  <c r="AR40" i="27"/>
  <c r="AQ40" i="27"/>
  <c r="AS40" i="27" s="1"/>
  <c r="AL40" i="27"/>
  <c r="AN40" i="27" s="1"/>
  <c r="N40" i="27"/>
  <c r="O40" i="27" s="1"/>
  <c r="L40" i="27"/>
  <c r="J40" i="27"/>
  <c r="I40" i="27"/>
  <c r="BK40" i="27" s="1"/>
  <c r="G1082" i="20"/>
  <c r="G1081" i="20"/>
  <c r="G1080" i="20"/>
  <c r="G1079" i="20"/>
  <c r="G1078" i="20"/>
  <c r="G1077" i="20"/>
  <c r="G1076" i="20"/>
  <c r="G1075" i="20"/>
  <c r="G1074" i="20"/>
  <c r="G1073" i="20"/>
  <c r="G1072" i="20"/>
  <c r="G1071" i="20"/>
  <c r="G1070" i="20"/>
  <c r="G1069" i="20"/>
  <c r="G1068" i="20"/>
  <c r="G1067" i="20"/>
  <c r="G1066" i="20"/>
  <c r="G1065" i="20"/>
  <c r="G1064" i="20"/>
  <c r="G1063" i="20"/>
  <c r="G1062" i="20"/>
  <c r="G1061" i="20"/>
  <c r="G1060" i="20"/>
  <c r="G1059" i="20"/>
  <c r="G1058" i="20"/>
  <c r="G1057" i="20"/>
  <c r="G1056" i="20"/>
  <c r="G1055" i="20"/>
  <c r="G1054" i="20"/>
  <c r="G1053" i="20"/>
  <c r="G1052" i="20"/>
  <c r="G1051" i="20"/>
  <c r="G1050" i="20"/>
  <c r="G1049" i="20"/>
  <c r="G1048" i="20"/>
  <c r="G1047" i="20"/>
  <c r="G1046" i="20"/>
  <c r="G1045" i="20"/>
  <c r="G1044" i="20"/>
  <c r="G1043" i="20"/>
  <c r="G1042" i="20"/>
  <c r="G1041" i="20"/>
  <c r="G1040" i="20"/>
  <c r="G1039" i="20"/>
  <c r="G1038" i="20"/>
  <c r="G1037" i="20"/>
  <c r="G1036" i="20"/>
  <c r="G1035" i="20"/>
  <c r="G1034" i="20"/>
  <c r="G1033" i="20"/>
  <c r="G1032" i="20"/>
  <c r="G1031" i="20"/>
  <c r="G1030" i="20"/>
  <c r="G1029" i="20"/>
  <c r="G1028" i="20"/>
  <c r="G1027" i="20"/>
  <c r="G1026" i="20"/>
  <c r="G1025" i="20"/>
  <c r="G1024" i="20"/>
  <c r="G1023" i="20"/>
  <c r="G1022" i="20"/>
  <c r="G1021" i="20"/>
  <c r="G1020" i="20"/>
  <c r="G1019" i="20"/>
  <c r="G1018" i="20"/>
  <c r="G1017" i="20"/>
  <c r="G1016" i="20"/>
  <c r="G1015" i="20"/>
  <c r="G1014" i="20"/>
  <c r="G1013" i="20"/>
  <c r="G1012" i="20"/>
  <c r="G1011" i="20"/>
  <c r="G1010" i="20"/>
  <c r="G1009" i="20"/>
  <c r="G1008" i="20"/>
  <c r="G1007" i="20"/>
  <c r="G1006" i="20"/>
  <c r="G1005" i="20"/>
  <c r="G1004" i="20"/>
  <c r="G1003" i="20"/>
  <c r="G1002" i="20"/>
  <c r="G1001" i="20"/>
  <c r="G1000" i="20"/>
  <c r="G999" i="20"/>
  <c r="G998" i="20"/>
  <c r="G997" i="20"/>
  <c r="G996" i="20"/>
  <c r="G995" i="20"/>
  <c r="G994" i="20"/>
  <c r="G993" i="20"/>
  <c r="G992" i="20"/>
  <c r="G991" i="20"/>
  <c r="G990" i="20"/>
  <c r="G989" i="20"/>
  <c r="G988" i="20"/>
  <c r="G987" i="20"/>
  <c r="G986" i="20"/>
  <c r="G985" i="20"/>
  <c r="G984" i="20"/>
  <c r="G983" i="20"/>
  <c r="G982" i="20"/>
  <c r="G981" i="20"/>
  <c r="G980" i="20"/>
  <c r="G979" i="20"/>
  <c r="G978" i="20"/>
  <c r="G977" i="20"/>
  <c r="G976" i="20"/>
  <c r="G975" i="20"/>
  <c r="G974" i="20"/>
  <c r="G973" i="20"/>
  <c r="G972" i="20"/>
  <c r="G971" i="20"/>
  <c r="G970" i="20"/>
  <c r="G969" i="20"/>
  <c r="G968" i="20"/>
  <c r="G967" i="20"/>
  <c r="G966" i="20"/>
  <c r="G965" i="20"/>
  <c r="G964" i="20"/>
  <c r="G963" i="20"/>
  <c r="G962" i="20"/>
  <c r="G961" i="20"/>
  <c r="G960" i="20"/>
  <c r="G959" i="20"/>
  <c r="G958" i="20"/>
  <c r="G957" i="20"/>
  <c r="G956" i="20"/>
  <c r="G955" i="20"/>
  <c r="G954" i="20"/>
  <c r="G953" i="20"/>
  <c r="G952" i="20"/>
  <c r="G951" i="20"/>
  <c r="G950" i="20"/>
  <c r="G949" i="20"/>
  <c r="G948" i="20"/>
  <c r="G947" i="20"/>
  <c r="G946" i="20"/>
  <c r="G945" i="20"/>
  <c r="G944" i="20"/>
  <c r="G943" i="20"/>
  <c r="G942" i="20"/>
  <c r="G941" i="20"/>
  <c r="G940" i="20"/>
  <c r="G939" i="20"/>
  <c r="G938" i="20"/>
  <c r="G937" i="20"/>
  <c r="G936" i="20"/>
  <c r="G935" i="20"/>
  <c r="G934" i="20"/>
  <c r="G933" i="20"/>
  <c r="G932" i="20"/>
  <c r="G931" i="20"/>
  <c r="G930" i="20"/>
  <c r="G929" i="20"/>
  <c r="G928" i="20"/>
  <c r="G927" i="20"/>
  <c r="G926" i="20"/>
  <c r="G925" i="20"/>
  <c r="G924" i="20"/>
  <c r="G923" i="20"/>
  <c r="G922" i="20"/>
  <c r="G921" i="20"/>
  <c r="G920" i="20"/>
  <c r="G919" i="20"/>
  <c r="G918" i="20"/>
  <c r="G917" i="20"/>
  <c r="G916" i="20"/>
  <c r="G915" i="20"/>
  <c r="G914" i="20"/>
  <c r="G913" i="20"/>
  <c r="G912" i="20"/>
  <c r="G911" i="20"/>
  <c r="G910" i="20"/>
  <c r="G909" i="20"/>
  <c r="G908" i="20"/>
  <c r="G907" i="20"/>
  <c r="G906" i="20"/>
  <c r="G905" i="20"/>
  <c r="G904" i="20"/>
  <c r="G903" i="20"/>
  <c r="G902" i="20"/>
  <c r="G901" i="20"/>
  <c r="G900" i="20"/>
  <c r="G899" i="20"/>
  <c r="G898" i="20"/>
  <c r="G897" i="20"/>
  <c r="G896" i="20"/>
  <c r="G895" i="20"/>
  <c r="G894" i="20"/>
  <c r="G893" i="20"/>
  <c r="G892" i="20"/>
  <c r="G891" i="20"/>
  <c r="G890" i="20"/>
  <c r="G889" i="20"/>
  <c r="G888" i="20"/>
  <c r="G887" i="20"/>
  <c r="G886" i="20"/>
  <c r="G885" i="20"/>
  <c r="G884" i="20"/>
  <c r="G883" i="20"/>
  <c r="G882" i="20"/>
  <c r="G881" i="20"/>
  <c r="G880" i="20"/>
  <c r="G879" i="20"/>
  <c r="G878" i="20"/>
  <c r="G877" i="20"/>
  <c r="G876" i="20"/>
  <c r="G875" i="20"/>
  <c r="G874" i="20"/>
  <c r="G873" i="20"/>
  <c r="G872" i="20"/>
  <c r="G871" i="20"/>
  <c r="G870" i="20"/>
  <c r="G869" i="20"/>
  <c r="G868" i="20"/>
  <c r="G867" i="20"/>
  <c r="G866" i="20"/>
  <c r="G865" i="20"/>
  <c r="G864" i="20"/>
  <c r="G863" i="20"/>
  <c r="G862" i="20"/>
  <c r="G861" i="20"/>
  <c r="G860" i="20"/>
  <c r="G859" i="20"/>
  <c r="G858" i="20"/>
  <c r="G857" i="20"/>
  <c r="G856" i="20"/>
  <c r="G855" i="20"/>
  <c r="G854" i="20"/>
  <c r="G853" i="20"/>
  <c r="G852" i="20"/>
  <c r="G851" i="20"/>
  <c r="G850" i="20"/>
  <c r="G849" i="20"/>
  <c r="G848" i="20"/>
  <c r="G847" i="20"/>
  <c r="G846" i="20"/>
  <c r="G845" i="20"/>
  <c r="G844" i="20"/>
  <c r="G843" i="20"/>
  <c r="G842" i="20"/>
  <c r="G841" i="20"/>
  <c r="G840" i="20"/>
  <c r="G839" i="20"/>
  <c r="G838" i="20"/>
  <c r="G837" i="20"/>
  <c r="G836" i="20"/>
  <c r="G835" i="20"/>
  <c r="G834" i="20"/>
  <c r="G833" i="20"/>
  <c r="G832" i="20"/>
  <c r="G831" i="20"/>
  <c r="G830" i="20"/>
  <c r="G829" i="20"/>
  <c r="G828" i="20"/>
  <c r="G827" i="20"/>
  <c r="G826" i="20"/>
  <c r="G825" i="20"/>
  <c r="G824" i="20"/>
  <c r="G823" i="20"/>
  <c r="G822" i="20"/>
  <c r="G821" i="20"/>
  <c r="G820" i="20"/>
  <c r="G819" i="20"/>
  <c r="G818" i="20"/>
  <c r="G817" i="20"/>
  <c r="G816" i="20"/>
  <c r="G815" i="20"/>
  <c r="G814" i="20"/>
  <c r="G813" i="20"/>
  <c r="G812" i="20"/>
  <c r="G811" i="20"/>
  <c r="G810" i="20"/>
  <c r="G809" i="20"/>
  <c r="G808" i="20"/>
  <c r="G807" i="20"/>
  <c r="G806" i="20"/>
  <c r="G805" i="20"/>
  <c r="G804" i="20"/>
  <c r="G803" i="20"/>
  <c r="G802" i="20"/>
  <c r="G801" i="20"/>
  <c r="G800" i="20"/>
  <c r="G799" i="20"/>
  <c r="G798" i="20"/>
  <c r="G797" i="20"/>
  <c r="G796" i="20"/>
  <c r="G795" i="20"/>
  <c r="G794" i="20"/>
  <c r="G793" i="20"/>
  <c r="G792" i="20"/>
  <c r="G791" i="20"/>
  <c r="G790" i="20"/>
  <c r="G789" i="20"/>
  <c r="G788" i="20"/>
  <c r="G787" i="20"/>
  <c r="G786" i="20"/>
  <c r="G785" i="20"/>
  <c r="G784" i="20"/>
  <c r="G783" i="20"/>
  <c r="G782" i="20"/>
  <c r="G781" i="20"/>
  <c r="G780" i="20"/>
  <c r="G779" i="20"/>
  <c r="G778" i="20"/>
  <c r="G777" i="20"/>
  <c r="G776" i="20"/>
  <c r="G775" i="20"/>
  <c r="G774" i="20"/>
  <c r="G773" i="20"/>
  <c r="G772" i="20"/>
  <c r="G771" i="20"/>
  <c r="G770" i="20"/>
  <c r="G769" i="20"/>
  <c r="G768" i="20"/>
  <c r="G767" i="20"/>
  <c r="G766" i="20"/>
  <c r="G765" i="20"/>
  <c r="G764" i="20"/>
  <c r="G763" i="20"/>
  <c r="G762" i="20"/>
  <c r="G761" i="20"/>
  <c r="G760" i="20"/>
  <c r="G759" i="20"/>
  <c r="G758" i="20"/>
  <c r="G757" i="20"/>
  <c r="G756" i="20"/>
  <c r="G755" i="20"/>
  <c r="G754" i="20"/>
  <c r="G753" i="20"/>
  <c r="G752" i="20"/>
  <c r="G751" i="20"/>
  <c r="G750" i="20"/>
  <c r="G749" i="20"/>
  <c r="G748" i="20"/>
  <c r="G747" i="20"/>
  <c r="G746" i="20"/>
  <c r="G745" i="20"/>
  <c r="G744" i="20"/>
  <c r="G743" i="20"/>
  <c r="G742" i="20"/>
  <c r="G741" i="20"/>
  <c r="G740" i="20"/>
  <c r="G739" i="20"/>
  <c r="G738" i="20"/>
  <c r="G737" i="20"/>
  <c r="G736" i="20"/>
  <c r="G735" i="20"/>
  <c r="G734" i="20"/>
  <c r="G733" i="20"/>
  <c r="G732" i="20"/>
  <c r="G731" i="20"/>
  <c r="G730" i="20"/>
  <c r="G729" i="20"/>
  <c r="G728" i="20"/>
  <c r="G727" i="20"/>
  <c r="G726" i="20"/>
  <c r="G725" i="20"/>
  <c r="G724" i="20"/>
  <c r="G723" i="20"/>
  <c r="G722" i="20"/>
  <c r="G721" i="20"/>
  <c r="G720" i="20"/>
  <c r="G719" i="20"/>
  <c r="G718" i="20"/>
  <c r="G717" i="20"/>
  <c r="G716" i="20"/>
  <c r="G715" i="20"/>
  <c r="G714" i="20"/>
  <c r="G713" i="20"/>
  <c r="G712" i="20"/>
  <c r="G711" i="20"/>
  <c r="G710" i="20"/>
  <c r="G709" i="20"/>
  <c r="G708" i="20"/>
  <c r="G707" i="20"/>
  <c r="G706" i="20"/>
  <c r="G705" i="20"/>
  <c r="G704" i="20"/>
  <c r="G703" i="20"/>
  <c r="G702" i="20"/>
  <c r="G701" i="20"/>
  <c r="G700" i="20"/>
  <c r="G699" i="20"/>
  <c r="G698" i="20"/>
  <c r="G697" i="20"/>
  <c r="G696" i="20"/>
  <c r="G695" i="20"/>
  <c r="G694" i="20"/>
  <c r="G693" i="20"/>
  <c r="G692" i="20"/>
  <c r="G691" i="20"/>
  <c r="G690" i="20"/>
  <c r="G689" i="20"/>
  <c r="G688" i="20"/>
  <c r="G687" i="20"/>
  <c r="G686" i="20"/>
  <c r="G685" i="20"/>
  <c r="G684" i="20"/>
  <c r="G683" i="20"/>
  <c r="G682" i="20"/>
  <c r="G681" i="20"/>
  <c r="G680" i="20"/>
  <c r="G679" i="20"/>
  <c r="G678" i="20"/>
  <c r="G677" i="20"/>
  <c r="G676" i="20"/>
  <c r="G675" i="20"/>
  <c r="G674" i="20"/>
  <c r="G673" i="20"/>
  <c r="G672" i="20"/>
  <c r="G671" i="20"/>
  <c r="G670" i="20"/>
  <c r="G669" i="20"/>
  <c r="G668" i="20"/>
  <c r="G667" i="20"/>
  <c r="G666" i="20"/>
  <c r="G665" i="20"/>
  <c r="G664" i="20"/>
  <c r="G663" i="20"/>
  <c r="G662" i="20"/>
  <c r="G661" i="20"/>
  <c r="G660" i="20"/>
  <c r="G659" i="20"/>
  <c r="G658" i="20"/>
  <c r="G657" i="20"/>
  <c r="G656" i="20"/>
  <c r="G655" i="20"/>
  <c r="G654" i="20"/>
  <c r="G653" i="20"/>
  <c r="G652" i="20"/>
  <c r="G651" i="20"/>
  <c r="G650" i="20"/>
  <c r="G649" i="20"/>
  <c r="G648" i="20"/>
  <c r="G647" i="20"/>
  <c r="G646" i="20"/>
  <c r="G645" i="20"/>
  <c r="G644" i="20"/>
  <c r="G643" i="20"/>
  <c r="G642" i="20"/>
  <c r="G641" i="20"/>
  <c r="G640" i="20"/>
  <c r="G639" i="20"/>
  <c r="G638" i="20"/>
  <c r="G637" i="20"/>
  <c r="G636" i="20"/>
  <c r="G635" i="20"/>
  <c r="G634" i="20"/>
  <c r="G633" i="20"/>
  <c r="G632" i="20"/>
  <c r="G631" i="20"/>
  <c r="G630" i="20"/>
  <c r="G629" i="20"/>
  <c r="G628" i="20"/>
  <c r="G627" i="20"/>
  <c r="G626" i="20"/>
  <c r="G625" i="20"/>
  <c r="G624" i="20"/>
  <c r="G623" i="20"/>
  <c r="G622" i="20"/>
  <c r="G621" i="20"/>
  <c r="G620" i="20"/>
  <c r="G619" i="20"/>
  <c r="G618" i="20"/>
  <c r="G617" i="20"/>
  <c r="G616" i="20"/>
  <c r="G615" i="20"/>
  <c r="G614" i="20"/>
  <c r="G613" i="20"/>
  <c r="G612" i="20"/>
  <c r="G611" i="20"/>
  <c r="G610" i="20"/>
  <c r="G609" i="20"/>
  <c r="G608" i="20"/>
  <c r="G607" i="20"/>
  <c r="G606" i="20"/>
  <c r="G605" i="20"/>
  <c r="G604" i="20"/>
  <c r="G603" i="20"/>
  <c r="G602" i="20"/>
  <c r="G601" i="20"/>
  <c r="G600" i="20"/>
  <c r="G599" i="20"/>
  <c r="G598" i="20"/>
  <c r="G597" i="20"/>
  <c r="G596" i="20"/>
  <c r="G595" i="20"/>
  <c r="G594" i="20"/>
  <c r="G593" i="20"/>
  <c r="G592" i="20"/>
  <c r="G591" i="20"/>
  <c r="G590" i="20"/>
  <c r="G589" i="20"/>
  <c r="G588" i="20"/>
  <c r="G587" i="20"/>
  <c r="G586" i="20"/>
  <c r="G585" i="20"/>
  <c r="G584" i="20"/>
  <c r="G583" i="20"/>
  <c r="G582" i="20"/>
  <c r="G581" i="20"/>
  <c r="G580" i="20"/>
  <c r="G579" i="20"/>
  <c r="G578" i="20"/>
  <c r="G577" i="20"/>
  <c r="G576" i="20"/>
  <c r="G575" i="20"/>
  <c r="G574" i="20"/>
  <c r="G573" i="20"/>
  <c r="G572" i="20"/>
  <c r="G571" i="20"/>
  <c r="G570" i="20"/>
  <c r="G569" i="20"/>
  <c r="G568" i="20"/>
  <c r="G567" i="20"/>
  <c r="G566" i="20"/>
  <c r="G565" i="20"/>
  <c r="G564" i="20"/>
  <c r="G563" i="20"/>
  <c r="G562" i="20"/>
  <c r="G561" i="20"/>
  <c r="G560" i="20"/>
  <c r="G559" i="20"/>
  <c r="G558" i="20"/>
  <c r="G557" i="20"/>
  <c r="G556" i="20"/>
  <c r="G555" i="20"/>
  <c r="G554" i="20"/>
  <c r="G553" i="20"/>
  <c r="G552" i="20"/>
  <c r="G551" i="20"/>
  <c r="G550" i="20"/>
  <c r="G549" i="20"/>
  <c r="G548" i="20"/>
  <c r="G547" i="20"/>
  <c r="G546" i="20"/>
  <c r="G545" i="20"/>
  <c r="G544" i="20"/>
  <c r="G543" i="20"/>
  <c r="G542" i="20"/>
  <c r="G541" i="20"/>
  <c r="G540" i="20"/>
  <c r="G539" i="20"/>
  <c r="G538" i="20"/>
  <c r="G537" i="20"/>
  <c r="G536" i="20"/>
  <c r="G535" i="20"/>
  <c r="G534" i="20"/>
  <c r="G533" i="20"/>
  <c r="G532" i="20"/>
  <c r="G531" i="20"/>
  <c r="G530" i="20"/>
  <c r="G529" i="20"/>
  <c r="G528" i="20"/>
  <c r="G527" i="20"/>
  <c r="G526" i="20"/>
  <c r="G525" i="20"/>
  <c r="G524" i="20"/>
  <c r="G523" i="20"/>
  <c r="G522" i="20"/>
  <c r="G521" i="20"/>
  <c r="G520" i="20"/>
  <c r="G519" i="20"/>
  <c r="G518" i="20"/>
  <c r="G517" i="20"/>
  <c r="G516" i="20"/>
  <c r="G515" i="20"/>
  <c r="G514" i="20"/>
  <c r="G513" i="20"/>
  <c r="G512" i="20"/>
  <c r="G511" i="20"/>
  <c r="G510" i="20"/>
  <c r="G509" i="20"/>
  <c r="G508" i="20"/>
  <c r="G507" i="20"/>
  <c r="G506" i="20"/>
  <c r="G505" i="20"/>
  <c r="G504" i="20"/>
  <c r="G503" i="20"/>
  <c r="G502" i="20"/>
  <c r="G501" i="20"/>
  <c r="G500" i="20"/>
  <c r="G499" i="20"/>
  <c r="G498" i="20"/>
  <c r="G497" i="20"/>
  <c r="G496" i="20"/>
  <c r="G495" i="20"/>
  <c r="G494" i="20"/>
  <c r="G493" i="20"/>
  <c r="G492" i="20"/>
  <c r="G491" i="20"/>
  <c r="G490" i="20"/>
  <c r="G489" i="20"/>
  <c r="G488" i="20"/>
  <c r="G487" i="20"/>
  <c r="G486" i="20"/>
  <c r="G485" i="20"/>
  <c r="G484" i="20"/>
  <c r="G483" i="20"/>
  <c r="G482" i="20"/>
  <c r="G481" i="20"/>
  <c r="G480" i="20"/>
  <c r="G479" i="20"/>
  <c r="G478" i="20"/>
  <c r="G477" i="20"/>
  <c r="G476" i="20"/>
  <c r="G475" i="20"/>
  <c r="G474" i="20"/>
  <c r="G473" i="20"/>
  <c r="G472" i="20"/>
  <c r="G471" i="20"/>
  <c r="G470" i="20"/>
  <c r="G469" i="20"/>
  <c r="G468" i="20"/>
  <c r="G467" i="20"/>
  <c r="G466" i="20"/>
  <c r="G465" i="20"/>
  <c r="G464" i="20"/>
  <c r="G463" i="20"/>
  <c r="G462" i="20"/>
  <c r="G461" i="20"/>
  <c r="G460" i="20"/>
  <c r="G459" i="20"/>
  <c r="G458" i="20"/>
  <c r="G457" i="20"/>
  <c r="G456" i="20"/>
  <c r="G455" i="20"/>
  <c r="G454" i="20"/>
  <c r="G453" i="20"/>
  <c r="G452" i="20"/>
  <c r="G451" i="20"/>
  <c r="G450" i="20"/>
  <c r="G449" i="20"/>
  <c r="G448" i="20"/>
  <c r="G447" i="20"/>
  <c r="G446" i="20"/>
  <c r="G445" i="20"/>
  <c r="G444" i="20"/>
  <c r="G443" i="20"/>
  <c r="G442" i="20"/>
  <c r="G441" i="20"/>
  <c r="G440" i="20"/>
  <c r="G439" i="20"/>
  <c r="G438" i="20"/>
  <c r="G437" i="20"/>
  <c r="G436" i="20"/>
  <c r="G435" i="20"/>
  <c r="G434" i="20"/>
  <c r="G433" i="20"/>
  <c r="G432" i="20"/>
  <c r="G431" i="20"/>
  <c r="G430" i="20"/>
  <c r="G429" i="20"/>
  <c r="G428" i="20"/>
  <c r="G427" i="20"/>
  <c r="G426" i="20"/>
  <c r="G425" i="20"/>
  <c r="G424" i="20"/>
  <c r="G423" i="20"/>
  <c r="G422" i="20"/>
  <c r="G421" i="20"/>
  <c r="G420" i="20"/>
  <c r="G419" i="20"/>
  <c r="G418" i="20"/>
  <c r="G417" i="20"/>
  <c r="G416" i="20"/>
  <c r="G415" i="20"/>
  <c r="G414" i="20"/>
  <c r="G413" i="20"/>
  <c r="G412" i="20"/>
  <c r="G411" i="20"/>
  <c r="G410" i="20"/>
  <c r="G409" i="20"/>
  <c r="G408" i="20"/>
  <c r="G407" i="20"/>
  <c r="G406" i="20"/>
  <c r="G405" i="20"/>
  <c r="G404" i="20"/>
  <c r="G403" i="20"/>
  <c r="G402" i="20"/>
  <c r="G401" i="20"/>
  <c r="G400" i="20"/>
  <c r="G399" i="20"/>
  <c r="G398" i="20"/>
  <c r="G397" i="20"/>
  <c r="G396" i="20"/>
  <c r="G395" i="20"/>
  <c r="G394" i="20"/>
  <c r="G393" i="20"/>
  <c r="G392" i="20"/>
  <c r="G391" i="20"/>
  <c r="G390" i="20"/>
  <c r="G389" i="20"/>
  <c r="G388" i="20"/>
  <c r="G387" i="20"/>
  <c r="G386" i="20"/>
  <c r="G385" i="20"/>
  <c r="G384" i="20"/>
  <c r="G383" i="20"/>
  <c r="G382" i="20"/>
  <c r="G381" i="20"/>
  <c r="G380" i="20"/>
  <c r="G379" i="20"/>
  <c r="G378" i="20"/>
  <c r="G377" i="20"/>
  <c r="G376" i="20"/>
  <c r="G375" i="20"/>
  <c r="G374" i="20"/>
  <c r="G373" i="20"/>
  <c r="G372" i="20"/>
  <c r="G371" i="20"/>
  <c r="G370" i="20"/>
  <c r="G369" i="20"/>
  <c r="G368" i="20"/>
  <c r="G367" i="20"/>
  <c r="G366" i="20"/>
  <c r="G365" i="20"/>
  <c r="G364" i="20"/>
  <c r="G363" i="20"/>
  <c r="G362" i="20"/>
  <c r="G361" i="20"/>
  <c r="G360" i="20"/>
  <c r="G359" i="20"/>
  <c r="G358" i="20"/>
  <c r="G357" i="20"/>
  <c r="G356" i="20"/>
  <c r="G355" i="20"/>
  <c r="G354" i="20"/>
  <c r="G353" i="20"/>
  <c r="G352" i="20"/>
  <c r="G351" i="20"/>
  <c r="G350" i="20"/>
  <c r="G349" i="20"/>
  <c r="G348" i="20"/>
  <c r="G347" i="20"/>
  <c r="G346" i="20"/>
  <c r="G345" i="20"/>
  <c r="G344" i="20"/>
  <c r="G343" i="20"/>
  <c r="G342" i="20"/>
  <c r="G341" i="20"/>
  <c r="G340" i="20"/>
  <c r="G339" i="20"/>
  <c r="G338" i="20"/>
  <c r="G337" i="20"/>
  <c r="G336" i="20"/>
  <c r="G335" i="20"/>
  <c r="G334" i="20"/>
  <c r="G333" i="20"/>
  <c r="G332" i="20"/>
  <c r="G331" i="20"/>
  <c r="G330" i="20"/>
  <c r="G329" i="20"/>
  <c r="G328" i="20"/>
  <c r="G327" i="20"/>
  <c r="G326" i="20"/>
  <c r="G325" i="20"/>
  <c r="G324" i="20"/>
  <c r="G323" i="20"/>
  <c r="G322" i="20"/>
  <c r="G321" i="20"/>
  <c r="G320" i="20"/>
  <c r="G319" i="20"/>
  <c r="G318" i="20"/>
  <c r="G317" i="20"/>
  <c r="G316" i="20"/>
  <c r="G315" i="20"/>
  <c r="G314" i="20"/>
  <c r="G313" i="20"/>
  <c r="G312" i="20"/>
  <c r="G311" i="20"/>
  <c r="G310" i="20"/>
  <c r="G309" i="20"/>
  <c r="G308" i="20"/>
  <c r="G307" i="20"/>
  <c r="G306" i="20"/>
  <c r="G305" i="20"/>
  <c r="G304" i="20"/>
  <c r="G303" i="20"/>
  <c r="G302" i="20"/>
  <c r="G301" i="20"/>
  <c r="G300" i="20"/>
  <c r="G299" i="20"/>
  <c r="G298" i="20"/>
  <c r="G297" i="20"/>
  <c r="G296" i="20"/>
  <c r="G295" i="20"/>
  <c r="G294" i="20"/>
  <c r="G293" i="20"/>
  <c r="G292" i="20"/>
  <c r="G291" i="20"/>
  <c r="G290" i="20"/>
  <c r="G289" i="20"/>
  <c r="G288" i="20"/>
  <c r="G287" i="20"/>
  <c r="G286" i="20"/>
  <c r="G285" i="20"/>
  <c r="G284" i="20"/>
  <c r="G283" i="20"/>
  <c r="G282" i="20"/>
  <c r="G281" i="20"/>
  <c r="G280" i="20"/>
  <c r="G279" i="20"/>
  <c r="G278" i="20"/>
  <c r="G277" i="20"/>
  <c r="G276" i="20"/>
  <c r="G275" i="20"/>
  <c r="G274" i="20"/>
  <c r="G273" i="20"/>
  <c r="G272" i="20"/>
  <c r="G271" i="20"/>
  <c r="G270" i="20"/>
  <c r="G269" i="20"/>
  <c r="G268" i="20"/>
  <c r="G267" i="20"/>
  <c r="G266" i="20"/>
  <c r="G265" i="20"/>
  <c r="G264" i="20"/>
  <c r="G263" i="20"/>
  <c r="G262" i="20"/>
  <c r="G261" i="20"/>
  <c r="G260" i="20"/>
  <c r="G259" i="20"/>
  <c r="G258" i="20"/>
  <c r="G257" i="20"/>
  <c r="G256" i="20"/>
  <c r="G255" i="20"/>
  <c r="G254" i="20"/>
  <c r="G253" i="20"/>
  <c r="G252" i="20"/>
  <c r="G251" i="20"/>
  <c r="G250" i="20"/>
  <c r="G249" i="20"/>
  <c r="G248" i="20"/>
  <c r="G247" i="20"/>
  <c r="G246" i="20"/>
  <c r="G245" i="20"/>
  <c r="G244" i="20"/>
  <c r="G243" i="20"/>
  <c r="G242" i="20"/>
  <c r="G241" i="20"/>
  <c r="G240" i="20"/>
  <c r="G239" i="20"/>
  <c r="G238" i="20"/>
  <c r="G237" i="20"/>
  <c r="G236" i="20"/>
  <c r="G235" i="20"/>
  <c r="G234" i="20"/>
  <c r="G233" i="20"/>
  <c r="G232" i="20"/>
  <c r="G231" i="20"/>
  <c r="G230" i="20"/>
  <c r="G229" i="20"/>
  <c r="G228" i="20"/>
  <c r="G227" i="20"/>
  <c r="G226" i="20"/>
  <c r="G225" i="20"/>
  <c r="G224" i="20"/>
  <c r="G223" i="20"/>
  <c r="G222" i="20"/>
  <c r="G221" i="20"/>
  <c r="G220" i="20"/>
  <c r="G219" i="20"/>
  <c r="G218" i="20"/>
  <c r="G217" i="20"/>
  <c r="G216" i="20"/>
  <c r="G215" i="20"/>
  <c r="G214" i="20"/>
  <c r="G213" i="20"/>
  <c r="G212" i="20"/>
  <c r="G211" i="20"/>
  <c r="G210" i="20"/>
  <c r="G209" i="20"/>
  <c r="G208" i="20"/>
  <c r="G207" i="20"/>
  <c r="G206" i="20"/>
  <c r="G205" i="20"/>
  <c r="G204" i="20"/>
  <c r="G203" i="20"/>
  <c r="G202" i="20"/>
  <c r="G201" i="20"/>
  <c r="G200" i="20"/>
  <c r="G199" i="20"/>
  <c r="G198" i="20"/>
  <c r="G197" i="20"/>
  <c r="G196" i="20"/>
  <c r="G195" i="20"/>
  <c r="G194" i="20"/>
  <c r="G193" i="20"/>
  <c r="G192" i="20"/>
  <c r="G191" i="20"/>
  <c r="G190" i="20"/>
  <c r="G189" i="20"/>
  <c r="G188" i="20"/>
  <c r="G187" i="20"/>
  <c r="L14" i="20"/>
  <c r="L13" i="20"/>
  <c r="L12" i="20"/>
  <c r="L11" i="20"/>
  <c r="L10" i="20"/>
  <c r="L9" i="20"/>
  <c r="L8" i="20"/>
  <c r="L7" i="20"/>
  <c r="L6" i="20"/>
  <c r="L5" i="20"/>
  <c r="L4" i="20"/>
  <c r="I14" i="33"/>
  <c r="J14" i="33" s="1"/>
  <c r="G14" i="33"/>
  <c r="I13" i="33"/>
  <c r="J13" i="33" s="1"/>
  <c r="G13" i="33"/>
  <c r="I12" i="33"/>
  <c r="J12" i="33" s="1"/>
  <c r="G12" i="33"/>
  <c r="I11" i="33"/>
  <c r="J11" i="33" s="1"/>
  <c r="G11" i="33"/>
  <c r="I10" i="33"/>
  <c r="J10" i="33" s="1"/>
  <c r="G10" i="33"/>
  <c r="I9" i="33"/>
  <c r="J9" i="33" s="1"/>
  <c r="G9" i="33"/>
  <c r="I8" i="33"/>
  <c r="J8" i="33" s="1"/>
  <c r="G8" i="33"/>
  <c r="I7" i="33"/>
  <c r="J7" i="33" s="1"/>
  <c r="G7" i="33"/>
  <c r="I6" i="33"/>
  <c r="J6" i="33" s="1"/>
  <c r="G6" i="33"/>
  <c r="I5" i="33"/>
  <c r="J5" i="33" s="1"/>
  <c r="G5" i="33"/>
  <c r="I4" i="33"/>
  <c r="J4" i="33" s="1"/>
  <c r="G4" i="33"/>
  <c r="C2" i="30" l="1"/>
  <c r="S2" i="37"/>
  <c r="E2" i="30"/>
  <c r="D2" i="30"/>
  <c r="T2" i="37"/>
  <c r="S104" i="37"/>
  <c r="U2" i="37"/>
  <c r="U34" i="37"/>
  <c r="E101" i="30"/>
  <c r="T22" i="37"/>
  <c r="U86" i="37"/>
  <c r="W96" i="37"/>
  <c r="S35" i="37"/>
  <c r="BW199" i="27"/>
  <c r="BW210" i="27"/>
  <c r="BW55" i="27"/>
  <c r="BW26" i="27"/>
  <c r="BW31" i="27"/>
  <c r="BW67" i="27"/>
  <c r="BW100" i="27"/>
  <c r="BW125" i="27"/>
  <c r="BW126" i="27"/>
  <c r="BW32" i="27"/>
  <c r="BW63" i="27"/>
  <c r="BW253" i="27"/>
  <c r="BW257" i="27"/>
  <c r="BW261" i="27"/>
  <c r="BW129" i="27"/>
  <c r="BW133" i="27"/>
  <c r="BW196" i="27"/>
  <c r="BW211" i="27"/>
  <c r="BW241" i="27"/>
  <c r="BW130" i="27"/>
  <c r="BW242" i="27"/>
  <c r="BW250" i="27"/>
  <c r="BW254" i="27"/>
  <c r="BW258" i="27"/>
  <c r="BW72" i="27"/>
  <c r="BW251" i="27"/>
  <c r="BW255" i="27"/>
  <c r="BW298" i="27"/>
  <c r="BW302" i="27"/>
  <c r="BW306" i="27"/>
  <c r="BW252" i="27"/>
  <c r="BW256" i="27"/>
  <c r="BW97" i="27"/>
  <c r="BW265" i="27"/>
  <c r="BW300" i="27"/>
  <c r="BW304" i="27"/>
  <c r="BW308" i="27"/>
  <c r="BW34" i="27"/>
  <c r="BW69" i="27"/>
  <c r="BW98" i="27"/>
  <c r="BW152" i="27"/>
  <c r="BW266" i="27"/>
  <c r="A294" i="27"/>
  <c r="A307" i="27"/>
  <c r="A199" i="27"/>
  <c r="A301" i="27"/>
  <c r="A253" i="27"/>
  <c r="A291" i="27"/>
  <c r="A305" i="27"/>
  <c r="A309" i="27"/>
  <c r="A281" i="27"/>
  <c r="A247" i="27"/>
  <c r="A287" i="27"/>
  <c r="A303" i="27"/>
  <c r="A219" i="27"/>
  <c r="A250" i="27"/>
  <c r="A256" i="27"/>
  <c r="A245" i="27"/>
  <c r="A304" i="27"/>
  <c r="A278" i="27"/>
  <c r="A293" i="27"/>
  <c r="A271" i="27"/>
  <c r="A269" i="27"/>
  <c r="A234" i="27"/>
  <c r="A143" i="27"/>
  <c r="A150" i="27"/>
  <c r="A280" i="27"/>
  <c r="A51" i="27"/>
  <c r="A210" i="27"/>
  <c r="A236" i="27"/>
  <c r="A204" i="27"/>
  <c r="A108" i="27"/>
  <c r="A141" i="27"/>
  <c r="A130" i="27"/>
  <c r="A123" i="27"/>
  <c r="A248" i="27"/>
  <c r="A134" i="27"/>
  <c r="A197" i="27"/>
  <c r="A155" i="27"/>
  <c r="A128" i="27"/>
  <c r="A260" i="27"/>
  <c r="A228" i="27"/>
  <c r="A125" i="27"/>
  <c r="A115" i="27"/>
  <c r="A139" i="27"/>
  <c r="A169" i="27"/>
  <c r="A244" i="27"/>
  <c r="A198" i="27"/>
  <c r="A218" i="27"/>
  <c r="A120" i="27"/>
  <c r="A193" i="27"/>
  <c r="A201" i="27"/>
  <c r="A246" i="27"/>
  <c r="A261" i="27"/>
  <c r="A165" i="27"/>
  <c r="A217" i="27"/>
  <c r="A235" i="27"/>
  <c r="A273" i="27"/>
  <c r="A62" i="27"/>
  <c r="A74" i="27"/>
  <c r="A111" i="27"/>
  <c r="A58" i="27"/>
  <c r="A66" i="27"/>
  <c r="A173" i="27"/>
  <c r="A94" i="27"/>
  <c r="A104" i="27"/>
  <c r="A18" i="27"/>
  <c r="A183" i="27"/>
  <c r="A185" i="27"/>
  <c r="A77" i="27"/>
  <c r="A14" i="27"/>
  <c r="G95" i="30" s="1"/>
  <c r="A83" i="27"/>
  <c r="A56" i="27"/>
  <c r="A147" i="27"/>
  <c r="A238" i="27"/>
  <c r="A174" i="27"/>
  <c r="A54" i="27"/>
  <c r="A69" i="27"/>
  <c r="A79" i="27"/>
  <c r="A276" i="27"/>
  <c r="A171" i="27"/>
  <c r="A200" i="27"/>
  <c r="A249" i="27"/>
  <c r="A28" i="27"/>
  <c r="A151" i="27"/>
  <c r="A25" i="27"/>
  <c r="A226" i="27"/>
  <c r="A237" i="27"/>
  <c r="A252" i="27"/>
  <c r="A101" i="27"/>
  <c r="A180" i="27"/>
  <c r="A20" i="27"/>
  <c r="M94" i="27"/>
  <c r="A290" i="27"/>
  <c r="A89" i="27"/>
  <c r="M151" i="27"/>
  <c r="BI274" i="27"/>
  <c r="A251" i="27"/>
  <c r="BI59" i="27"/>
  <c r="A64" i="27"/>
  <c r="A148" i="27"/>
  <c r="A275" i="27"/>
  <c r="A292" i="27"/>
  <c r="A106" i="27"/>
  <c r="A110" i="27"/>
  <c r="M115" i="27"/>
  <c r="BL229" i="27"/>
  <c r="AN296" i="27"/>
  <c r="BJ301" i="27"/>
  <c r="A189" i="27"/>
  <c r="A152" i="27"/>
  <c r="A300" i="27"/>
  <c r="AM40" i="27"/>
  <c r="AO40" i="27" s="1"/>
  <c r="AM31" i="27"/>
  <c r="AO31" i="27" s="1"/>
  <c r="BW223" i="27"/>
  <c r="A211" i="27"/>
  <c r="A268" i="27"/>
  <c r="A63" i="27"/>
  <c r="A119" i="27"/>
  <c r="BL40" i="27"/>
  <c r="BR184" i="27"/>
  <c r="BT48" i="27"/>
  <c r="BW112" i="27"/>
  <c r="BL113" i="27"/>
  <c r="AM230" i="27"/>
  <c r="AO230" i="27" s="1"/>
  <c r="A11" i="27"/>
  <c r="A13" i="27"/>
  <c r="A27" i="27"/>
  <c r="E74" i="30" s="1"/>
  <c r="A68" i="27"/>
  <c r="A29" i="27"/>
  <c r="A32" i="27"/>
  <c r="BR96" i="27"/>
  <c r="M11" i="27"/>
  <c r="BD36" i="27"/>
  <c r="AN117" i="27"/>
  <c r="AM119" i="27"/>
  <c r="AO119" i="27" s="1"/>
  <c r="AM155" i="27"/>
  <c r="AO155" i="27" s="1"/>
  <c r="BD256" i="27"/>
  <c r="AM259" i="27"/>
  <c r="AO259" i="27" s="1"/>
  <c r="BT264" i="27"/>
  <c r="M260" i="27"/>
  <c r="BR289" i="27"/>
  <c r="M290" i="27"/>
  <c r="AM295" i="27"/>
  <c r="AO295" i="27" s="1"/>
  <c r="A191" i="27"/>
  <c r="A15" i="27"/>
  <c r="A177" i="27"/>
  <c r="A46" i="27"/>
  <c r="BT105" i="27"/>
  <c r="A73" i="27"/>
  <c r="BT21" i="27"/>
  <c r="AM189" i="27"/>
  <c r="AO189" i="27" s="1"/>
  <c r="BT90" i="27"/>
  <c r="BI52" i="27"/>
  <c r="AN94" i="27"/>
  <c r="AN115" i="27"/>
  <c r="BR115" i="27"/>
  <c r="BU188" i="27"/>
  <c r="BU198" i="27"/>
  <c r="BJ208" i="27"/>
  <c r="M219" i="27"/>
  <c r="BR223" i="27"/>
  <c r="AM242" i="27"/>
  <c r="AO242" i="27" s="1"/>
  <c r="BI281" i="27"/>
  <c r="AN297" i="27"/>
  <c r="A49" i="27"/>
  <c r="A100" i="27"/>
  <c r="AN264" i="27"/>
  <c r="A43" i="27"/>
  <c r="BQ187" i="27"/>
  <c r="AM191" i="27"/>
  <c r="AO191" i="27" s="1"/>
  <c r="BQ267" i="27"/>
  <c r="BD268" i="27"/>
  <c r="BW113" i="27"/>
  <c r="BJ148" i="27"/>
  <c r="BJ202" i="27"/>
  <c r="BD287" i="27"/>
  <c r="A186" i="27"/>
  <c r="A160" i="27"/>
  <c r="A10" i="27"/>
  <c r="A146" i="27"/>
  <c r="BK224" i="27"/>
  <c r="BL15" i="27"/>
  <c r="BR25" i="27"/>
  <c r="BW81" i="27"/>
  <c r="BL28" i="27"/>
  <c r="BW104" i="27"/>
  <c r="BW111" i="27"/>
  <c r="BR119" i="27"/>
  <c r="BQ122" i="27"/>
  <c r="M123" i="27"/>
  <c r="BQ123" i="27"/>
  <c r="BI133" i="27"/>
  <c r="M150" i="27"/>
  <c r="BQ152" i="27"/>
  <c r="M160" i="27"/>
  <c r="BD173" i="27"/>
  <c r="BQ173" i="27"/>
  <c r="BW208" i="27"/>
  <c r="AM201" i="27"/>
  <c r="AO201" i="27" s="1"/>
  <c r="BR210" i="27"/>
  <c r="BJ279" i="27"/>
  <c r="AM298" i="27"/>
  <c r="AO298" i="27" s="1"/>
  <c r="BJ307" i="27"/>
  <c r="A96" i="27"/>
  <c r="A187" i="27"/>
  <c r="BW38" i="27"/>
  <c r="BD186" i="27"/>
  <c r="BW115" i="27"/>
  <c r="BW204" i="27"/>
  <c r="BW224" i="27"/>
  <c r="AN277" i="27"/>
  <c r="BL279" i="27"/>
  <c r="BW286" i="27"/>
  <c r="BQ291" i="27"/>
  <c r="BL293" i="27"/>
  <c r="BW292" i="27"/>
  <c r="BQ118" i="27"/>
  <c r="BR235" i="27"/>
  <c r="BU241" i="27"/>
  <c r="BU248" i="27"/>
  <c r="BU260" i="27"/>
  <c r="BU265" i="27"/>
  <c r="BN262" i="27"/>
  <c r="AM71" i="27"/>
  <c r="AO71" i="27" s="1"/>
  <c r="AN71" i="27"/>
  <c r="A86" i="27"/>
  <c r="A39" i="27"/>
  <c r="BU98" i="27"/>
  <c r="BT98" i="27"/>
  <c r="A50" i="27"/>
  <c r="BL53" i="27"/>
  <c r="BI53" i="27"/>
  <c r="A136" i="27"/>
  <c r="A208" i="27"/>
  <c r="A254" i="27"/>
  <c r="BQ280" i="27"/>
  <c r="BR280" i="27"/>
  <c r="A299" i="27"/>
  <c r="A85" i="27"/>
  <c r="M191" i="27"/>
  <c r="A9" i="27"/>
  <c r="F64" i="30" s="1"/>
  <c r="AM263" i="27"/>
  <c r="AO263" i="27" s="1"/>
  <c r="AN263" i="27"/>
  <c r="BK35" i="27"/>
  <c r="BJ35" i="27"/>
  <c r="M60" i="27"/>
  <c r="BW110" i="27"/>
  <c r="A109" i="27"/>
  <c r="BD153" i="27"/>
  <c r="BW183" i="27"/>
  <c r="A231" i="27"/>
  <c r="BU259" i="27"/>
  <c r="BT259" i="27"/>
  <c r="BL273" i="27"/>
  <c r="BN273" i="27"/>
  <c r="BK291" i="27"/>
  <c r="BL291" i="27"/>
  <c r="A21" i="27"/>
  <c r="AM26" i="27"/>
  <c r="AO26" i="27" s="1"/>
  <c r="AN26" i="27"/>
  <c r="M39" i="27"/>
  <c r="AN73" i="27"/>
  <c r="AM73" i="27"/>
  <c r="AO73" i="27" s="1"/>
  <c r="BU142" i="27"/>
  <c r="BT142" i="27"/>
  <c r="BU180" i="27"/>
  <c r="A158" i="27"/>
  <c r="BD163" i="27"/>
  <c r="BW191" i="27"/>
  <c r="M203" i="27"/>
  <c r="BW213" i="27"/>
  <c r="BN254" i="27"/>
  <c r="BJ254" i="27"/>
  <c r="BJ71" i="27"/>
  <c r="BW27" i="27"/>
  <c r="BD90" i="27"/>
  <c r="BK184" i="27"/>
  <c r="BJ184" i="27"/>
  <c r="AN190" i="27"/>
  <c r="AM190" i="27"/>
  <c r="AO190" i="27" s="1"/>
  <c r="BL265" i="27"/>
  <c r="BK265" i="27"/>
  <c r="AM267" i="27"/>
  <c r="AO267" i="27" s="1"/>
  <c r="BD9" i="27"/>
  <c r="BQ9" i="27"/>
  <c r="BK19" i="27"/>
  <c r="BL19" i="27"/>
  <c r="AN33" i="27"/>
  <c r="BT92" i="27"/>
  <c r="BU95" i="27"/>
  <c r="BT95" i="27"/>
  <c r="BT99" i="27"/>
  <c r="BU99" i="27"/>
  <c r="BL51" i="27"/>
  <c r="BN51" i="27"/>
  <c r="BI67" i="27"/>
  <c r="BU120" i="27"/>
  <c r="BT120" i="27"/>
  <c r="BU122" i="27"/>
  <c r="BT122" i="27"/>
  <c r="BK111" i="27"/>
  <c r="BI111" i="27"/>
  <c r="BW184" i="27"/>
  <c r="BD157" i="27"/>
  <c r="BW186" i="27"/>
  <c r="M157" i="27"/>
  <c r="BQ197" i="27"/>
  <c r="BL209" i="27"/>
  <c r="BD216" i="27"/>
  <c r="M216" i="27"/>
  <c r="BD220" i="27"/>
  <c r="BW227" i="27"/>
  <c r="AN222" i="27"/>
  <c r="BD223" i="27"/>
  <c r="BW230" i="27"/>
  <c r="M223" i="27"/>
  <c r="AM227" i="27"/>
  <c r="AO227" i="27" s="1"/>
  <c r="AN227" i="27"/>
  <c r="AN243" i="27"/>
  <c r="BW260" i="27"/>
  <c r="M255" i="27"/>
  <c r="BL261" i="27"/>
  <c r="BJ261" i="27"/>
  <c r="BL270" i="27"/>
  <c r="BI270" i="27"/>
  <c r="BJ278" i="27"/>
  <c r="BW277" i="27"/>
  <c r="BW281" i="27"/>
  <c r="BK289" i="27"/>
  <c r="BN289" i="27"/>
  <c r="BI289" i="27"/>
  <c r="BW290" i="27"/>
  <c r="BU94" i="27"/>
  <c r="BT94" i="27"/>
  <c r="A48" i="27"/>
  <c r="BU100" i="27"/>
  <c r="BT100" i="27"/>
  <c r="A59" i="27"/>
  <c r="BW121" i="27"/>
  <c r="BD75" i="27"/>
  <c r="A229" i="27"/>
  <c r="BK288" i="27"/>
  <c r="BL288" i="27"/>
  <c r="BI288" i="27"/>
  <c r="A308" i="27"/>
  <c r="BR85" i="27"/>
  <c r="M86" i="27"/>
  <c r="BR190" i="27"/>
  <c r="A224" i="27"/>
  <c r="AM30" i="27"/>
  <c r="AO30" i="27" s="1"/>
  <c r="BK42" i="27"/>
  <c r="BJ42" i="27"/>
  <c r="AM122" i="27"/>
  <c r="AO122" i="27" s="1"/>
  <c r="BD158" i="27"/>
  <c r="BW188" i="27"/>
  <c r="BR217" i="27"/>
  <c r="AN223" i="27"/>
  <c r="BU6" i="27"/>
  <c r="BT6" i="27"/>
  <c r="BL71" i="27"/>
  <c r="AN97" i="27"/>
  <c r="AM97" i="27"/>
  <c r="AO97" i="27" s="1"/>
  <c r="BJ188" i="27"/>
  <c r="BI188" i="27"/>
  <c r="AM32" i="27"/>
  <c r="AO32" i="27" s="1"/>
  <c r="AN32" i="27"/>
  <c r="AN38" i="27"/>
  <c r="AM38" i="27"/>
  <c r="AO38" i="27" s="1"/>
  <c r="BL54" i="27"/>
  <c r="BN54" i="27"/>
  <c r="BL99" i="27"/>
  <c r="BN99" i="27"/>
  <c r="BL115" i="27"/>
  <c r="BD119" i="27"/>
  <c r="BW147" i="27"/>
  <c r="AM131" i="27"/>
  <c r="AO131" i="27" s="1"/>
  <c r="BK147" i="27"/>
  <c r="BI147" i="27"/>
  <c r="BW181" i="27"/>
  <c r="BU186" i="27"/>
  <c r="BT190" i="27"/>
  <c r="BU190" i="27"/>
  <c r="BW209" i="27"/>
  <c r="M201" i="27"/>
  <c r="BL204" i="27"/>
  <c r="BW214" i="27"/>
  <c r="M220" i="27"/>
  <c r="BJ226" i="27"/>
  <c r="BL226" i="27"/>
  <c r="BQ231" i="27"/>
  <c r="BR231" i="27"/>
  <c r="AM240" i="27"/>
  <c r="AO240" i="27" s="1"/>
  <c r="M282" i="27"/>
  <c r="BW282" i="27"/>
  <c r="BT301" i="27"/>
  <c r="BU301" i="27"/>
  <c r="BW82" i="27"/>
  <c r="AM84" i="27"/>
  <c r="AO84" i="27" s="1"/>
  <c r="BQ88" i="27"/>
  <c r="BU26" i="27"/>
  <c r="AN92" i="27"/>
  <c r="AM176" i="27"/>
  <c r="AO176" i="27" s="1"/>
  <c r="BL179" i="27"/>
  <c r="BL186" i="27"/>
  <c r="BW49" i="27"/>
  <c r="BT55" i="27"/>
  <c r="BU67" i="27"/>
  <c r="AM11" i="27"/>
  <c r="AO11" i="27" s="1"/>
  <c r="BU72" i="27"/>
  <c r="M32" i="27"/>
  <c r="AN34" i="27"/>
  <c r="AM49" i="27"/>
  <c r="AO49" i="27" s="1"/>
  <c r="AM50" i="27"/>
  <c r="AO50" i="27" s="1"/>
  <c r="AN118" i="27"/>
  <c r="BT162" i="27"/>
  <c r="AN146" i="27"/>
  <c r="BW180" i="27"/>
  <c r="BU185" i="27"/>
  <c r="AM162" i="27"/>
  <c r="AO162" i="27" s="1"/>
  <c r="BQ192" i="27"/>
  <c r="BU211" i="27"/>
  <c r="BU212" i="27"/>
  <c r="BU222" i="27"/>
  <c r="AN219" i="27"/>
  <c r="BW226" i="27"/>
  <c r="M256" i="27"/>
  <c r="BI279" i="27"/>
  <c r="BR279" i="27"/>
  <c r="AM285" i="27"/>
  <c r="AO285" i="27" s="1"/>
  <c r="AN290" i="27"/>
  <c r="BW289" i="27"/>
  <c r="BT300" i="27"/>
  <c r="BJ70" i="27"/>
  <c r="A84" i="27"/>
  <c r="A67" i="27"/>
  <c r="A114" i="27"/>
  <c r="BW203" i="27"/>
  <c r="M196" i="27"/>
  <c r="AM204" i="27"/>
  <c r="AO204" i="27" s="1"/>
  <c r="AN204" i="27"/>
  <c r="BK231" i="27"/>
  <c r="BL231" i="27"/>
  <c r="BW264" i="27"/>
  <c r="M259" i="27"/>
  <c r="BR290" i="27"/>
  <c r="BQ290" i="27"/>
  <c r="AN292" i="27"/>
  <c r="AM292" i="27"/>
  <c r="AO292" i="27" s="1"/>
  <c r="AN41" i="27"/>
  <c r="BJ72" i="27"/>
  <c r="BJ78" i="27"/>
  <c r="M84" i="27"/>
  <c r="BK87" i="27"/>
  <c r="BU24" i="27"/>
  <c r="BT27" i="27"/>
  <c r="BT32" i="27"/>
  <c r="BW36" i="27"/>
  <c r="BL184" i="27"/>
  <c r="BK188" i="27"/>
  <c r="M190" i="27"/>
  <c r="AM225" i="27"/>
  <c r="AO225" i="27" s="1"/>
  <c r="M264" i="27"/>
  <c r="BR265" i="27"/>
  <c r="BT68" i="27"/>
  <c r="BU68" i="27"/>
  <c r="BK17" i="27"/>
  <c r="BL17" i="27"/>
  <c r="BI17" i="27"/>
  <c r="BW77" i="27"/>
  <c r="BI21" i="27"/>
  <c r="BI28" i="27"/>
  <c r="BK29" i="27"/>
  <c r="BJ29" i="27"/>
  <c r="BU86" i="27"/>
  <c r="BT87" i="27"/>
  <c r="BU87" i="27"/>
  <c r="M34" i="27"/>
  <c r="BW90" i="27"/>
  <c r="M35" i="27"/>
  <c r="BQ46" i="27"/>
  <c r="M48" i="27"/>
  <c r="BQ48" i="27"/>
  <c r="BJ67" i="27"/>
  <c r="BW116" i="27"/>
  <c r="BT119" i="27"/>
  <c r="BK110" i="27"/>
  <c r="BI110" i="27"/>
  <c r="BL110" i="27"/>
  <c r="BK114" i="27"/>
  <c r="BN114" i="27"/>
  <c r="M118" i="27"/>
  <c r="BW148" i="27"/>
  <c r="BD122" i="27"/>
  <c r="M122" i="27"/>
  <c r="AN130" i="27"/>
  <c r="AM130" i="27"/>
  <c r="AO130" i="27" s="1"/>
  <c r="BK145" i="27"/>
  <c r="BL145" i="27"/>
  <c r="AM165" i="27"/>
  <c r="AO165" i="27" s="1"/>
  <c r="AN165" i="27"/>
  <c r="BW194" i="27"/>
  <c r="BU197" i="27"/>
  <c r="BT197" i="27"/>
  <c r="BW202" i="27"/>
  <c r="M194" i="27"/>
  <c r="BD196" i="27"/>
  <c r="BD213" i="27"/>
  <c r="BW221" i="27"/>
  <c r="M213" i="27"/>
  <c r="BT221" i="27"/>
  <c r="BU221" i="27"/>
  <c r="BU247" i="27"/>
  <c r="BT247" i="27"/>
  <c r="BT250" i="27"/>
  <c r="BU250" i="27"/>
  <c r="BL272" i="27"/>
  <c r="BN272" i="27"/>
  <c r="BW272" i="27"/>
  <c r="M277" i="27"/>
  <c r="BW276" i="27"/>
  <c r="BU283" i="27"/>
  <c r="BT283" i="27"/>
  <c r="BD295" i="27"/>
  <c r="M295" i="27"/>
  <c r="BD296" i="27"/>
  <c r="M296" i="27"/>
  <c r="BD297" i="27"/>
  <c r="M297" i="27"/>
  <c r="BD298" i="27"/>
  <c r="M298" i="27"/>
  <c r="A97" i="27"/>
  <c r="BK187" i="27"/>
  <c r="A188" i="27"/>
  <c r="M17" i="27"/>
  <c r="BW74" i="27"/>
  <c r="BW89" i="27"/>
  <c r="BU93" i="27"/>
  <c r="BT93" i="27"/>
  <c r="BJ64" i="27"/>
  <c r="BK109" i="27"/>
  <c r="BN109" i="27"/>
  <c r="A118" i="27"/>
  <c r="AN193" i="27"/>
  <c r="AM193" i="27"/>
  <c r="AO193" i="27" s="1"/>
  <c r="AM229" i="27"/>
  <c r="AO229" i="27" s="1"/>
  <c r="AN229" i="27"/>
  <c r="A232" i="27"/>
  <c r="BL256" i="27"/>
  <c r="BQ282" i="27"/>
  <c r="BR282" i="27"/>
  <c r="BK287" i="27"/>
  <c r="BJ287" i="27"/>
  <c r="BK290" i="27"/>
  <c r="BI290" i="27"/>
  <c r="BL70" i="27"/>
  <c r="BJ82" i="27"/>
  <c r="BQ84" i="27"/>
  <c r="BW18" i="27"/>
  <c r="AN88" i="27"/>
  <c r="BQ89" i="27"/>
  <c r="AM95" i="27"/>
  <c r="AO95" i="27" s="1"/>
  <c r="BT31" i="27"/>
  <c r="M96" i="27"/>
  <c r="M97" i="27"/>
  <c r="BQ174" i="27"/>
  <c r="BQ175" i="27"/>
  <c r="M176" i="27"/>
  <c r="BL187" i="27"/>
  <c r="BK69" i="27"/>
  <c r="BW8" i="27"/>
  <c r="BN70" i="27"/>
  <c r="BI71" i="27"/>
  <c r="AM86" i="27"/>
  <c r="AO86" i="27" s="1"/>
  <c r="BJ89" i="27"/>
  <c r="BL90" i="27"/>
  <c r="BT28" i="27"/>
  <c r="BW33" i="27"/>
  <c r="BJ179" i="27"/>
  <c r="BN181" i="27"/>
  <c r="BI183" i="27"/>
  <c r="BT44" i="27"/>
  <c r="BN184" i="27"/>
  <c r="BR186" i="27"/>
  <c r="BQ191" i="27"/>
  <c r="BD224" i="27"/>
  <c r="BR264" i="27"/>
  <c r="BK268" i="27"/>
  <c r="BR6" i="27"/>
  <c r="AM8" i="27"/>
  <c r="AO8" i="27" s="1"/>
  <c r="BD11" i="27"/>
  <c r="BW70" i="27"/>
  <c r="BJ17" i="27"/>
  <c r="BJ18" i="27"/>
  <c r="AN19" i="27"/>
  <c r="BW78" i="27"/>
  <c r="BK26" i="27"/>
  <c r="BL26" i="27"/>
  <c r="BJ28" i="27"/>
  <c r="BR29" i="27"/>
  <c r="BU88" i="27"/>
  <c r="BT89" i="27"/>
  <c r="BU89" i="27"/>
  <c r="BW94" i="27"/>
  <c r="M42" i="27"/>
  <c r="BJ59" i="27"/>
  <c r="BW109" i="27"/>
  <c r="BI62" i="27"/>
  <c r="BT121" i="27"/>
  <c r="BI109" i="27"/>
  <c r="BT137" i="27"/>
  <c r="BK115" i="27"/>
  <c r="BT145" i="27"/>
  <c r="BU145" i="27"/>
  <c r="BR121" i="27"/>
  <c r="AM127" i="27"/>
  <c r="AO127" i="27" s="1"/>
  <c r="AN127" i="27"/>
  <c r="BN138" i="27"/>
  <c r="BI138" i="27"/>
  <c r="AN139" i="27"/>
  <c r="AM139" i="27"/>
  <c r="AO139" i="27" s="1"/>
  <c r="AM152" i="27"/>
  <c r="AO152" i="27" s="1"/>
  <c r="AN152" i="27"/>
  <c r="BK171" i="27"/>
  <c r="BJ171" i="27"/>
  <c r="BW201" i="27"/>
  <c r="M193" i="27"/>
  <c r="BD194" i="27"/>
  <c r="BT202" i="27"/>
  <c r="BU202" i="27"/>
  <c r="AN196" i="27"/>
  <c r="AM196" i="27"/>
  <c r="AO196" i="27" s="1"/>
  <c r="BK211" i="27"/>
  <c r="BL211" i="27"/>
  <c r="BJ211" i="27"/>
  <c r="BI211" i="27"/>
  <c r="BR220" i="27"/>
  <c r="BQ220" i="27"/>
  <c r="BR255" i="27"/>
  <c r="BQ255" i="27"/>
  <c r="BU263" i="27"/>
  <c r="BT263" i="27"/>
  <c r="BR260" i="27"/>
  <c r="BQ260" i="27"/>
  <c r="BL269" i="27"/>
  <c r="BN269" i="27"/>
  <c r="BQ276" i="27"/>
  <c r="BR276" i="27"/>
  <c r="BR293" i="27"/>
  <c r="BQ293" i="27"/>
  <c r="A176" i="27"/>
  <c r="A184" i="27"/>
  <c r="A190" i="27"/>
  <c r="A17" i="27"/>
  <c r="BQ18" i="27"/>
  <c r="BR18" i="27"/>
  <c r="BL25" i="27"/>
  <c r="BD33" i="27"/>
  <c r="BW88" i="27"/>
  <c r="M33" i="27"/>
  <c r="A34" i="27"/>
  <c r="BJ174" i="27"/>
  <c r="BJ175" i="27"/>
  <c r="BJ183" i="27"/>
  <c r="BJ186" i="27"/>
  <c r="BI187" i="27"/>
  <c r="BW50" i="27"/>
  <c r="AN7" i="27"/>
  <c r="AM7" i="27"/>
  <c r="AO7" i="27" s="1"/>
  <c r="BL18" i="27"/>
  <c r="BK21" i="27"/>
  <c r="BJ21" i="27"/>
  <c r="BJ25" i="27"/>
  <c r="BW87" i="27"/>
  <c r="BK58" i="27"/>
  <c r="BI58" i="27"/>
  <c r="BJ62" i="27"/>
  <c r="BI64" i="27"/>
  <c r="BW120" i="27"/>
  <c r="BD74" i="27"/>
  <c r="BL102" i="27"/>
  <c r="BN102" i="27"/>
  <c r="BL109" i="27"/>
  <c r="BI114" i="27"/>
  <c r="AN126" i="27"/>
  <c r="AM126" i="27"/>
  <c r="AO126" i="27" s="1"/>
  <c r="BT192" i="27"/>
  <c r="BU192" i="27"/>
  <c r="BW198" i="27"/>
  <c r="M172" i="27"/>
  <c r="BT201" i="27"/>
  <c r="BU201" i="27"/>
  <c r="AN194" i="27"/>
  <c r="AM194" i="27"/>
  <c r="AO194" i="27" s="1"/>
  <c r="BD212" i="27"/>
  <c r="BW220" i="27"/>
  <c r="M212" i="27"/>
  <c r="BT220" i="27"/>
  <c r="BU220" i="27"/>
  <c r="BD214" i="27"/>
  <c r="BW222" i="27"/>
  <c r="M214" i="27"/>
  <c r="BQ216" i="27"/>
  <c r="BR216" i="27"/>
  <c r="BT225" i="27"/>
  <c r="BU225" i="27"/>
  <c r="BI231" i="27"/>
  <c r="BQ234" i="27"/>
  <c r="BR234" i="27"/>
  <c r="BD243" i="27"/>
  <c r="M243" i="27"/>
  <c r="BU249" i="27"/>
  <c r="BT249" i="27"/>
  <c r="BK255" i="27"/>
  <c r="BJ255" i="27"/>
  <c r="BU267" i="27"/>
  <c r="BT267" i="27"/>
  <c r="BQ287" i="27"/>
  <c r="BR287" i="27"/>
  <c r="BU294" i="27"/>
  <c r="BT294" i="27"/>
  <c r="BU295" i="27"/>
  <c r="BT295" i="27"/>
  <c r="BU296" i="27"/>
  <c r="BT296" i="27"/>
  <c r="BU297" i="27"/>
  <c r="BT297" i="27"/>
  <c r="BD198" i="27"/>
  <c r="BD199" i="27"/>
  <c r="BD200" i="27"/>
  <c r="BL254" i="27"/>
  <c r="BN270" i="27"/>
  <c r="BI277" i="27"/>
  <c r="BW291" i="27"/>
  <c r="BN52" i="27"/>
  <c r="BN53" i="27"/>
  <c r="BI56" i="27"/>
  <c r="BW106" i="27"/>
  <c r="BI60" i="27"/>
  <c r="BI63" i="27"/>
  <c r="BI66" i="27"/>
  <c r="BK68" i="27"/>
  <c r="BL75" i="27"/>
  <c r="BN104" i="27"/>
  <c r="AM123" i="27"/>
  <c r="AO123" i="27" s="1"/>
  <c r="AM125" i="27"/>
  <c r="AO125" i="27" s="1"/>
  <c r="BQ125" i="27"/>
  <c r="BJ127" i="27"/>
  <c r="BT155" i="27"/>
  <c r="BU158" i="27"/>
  <c r="AM134" i="27"/>
  <c r="AO134" i="27" s="1"/>
  <c r="BT171" i="27"/>
  <c r="BI144" i="27"/>
  <c r="BW177" i="27"/>
  <c r="AN148" i="27"/>
  <c r="BR148" i="27"/>
  <c r="BI149" i="27"/>
  <c r="AN153" i="27"/>
  <c r="BU183" i="27"/>
  <c r="M152" i="27"/>
  <c r="BR155" i="27"/>
  <c r="BW185" i="27"/>
  <c r="BR157" i="27"/>
  <c r="BR158" i="27"/>
  <c r="BQ160" i="27"/>
  <c r="AN163" i="27"/>
  <c r="BU191" i="27"/>
  <c r="M165" i="27"/>
  <c r="BT194" i="27"/>
  <c r="BU200" i="27"/>
  <c r="BU204" i="27"/>
  <c r="AM198" i="27"/>
  <c r="AO198" i="27" s="1"/>
  <c r="BU208" i="27"/>
  <c r="AM199" i="27"/>
  <c r="AO199" i="27" s="1"/>
  <c r="BU209" i="27"/>
  <c r="M200" i="27"/>
  <c r="AM200" i="27"/>
  <c r="AO200" i="27" s="1"/>
  <c r="BQ201" i="27"/>
  <c r="AN209" i="27"/>
  <c r="BR214" i="27"/>
  <c r="BU224" i="27"/>
  <c r="BQ219" i="27"/>
  <c r="AN228" i="27"/>
  <c r="BR229" i="27"/>
  <c r="AN231" i="27"/>
  <c r="AM237" i="27"/>
  <c r="AO237" i="27" s="1"/>
  <c r="AM239" i="27"/>
  <c r="AO239" i="27" s="1"/>
  <c r="AM241" i="27"/>
  <c r="AO241" i="27" s="1"/>
  <c r="AN244" i="27"/>
  <c r="AM258" i="27"/>
  <c r="AO258" i="27" s="1"/>
  <c r="AM261" i="27"/>
  <c r="AO261" i="27" s="1"/>
  <c r="BD261" i="27"/>
  <c r="BT271" i="27"/>
  <c r="BN274" i="27"/>
  <c r="BR278" i="27"/>
  <c r="AN279" i="27"/>
  <c r="AN280" i="27"/>
  <c r="BI282" i="27"/>
  <c r="BN288" i="27"/>
  <c r="AN289" i="27"/>
  <c r="M291" i="27"/>
  <c r="BN291" i="27"/>
  <c r="M292" i="27"/>
  <c r="BQ292" i="27"/>
  <c r="BT298" i="27"/>
  <c r="BT304" i="27"/>
  <c r="BT307" i="27"/>
  <c r="BW108" i="27"/>
  <c r="BJ60" i="27"/>
  <c r="BJ63" i="27"/>
  <c r="BJ66" i="27"/>
  <c r="BL68" i="27"/>
  <c r="BW143" i="27"/>
  <c r="BN144" i="27"/>
  <c r="BR146" i="27"/>
  <c r="BL149" i="27"/>
  <c r="AN150" i="27"/>
  <c r="AN151" i="27"/>
  <c r="BU181" i="27"/>
  <c r="M153" i="27"/>
  <c r="M163" i="27"/>
  <c r="BW192" i="27"/>
  <c r="BJ169" i="27"/>
  <c r="M173" i="27"/>
  <c r="BI204" i="27"/>
  <c r="BR208" i="27"/>
  <c r="BI209" i="27"/>
  <c r="AN211" i="27"/>
  <c r="BW219" i="27"/>
  <c r="BR212" i="27"/>
  <c r="BR213" i="27"/>
  <c r="BU223" i="27"/>
  <c r="M217" i="27"/>
  <c r="BQ218" i="27"/>
  <c r="M228" i="27"/>
  <c r="BK229" i="27"/>
  <c r="BW237" i="27"/>
  <c r="BR232" i="27"/>
  <c r="M237" i="27"/>
  <c r="M244" i="27"/>
  <c r="AM257" i="27"/>
  <c r="AO257" i="27" s="1"/>
  <c r="M261" i="27"/>
  <c r="BQ261" i="27"/>
  <c r="BW268" i="27"/>
  <c r="AN276" i="27"/>
  <c r="BI278" i="27"/>
  <c r="AN281" i="27"/>
  <c r="BJ282" i="27"/>
  <c r="M293" i="27"/>
  <c r="BN293" i="27"/>
  <c r="M294" i="27"/>
  <c r="AM294" i="27"/>
  <c r="AO294" i="27" s="1"/>
  <c r="BQ295" i="27"/>
  <c r="BQ296" i="27"/>
  <c r="BQ297" i="27"/>
  <c r="BQ298" i="27"/>
  <c r="BT303" i="27"/>
  <c r="BT306" i="27"/>
  <c r="BN77" i="27"/>
  <c r="BN83" i="27"/>
  <c r="BI84" i="27"/>
  <c r="A95" i="27"/>
  <c r="BK176" i="27"/>
  <c r="BN180" i="27"/>
  <c r="A181" i="27"/>
  <c r="AM25" i="27"/>
  <c r="AO25" i="27" s="1"/>
  <c r="AN25" i="27"/>
  <c r="M26" i="27"/>
  <c r="BW80" i="27"/>
  <c r="BD31" i="27"/>
  <c r="BW86" i="27"/>
  <c r="M31" i="27"/>
  <c r="AN46" i="27"/>
  <c r="AM46" i="27"/>
  <c r="AO46" i="27" s="1"/>
  <c r="BR124" i="27"/>
  <c r="BQ124" i="27"/>
  <c r="BR130" i="27"/>
  <c r="BQ130" i="27"/>
  <c r="AN136" i="27"/>
  <c r="AM136" i="27"/>
  <c r="AO136" i="27" s="1"/>
  <c r="BU172" i="27"/>
  <c r="BT172" i="27"/>
  <c r="AN218" i="27"/>
  <c r="AM218" i="27"/>
  <c r="AO218" i="27" s="1"/>
  <c r="BU255" i="27"/>
  <c r="BT255" i="27"/>
  <c r="BK280" i="27"/>
  <c r="BL280" i="27"/>
  <c r="BJ280" i="27"/>
  <c r="BI280" i="27"/>
  <c r="BN280" i="27"/>
  <c r="BL78" i="27"/>
  <c r="BI79" i="27"/>
  <c r="BW17" i="27"/>
  <c r="AM85" i="27"/>
  <c r="AO85" i="27" s="1"/>
  <c r="AM89" i="27"/>
  <c r="AO89" i="27" s="1"/>
  <c r="BD89" i="27"/>
  <c r="BQ90" i="27"/>
  <c r="BL91" i="27"/>
  <c r="BT30" i="27"/>
  <c r="M95" i="27"/>
  <c r="BQ95" i="27"/>
  <c r="BK96" i="27"/>
  <c r="BQ97" i="27"/>
  <c r="M175" i="27"/>
  <c r="AM175" i="27"/>
  <c r="AO175" i="27" s="1"/>
  <c r="BD175" i="27"/>
  <c r="BK175" i="27"/>
  <c r="BI177" i="27"/>
  <c r="BT40" i="27"/>
  <c r="BI180" i="27"/>
  <c r="BI181" i="27"/>
  <c r="BW42" i="27"/>
  <c r="AN183" i="27"/>
  <c r="BR183" i="27"/>
  <c r="BI185" i="27"/>
  <c r="BU51" i="27"/>
  <c r="M189" i="27"/>
  <c r="BK191" i="27"/>
  <c r="BT56" i="27"/>
  <c r="BT57" i="27"/>
  <c r="M267" i="27"/>
  <c r="BU62" i="27"/>
  <c r="BT62" i="27"/>
  <c r="AM268" i="27"/>
  <c r="AO268" i="27" s="1"/>
  <c r="AN268" i="27"/>
  <c r="BU63" i="27"/>
  <c r="BT63" i="27"/>
  <c r="BD12" i="27"/>
  <c r="M12" i="27"/>
  <c r="BK27" i="27"/>
  <c r="BL27" i="27"/>
  <c r="BJ27" i="27"/>
  <c r="BI27" i="27"/>
  <c r="BR33" i="27"/>
  <c r="BQ33" i="27"/>
  <c r="AM56" i="27"/>
  <c r="AO56" i="27" s="1"/>
  <c r="AN56" i="27"/>
  <c r="BQ58" i="27"/>
  <c r="BR58" i="27"/>
  <c r="AM60" i="27"/>
  <c r="AO60" i="27" s="1"/>
  <c r="AN60" i="27"/>
  <c r="BQ60" i="27"/>
  <c r="BR60" i="27"/>
  <c r="AM63" i="27"/>
  <c r="AO63" i="27" s="1"/>
  <c r="AN63" i="27"/>
  <c r="BQ63" i="27"/>
  <c r="BR63" i="27"/>
  <c r="AM66" i="27"/>
  <c r="AO66" i="27" s="1"/>
  <c r="AN66" i="27"/>
  <c r="BQ66" i="27"/>
  <c r="BR66" i="27"/>
  <c r="BR94" i="27"/>
  <c r="BQ94" i="27"/>
  <c r="BR73" i="27"/>
  <c r="BQ73" i="27"/>
  <c r="BL108" i="27"/>
  <c r="BN108" i="27"/>
  <c r="BT144" i="27"/>
  <c r="BU144" i="27"/>
  <c r="BL128" i="27"/>
  <c r="BK128" i="27"/>
  <c r="BQ204" i="27"/>
  <c r="BR204" i="27"/>
  <c r="BK210" i="27"/>
  <c r="BL210" i="27"/>
  <c r="BJ210" i="27"/>
  <c r="BI210" i="27"/>
  <c r="BN210" i="27"/>
  <c r="BD95" i="27"/>
  <c r="BN185" i="27"/>
  <c r="BW59" i="27"/>
  <c r="BD265" i="27"/>
  <c r="BU91" i="27"/>
  <c r="BT91" i="27"/>
  <c r="BQ56" i="27"/>
  <c r="BR56" i="27"/>
  <c r="AM110" i="27"/>
  <c r="AO110" i="27" s="1"/>
  <c r="AN110" i="27"/>
  <c r="BU157" i="27"/>
  <c r="BT157" i="27"/>
  <c r="BU163" i="27"/>
  <c r="BT163" i="27"/>
  <c r="BQ211" i="27"/>
  <c r="BR211" i="27"/>
  <c r="BT7" i="27"/>
  <c r="BL72" i="27"/>
  <c r="BT11" i="27"/>
  <c r="BI77" i="27"/>
  <c r="BW12" i="27"/>
  <c r="BW14" i="27"/>
  <c r="BL82" i="27"/>
  <c r="BT15" i="27"/>
  <c r="BI83" i="27"/>
  <c r="BK84" i="27"/>
  <c r="BQ86" i="27"/>
  <c r="BW20" i="27"/>
  <c r="AM87" i="27"/>
  <c r="AO87" i="27" s="1"/>
  <c r="BI70" i="27"/>
  <c r="BN71" i="27"/>
  <c r="BN72" i="27"/>
  <c r="AN77" i="27"/>
  <c r="BD77" i="27"/>
  <c r="BJ77" i="27"/>
  <c r="BR77" i="27"/>
  <c r="BN78" i="27"/>
  <c r="AN79" i="27"/>
  <c r="BD79" i="27"/>
  <c r="BJ79" i="27"/>
  <c r="BR79" i="27"/>
  <c r="BN82" i="27"/>
  <c r="AN83" i="27"/>
  <c r="BD83" i="27"/>
  <c r="BJ83" i="27"/>
  <c r="BR83" i="27"/>
  <c r="BU18" i="27"/>
  <c r="M85" i="27"/>
  <c r="BW19" i="27"/>
  <c r="M89" i="27"/>
  <c r="M90" i="27"/>
  <c r="BD96" i="27"/>
  <c r="BJ97" i="27"/>
  <c r="M174" i="27"/>
  <c r="AM174" i="27"/>
  <c r="AO174" i="27" s="1"/>
  <c r="BD174" i="27"/>
  <c r="BK174" i="27"/>
  <c r="BW35" i="27"/>
  <c r="BQ176" i="27"/>
  <c r="AN177" i="27"/>
  <c r="BD177" i="27"/>
  <c r="BJ177" i="27"/>
  <c r="BR177" i="27"/>
  <c r="BN179" i="27"/>
  <c r="AN180" i="27"/>
  <c r="BD180" i="27"/>
  <c r="BJ180" i="27"/>
  <c r="BR180" i="27"/>
  <c r="BD181" i="27"/>
  <c r="BJ181" i="27"/>
  <c r="BR181" i="27"/>
  <c r="BL183" i="27"/>
  <c r="BI184" i="27"/>
  <c r="BW46" i="27"/>
  <c r="AN185" i="27"/>
  <c r="BJ185" i="27"/>
  <c r="BR185" i="27"/>
  <c r="BN186" i="27"/>
  <c r="M187" i="27"/>
  <c r="AM187" i="27"/>
  <c r="AO187" i="27" s="1"/>
  <c r="BU50" i="27"/>
  <c r="M188" i="27"/>
  <c r="AM188" i="27"/>
  <c r="AO188" i="27" s="1"/>
  <c r="BQ188" i="27"/>
  <c r="BQ189" i="27"/>
  <c r="BW52" i="27"/>
  <c r="BW53" i="27"/>
  <c r="BL191" i="27"/>
  <c r="BU58" i="27"/>
  <c r="BT58" i="27"/>
  <c r="BU59" i="27"/>
  <c r="BT59" i="27"/>
  <c r="BT60" i="27"/>
  <c r="AM18" i="27"/>
  <c r="AO18" i="27" s="1"/>
  <c r="AN18" i="27"/>
  <c r="M19" i="27"/>
  <c r="BW76" i="27"/>
  <c r="BQ21" i="27"/>
  <c r="BR21" i="27"/>
  <c r="AM29" i="27"/>
  <c r="AO29" i="27" s="1"/>
  <c r="AN29" i="27"/>
  <c r="BD30" i="27"/>
  <c r="BW85" i="27"/>
  <c r="M30" i="27"/>
  <c r="BT85" i="27"/>
  <c r="BU85" i="27"/>
  <c r="BR31" i="27"/>
  <c r="BQ31" i="27"/>
  <c r="BJ36" i="27"/>
  <c r="BW92" i="27"/>
  <c r="M38" i="27"/>
  <c r="BK43" i="27"/>
  <c r="BR49" i="27"/>
  <c r="BQ49" i="27"/>
  <c r="AM58" i="27"/>
  <c r="AO58" i="27" s="1"/>
  <c r="AN58" i="27"/>
  <c r="BJ94" i="27"/>
  <c r="BL94" i="27"/>
  <c r="BK94" i="27"/>
  <c r="BI94" i="27"/>
  <c r="AN116" i="27"/>
  <c r="AM116" i="27"/>
  <c r="AO116" i="27" s="1"/>
  <c r="BQ120" i="27"/>
  <c r="BR120" i="27"/>
  <c r="BW212" i="27"/>
  <c r="M202" i="27"/>
  <c r="BD202" i="27"/>
  <c r="BN79" i="27"/>
  <c r="BN177" i="27"/>
  <c r="A265" i="27"/>
  <c r="AM9" i="27"/>
  <c r="AO9" i="27" s="1"/>
  <c r="AN9" i="27"/>
  <c r="BQ17" i="27"/>
  <c r="BR17" i="27"/>
  <c r="BQ28" i="27"/>
  <c r="BR28" i="27"/>
  <c r="A31" i="27"/>
  <c r="O2" i="27"/>
  <c r="BI72" i="27"/>
  <c r="BL77" i="27"/>
  <c r="BI78" i="27"/>
  <c r="BL79" i="27"/>
  <c r="BI82" i="27"/>
  <c r="BL83" i="27"/>
  <c r="BK97" i="27"/>
  <c r="BJ176" i="27"/>
  <c r="BL177" i="27"/>
  <c r="BI179" i="27"/>
  <c r="BL180" i="27"/>
  <c r="BL181" i="27"/>
  <c r="BN183" i="27"/>
  <c r="BD184" i="27"/>
  <c r="BL185" i="27"/>
  <c r="BI186" i="27"/>
  <c r="BW51" i="27"/>
  <c r="BW54" i="27"/>
  <c r="BW58" i="27"/>
  <c r="BD264" i="27"/>
  <c r="BW64" i="27"/>
  <c r="BD6" i="27"/>
  <c r="BT69" i="27"/>
  <c r="BU69" i="27"/>
  <c r="AN12" i="27"/>
  <c r="AM12" i="27"/>
  <c r="AO12" i="27" s="1"/>
  <c r="BK20" i="27"/>
  <c r="BL20" i="27"/>
  <c r="BJ20" i="27"/>
  <c r="BI20" i="27"/>
  <c r="BR32" i="27"/>
  <c r="BQ32" i="27"/>
  <c r="BR34" i="27"/>
  <c r="BQ34" i="27"/>
  <c r="AM59" i="27"/>
  <c r="AO59" i="27" s="1"/>
  <c r="AN59" i="27"/>
  <c r="BQ59" i="27"/>
  <c r="BR59" i="27"/>
  <c r="AM62" i="27"/>
  <c r="AO62" i="27" s="1"/>
  <c r="AN62" i="27"/>
  <c r="BQ62" i="27"/>
  <c r="BR62" i="27"/>
  <c r="AM64" i="27"/>
  <c r="AO64" i="27" s="1"/>
  <c r="AN64" i="27"/>
  <c r="BQ64" i="27"/>
  <c r="BR64" i="27"/>
  <c r="AM67" i="27"/>
  <c r="AO67" i="27" s="1"/>
  <c r="AN67" i="27"/>
  <c r="BQ67" i="27"/>
  <c r="BR67" i="27"/>
  <c r="BR74" i="27"/>
  <c r="BQ74" i="27"/>
  <c r="BL101" i="27"/>
  <c r="BN101" i="27"/>
  <c r="M113" i="27"/>
  <c r="BW141" i="27"/>
  <c r="BD116" i="27"/>
  <c r="BW144" i="27"/>
  <c r="M116" i="27"/>
  <c r="BD117" i="27"/>
  <c r="BW145" i="27"/>
  <c r="M117" i="27"/>
  <c r="BQ147" i="27"/>
  <c r="BR147" i="27"/>
  <c r="BT189" i="27"/>
  <c r="BU189" i="27"/>
  <c r="BR165" i="27"/>
  <c r="BQ165" i="27"/>
  <c r="BW200" i="27"/>
  <c r="BD192" i="27"/>
  <c r="M192" i="27"/>
  <c r="BR196" i="27"/>
  <c r="BQ196" i="27"/>
  <c r="BK6" i="27"/>
  <c r="BW71" i="27"/>
  <c r="BN15" i="27"/>
  <c r="BN19" i="27"/>
  <c r="BN26" i="27"/>
  <c r="BW102" i="27"/>
  <c r="BI55" i="27"/>
  <c r="BJ56" i="27"/>
  <c r="BJ58" i="27"/>
  <c r="BK98" i="27"/>
  <c r="BK100" i="27"/>
  <c r="BK103" i="27"/>
  <c r="BK107" i="27"/>
  <c r="BJ111" i="27"/>
  <c r="BN113" i="27"/>
  <c r="BJ116" i="27"/>
  <c r="BI116" i="27"/>
  <c r="BL116" i="27"/>
  <c r="BD125" i="27"/>
  <c r="M125" i="27"/>
  <c r="BW155" i="27"/>
  <c r="BD127" i="27"/>
  <c r="M127" i="27"/>
  <c r="BU165" i="27"/>
  <c r="BT165" i="27"/>
  <c r="BN139" i="27"/>
  <c r="BI139" i="27"/>
  <c r="BU174" i="27"/>
  <c r="BT174" i="27"/>
  <c r="AM147" i="27"/>
  <c r="AO147" i="27" s="1"/>
  <c r="AN147" i="27"/>
  <c r="BR153" i="27"/>
  <c r="BQ153" i="27"/>
  <c r="BR163" i="27"/>
  <c r="BQ163" i="27"/>
  <c r="M209" i="27"/>
  <c r="BW217" i="27"/>
  <c r="AN217" i="27"/>
  <c r="AM217" i="27"/>
  <c r="AO217" i="27" s="1"/>
  <c r="BD230" i="27"/>
  <c r="BW236" i="27"/>
  <c r="M230" i="27"/>
  <c r="BU243" i="27"/>
  <c r="BT243" i="27"/>
  <c r="BD240" i="27"/>
  <c r="M240" i="27"/>
  <c r="BU245" i="27"/>
  <c r="BT245" i="27"/>
  <c r="BD242" i="27"/>
  <c r="M242" i="27"/>
  <c r="BR243" i="27"/>
  <c r="BQ243" i="27"/>
  <c r="M268" i="27"/>
  <c r="BQ268" i="27"/>
  <c r="BT64" i="27"/>
  <c r="BT65" i="27"/>
  <c r="BT66" i="27"/>
  <c r="M9" i="27"/>
  <c r="BW68" i="27"/>
  <c r="BU70" i="27"/>
  <c r="M13" i="27"/>
  <c r="BI15" i="27"/>
  <c r="AN17" i="27"/>
  <c r="BN18" i="27"/>
  <c r="BI19" i="27"/>
  <c r="BR20" i="27"/>
  <c r="AN21" i="27"/>
  <c r="BN25" i="27"/>
  <c r="BI26" i="27"/>
  <c r="BR27" i="27"/>
  <c r="AN28" i="27"/>
  <c r="BN29" i="27"/>
  <c r="BQ30" i="27"/>
  <c r="BQ35" i="27"/>
  <c r="AM36" i="27"/>
  <c r="AO36" i="27" s="1"/>
  <c r="BQ39" i="27"/>
  <c r="BQ42" i="27"/>
  <c r="AM43" i="27"/>
  <c r="AO43" i="27" s="1"/>
  <c r="BQ43" i="27"/>
  <c r="AM44" i="27"/>
  <c r="AO44" i="27" s="1"/>
  <c r="BT96" i="27"/>
  <c r="M46" i="27"/>
  <c r="BT97" i="27"/>
  <c r="BJ48" i="27"/>
  <c r="BJ49" i="27"/>
  <c r="BI51" i="27"/>
  <c r="BI54" i="27"/>
  <c r="BJ55" i="27"/>
  <c r="BL56" i="27"/>
  <c r="BL58" i="27"/>
  <c r="BL59" i="27"/>
  <c r="BL60" i="27"/>
  <c r="BL62" i="27"/>
  <c r="BL63" i="27"/>
  <c r="BL64" i="27"/>
  <c r="BL66" i="27"/>
  <c r="BL67" i="27"/>
  <c r="M68" i="27"/>
  <c r="AM68" i="27"/>
  <c r="AO68" i="27" s="1"/>
  <c r="BQ68" i="27"/>
  <c r="BW117" i="27"/>
  <c r="AN74" i="27"/>
  <c r="BR75" i="27"/>
  <c r="AM76" i="27"/>
  <c r="AO76" i="27" s="1"/>
  <c r="BN98" i="27"/>
  <c r="BN100" i="27"/>
  <c r="BN103" i="27"/>
  <c r="BK106" i="27"/>
  <c r="BN107" i="27"/>
  <c r="BK112" i="27"/>
  <c r="BL111" i="27"/>
  <c r="BT139" i="27"/>
  <c r="BI113" i="27"/>
  <c r="BR117" i="27"/>
  <c r="BK119" i="27"/>
  <c r="BD121" i="27"/>
  <c r="BW149" i="27"/>
  <c r="AM121" i="27"/>
  <c r="AO121" i="27" s="1"/>
  <c r="BK123" i="27"/>
  <c r="BD124" i="27"/>
  <c r="BW151" i="27"/>
  <c r="AM124" i="27"/>
  <c r="AO124" i="27" s="1"/>
  <c r="BU160" i="27"/>
  <c r="BT160" i="27"/>
  <c r="BN134" i="27"/>
  <c r="BI134" i="27"/>
  <c r="BK146" i="27"/>
  <c r="BL146" i="27"/>
  <c r="BJ146" i="27"/>
  <c r="BI146" i="27"/>
  <c r="BN146" i="27"/>
  <c r="M149" i="27"/>
  <c r="BW179" i="27"/>
  <c r="BR151" i="27"/>
  <c r="BQ151" i="27"/>
  <c r="BD162" i="27"/>
  <c r="BW190" i="27"/>
  <c r="M162" i="27"/>
  <c r="BU196" i="27"/>
  <c r="BT196" i="27"/>
  <c r="BU199" i="27"/>
  <c r="BT199" i="27"/>
  <c r="AN192" i="27"/>
  <c r="AM192" i="27"/>
  <c r="AO192" i="27" s="1"/>
  <c r="AN202" i="27"/>
  <c r="AM202" i="27"/>
  <c r="AO202" i="27" s="1"/>
  <c r="AM208" i="27"/>
  <c r="AO208" i="27" s="1"/>
  <c r="AN208" i="27"/>
  <c r="AN216" i="27"/>
  <c r="AM216" i="27"/>
  <c r="AO216" i="27" s="1"/>
  <c r="BR224" i="27"/>
  <c r="M10" i="27"/>
  <c r="AM10" i="27"/>
  <c r="AO10" i="27" s="1"/>
  <c r="BU71" i="27"/>
  <c r="M14" i="27"/>
  <c r="AM14" i="27"/>
  <c r="AO14" i="27" s="1"/>
  <c r="BD14" i="27"/>
  <c r="AN15" i="27"/>
  <c r="BJ15" i="27"/>
  <c r="BR15" i="27"/>
  <c r="BN17" i="27"/>
  <c r="BI18" i="27"/>
  <c r="BW75" i="27"/>
  <c r="BJ19" i="27"/>
  <c r="BR19" i="27"/>
  <c r="AN20" i="27"/>
  <c r="BN21" i="27"/>
  <c r="BI25" i="27"/>
  <c r="BW79" i="27"/>
  <c r="BJ26" i="27"/>
  <c r="BR26" i="27"/>
  <c r="AN27" i="27"/>
  <c r="BN28" i="27"/>
  <c r="BI29" i="27"/>
  <c r="BW84" i="27"/>
  <c r="BQ36" i="27"/>
  <c r="AM39" i="27"/>
  <c r="AO39" i="27" s="1"/>
  <c r="M50" i="27"/>
  <c r="BJ52" i="27"/>
  <c r="BT101" i="27"/>
  <c r="BD51" i="27"/>
  <c r="BJ51" i="27"/>
  <c r="BT102" i="27"/>
  <c r="BJ53" i="27"/>
  <c r="BT103" i="27"/>
  <c r="BD54" i="27"/>
  <c r="BJ54" i="27"/>
  <c r="BN55" i="27"/>
  <c r="BN56" i="27"/>
  <c r="BN58" i="27"/>
  <c r="BN59" i="27"/>
  <c r="BN60" i="27"/>
  <c r="BN62" i="27"/>
  <c r="BN63" i="27"/>
  <c r="BN64" i="27"/>
  <c r="BN66" i="27"/>
  <c r="BN67" i="27"/>
  <c r="BK99" i="27"/>
  <c r="BK102" i="27"/>
  <c r="BK104" i="27"/>
  <c r="BN106" i="27"/>
  <c r="BN112" i="27"/>
  <c r="BJ109" i="27"/>
  <c r="BN110" i="27"/>
  <c r="BW138" i="27"/>
  <c r="BN111" i="27"/>
  <c r="AN113" i="27"/>
  <c r="BJ113" i="27"/>
  <c r="BR116" i="27"/>
  <c r="BW146" i="27"/>
  <c r="BL119" i="27"/>
  <c r="BJ120" i="27"/>
  <c r="BI120" i="27"/>
  <c r="M120" i="27"/>
  <c r="AM120" i="27"/>
  <c r="AO120" i="27" s="1"/>
  <c r="BL120" i="27"/>
  <c r="BU148" i="27"/>
  <c r="M121" i="27"/>
  <c r="BW150" i="27"/>
  <c r="BL123" i="27"/>
  <c r="BJ124" i="27"/>
  <c r="BK124" i="27"/>
  <c r="M124" i="27"/>
  <c r="BL124" i="27"/>
  <c r="BU151" i="27"/>
  <c r="BU153" i="27"/>
  <c r="BT153" i="27"/>
  <c r="BR127" i="27"/>
  <c r="BQ127" i="27"/>
  <c r="BU169" i="27"/>
  <c r="BT169" i="27"/>
  <c r="AN141" i="27"/>
  <c r="AM141" i="27"/>
  <c r="AO141" i="27" s="1"/>
  <c r="M145" i="27"/>
  <c r="BW175" i="27"/>
  <c r="BR150" i="27"/>
  <c r="BQ150" i="27"/>
  <c r="AN157" i="27"/>
  <c r="AM157" i="27"/>
  <c r="AO157" i="27" s="1"/>
  <c r="AN158" i="27"/>
  <c r="AM158" i="27"/>
  <c r="AO158" i="27" s="1"/>
  <c r="AN160" i="27"/>
  <c r="AM160" i="27"/>
  <c r="AO160" i="27" s="1"/>
  <c r="BR162" i="27"/>
  <c r="BQ162" i="27"/>
  <c r="BT210" i="27"/>
  <c r="BU210" i="27"/>
  <c r="AN212" i="27"/>
  <c r="AM212" i="27"/>
  <c r="AO212" i="27" s="1"/>
  <c r="AN213" i="27"/>
  <c r="AM213" i="27"/>
  <c r="AO213" i="27" s="1"/>
  <c r="AN214" i="27"/>
  <c r="AM214" i="27"/>
  <c r="AO214" i="27" s="1"/>
  <c r="BJ114" i="27"/>
  <c r="BD128" i="27"/>
  <c r="BJ144" i="27"/>
  <c r="BN145" i="27"/>
  <c r="BW176" i="27"/>
  <c r="BJ147" i="27"/>
  <c r="BL148" i="27"/>
  <c r="BN149" i="27"/>
  <c r="BJ204" i="27"/>
  <c r="BL208" i="27"/>
  <c r="BN209" i="27"/>
  <c r="BW218" i="27"/>
  <c r="BD218" i="27"/>
  <c r="BW225" i="27"/>
  <c r="AN220" i="27"/>
  <c r="AM220" i="27"/>
  <c r="AO220" i="27" s="1"/>
  <c r="BT231" i="27"/>
  <c r="BU231" i="27"/>
  <c r="AN232" i="27"/>
  <c r="AM232" i="27"/>
  <c r="AO232" i="27" s="1"/>
  <c r="AN235" i="27"/>
  <c r="AM235" i="27"/>
  <c r="AO235" i="27" s="1"/>
  <c r="BU254" i="27"/>
  <c r="BT254" i="27"/>
  <c r="BU258" i="27"/>
  <c r="BT258" i="27"/>
  <c r="BK259" i="27"/>
  <c r="BJ259" i="27"/>
  <c r="BK276" i="27"/>
  <c r="BL276" i="27"/>
  <c r="BJ276" i="27"/>
  <c r="BI276" i="27"/>
  <c r="BN276" i="27"/>
  <c r="BN148" i="27"/>
  <c r="BD203" i="27"/>
  <c r="BN208" i="27"/>
  <c r="AN226" i="27"/>
  <c r="AM226" i="27"/>
  <c r="AO226" i="27" s="1"/>
  <c r="BR228" i="27"/>
  <c r="BQ228" i="27"/>
  <c r="BD239" i="27"/>
  <c r="M239" i="27"/>
  <c r="BU244" i="27"/>
  <c r="BT244" i="27"/>
  <c r="BD241" i="27"/>
  <c r="M241" i="27"/>
  <c r="BU246" i="27"/>
  <c r="BT246" i="27"/>
  <c r="BR242" i="27"/>
  <c r="BQ242" i="27"/>
  <c r="BR244" i="27"/>
  <c r="BQ244" i="27"/>
  <c r="BU252" i="27"/>
  <c r="BT252" i="27"/>
  <c r="BU253" i="27"/>
  <c r="BT253" i="27"/>
  <c r="BU257" i="27"/>
  <c r="BT257" i="27"/>
  <c r="BU261" i="27"/>
  <c r="BT261" i="27"/>
  <c r="BR259" i="27"/>
  <c r="BQ259" i="27"/>
  <c r="BJ305" i="27"/>
  <c r="BK305" i="27"/>
  <c r="BR128" i="27"/>
  <c r="AM129" i="27"/>
  <c r="AO129" i="27" s="1"/>
  <c r="AN145" i="27"/>
  <c r="BJ145" i="27"/>
  <c r="BR145" i="27"/>
  <c r="BN147" i="27"/>
  <c r="BI148" i="27"/>
  <c r="BW178" i="27"/>
  <c r="AN149" i="27"/>
  <c r="BJ149" i="27"/>
  <c r="BR149" i="27"/>
  <c r="BU184" i="27"/>
  <c r="M155" i="27"/>
  <c r="BW189" i="27"/>
  <c r="BQ169" i="27"/>
  <c r="AM172" i="27"/>
  <c r="AO172" i="27" s="1"/>
  <c r="AN173" i="27"/>
  <c r="BU203" i="27"/>
  <c r="M197" i="27"/>
  <c r="AM197" i="27"/>
  <c r="AO197" i="27" s="1"/>
  <c r="BQ200" i="27"/>
  <c r="BD201" i="27"/>
  <c r="AM203" i="27"/>
  <c r="AO203" i="27" s="1"/>
  <c r="BN204" i="27"/>
  <c r="BI208" i="27"/>
  <c r="BW216" i="27"/>
  <c r="BJ209" i="27"/>
  <c r="BR209" i="27"/>
  <c r="AN210" i="27"/>
  <c r="BN211" i="27"/>
  <c r="BD222" i="27"/>
  <c r="BW229" i="27"/>
  <c r="M222" i="27"/>
  <c r="BJ223" i="27"/>
  <c r="BL223" i="27"/>
  <c r="BK223" i="27"/>
  <c r="BD227" i="27"/>
  <c r="BW232" i="27"/>
  <c r="M227" i="27"/>
  <c r="BR230" i="27"/>
  <c r="BQ230" i="27"/>
  <c r="AN234" i="27"/>
  <c r="AM234" i="27"/>
  <c r="AO234" i="27" s="1"/>
  <c r="BU242" i="27"/>
  <c r="BT242" i="27"/>
  <c r="BU256" i="27"/>
  <c r="BT256" i="27"/>
  <c r="BU269" i="27"/>
  <c r="BT269" i="27"/>
  <c r="BQ288" i="27"/>
  <c r="BR288" i="27"/>
  <c r="BW234" i="27"/>
  <c r="BI230" i="27"/>
  <c r="BL275" i="27"/>
  <c r="BI275" i="27"/>
  <c r="BN275" i="27"/>
  <c r="AM278" i="27"/>
  <c r="AO278" i="27" s="1"/>
  <c r="AN278" i="27"/>
  <c r="AM282" i="27"/>
  <c r="AO282" i="27" s="1"/>
  <c r="AN282" i="27"/>
  <c r="AN291" i="27"/>
  <c r="AM291" i="27"/>
  <c r="AO291" i="27" s="1"/>
  <c r="BK294" i="27"/>
  <c r="BN294" i="27"/>
  <c r="BL294" i="27"/>
  <c r="BI294" i="27"/>
  <c r="BU299" i="27"/>
  <c r="BT299" i="27"/>
  <c r="BU302" i="27"/>
  <c r="BT302" i="27"/>
  <c r="BU305" i="27"/>
  <c r="BT305" i="27"/>
  <c r="BI221" i="27"/>
  <c r="BT228" i="27"/>
  <c r="BQ222" i="27"/>
  <c r="M226" i="27"/>
  <c r="BI226" i="27"/>
  <c r="BQ226" i="27"/>
  <c r="BQ227" i="27"/>
  <c r="BL230" i="27"/>
  <c r="BN231" i="27"/>
  <c r="M232" i="27"/>
  <c r="BT238" i="27"/>
  <c r="M234" i="27"/>
  <c r="BT239" i="27"/>
  <c r="M235" i="27"/>
  <c r="BT240" i="27"/>
  <c r="M236" i="27"/>
  <c r="AM236" i="27"/>
  <c r="AO236" i="27" s="1"/>
  <c r="BD236" i="27"/>
  <c r="BQ238" i="27"/>
  <c r="BQ239" i="27"/>
  <c r="BQ240" i="27"/>
  <c r="BQ241" i="27"/>
  <c r="BT251" i="27"/>
  <c r="BI254" i="27"/>
  <c r="AM255" i="27"/>
  <c r="AO255" i="27" s="1"/>
  <c r="BD255" i="27"/>
  <c r="BQ256" i="27"/>
  <c r="BK257" i="27"/>
  <c r="BT262" i="27"/>
  <c r="BQ258" i="27"/>
  <c r="BK261" i="27"/>
  <c r="BU273" i="27"/>
  <c r="BT273" i="27"/>
  <c r="BQ277" i="27"/>
  <c r="BR277" i="27"/>
  <c r="M279" i="27"/>
  <c r="BW278" i="27"/>
  <c r="BQ281" i="27"/>
  <c r="BR281" i="27"/>
  <c r="BW283" i="27"/>
  <c r="BD285" i="27"/>
  <c r="M285" i="27"/>
  <c r="BU308" i="27"/>
  <c r="BT308" i="27"/>
  <c r="BU226" i="27"/>
  <c r="BU227" i="27"/>
  <c r="BK226" i="27"/>
  <c r="BW231" i="27"/>
  <c r="M229" i="27"/>
  <c r="BW235" i="27"/>
  <c r="M231" i="27"/>
  <c r="BD237" i="27"/>
  <c r="BQ248" i="27"/>
  <c r="BQ249" i="27"/>
  <c r="BQ250" i="27"/>
  <c r="BQ251" i="27"/>
  <c r="BQ252" i="27"/>
  <c r="BQ253" i="27"/>
  <c r="BD259" i="27"/>
  <c r="BK260" i="27"/>
  <c r="BL271" i="27"/>
  <c r="BI271" i="27"/>
  <c r="BN271" i="27"/>
  <c r="BJ275" i="27"/>
  <c r="M289" i="27"/>
  <c r="BW288" i="27"/>
  <c r="BK292" i="27"/>
  <c r="BN292" i="27"/>
  <c r="BL292" i="27"/>
  <c r="AN293" i="27"/>
  <c r="AM293" i="27"/>
  <c r="AO293" i="27" s="1"/>
  <c r="BR294" i="27"/>
  <c r="BQ294" i="27"/>
  <c r="BD260" i="27"/>
  <c r="BI269" i="27"/>
  <c r="BJ270" i="27"/>
  <c r="BW270" i="27"/>
  <c r="BI273" i="27"/>
  <c r="BJ274" i="27"/>
  <c r="BW274" i="27"/>
  <c r="BW275" i="27"/>
  <c r="BJ277" i="27"/>
  <c r="BL278" i="27"/>
  <c r="BN279" i="27"/>
  <c r="BW280" i="27"/>
  <c r="BJ281" i="27"/>
  <c r="BL282" i="27"/>
  <c r="BL287" i="27"/>
  <c r="BJ288" i="27"/>
  <c r="BL290" i="27"/>
  <c r="BW293" i="27"/>
  <c r="BJ303" i="27"/>
  <c r="BI262" i="27"/>
  <c r="BJ269" i="27"/>
  <c r="BI272" i="27"/>
  <c r="BJ273" i="27"/>
  <c r="BL277" i="27"/>
  <c r="BN278" i="27"/>
  <c r="BL281" i="27"/>
  <c r="BN282" i="27"/>
  <c r="BN287" i="27"/>
  <c r="BN290" i="27"/>
  <c r="BI291" i="27"/>
  <c r="BI293" i="27"/>
  <c r="BJ299" i="27"/>
  <c r="BJ309" i="27"/>
  <c r="BJ262" i="27"/>
  <c r="BJ272" i="27"/>
  <c r="BN277" i="27"/>
  <c r="BN281" i="27"/>
  <c r="BI287" i="27"/>
  <c r="M52" i="27"/>
  <c r="BD52" i="27"/>
  <c r="BW101" i="27"/>
  <c r="BQ71" i="27"/>
  <c r="BR71" i="27"/>
  <c r="BD185" i="27"/>
  <c r="BW48" i="27"/>
  <c r="AM186" i="27"/>
  <c r="AO186" i="27" s="1"/>
  <c r="AN186" i="27"/>
  <c r="BU49" i="27"/>
  <c r="BT49" i="27"/>
  <c r="BR225" i="27"/>
  <c r="BQ225" i="27"/>
  <c r="AN265" i="27"/>
  <c r="AM265" i="27"/>
  <c r="AO265" i="27" s="1"/>
  <c r="BR11" i="27"/>
  <c r="BQ11" i="27"/>
  <c r="BW96" i="27"/>
  <c r="M44" i="27"/>
  <c r="BD44" i="27"/>
  <c r="BD112" i="27"/>
  <c r="M112" i="27"/>
  <c r="BW132" i="27"/>
  <c r="A112" i="27"/>
  <c r="BJ85" i="27"/>
  <c r="BL85" i="27"/>
  <c r="BK85" i="27"/>
  <c r="BI85" i="27"/>
  <c r="BN85" i="27"/>
  <c r="BR52" i="27"/>
  <c r="BQ52" i="27"/>
  <c r="BW7" i="27"/>
  <c r="BD41" i="27"/>
  <c r="M41" i="27"/>
  <c r="AM179" i="27"/>
  <c r="AO179" i="27" s="1"/>
  <c r="AN179" i="27"/>
  <c r="BU124" i="27"/>
  <c r="BT124" i="27"/>
  <c r="BR194" i="27"/>
  <c r="BQ194" i="27"/>
  <c r="BU12" i="27"/>
  <c r="BT12" i="27"/>
  <c r="BU17" i="27"/>
  <c r="BT17" i="27"/>
  <c r="BR91" i="27"/>
  <c r="BQ91" i="27"/>
  <c r="BD183" i="27"/>
  <c r="BW44" i="27"/>
  <c r="AM184" i="27"/>
  <c r="AO184" i="27" s="1"/>
  <c r="AN184" i="27"/>
  <c r="BU46" i="27"/>
  <c r="BT46" i="27"/>
  <c r="BR7" i="27"/>
  <c r="BQ7" i="27"/>
  <c r="BR12" i="27"/>
  <c r="BQ12" i="27"/>
  <c r="BN39" i="27"/>
  <c r="BI39" i="27"/>
  <c r="BL39" i="27"/>
  <c r="BK39" i="27"/>
  <c r="BJ39" i="27"/>
  <c r="M55" i="27"/>
  <c r="BD55" i="27"/>
  <c r="BR55" i="27"/>
  <c r="BQ55" i="27"/>
  <c r="BW105" i="27"/>
  <c r="BN74" i="27"/>
  <c r="BI74" i="27"/>
  <c r="BL74" i="27"/>
  <c r="BK74" i="27"/>
  <c r="BJ74" i="27"/>
  <c r="BW122" i="27"/>
  <c r="BD76" i="27"/>
  <c r="M76" i="27"/>
  <c r="AN98" i="27"/>
  <c r="AM98" i="27"/>
  <c r="AO98" i="27" s="1"/>
  <c r="AN107" i="27"/>
  <c r="AM107" i="27"/>
  <c r="AO107" i="27" s="1"/>
  <c r="BW162" i="27"/>
  <c r="BD133" i="27"/>
  <c r="M133" i="27"/>
  <c r="M144" i="27"/>
  <c r="BW174" i="27"/>
  <c r="BD144" i="27"/>
  <c r="AN51" i="27"/>
  <c r="AM51" i="27"/>
  <c r="AO51" i="27" s="1"/>
  <c r="BD99" i="27"/>
  <c r="M99" i="27"/>
  <c r="BW124" i="27"/>
  <c r="BU132" i="27"/>
  <c r="BT132" i="27"/>
  <c r="AN171" i="27"/>
  <c r="AM171" i="27"/>
  <c r="AO171" i="27" s="1"/>
  <c r="BU8" i="27"/>
  <c r="BT8" i="27"/>
  <c r="M71" i="27"/>
  <c r="BD71" i="27"/>
  <c r="BW28" i="27"/>
  <c r="BD91" i="27"/>
  <c r="M91" i="27"/>
  <c r="AM181" i="27"/>
  <c r="AO181" i="27" s="1"/>
  <c r="AN181" i="27"/>
  <c r="BU42" i="27"/>
  <c r="BT42" i="27"/>
  <c r="BN264" i="27"/>
  <c r="BI264" i="27"/>
  <c r="BL264" i="27"/>
  <c r="BK264" i="27"/>
  <c r="BJ264" i="27"/>
  <c r="BN267" i="27"/>
  <c r="BI267" i="27"/>
  <c r="BL267" i="27"/>
  <c r="BK267" i="27"/>
  <c r="BJ267" i="27"/>
  <c r="BR44" i="27"/>
  <c r="BQ44" i="27"/>
  <c r="AN48" i="27"/>
  <c r="AM48" i="27"/>
  <c r="AO48" i="27" s="1"/>
  <c r="BU104" i="27"/>
  <c r="BT104" i="27"/>
  <c r="BD103" i="27"/>
  <c r="M103" i="27"/>
  <c r="BW128" i="27"/>
  <c r="BU128" i="27"/>
  <c r="BT128" i="27"/>
  <c r="AM111" i="27"/>
  <c r="AO111" i="27" s="1"/>
  <c r="AN111" i="27"/>
  <c r="BQ70" i="27"/>
  <c r="BR70" i="27"/>
  <c r="BW10" i="27"/>
  <c r="AM72" i="27"/>
  <c r="AO72" i="27" s="1"/>
  <c r="AN72" i="27"/>
  <c r="AM82" i="27"/>
  <c r="AO82" i="27" s="1"/>
  <c r="AN82" i="27"/>
  <c r="BT19" i="27"/>
  <c r="BU19" i="27"/>
  <c r="AN90" i="27"/>
  <c r="AM90" i="27"/>
  <c r="AO90" i="27" s="1"/>
  <c r="BN9" i="27"/>
  <c r="BI9" i="27"/>
  <c r="BL9" i="27"/>
  <c r="BK9" i="27"/>
  <c r="BJ9" i="27"/>
  <c r="BR10" i="27"/>
  <c r="BQ10" i="27"/>
  <c r="BR14" i="27"/>
  <c r="BQ14" i="27"/>
  <c r="AN35" i="27"/>
  <c r="AM35" i="27"/>
  <c r="AO35" i="27" s="1"/>
  <c r="AN102" i="27"/>
  <c r="AM102" i="27"/>
  <c r="AO102" i="27" s="1"/>
  <c r="BW6" i="27"/>
  <c r="M40" i="27"/>
  <c r="A40" i="27"/>
  <c r="BD40" i="27"/>
  <c r="BN41" i="27"/>
  <c r="BI41" i="27"/>
  <c r="BK41" i="27"/>
  <c r="BL41" i="27"/>
  <c r="M72" i="27"/>
  <c r="BW11" i="27"/>
  <c r="BD72" i="27"/>
  <c r="BQ78" i="27"/>
  <c r="BR78" i="27"/>
  <c r="M82" i="27"/>
  <c r="BW15" i="27"/>
  <c r="BD82" i="27"/>
  <c r="BJ86" i="27"/>
  <c r="BK86" i="27"/>
  <c r="BI86" i="27"/>
  <c r="BL86" i="27"/>
  <c r="BW21" i="27"/>
  <c r="BD87" i="27"/>
  <c r="M87" i="27"/>
  <c r="BR87" i="27"/>
  <c r="BQ87" i="27"/>
  <c r="BW30" i="27"/>
  <c r="BD92" i="27"/>
  <c r="BN95" i="27"/>
  <c r="BI95" i="27"/>
  <c r="BL95" i="27"/>
  <c r="BU33" i="27"/>
  <c r="BT33" i="27"/>
  <c r="BU34" i="27"/>
  <c r="BT34" i="27"/>
  <c r="BU35" i="27"/>
  <c r="BT35" i="27"/>
  <c r="BU36" i="27"/>
  <c r="BT36" i="27"/>
  <c r="M179" i="27"/>
  <c r="BW40" i="27"/>
  <c r="BD179" i="27"/>
  <c r="BJ189" i="27"/>
  <c r="BL189" i="27"/>
  <c r="BK189" i="27"/>
  <c r="BN189" i="27"/>
  <c r="BW56" i="27"/>
  <c r="BD225" i="27"/>
  <c r="M225" i="27"/>
  <c r="BW57" i="27"/>
  <c r="BD263" i="27"/>
  <c r="BW65" i="27"/>
  <c r="BD7" i="27"/>
  <c r="M7" i="27"/>
  <c r="BW66" i="27"/>
  <c r="BD8" i="27"/>
  <c r="BJ32" i="27"/>
  <c r="BN32" i="27"/>
  <c r="BI32" i="27"/>
  <c r="BK32" i="27"/>
  <c r="BJ33" i="27"/>
  <c r="BN33" i="27"/>
  <c r="BI33" i="27"/>
  <c r="BL33" i="27"/>
  <c r="BW91" i="27"/>
  <c r="M36" i="27"/>
  <c r="BN44" i="27"/>
  <c r="BI44" i="27"/>
  <c r="BL44" i="27"/>
  <c r="BJ44" i="27"/>
  <c r="BW99" i="27"/>
  <c r="M49" i="27"/>
  <c r="BD98" i="27"/>
  <c r="M98" i="27"/>
  <c r="BU123" i="27"/>
  <c r="BT123" i="27"/>
  <c r="AN101" i="27"/>
  <c r="AM101" i="27"/>
  <c r="AO101" i="27" s="1"/>
  <c r="BD102" i="27"/>
  <c r="M102" i="27"/>
  <c r="BU127" i="27"/>
  <c r="BT127" i="27"/>
  <c r="AN106" i="27"/>
  <c r="AM106" i="27"/>
  <c r="AO106" i="27" s="1"/>
  <c r="BD107" i="27"/>
  <c r="M107" i="27"/>
  <c r="BU131" i="27"/>
  <c r="BT131" i="27"/>
  <c r="BQ110" i="27"/>
  <c r="BR110" i="27"/>
  <c r="BW160" i="27"/>
  <c r="BD131" i="27"/>
  <c r="BL136" i="27"/>
  <c r="BK136" i="27"/>
  <c r="BJ136" i="27"/>
  <c r="BN136" i="27"/>
  <c r="BI136" i="27"/>
  <c r="BL141" i="27"/>
  <c r="BK141" i="27"/>
  <c r="BJ141" i="27"/>
  <c r="BN141" i="27"/>
  <c r="BI141" i="27"/>
  <c r="BR143" i="27"/>
  <c r="BQ143" i="27"/>
  <c r="BL203" i="27"/>
  <c r="BN203" i="27"/>
  <c r="BK203" i="27"/>
  <c r="BJ203" i="27"/>
  <c r="BI203" i="27"/>
  <c r="BL69" i="27"/>
  <c r="BJ69" i="27"/>
  <c r="M69" i="27"/>
  <c r="AM69" i="27"/>
  <c r="AO69" i="27" s="1"/>
  <c r="BN69" i="27"/>
  <c r="M70" i="27"/>
  <c r="BW9" i="27"/>
  <c r="BD70" i="27"/>
  <c r="AN70" i="27"/>
  <c r="BT9" i="27"/>
  <c r="BU10" i="27"/>
  <c r="BT10" i="27"/>
  <c r="BU14" i="27"/>
  <c r="BT14" i="27"/>
  <c r="BN86" i="27"/>
  <c r="BT20" i="27"/>
  <c r="BU20" i="27"/>
  <c r="BW24" i="27"/>
  <c r="BD88" i="27"/>
  <c r="BN89" i="27"/>
  <c r="BI89" i="27"/>
  <c r="BL89" i="27"/>
  <c r="BN92" i="27"/>
  <c r="BI92" i="27"/>
  <c r="BL92" i="27"/>
  <c r="BK92" i="27"/>
  <c r="M92" i="27"/>
  <c r="BU38" i="27"/>
  <c r="BT38" i="27"/>
  <c r="BU52" i="27"/>
  <c r="BJ190" i="27"/>
  <c r="BK190" i="27"/>
  <c r="BI190" i="27"/>
  <c r="BL190" i="27"/>
  <c r="AN224" i="27"/>
  <c r="AM224" i="27"/>
  <c r="AO224" i="27" s="1"/>
  <c r="BN263" i="27"/>
  <c r="BI263" i="27"/>
  <c r="BL263" i="27"/>
  <c r="BK263" i="27"/>
  <c r="M263" i="27"/>
  <c r="BQ263" i="27"/>
  <c r="AM266" i="27"/>
  <c r="AO266" i="27" s="1"/>
  <c r="BR266" i="27"/>
  <c r="BQ266" i="27"/>
  <c r="BN268" i="27"/>
  <c r="BI268" i="27"/>
  <c r="BL268" i="27"/>
  <c r="AN6" i="27"/>
  <c r="AM6" i="27"/>
  <c r="AO6" i="27" s="1"/>
  <c r="BN8" i="27"/>
  <c r="BI8" i="27"/>
  <c r="BL8" i="27"/>
  <c r="BK8" i="27"/>
  <c r="M8" i="27"/>
  <c r="BQ8" i="27"/>
  <c r="BW73" i="27"/>
  <c r="BD38" i="27"/>
  <c r="BR38" i="27"/>
  <c r="BQ38" i="27"/>
  <c r="AN42" i="27"/>
  <c r="AM42" i="27"/>
  <c r="AO42" i="27" s="1"/>
  <c r="BN46" i="27"/>
  <c r="BI46" i="27"/>
  <c r="BL46" i="27"/>
  <c r="BK46" i="27"/>
  <c r="BJ46" i="27"/>
  <c r="BD50" i="27"/>
  <c r="BR50" i="27"/>
  <c r="BQ50" i="27"/>
  <c r="M53" i="27"/>
  <c r="BD53" i="27"/>
  <c r="BR53" i="27"/>
  <c r="BQ53" i="27"/>
  <c r="BW103" i="27"/>
  <c r="AN54" i="27"/>
  <c r="AM54" i="27"/>
  <c r="AO54" i="27" s="1"/>
  <c r="AN75" i="27"/>
  <c r="AM75" i="27"/>
  <c r="AO75" i="27" s="1"/>
  <c r="AN100" i="27"/>
  <c r="AM100" i="27"/>
  <c r="AO100" i="27" s="1"/>
  <c r="BD101" i="27"/>
  <c r="M101" i="27"/>
  <c r="BU126" i="27"/>
  <c r="BT126" i="27"/>
  <c r="AN104" i="27"/>
  <c r="AM104" i="27"/>
  <c r="AO104" i="27" s="1"/>
  <c r="BD106" i="27"/>
  <c r="M106" i="27"/>
  <c r="BU130" i="27"/>
  <c r="BT130" i="27"/>
  <c r="AN108" i="27"/>
  <c r="AM108" i="27"/>
  <c r="AO108" i="27" s="1"/>
  <c r="AM109" i="27"/>
  <c r="AO109" i="27" s="1"/>
  <c r="AN109" i="27"/>
  <c r="AM114" i="27"/>
  <c r="AO114" i="27" s="1"/>
  <c r="AN114" i="27"/>
  <c r="BW153" i="27"/>
  <c r="BD126" i="27"/>
  <c r="BQ126" i="27"/>
  <c r="BR129" i="27"/>
  <c r="BQ129" i="27"/>
  <c r="BL131" i="27"/>
  <c r="BK131" i="27"/>
  <c r="BJ131" i="27"/>
  <c r="BN131" i="27"/>
  <c r="BI131" i="27"/>
  <c r="M131" i="27"/>
  <c r="AN137" i="27"/>
  <c r="AM137" i="27"/>
  <c r="AO137" i="27" s="1"/>
  <c r="AN142" i="27"/>
  <c r="AM142" i="27"/>
  <c r="AO142" i="27" s="1"/>
  <c r="BJ162" i="27"/>
  <c r="BN162" i="27"/>
  <c r="BI162" i="27"/>
  <c r="BK162" i="27"/>
  <c r="BN173" i="27"/>
  <c r="BI173" i="27"/>
  <c r="BL173" i="27"/>
  <c r="BK173" i="27"/>
  <c r="BJ173" i="27"/>
  <c r="BR199" i="27"/>
  <c r="BQ199" i="27"/>
  <c r="BN40" i="27"/>
  <c r="BI40" i="27"/>
  <c r="BJ40" i="27"/>
  <c r="BR40" i="27"/>
  <c r="BQ41" i="27"/>
  <c r="BR69" i="27"/>
  <c r="BQ69" i="27"/>
  <c r="BQ72" i="27"/>
  <c r="BR72" i="27"/>
  <c r="M78" i="27"/>
  <c r="BW13" i="27"/>
  <c r="BD78" i="27"/>
  <c r="AN78" i="27"/>
  <c r="BQ82" i="27"/>
  <c r="BR82" i="27"/>
  <c r="BN88" i="27"/>
  <c r="BI88" i="27"/>
  <c r="BL88" i="27"/>
  <c r="BK88" i="27"/>
  <c r="M88" i="27"/>
  <c r="AM91" i="27"/>
  <c r="AO91" i="27" s="1"/>
  <c r="BQ92" i="27"/>
  <c r="BJ95" i="27"/>
  <c r="AN96" i="27"/>
  <c r="AM96" i="27"/>
  <c r="AO96" i="27" s="1"/>
  <c r="BQ179" i="27"/>
  <c r="BR179" i="27"/>
  <c r="BT53" i="27"/>
  <c r="BU53" i="27"/>
  <c r="BW60" i="27"/>
  <c r="BD266" i="27"/>
  <c r="M266" i="27"/>
  <c r="BW62" i="27"/>
  <c r="BD267" i="27"/>
  <c r="BL10" i="27"/>
  <c r="BN10" i="27"/>
  <c r="BK10" i="27"/>
  <c r="BJ10" i="27"/>
  <c r="BL11" i="27"/>
  <c r="BN11" i="27"/>
  <c r="BK11" i="27"/>
  <c r="BJ11" i="27"/>
  <c r="BL12" i="27"/>
  <c r="BN12" i="27"/>
  <c r="BK12" i="27"/>
  <c r="BJ12" i="27"/>
  <c r="BL13" i="27"/>
  <c r="BN13" i="27"/>
  <c r="BK13" i="27"/>
  <c r="BJ13" i="27"/>
  <c r="BL14" i="27"/>
  <c r="BN14" i="27"/>
  <c r="BK14" i="27"/>
  <c r="BJ14" i="27"/>
  <c r="BD15" i="27"/>
  <c r="BN38" i="27"/>
  <c r="BI38" i="27"/>
  <c r="BL38" i="27"/>
  <c r="BJ38" i="27"/>
  <c r="BW95" i="27"/>
  <c r="M43" i="27"/>
  <c r="BN50" i="27"/>
  <c r="BI50" i="27"/>
  <c r="BL50" i="27"/>
  <c r="BJ50" i="27"/>
  <c r="BU106" i="27"/>
  <c r="BT106" i="27"/>
  <c r="BU108" i="27"/>
  <c r="BT108" i="27"/>
  <c r="BU109" i="27"/>
  <c r="BT109" i="27"/>
  <c r="BU110" i="27"/>
  <c r="BT110" i="27"/>
  <c r="BU111" i="27"/>
  <c r="BT111" i="27"/>
  <c r="BU112" i="27"/>
  <c r="BT112" i="27"/>
  <c r="BU113" i="27"/>
  <c r="BT113" i="27"/>
  <c r="BU115" i="27"/>
  <c r="BT115" i="27"/>
  <c r="BT116" i="27"/>
  <c r="BU116" i="27"/>
  <c r="BW123" i="27"/>
  <c r="AN99" i="27"/>
  <c r="AM99" i="27"/>
  <c r="AO99" i="27" s="1"/>
  <c r="BD100" i="27"/>
  <c r="M100" i="27"/>
  <c r="BU125" i="27"/>
  <c r="BT125" i="27"/>
  <c r="BW127" i="27"/>
  <c r="AN103" i="27"/>
  <c r="AM103" i="27"/>
  <c r="AO103" i="27" s="1"/>
  <c r="BD104" i="27"/>
  <c r="M104" i="27"/>
  <c r="BU129" i="27"/>
  <c r="BT129" i="27"/>
  <c r="BW131" i="27"/>
  <c r="AN112" i="27"/>
  <c r="AM112" i="27"/>
  <c r="AO112" i="27" s="1"/>
  <c r="BD108" i="27"/>
  <c r="M108" i="27"/>
  <c r="BU133" i="27"/>
  <c r="BT133" i="27"/>
  <c r="BQ113" i="27"/>
  <c r="BR113" i="27"/>
  <c r="BJ121" i="27"/>
  <c r="BL121" i="27"/>
  <c r="BK121" i="27"/>
  <c r="BN121" i="27"/>
  <c r="BT149" i="27"/>
  <c r="BU149" i="27"/>
  <c r="BJ125" i="27"/>
  <c r="BL125" i="27"/>
  <c r="BK125" i="27"/>
  <c r="BI125" i="27"/>
  <c r="BU152" i="27"/>
  <c r="BN126" i="27"/>
  <c r="BI126" i="27"/>
  <c r="BL126" i="27"/>
  <c r="BK126" i="27"/>
  <c r="BJ126" i="27"/>
  <c r="M126" i="27"/>
  <c r="BR131" i="27"/>
  <c r="BQ131" i="27"/>
  <c r="AN133" i="27"/>
  <c r="AM133" i="27"/>
  <c r="AO133" i="27" s="1"/>
  <c r="BW165" i="27"/>
  <c r="BD137" i="27"/>
  <c r="M137" i="27"/>
  <c r="BR137" i="27"/>
  <c r="BQ137" i="27"/>
  <c r="BW172" i="27"/>
  <c r="BD142" i="27"/>
  <c r="M142" i="27"/>
  <c r="BR142" i="27"/>
  <c r="BQ142" i="27"/>
  <c r="BU177" i="27"/>
  <c r="BT177" i="27"/>
  <c r="BJ160" i="27"/>
  <c r="BN160" i="27"/>
  <c r="BI160" i="27"/>
  <c r="BK160" i="27"/>
  <c r="BL160" i="27"/>
  <c r="BJ219" i="27"/>
  <c r="BN219" i="27"/>
  <c r="BI219" i="27"/>
  <c r="BK219" i="27"/>
  <c r="BL219" i="27"/>
  <c r="BR133" i="27"/>
  <c r="BQ133" i="27"/>
  <c r="BL137" i="27"/>
  <c r="BK137" i="27"/>
  <c r="BJ137" i="27"/>
  <c r="BD138" i="27"/>
  <c r="BR138" i="27"/>
  <c r="BQ138" i="27"/>
  <c r="BL142" i="27"/>
  <c r="BK142" i="27"/>
  <c r="BJ142" i="27"/>
  <c r="BU173" i="27"/>
  <c r="BT173" i="27"/>
  <c r="BU176" i="27"/>
  <c r="BT176" i="27"/>
  <c r="AN169" i="27"/>
  <c r="AM169" i="27"/>
  <c r="AO169" i="27" s="1"/>
  <c r="BJ218" i="27"/>
  <c r="BN218" i="27"/>
  <c r="BI218" i="27"/>
  <c r="BK218" i="27"/>
  <c r="BL218" i="27"/>
  <c r="BR271" i="27"/>
  <c r="BQ271" i="27"/>
  <c r="M272" i="27"/>
  <c r="BW271" i="27"/>
  <c r="BD272" i="27"/>
  <c r="AN306" i="27"/>
  <c r="AM306" i="27"/>
  <c r="AO306" i="27" s="1"/>
  <c r="BL84" i="27"/>
  <c r="BN87" i="27"/>
  <c r="BI87" i="27"/>
  <c r="BJ87" i="27"/>
  <c r="BN91" i="27"/>
  <c r="BI91" i="27"/>
  <c r="BJ91" i="27"/>
  <c r="BN97" i="27"/>
  <c r="BN174" i="27"/>
  <c r="BN175" i="27"/>
  <c r="BN176" i="27"/>
  <c r="BN187" i="27"/>
  <c r="BL188" i="27"/>
  <c r="BN191" i="27"/>
  <c r="BN225" i="27"/>
  <c r="BI225" i="27"/>
  <c r="BJ225" i="27"/>
  <c r="BN266" i="27"/>
  <c r="BI266" i="27"/>
  <c r="BJ266" i="27"/>
  <c r="BN7" i="27"/>
  <c r="BI7" i="27"/>
  <c r="BJ7" i="27"/>
  <c r="BU73" i="27"/>
  <c r="BT73" i="27"/>
  <c r="BU74" i="27"/>
  <c r="BT74" i="27"/>
  <c r="BU75" i="27"/>
  <c r="BT75" i="27"/>
  <c r="BU76" i="27"/>
  <c r="BT76" i="27"/>
  <c r="BU77" i="27"/>
  <c r="BT77" i="27"/>
  <c r="BU78" i="27"/>
  <c r="BT78" i="27"/>
  <c r="BU79" i="27"/>
  <c r="BT79" i="27"/>
  <c r="BU80" i="27"/>
  <c r="BT80" i="27"/>
  <c r="BU81" i="27"/>
  <c r="BT81" i="27"/>
  <c r="BU82" i="27"/>
  <c r="BT82" i="27"/>
  <c r="BU84" i="27"/>
  <c r="BT84" i="27"/>
  <c r="BJ30" i="27"/>
  <c r="BN30" i="27"/>
  <c r="BI30" i="27"/>
  <c r="BL30" i="27"/>
  <c r="BJ34" i="27"/>
  <c r="BN34" i="27"/>
  <c r="BI34" i="27"/>
  <c r="BL34" i="27"/>
  <c r="BD35" i="27"/>
  <c r="BN36" i="27"/>
  <c r="BI36" i="27"/>
  <c r="BL36" i="27"/>
  <c r="BD42" i="27"/>
  <c r="BN43" i="27"/>
  <c r="BI43" i="27"/>
  <c r="BL43" i="27"/>
  <c r="BD48" i="27"/>
  <c r="BN49" i="27"/>
  <c r="BI49" i="27"/>
  <c r="BL49" i="27"/>
  <c r="BW119" i="27"/>
  <c r="BD73" i="27"/>
  <c r="BD110" i="27"/>
  <c r="BD113" i="27"/>
  <c r="BJ117" i="27"/>
  <c r="BL117" i="27"/>
  <c r="BK117" i="27"/>
  <c r="BN117" i="27"/>
  <c r="BJ122" i="27"/>
  <c r="BK122" i="27"/>
  <c r="BI122" i="27"/>
  <c r="BN122" i="27"/>
  <c r="BT150" i="27"/>
  <c r="BU150" i="27"/>
  <c r="BW157" i="27"/>
  <c r="BD129" i="27"/>
  <c r="M129" i="27"/>
  <c r="BW158" i="27"/>
  <c r="BD130" i="27"/>
  <c r="BL133" i="27"/>
  <c r="BK133" i="27"/>
  <c r="BJ133" i="27"/>
  <c r="BW163" i="27"/>
  <c r="BD134" i="27"/>
  <c r="BR134" i="27"/>
  <c r="BQ134" i="27"/>
  <c r="BI137" i="27"/>
  <c r="BL138" i="27"/>
  <c r="BK138" i="27"/>
  <c r="BJ138" i="27"/>
  <c r="M138" i="27"/>
  <c r="AM138" i="27"/>
  <c r="AO138" i="27" s="1"/>
  <c r="BW169" i="27"/>
  <c r="BD139" i="27"/>
  <c r="BR139" i="27"/>
  <c r="BQ139" i="27"/>
  <c r="BI142" i="27"/>
  <c r="BL143" i="27"/>
  <c r="BK143" i="27"/>
  <c r="BN143" i="27"/>
  <c r="BJ143" i="27"/>
  <c r="M143" i="27"/>
  <c r="AM143" i="27"/>
  <c r="AO143" i="27" s="1"/>
  <c r="BU175" i="27"/>
  <c r="BT175" i="27"/>
  <c r="BU179" i="27"/>
  <c r="BT179" i="27"/>
  <c r="BJ150" i="27"/>
  <c r="BN150" i="27"/>
  <c r="BI150" i="27"/>
  <c r="BL150" i="27"/>
  <c r="BW197" i="27"/>
  <c r="M171" i="27"/>
  <c r="BD172" i="27"/>
  <c r="BR172" i="27"/>
  <c r="BQ172" i="27"/>
  <c r="BQ193" i="27"/>
  <c r="BQ198" i="27"/>
  <c r="BL202" i="27"/>
  <c r="BN202" i="27"/>
  <c r="BK202" i="27"/>
  <c r="BJ242" i="27"/>
  <c r="BN242" i="27"/>
  <c r="BI242" i="27"/>
  <c r="BK242" i="27"/>
  <c r="BL242" i="27"/>
  <c r="BR254" i="27"/>
  <c r="BQ254" i="27"/>
  <c r="BR269" i="27"/>
  <c r="BQ269" i="27"/>
  <c r="M270" i="27"/>
  <c r="BW269" i="27"/>
  <c r="BD270" i="27"/>
  <c r="BN84" i="27"/>
  <c r="BN90" i="27"/>
  <c r="BI90" i="27"/>
  <c r="BJ90" i="27"/>
  <c r="BN96" i="27"/>
  <c r="BI96" i="27"/>
  <c r="BJ96" i="27"/>
  <c r="BI97" i="27"/>
  <c r="BI174" i="27"/>
  <c r="BI175" i="27"/>
  <c r="BI176" i="27"/>
  <c r="BN188" i="27"/>
  <c r="BI191" i="27"/>
  <c r="BU54" i="27"/>
  <c r="BN224" i="27"/>
  <c r="BI224" i="27"/>
  <c r="M224" i="27"/>
  <c r="BJ224" i="27"/>
  <c r="BK225" i="27"/>
  <c r="BN265" i="27"/>
  <c r="BI265" i="27"/>
  <c r="M265" i="27"/>
  <c r="BJ265" i="27"/>
  <c r="BK266" i="27"/>
  <c r="BN6" i="27"/>
  <c r="BI6" i="27"/>
  <c r="M6" i="27"/>
  <c r="BJ6" i="27"/>
  <c r="BK7" i="27"/>
  <c r="BJ31" i="27"/>
  <c r="BN31" i="27"/>
  <c r="BI31" i="27"/>
  <c r="BL31" i="27"/>
  <c r="BN35" i="27"/>
  <c r="BI35" i="27"/>
  <c r="BL35" i="27"/>
  <c r="BD39" i="27"/>
  <c r="BN42" i="27"/>
  <c r="BI42" i="27"/>
  <c r="BL42" i="27"/>
  <c r="BD46" i="27"/>
  <c r="BN48" i="27"/>
  <c r="BI48" i="27"/>
  <c r="BL48" i="27"/>
  <c r="AN52" i="27"/>
  <c r="AM52" i="27"/>
  <c r="AO52" i="27" s="1"/>
  <c r="BR51" i="27"/>
  <c r="BQ51" i="27"/>
  <c r="AN53" i="27"/>
  <c r="AM53" i="27"/>
  <c r="AO53" i="27" s="1"/>
  <c r="BR54" i="27"/>
  <c r="BQ54" i="27"/>
  <c r="AN55" i="27"/>
  <c r="AM55" i="27"/>
  <c r="AO55" i="27" s="1"/>
  <c r="BN73" i="27"/>
  <c r="BI73" i="27"/>
  <c r="BL73" i="27"/>
  <c r="BK73" i="27"/>
  <c r="BR76" i="27"/>
  <c r="BQ76" i="27"/>
  <c r="BJ118" i="27"/>
  <c r="BK118" i="27"/>
  <c r="BI118" i="27"/>
  <c r="BN118" i="27"/>
  <c r="BT146" i="27"/>
  <c r="BU146" i="27"/>
  <c r="BN127" i="27"/>
  <c r="BI127" i="27"/>
  <c r="BL127" i="27"/>
  <c r="AN128" i="27"/>
  <c r="AM128" i="27"/>
  <c r="AO128" i="27" s="1"/>
  <c r="BN130" i="27"/>
  <c r="BI130" i="27"/>
  <c r="BL130" i="27"/>
  <c r="BK130" i="27"/>
  <c r="BL134" i="27"/>
  <c r="BK134" i="27"/>
  <c r="BJ134" i="27"/>
  <c r="BD136" i="27"/>
  <c r="BR136" i="27"/>
  <c r="BQ136" i="27"/>
  <c r="BN137" i="27"/>
  <c r="BL139" i="27"/>
  <c r="BK139" i="27"/>
  <c r="BJ139" i="27"/>
  <c r="BW171" i="27"/>
  <c r="BD141" i="27"/>
  <c r="BR141" i="27"/>
  <c r="BQ141" i="27"/>
  <c r="BN142" i="27"/>
  <c r="BW173" i="27"/>
  <c r="AN144" i="27"/>
  <c r="AM144" i="27"/>
  <c r="AO144" i="27" s="1"/>
  <c r="BU178" i="27"/>
  <c r="BT178" i="27"/>
  <c r="BJ152" i="27"/>
  <c r="BN152" i="27"/>
  <c r="BI152" i="27"/>
  <c r="BK152" i="27"/>
  <c r="BJ155" i="27"/>
  <c r="BN155" i="27"/>
  <c r="BI155" i="27"/>
  <c r="BL155" i="27"/>
  <c r="BN172" i="27"/>
  <c r="BI172" i="27"/>
  <c r="BL172" i="27"/>
  <c r="BJ172" i="27"/>
  <c r="BD17" i="27"/>
  <c r="BD18" i="27"/>
  <c r="BD19" i="27"/>
  <c r="BD20" i="27"/>
  <c r="BD21" i="27"/>
  <c r="BD25" i="27"/>
  <c r="BD26" i="27"/>
  <c r="BD27" i="27"/>
  <c r="BD28" i="27"/>
  <c r="BD29" i="27"/>
  <c r="BK52" i="27"/>
  <c r="BK51" i="27"/>
  <c r="BK53" i="27"/>
  <c r="BK54" i="27"/>
  <c r="BK55" i="27"/>
  <c r="BD56" i="27"/>
  <c r="BD58" i="27"/>
  <c r="BD59" i="27"/>
  <c r="BD60" i="27"/>
  <c r="BD62" i="27"/>
  <c r="BD63" i="27"/>
  <c r="BD64" i="27"/>
  <c r="BD66" i="27"/>
  <c r="BD67" i="27"/>
  <c r="BN68" i="27"/>
  <c r="BN76" i="27"/>
  <c r="BI76" i="27"/>
  <c r="BJ76" i="27"/>
  <c r="BI98" i="27"/>
  <c r="BI99" i="27"/>
  <c r="BI100" i="27"/>
  <c r="BI101" i="27"/>
  <c r="BI102" i="27"/>
  <c r="BI103" i="27"/>
  <c r="BI104" i="27"/>
  <c r="BI106" i="27"/>
  <c r="BI107" i="27"/>
  <c r="BI112" i="27"/>
  <c r="BI108" i="27"/>
  <c r="BN115" i="27"/>
  <c r="BN119" i="27"/>
  <c r="BN123" i="27"/>
  <c r="BN129" i="27"/>
  <c r="BI129" i="27"/>
  <c r="BJ129" i="27"/>
  <c r="BR144" i="27"/>
  <c r="BQ144" i="27"/>
  <c r="BJ151" i="27"/>
  <c r="BN151" i="27"/>
  <c r="BI151" i="27"/>
  <c r="BL151" i="27"/>
  <c r="BJ157" i="27"/>
  <c r="BN157" i="27"/>
  <c r="BI157" i="27"/>
  <c r="BL157" i="27"/>
  <c r="BJ163" i="27"/>
  <c r="BN163" i="27"/>
  <c r="BI163" i="27"/>
  <c r="BL163" i="27"/>
  <c r="BD169" i="27"/>
  <c r="BN171" i="27"/>
  <c r="BI171" i="27"/>
  <c r="BL171" i="27"/>
  <c r="BL201" i="27"/>
  <c r="BN201" i="27"/>
  <c r="BK201" i="27"/>
  <c r="BJ201" i="27"/>
  <c r="BR203" i="27"/>
  <c r="BQ203" i="27"/>
  <c r="AM221" i="27"/>
  <c r="AO221" i="27" s="1"/>
  <c r="AN221" i="27"/>
  <c r="BR237" i="27"/>
  <c r="BQ237" i="27"/>
  <c r="M262" i="27"/>
  <c r="BW267" i="27"/>
  <c r="BD262" i="27"/>
  <c r="BR275" i="27"/>
  <c r="BQ275" i="27"/>
  <c r="AN302" i="27"/>
  <c r="AM302" i="27"/>
  <c r="AO302" i="27" s="1"/>
  <c r="BW305" i="27"/>
  <c r="M306" i="27"/>
  <c r="BD306" i="27"/>
  <c r="BI68" i="27"/>
  <c r="BU117" i="27"/>
  <c r="BN94" i="27"/>
  <c r="BN75" i="27"/>
  <c r="BI75" i="27"/>
  <c r="M75" i="27"/>
  <c r="BJ75" i="27"/>
  <c r="BK76" i="27"/>
  <c r="BJ98" i="27"/>
  <c r="BQ98" i="27"/>
  <c r="BJ99" i="27"/>
  <c r="BQ99" i="27"/>
  <c r="BJ100" i="27"/>
  <c r="BQ100" i="27"/>
  <c r="BJ101" i="27"/>
  <c r="BQ101" i="27"/>
  <c r="BJ102" i="27"/>
  <c r="BQ102" i="27"/>
  <c r="BJ103" i="27"/>
  <c r="BQ103" i="27"/>
  <c r="BJ104" i="27"/>
  <c r="BQ104" i="27"/>
  <c r="BJ106" i="27"/>
  <c r="BQ106" i="27"/>
  <c r="BJ107" i="27"/>
  <c r="BQ107" i="27"/>
  <c r="BJ112" i="27"/>
  <c r="BQ112" i="27"/>
  <c r="BJ108" i="27"/>
  <c r="BQ108" i="27"/>
  <c r="BD109" i="27"/>
  <c r="BR109" i="27"/>
  <c r="BW137" i="27"/>
  <c r="BT138" i="27"/>
  <c r="BD111" i="27"/>
  <c r="BR111" i="27"/>
  <c r="BW139" i="27"/>
  <c r="BT141" i="27"/>
  <c r="BD114" i="27"/>
  <c r="BR114" i="27"/>
  <c r="BW142" i="27"/>
  <c r="BI115" i="27"/>
  <c r="BU143" i="27"/>
  <c r="BN116" i="27"/>
  <c r="BI119" i="27"/>
  <c r="BU147" i="27"/>
  <c r="BN120" i="27"/>
  <c r="BI123" i="27"/>
  <c r="BN124" i="27"/>
  <c r="BN128" i="27"/>
  <c r="BI128" i="27"/>
  <c r="M128" i="27"/>
  <c r="BJ128" i="27"/>
  <c r="BK129" i="27"/>
  <c r="BJ153" i="27"/>
  <c r="BN153" i="27"/>
  <c r="BI153" i="27"/>
  <c r="BL153" i="27"/>
  <c r="BJ158" i="27"/>
  <c r="BN158" i="27"/>
  <c r="BI158" i="27"/>
  <c r="BL158" i="27"/>
  <c r="BJ165" i="27"/>
  <c r="BN165" i="27"/>
  <c r="BI165" i="27"/>
  <c r="BL165" i="27"/>
  <c r="BN169" i="27"/>
  <c r="BI169" i="27"/>
  <c r="BL169" i="27"/>
  <c r="M169" i="27"/>
  <c r="BQ171" i="27"/>
  <c r="BL192" i="27"/>
  <c r="BN192" i="27"/>
  <c r="BK192" i="27"/>
  <c r="BJ192" i="27"/>
  <c r="BL193" i="27"/>
  <c r="BN193" i="27"/>
  <c r="BK193" i="27"/>
  <c r="BJ193" i="27"/>
  <c r="BL194" i="27"/>
  <c r="BN194" i="27"/>
  <c r="BK194" i="27"/>
  <c r="BJ194" i="27"/>
  <c r="BL196" i="27"/>
  <c r="BN196" i="27"/>
  <c r="BK196" i="27"/>
  <c r="BJ196" i="27"/>
  <c r="BL197" i="27"/>
  <c r="BN197" i="27"/>
  <c r="BK197" i="27"/>
  <c r="BJ197" i="27"/>
  <c r="BL198" i="27"/>
  <c r="BN198" i="27"/>
  <c r="BK198" i="27"/>
  <c r="BJ198" i="27"/>
  <c r="BL199" i="27"/>
  <c r="BN199" i="27"/>
  <c r="BK199" i="27"/>
  <c r="BJ199" i="27"/>
  <c r="BL200" i="27"/>
  <c r="BN200" i="27"/>
  <c r="BK200" i="27"/>
  <c r="BJ200" i="27"/>
  <c r="BQ202" i="27"/>
  <c r="BU213" i="27"/>
  <c r="BT213" i="27"/>
  <c r="BJ213" i="27"/>
  <c r="BN213" i="27"/>
  <c r="BI213" i="27"/>
  <c r="BK213" i="27"/>
  <c r="BJ214" i="27"/>
  <c r="BN214" i="27"/>
  <c r="BI214" i="27"/>
  <c r="BL214" i="27"/>
  <c r="BJ227" i="27"/>
  <c r="BL227" i="27"/>
  <c r="BK227" i="27"/>
  <c r="BN227" i="27"/>
  <c r="BT232" i="27"/>
  <c r="BU232" i="27"/>
  <c r="BN237" i="27"/>
  <c r="BI237" i="27"/>
  <c r="BL237" i="27"/>
  <c r="BJ237" i="27"/>
  <c r="BJ243" i="27"/>
  <c r="BN243" i="27"/>
  <c r="BI243" i="27"/>
  <c r="BK243" i="27"/>
  <c r="BW262" i="27"/>
  <c r="BD257" i="27"/>
  <c r="M257" i="27"/>
  <c r="BR257" i="27"/>
  <c r="BQ257" i="27"/>
  <c r="BR273" i="27"/>
  <c r="BQ273" i="27"/>
  <c r="M274" i="27"/>
  <c r="BW273" i="27"/>
  <c r="BD274" i="27"/>
  <c r="BW301" i="27"/>
  <c r="M302" i="27"/>
  <c r="BD302" i="27"/>
  <c r="BK144" i="27"/>
  <c r="BD145" i="27"/>
  <c r="BD146" i="27"/>
  <c r="BD147" i="27"/>
  <c r="BD148" i="27"/>
  <c r="BD149" i="27"/>
  <c r="BJ216" i="27"/>
  <c r="BN216" i="27"/>
  <c r="BI216" i="27"/>
  <c r="BL216" i="27"/>
  <c r="BJ220" i="27"/>
  <c r="BN220" i="27"/>
  <c r="BI220" i="27"/>
  <c r="BL220" i="27"/>
  <c r="BW228" i="27"/>
  <c r="BD221" i="27"/>
  <c r="BQ221" i="27"/>
  <c r="BR221" i="27"/>
  <c r="BJ228" i="27"/>
  <c r="BK228" i="27"/>
  <c r="BI228" i="27"/>
  <c r="BN228" i="27"/>
  <c r="BT234" i="27"/>
  <c r="BU234" i="27"/>
  <c r="BU237" i="27"/>
  <c r="BT237" i="27"/>
  <c r="BJ232" i="27"/>
  <c r="BN232" i="27"/>
  <c r="BI232" i="27"/>
  <c r="BL232" i="27"/>
  <c r="AN256" i="27"/>
  <c r="AM256" i="27"/>
  <c r="AO256" i="27" s="1"/>
  <c r="AN300" i="27"/>
  <c r="AM300" i="27"/>
  <c r="AO300" i="27" s="1"/>
  <c r="AN304" i="27"/>
  <c r="AM304" i="27"/>
  <c r="AO304" i="27" s="1"/>
  <c r="AN308" i="27"/>
  <c r="AM308" i="27"/>
  <c r="AO308" i="27" s="1"/>
  <c r="BU214" i="27"/>
  <c r="BT214" i="27"/>
  <c r="BU216" i="27"/>
  <c r="BT216" i="27"/>
  <c r="BU217" i="27"/>
  <c r="BT217" i="27"/>
  <c r="BU218" i="27"/>
  <c r="BT218" i="27"/>
  <c r="BU219" i="27"/>
  <c r="BT219" i="27"/>
  <c r="BJ212" i="27"/>
  <c r="BN212" i="27"/>
  <c r="BI212" i="27"/>
  <c r="BL212" i="27"/>
  <c r="BJ217" i="27"/>
  <c r="BN217" i="27"/>
  <c r="BI217" i="27"/>
  <c r="BL217" i="27"/>
  <c r="BK221" i="27"/>
  <c r="BL221" i="27"/>
  <c r="BJ221" i="27"/>
  <c r="M221" i="27"/>
  <c r="BJ222" i="27"/>
  <c r="BK222" i="27"/>
  <c r="BI222" i="27"/>
  <c r="BN222" i="27"/>
  <c r="BT229" i="27"/>
  <c r="BU229" i="27"/>
  <c r="BN236" i="27"/>
  <c r="BI236" i="27"/>
  <c r="BL236" i="27"/>
  <c r="BJ236" i="27"/>
  <c r="BR236" i="27"/>
  <c r="BQ236" i="27"/>
  <c r="BJ238" i="27"/>
  <c r="BN238" i="27"/>
  <c r="BI238" i="27"/>
  <c r="BK238" i="27"/>
  <c r="BJ239" i="27"/>
  <c r="BN239" i="27"/>
  <c r="BI239" i="27"/>
  <c r="BL239" i="27"/>
  <c r="BQ245" i="27"/>
  <c r="BQ246" i="27"/>
  <c r="BQ247" i="27"/>
  <c r="AN260" i="27"/>
  <c r="AM260" i="27"/>
  <c r="AO260" i="27" s="1"/>
  <c r="AN262" i="27"/>
  <c r="AM262" i="27"/>
  <c r="AO262" i="27" s="1"/>
  <c r="AN270" i="27"/>
  <c r="AM270" i="27"/>
  <c r="AO270" i="27" s="1"/>
  <c r="AN272" i="27"/>
  <c r="AM272" i="27"/>
  <c r="AO272" i="27" s="1"/>
  <c r="AN274" i="27"/>
  <c r="AM274" i="27"/>
  <c r="AO274" i="27" s="1"/>
  <c r="BQ285" i="27"/>
  <c r="BR285" i="27"/>
  <c r="BU286" i="27"/>
  <c r="BT286" i="27"/>
  <c r="BW299" i="27"/>
  <c r="M300" i="27"/>
  <c r="BW303" i="27"/>
  <c r="M304" i="27"/>
  <c r="BW307" i="27"/>
  <c r="M308" i="27"/>
  <c r="BD204" i="27"/>
  <c r="BD208" i="27"/>
  <c r="BD209" i="27"/>
  <c r="BD210" i="27"/>
  <c r="BD211" i="27"/>
  <c r="BN223" i="27"/>
  <c r="BN229" i="27"/>
  <c r="BU236" i="27"/>
  <c r="BT236" i="27"/>
  <c r="BJ234" i="27"/>
  <c r="BN234" i="27"/>
  <c r="BI234" i="27"/>
  <c r="BL234" i="27"/>
  <c r="BJ240" i="27"/>
  <c r="BN240" i="27"/>
  <c r="BI240" i="27"/>
  <c r="BL240" i="27"/>
  <c r="BJ244" i="27"/>
  <c r="BN244" i="27"/>
  <c r="BI244" i="27"/>
  <c r="BL244" i="27"/>
  <c r="AN254" i="27"/>
  <c r="AM254" i="27"/>
  <c r="AO254" i="27" s="1"/>
  <c r="BW263" i="27"/>
  <c r="BD258" i="27"/>
  <c r="BN259" i="27"/>
  <c r="BI259" i="27"/>
  <c r="BL259" i="27"/>
  <c r="BU266" i="27"/>
  <c r="BT266" i="27"/>
  <c r="BU268" i="27"/>
  <c r="BT268" i="27"/>
  <c r="BU270" i="27"/>
  <c r="BT270" i="27"/>
  <c r="BU272" i="27"/>
  <c r="BT272" i="27"/>
  <c r="BU274" i="27"/>
  <c r="BT274" i="27"/>
  <c r="BU289" i="27"/>
  <c r="BT289" i="27"/>
  <c r="BN300" i="27"/>
  <c r="BI300" i="27"/>
  <c r="BL300" i="27"/>
  <c r="BJ300" i="27"/>
  <c r="BN302" i="27"/>
  <c r="BI302" i="27"/>
  <c r="BL302" i="27"/>
  <c r="BJ302" i="27"/>
  <c r="BN304" i="27"/>
  <c r="BI304" i="27"/>
  <c r="BL304" i="27"/>
  <c r="BJ304" i="27"/>
  <c r="BN306" i="27"/>
  <c r="BI306" i="27"/>
  <c r="BL306" i="27"/>
  <c r="BJ306" i="27"/>
  <c r="BN308" i="27"/>
  <c r="BI308" i="27"/>
  <c r="BL308" i="27"/>
  <c r="BJ308" i="27"/>
  <c r="BI223" i="27"/>
  <c r="BU230" i="27"/>
  <c r="BN226" i="27"/>
  <c r="BI229" i="27"/>
  <c r="BU235" i="27"/>
  <c r="BK230" i="27"/>
  <c r="BJ230" i="27"/>
  <c r="BJ235" i="27"/>
  <c r="BN235" i="27"/>
  <c r="BI235" i="27"/>
  <c r="BL235" i="27"/>
  <c r="BD238" i="27"/>
  <c r="BW243" i="27"/>
  <c r="BJ241" i="27"/>
  <c r="BN241" i="27"/>
  <c r="BI241" i="27"/>
  <c r="BL241" i="27"/>
  <c r="BN245" i="27"/>
  <c r="BI245" i="27"/>
  <c r="BL245" i="27"/>
  <c r="M245" i="27"/>
  <c r="AM245" i="27"/>
  <c r="AO245" i="27" s="1"/>
  <c r="BD245" i="27"/>
  <c r="BK245" i="27"/>
  <c r="BN246" i="27"/>
  <c r="BI246" i="27"/>
  <c r="BL246" i="27"/>
  <c r="M246" i="27"/>
  <c r="AM246" i="27"/>
  <c r="AO246" i="27" s="1"/>
  <c r="BD246" i="27"/>
  <c r="BK246" i="27"/>
  <c r="BN247" i="27"/>
  <c r="BI247" i="27"/>
  <c r="BL247" i="27"/>
  <c r="M247" i="27"/>
  <c r="AM247" i="27"/>
  <c r="AO247" i="27" s="1"/>
  <c r="BD247" i="27"/>
  <c r="BK247" i="27"/>
  <c r="BN248" i="27"/>
  <c r="BI248" i="27"/>
  <c r="BL248" i="27"/>
  <c r="M248" i="27"/>
  <c r="AM248" i="27"/>
  <c r="AO248" i="27" s="1"/>
  <c r="BD248" i="27"/>
  <c r="BK248" i="27"/>
  <c r="BN249" i="27"/>
  <c r="BI249" i="27"/>
  <c r="BL249" i="27"/>
  <c r="M249" i="27"/>
  <c r="AM249" i="27"/>
  <c r="AO249" i="27" s="1"/>
  <c r="BD249" i="27"/>
  <c r="BK249" i="27"/>
  <c r="BN250" i="27"/>
  <c r="BI250" i="27"/>
  <c r="BL250" i="27"/>
  <c r="M250" i="27"/>
  <c r="AM250" i="27"/>
  <c r="AO250" i="27" s="1"/>
  <c r="BD250" i="27"/>
  <c r="BK250" i="27"/>
  <c r="BN251" i="27"/>
  <c r="BI251" i="27"/>
  <c r="BL251" i="27"/>
  <c r="M251" i="27"/>
  <c r="AM251" i="27"/>
  <c r="AO251" i="27" s="1"/>
  <c r="BD251" i="27"/>
  <c r="BK251" i="27"/>
  <c r="BN252" i="27"/>
  <c r="BI252" i="27"/>
  <c r="BL252" i="27"/>
  <c r="M252" i="27"/>
  <c r="AM252" i="27"/>
  <c r="AO252" i="27" s="1"/>
  <c r="BD252" i="27"/>
  <c r="BK252" i="27"/>
  <c r="BN253" i="27"/>
  <c r="BI253" i="27"/>
  <c r="BL253" i="27"/>
  <c r="M253" i="27"/>
  <c r="AM253" i="27"/>
  <c r="AO253" i="27" s="1"/>
  <c r="BD253" i="27"/>
  <c r="BK253" i="27"/>
  <c r="BW259" i="27"/>
  <c r="M254" i="27"/>
  <c r="BN255" i="27"/>
  <c r="BI255" i="27"/>
  <c r="BL255" i="27"/>
  <c r="BN258" i="27"/>
  <c r="BI258" i="27"/>
  <c r="BL258" i="27"/>
  <c r="BK258" i="27"/>
  <c r="M258" i="27"/>
  <c r="M288" i="27"/>
  <c r="BD288" i="27"/>
  <c r="BW287" i="27"/>
  <c r="BJ231" i="27"/>
  <c r="BW238" i="27"/>
  <c r="BW239" i="27"/>
  <c r="BW240" i="27"/>
  <c r="BW244" i="27"/>
  <c r="BW245" i="27"/>
  <c r="BW246" i="27"/>
  <c r="BW247" i="27"/>
  <c r="BW248" i="27"/>
  <c r="BW249" i="27"/>
  <c r="BK254" i="27"/>
  <c r="BN257" i="27"/>
  <c r="BI257" i="27"/>
  <c r="BJ257" i="27"/>
  <c r="BN261" i="27"/>
  <c r="BR262" i="27"/>
  <c r="BQ262" i="27"/>
  <c r="AN269" i="27"/>
  <c r="AM269" i="27"/>
  <c r="AO269" i="27" s="1"/>
  <c r="BD269" i="27"/>
  <c r="BR270" i="27"/>
  <c r="BQ270" i="27"/>
  <c r="AN271" i="27"/>
  <c r="AM271" i="27"/>
  <c r="AO271" i="27" s="1"/>
  <c r="BD271" i="27"/>
  <c r="BR272" i="27"/>
  <c r="BQ272" i="27"/>
  <c r="AN273" i="27"/>
  <c r="AM273" i="27"/>
  <c r="AO273" i="27" s="1"/>
  <c r="BD273" i="27"/>
  <c r="BR274" i="27"/>
  <c r="BQ274" i="27"/>
  <c r="AN275" i="27"/>
  <c r="AM275" i="27"/>
  <c r="AO275" i="27" s="1"/>
  <c r="BD275" i="27"/>
  <c r="BU290" i="27"/>
  <c r="BT290" i="27"/>
  <c r="BU293" i="27"/>
  <c r="BT293" i="27"/>
  <c r="BJ295" i="27"/>
  <c r="BN295" i="27"/>
  <c r="BI295" i="27"/>
  <c r="BL295" i="27"/>
  <c r="BD299" i="27"/>
  <c r="BD301" i="27"/>
  <c r="BD303" i="27"/>
  <c r="BD305" i="27"/>
  <c r="BD307" i="27"/>
  <c r="BD309" i="27"/>
  <c r="BN256" i="27"/>
  <c r="BI256" i="27"/>
  <c r="BJ256" i="27"/>
  <c r="BN260" i="27"/>
  <c r="BI260" i="27"/>
  <c r="BJ260" i="27"/>
  <c r="BI261" i="27"/>
  <c r="BU275" i="27"/>
  <c r="BT275" i="27"/>
  <c r="BU276" i="27"/>
  <c r="BT276" i="27"/>
  <c r="BU277" i="27"/>
  <c r="BT277" i="27"/>
  <c r="BU278" i="27"/>
  <c r="BT278" i="27"/>
  <c r="BU280" i="27"/>
  <c r="BT280" i="27"/>
  <c r="BU281" i="27"/>
  <c r="BT281" i="27"/>
  <c r="BU282" i="27"/>
  <c r="BT282" i="27"/>
  <c r="BK285" i="27"/>
  <c r="BL285" i="27"/>
  <c r="BJ285" i="27"/>
  <c r="BN285" i="27"/>
  <c r="AN288" i="27"/>
  <c r="BJ298" i="27"/>
  <c r="BN298" i="27"/>
  <c r="BI298" i="27"/>
  <c r="BK298" i="27"/>
  <c r="BN299" i="27"/>
  <c r="BI299" i="27"/>
  <c r="BL299" i="27"/>
  <c r="M299" i="27"/>
  <c r="AM299" i="27"/>
  <c r="AO299" i="27" s="1"/>
  <c r="BN301" i="27"/>
  <c r="BI301" i="27"/>
  <c r="BL301" i="27"/>
  <c r="M301" i="27"/>
  <c r="AM301" i="27"/>
  <c r="AO301" i="27" s="1"/>
  <c r="BN303" i="27"/>
  <c r="BI303" i="27"/>
  <c r="BL303" i="27"/>
  <c r="M303" i="27"/>
  <c r="AM303" i="27"/>
  <c r="AO303" i="27" s="1"/>
  <c r="BN305" i="27"/>
  <c r="BI305" i="27"/>
  <c r="BL305" i="27"/>
  <c r="M305" i="27"/>
  <c r="AM305" i="27"/>
  <c r="AO305" i="27" s="1"/>
  <c r="BN307" i="27"/>
  <c r="BI307" i="27"/>
  <c r="BL307" i="27"/>
  <c r="M307" i="27"/>
  <c r="AM307" i="27"/>
  <c r="AO307" i="27" s="1"/>
  <c r="BN309" i="27"/>
  <c r="BI309" i="27"/>
  <c r="BL309" i="27"/>
  <c r="M309" i="27"/>
  <c r="AM309" i="27"/>
  <c r="AO309" i="27" s="1"/>
  <c r="BK262" i="27"/>
  <c r="BK269" i="27"/>
  <c r="BK270" i="27"/>
  <c r="BK271" i="27"/>
  <c r="BK272" i="27"/>
  <c r="BK273" i="27"/>
  <c r="BK274" i="27"/>
  <c r="BK275" i="27"/>
  <c r="BD276" i="27"/>
  <c r="BD277" i="27"/>
  <c r="BD278" i="27"/>
  <c r="BD279" i="27"/>
  <c r="BD280" i="27"/>
  <c r="BD281" i="27"/>
  <c r="BD282" i="27"/>
  <c r="BU288" i="27"/>
  <c r="BT288" i="27"/>
  <c r="BU292" i="27"/>
  <c r="BT292" i="27"/>
  <c r="BJ296" i="27"/>
  <c r="BN296" i="27"/>
  <c r="BI296" i="27"/>
  <c r="BL296" i="27"/>
  <c r="AN287" i="27"/>
  <c r="BU287" i="27"/>
  <c r="BT287" i="27"/>
  <c r="BU291" i="27"/>
  <c r="BT291" i="27"/>
  <c r="BJ297" i="27"/>
  <c r="BN297" i="27"/>
  <c r="BI297" i="27"/>
  <c r="BL297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D289" i="27"/>
  <c r="BJ289" i="27"/>
  <c r="BJ290" i="27"/>
  <c r="BJ291" i="27"/>
  <c r="BJ292" i="27"/>
  <c r="BJ293" i="27"/>
  <c r="BJ294" i="27"/>
  <c r="BW294" i="27"/>
  <c r="BW295" i="27"/>
  <c r="BW296" i="27"/>
  <c r="BW297" i="27"/>
  <c r="U98" i="37" l="1"/>
  <c r="U103" i="37"/>
  <c r="W32" i="37"/>
  <c r="G58" i="30"/>
  <c r="E56" i="30"/>
  <c r="V111" i="37"/>
  <c r="E55" i="30"/>
  <c r="U135" i="37"/>
  <c r="W146" i="37"/>
  <c r="V132" i="37"/>
  <c r="E146" i="30"/>
  <c r="W141" i="37"/>
  <c r="S53" i="37"/>
  <c r="V104" i="37"/>
  <c r="W156" i="37"/>
  <c r="G93" i="30"/>
  <c r="U154" i="37"/>
  <c r="T157" i="37"/>
  <c r="F99" i="30"/>
  <c r="U99" i="37"/>
  <c r="E117" i="30"/>
  <c r="C105" i="30"/>
  <c r="G51" i="30"/>
  <c r="S65" i="37"/>
  <c r="F94" i="30"/>
  <c r="V67" i="37"/>
  <c r="W81" i="37"/>
  <c r="S36" i="37"/>
  <c r="W63" i="37"/>
  <c r="G147" i="30"/>
  <c r="V143" i="37"/>
  <c r="U36" i="37"/>
  <c r="F43" i="30"/>
  <c r="W6" i="37"/>
  <c r="F127" i="30"/>
  <c r="D107" i="30"/>
  <c r="V77" i="37"/>
  <c r="D106" i="30"/>
  <c r="S16" i="37"/>
  <c r="S126" i="37"/>
  <c r="W115" i="37"/>
  <c r="T141" i="37"/>
  <c r="U81" i="37"/>
  <c r="V112" i="37"/>
  <c r="V108" i="37"/>
  <c r="W80" i="37"/>
  <c r="W124" i="37"/>
  <c r="G165" i="30"/>
  <c r="V62" i="37"/>
  <c r="W139" i="37"/>
  <c r="G19" i="30"/>
  <c r="S145" i="37"/>
  <c r="G149" i="30"/>
  <c r="G148" i="30"/>
  <c r="E53" i="30"/>
  <c r="T139" i="37"/>
  <c r="F59" i="30"/>
  <c r="U31" i="37"/>
  <c r="E97" i="30"/>
  <c r="C36" i="30"/>
  <c r="G29" i="30"/>
  <c r="G159" i="30"/>
  <c r="D73" i="30"/>
  <c r="T113" i="37"/>
  <c r="W41" i="37"/>
  <c r="G88" i="30"/>
  <c r="U47" i="37"/>
  <c r="T143" i="37"/>
  <c r="W150" i="37"/>
  <c r="V141" i="37"/>
  <c r="F18" i="30"/>
  <c r="C147" i="30"/>
  <c r="V29" i="37"/>
  <c r="C118" i="30"/>
  <c r="W127" i="37"/>
  <c r="S67" i="37"/>
  <c r="V120" i="37"/>
  <c r="S72" i="37"/>
  <c r="U19" i="37"/>
  <c r="U138" i="37"/>
  <c r="V64" i="37"/>
  <c r="V122" i="37"/>
  <c r="W106" i="37"/>
  <c r="G106" i="30"/>
  <c r="V13" i="37"/>
  <c r="W66" i="37"/>
  <c r="F81" i="30"/>
  <c r="F146" i="30"/>
  <c r="G17" i="30"/>
  <c r="G91" i="30"/>
  <c r="E27" i="30"/>
  <c r="T122" i="37"/>
  <c r="F35" i="30"/>
  <c r="T121" i="37"/>
  <c r="E4" i="30"/>
  <c r="W58" i="37"/>
  <c r="F96" i="30"/>
  <c r="G104" i="30"/>
  <c r="W39" i="37"/>
  <c r="G153" i="30"/>
  <c r="W15" i="37"/>
  <c r="F164" i="30"/>
  <c r="S144" i="37"/>
  <c r="T90" i="37"/>
  <c r="W37" i="37"/>
  <c r="V114" i="37"/>
  <c r="E75" i="30"/>
  <c r="W111" i="37"/>
  <c r="U137" i="37"/>
  <c r="W14" i="37"/>
  <c r="W91" i="37"/>
  <c r="G168" i="30"/>
  <c r="T40" i="37"/>
  <c r="W144" i="37"/>
  <c r="T126" i="37"/>
  <c r="T86" i="37"/>
  <c r="V26" i="37"/>
  <c r="T41" i="37"/>
  <c r="W86" i="37"/>
  <c r="G37" i="30"/>
  <c r="U120" i="37"/>
  <c r="W46" i="37"/>
  <c r="E122" i="30"/>
  <c r="W132" i="37"/>
  <c r="W118" i="37"/>
  <c r="F62" i="30"/>
  <c r="E6" i="30"/>
  <c r="T54" i="37"/>
  <c r="F15" i="30"/>
  <c r="T87" i="37"/>
  <c r="D77" i="30"/>
  <c r="V137" i="37"/>
  <c r="F12" i="30"/>
  <c r="G9" i="30"/>
  <c r="U94" i="37"/>
  <c r="F2" i="30"/>
  <c r="V148" i="37"/>
  <c r="F61" i="30"/>
  <c r="D128" i="30"/>
  <c r="T38" i="37"/>
  <c r="U102" i="37"/>
  <c r="V79" i="37"/>
  <c r="D108" i="30"/>
  <c r="W75" i="37"/>
  <c r="U85" i="37"/>
  <c r="T158" i="37"/>
  <c r="W52" i="37"/>
  <c r="G112" i="30"/>
  <c r="E100" i="30"/>
  <c r="W73" i="37"/>
  <c r="T73" i="37"/>
  <c r="W109" i="37"/>
  <c r="U132" i="37"/>
  <c r="G143" i="30"/>
  <c r="W68" i="37"/>
  <c r="F83" i="30"/>
  <c r="U68" i="37"/>
  <c r="W19" i="37"/>
  <c r="D59" i="30"/>
  <c r="V117" i="37"/>
  <c r="W100" i="37"/>
  <c r="D155" i="30"/>
  <c r="D79" i="30"/>
  <c r="T37" i="37"/>
  <c r="E98" i="30"/>
  <c r="T70" i="37"/>
  <c r="C144" i="30"/>
  <c r="V73" i="37"/>
  <c r="E91" i="30"/>
  <c r="F95" i="30"/>
  <c r="S136" i="37"/>
  <c r="C129" i="30"/>
  <c r="V124" i="37"/>
  <c r="E102" i="30"/>
  <c r="W148" i="37"/>
  <c r="S141" i="37"/>
  <c r="G132" i="30"/>
  <c r="V41" i="37"/>
  <c r="C148" i="30"/>
  <c r="V140" i="37"/>
  <c r="U33" i="37"/>
  <c r="F163" i="30"/>
  <c r="W29" i="37"/>
  <c r="G55" i="30"/>
  <c r="W78" i="37"/>
  <c r="W160" i="37"/>
  <c r="T21" i="37"/>
  <c r="W143" i="37"/>
  <c r="U70" i="37"/>
  <c r="D12" i="30"/>
  <c r="W48" i="37"/>
  <c r="E145" i="30"/>
  <c r="T5" i="37"/>
  <c r="V154" i="37"/>
  <c r="C51" i="30"/>
  <c r="G74" i="30"/>
  <c r="W82" i="37"/>
  <c r="D34" i="30"/>
  <c r="D58" i="30"/>
  <c r="T20" i="37"/>
  <c r="E5" i="30"/>
  <c r="T53" i="37"/>
  <c r="C72" i="30"/>
  <c r="V6" i="37"/>
  <c r="E23" i="30"/>
  <c r="F11" i="30"/>
  <c r="G7" i="30"/>
  <c r="U55" i="37"/>
  <c r="V93" i="37"/>
  <c r="D154" i="30"/>
  <c r="W95" i="37"/>
  <c r="S74" i="37"/>
  <c r="W60" i="37"/>
  <c r="U149" i="37"/>
  <c r="V92" i="37"/>
  <c r="T24" i="37"/>
  <c r="T137" i="37"/>
  <c r="W133" i="37"/>
  <c r="V160" i="37"/>
  <c r="F107" i="30"/>
  <c r="V88" i="37"/>
  <c r="W126" i="37"/>
  <c r="S122" i="37"/>
  <c r="W108" i="37"/>
  <c r="U18" i="37"/>
  <c r="W79" i="37"/>
  <c r="W22" i="37"/>
  <c r="E33" i="30"/>
  <c r="S109" i="37"/>
  <c r="V127" i="37"/>
  <c r="W121" i="37"/>
  <c r="W155" i="37"/>
  <c r="W64" i="37"/>
  <c r="C41" i="30"/>
  <c r="D31" i="30"/>
  <c r="D78" i="30"/>
  <c r="S142" i="37"/>
  <c r="C37" i="30"/>
  <c r="U131" i="37"/>
  <c r="D168" i="30"/>
  <c r="D161" i="30"/>
  <c r="S95" i="37"/>
  <c r="V48" i="37"/>
  <c r="D33" i="30"/>
  <c r="W77" i="37"/>
  <c r="S18" i="37"/>
  <c r="V44" i="37"/>
  <c r="U87" i="37"/>
  <c r="S34" i="37"/>
  <c r="W145" i="37"/>
  <c r="T75" i="37"/>
  <c r="V144" i="37"/>
  <c r="V136" i="37"/>
  <c r="E165" i="30"/>
  <c r="T91" i="37"/>
  <c r="W90" i="37"/>
  <c r="S56" i="37"/>
  <c r="W159" i="37"/>
  <c r="T125" i="37"/>
  <c r="V45" i="37"/>
  <c r="V157" i="37"/>
  <c r="D61" i="30"/>
  <c r="S52" i="37"/>
  <c r="V96" i="37"/>
  <c r="W65" i="37"/>
  <c r="W45" i="37"/>
  <c r="W43" i="37"/>
  <c r="G36" i="30"/>
  <c r="D9" i="30"/>
  <c r="S143" i="37"/>
  <c r="D30" i="30"/>
  <c r="S68" i="37"/>
  <c r="G70" i="30"/>
  <c r="U114" i="37"/>
  <c r="D75" i="30"/>
  <c r="D74" i="30"/>
  <c r="V36" i="37"/>
  <c r="F129" i="30"/>
  <c r="W152" i="37"/>
  <c r="V7" i="37"/>
  <c r="W116" i="37"/>
  <c r="W59" i="37"/>
  <c r="G129" i="30"/>
  <c r="T39" i="37"/>
  <c r="U35" i="37"/>
  <c r="W13" i="37"/>
  <c r="W128" i="37"/>
  <c r="T23" i="37"/>
  <c r="T93" i="37"/>
  <c r="V110" i="37"/>
  <c r="E54" i="30"/>
  <c r="G131" i="30"/>
  <c r="W70" i="37"/>
  <c r="G167" i="30"/>
  <c r="W142" i="37"/>
  <c r="T72" i="37"/>
  <c r="T154" i="37"/>
  <c r="V130" i="37"/>
  <c r="W123" i="37"/>
  <c r="G161" i="30"/>
  <c r="V61" i="37"/>
  <c r="V152" i="37"/>
  <c r="W17" i="37"/>
  <c r="V149" i="37"/>
  <c r="G16" i="30"/>
  <c r="C146" i="30"/>
  <c r="S69" i="37"/>
  <c r="G163" i="30"/>
  <c r="F159" i="30"/>
  <c r="U28" i="37"/>
  <c r="C136" i="30"/>
  <c r="C134" i="30"/>
  <c r="T81" i="37"/>
  <c r="D110" i="30"/>
  <c r="W62" i="37"/>
  <c r="U104" i="37"/>
  <c r="V47" i="37"/>
  <c r="W33" i="37"/>
  <c r="G73" i="30"/>
  <c r="E82" i="30"/>
  <c r="T142" i="37"/>
  <c r="G75" i="30"/>
  <c r="W110" i="37"/>
  <c r="S127" i="37"/>
  <c r="F42" i="30"/>
  <c r="V76" i="37"/>
  <c r="D82" i="30"/>
  <c r="F145" i="30"/>
  <c r="W51" i="37"/>
  <c r="G111" i="30"/>
  <c r="W125" i="37"/>
  <c r="T18" i="37"/>
  <c r="S31" i="37"/>
  <c r="V106" i="37"/>
  <c r="W105" i="37"/>
  <c r="V12" i="37"/>
  <c r="V60" i="37"/>
  <c r="V126" i="37"/>
  <c r="V94" i="37"/>
  <c r="F100" i="30"/>
  <c r="V9" i="37"/>
  <c r="S33" i="37"/>
  <c r="C145" i="30"/>
  <c r="G125" i="30"/>
  <c r="F77" i="30"/>
  <c r="T119" i="37"/>
  <c r="V72" i="37"/>
  <c r="W40" i="37"/>
  <c r="G119" i="30"/>
  <c r="V113" i="37"/>
  <c r="U155" i="37"/>
  <c r="U52" i="37"/>
  <c r="G76" i="30"/>
  <c r="W9" i="37"/>
  <c r="F144" i="30"/>
  <c r="W147" i="37"/>
  <c r="T89" i="37"/>
  <c r="U153" i="37"/>
  <c r="W92" i="37"/>
  <c r="S70" i="37"/>
  <c r="W149" i="37"/>
  <c r="V28" i="37"/>
  <c r="C117" i="30"/>
  <c r="D10" i="30"/>
  <c r="W27" i="37"/>
  <c r="G39" i="30"/>
  <c r="W107" i="37"/>
  <c r="S111" i="37"/>
  <c r="D11" i="30"/>
  <c r="V63" i="37"/>
  <c r="W85" i="37"/>
  <c r="G20" i="30"/>
  <c r="U119" i="37"/>
  <c r="V95" i="37"/>
  <c r="V58" i="37"/>
  <c r="F80" i="30"/>
  <c r="U151" i="37"/>
  <c r="S15" i="37"/>
  <c r="W44" i="37"/>
  <c r="G107" i="30"/>
  <c r="E159" i="30"/>
  <c r="T51" i="37"/>
  <c r="V22" i="37"/>
  <c r="V135" i="37"/>
  <c r="E131" i="30"/>
  <c r="U3" i="37"/>
  <c r="S146" i="37"/>
  <c r="T159" i="37"/>
  <c r="W97" i="37"/>
  <c r="V142" i="37"/>
  <c r="F19" i="30"/>
  <c r="W130" i="37"/>
  <c r="T35" i="37"/>
  <c r="S128" i="37"/>
  <c r="W74" i="37"/>
  <c r="S13" i="37"/>
  <c r="W35" i="37"/>
  <c r="U136" i="37"/>
  <c r="W134" i="37"/>
  <c r="W131" i="37"/>
  <c r="V159" i="37"/>
  <c r="F106" i="30"/>
  <c r="W89" i="37"/>
  <c r="S54" i="37"/>
  <c r="W114" i="37"/>
  <c r="U17" i="37"/>
  <c r="W67" i="37"/>
  <c r="F82" i="30"/>
  <c r="U67" i="37"/>
  <c r="E121" i="30"/>
  <c r="V11" i="37"/>
  <c r="V10" i="37"/>
  <c r="F60" i="30"/>
  <c r="U134" i="37"/>
  <c r="G164" i="30"/>
  <c r="V139" i="37"/>
  <c r="G89" i="30"/>
  <c r="E116" i="30"/>
  <c r="T17" i="37"/>
  <c r="U96" i="37"/>
  <c r="V71" i="37"/>
  <c r="C57" i="30"/>
  <c r="S38" i="37"/>
  <c r="W153" i="37"/>
  <c r="T106" i="37"/>
  <c r="V90" i="37"/>
  <c r="V116" i="37"/>
  <c r="E81" i="30"/>
  <c r="W112" i="37"/>
  <c r="S129" i="37"/>
  <c r="G124" i="30"/>
  <c r="W53" i="37"/>
  <c r="G113" i="30"/>
  <c r="S85" i="37"/>
  <c r="U84" i="37"/>
  <c r="V146" i="37"/>
  <c r="W129" i="37"/>
  <c r="V133" i="37"/>
  <c r="E164" i="30"/>
  <c r="W69" i="37"/>
  <c r="G166" i="30"/>
  <c r="W11" i="37"/>
  <c r="T123" i="37"/>
  <c r="W47" i="37"/>
  <c r="E143" i="30"/>
  <c r="U12" i="37"/>
  <c r="D40" i="30"/>
  <c r="U64" i="37"/>
  <c r="U115" i="37"/>
  <c r="F36" i="30"/>
  <c r="U117" i="37"/>
  <c r="G90" i="30"/>
  <c r="V75" i="37"/>
  <c r="G12" i="30"/>
  <c r="E95" i="30"/>
  <c r="S158" i="37"/>
  <c r="U27" i="37"/>
  <c r="U95" i="37"/>
  <c r="U23" i="37"/>
  <c r="W136" i="37"/>
  <c r="T52" i="37"/>
  <c r="U50" i="37"/>
  <c r="V80" i="37"/>
  <c r="D127" i="30"/>
  <c r="W94" i="37"/>
  <c r="S73" i="37"/>
  <c r="G57" i="30"/>
  <c r="W30" i="37"/>
  <c r="G56" i="30"/>
  <c r="W93" i="37"/>
  <c r="U30" i="37"/>
  <c r="U51" i="37"/>
  <c r="W54" i="37"/>
  <c r="V109" i="37"/>
  <c r="E35" i="30"/>
  <c r="W49" i="37"/>
  <c r="G109" i="30"/>
  <c r="U101" i="37"/>
  <c r="T69" i="37"/>
  <c r="W21" i="37"/>
  <c r="E9" i="30"/>
  <c r="T110" i="37"/>
  <c r="C50" i="30"/>
  <c r="T109" i="37"/>
  <c r="U53" i="37"/>
  <c r="F16" i="30"/>
  <c r="U100" i="37"/>
  <c r="G72" i="30"/>
  <c r="V42" i="37"/>
  <c r="F98" i="30"/>
  <c r="E71" i="30"/>
  <c r="S66" i="37"/>
  <c r="T118" i="37"/>
  <c r="U26" i="37"/>
  <c r="S61" i="37"/>
  <c r="D16" i="30"/>
  <c r="D35" i="30"/>
  <c r="E124" i="30"/>
  <c r="G46" i="30"/>
  <c r="S135" i="37"/>
  <c r="D52" i="30"/>
  <c r="E141" i="30"/>
  <c r="C12" i="30"/>
  <c r="D101" i="30"/>
  <c r="F23" i="30"/>
  <c r="C157" i="30"/>
  <c r="E79" i="30"/>
  <c r="D87" i="30"/>
  <c r="F9" i="30"/>
  <c r="G98" i="30"/>
  <c r="T28" i="37"/>
  <c r="U125" i="37"/>
  <c r="D8" i="30"/>
  <c r="C52" i="30"/>
  <c r="E123" i="30"/>
  <c r="G115" i="30"/>
  <c r="T77" i="37"/>
  <c r="V32" i="37"/>
  <c r="C152" i="30"/>
  <c r="F24" i="30"/>
  <c r="S3" i="37"/>
  <c r="T129" i="37"/>
  <c r="V82" i="37"/>
  <c r="E59" i="30"/>
  <c r="G61" i="30"/>
  <c r="T27" i="37"/>
  <c r="U142" i="37"/>
  <c r="C98" i="30"/>
  <c r="E150" i="30"/>
  <c r="G136" i="30"/>
  <c r="T97" i="37"/>
  <c r="V52" i="37"/>
  <c r="E19" i="30"/>
  <c r="G25" i="30"/>
  <c r="S153" i="37"/>
  <c r="U110" i="37"/>
  <c r="D46" i="30"/>
  <c r="F72" i="30"/>
  <c r="S45" i="37"/>
  <c r="U8" i="37"/>
  <c r="V118" i="37"/>
  <c r="C101" i="30"/>
  <c r="E153" i="30"/>
  <c r="G139" i="30"/>
  <c r="T100" i="37"/>
  <c r="V55" i="37"/>
  <c r="C102" i="30"/>
  <c r="E154" i="30"/>
  <c r="G140" i="30"/>
  <c r="T101" i="37"/>
  <c r="V56" i="37"/>
  <c r="E70" i="30"/>
  <c r="G69" i="30"/>
  <c r="T34" i="37"/>
  <c r="U148" i="37"/>
  <c r="C70" i="30"/>
  <c r="E136" i="30"/>
  <c r="C113" i="30"/>
  <c r="E161" i="30"/>
  <c r="G144" i="30"/>
  <c r="T104" i="37"/>
  <c r="V59" i="37"/>
  <c r="D57" i="30"/>
  <c r="F79" i="30"/>
  <c r="S51" i="37"/>
  <c r="C3" i="30"/>
  <c r="D32" i="30"/>
  <c r="D51" i="30"/>
  <c r="E140" i="30"/>
  <c r="G62" i="30"/>
  <c r="S151" i="37"/>
  <c r="D68" i="30"/>
  <c r="E157" i="30"/>
  <c r="C28" i="30"/>
  <c r="D117" i="30"/>
  <c r="F39" i="30"/>
  <c r="D6" i="30"/>
  <c r="C14" i="30"/>
  <c r="D103" i="30"/>
  <c r="F25" i="30"/>
  <c r="G114" i="30"/>
  <c r="T44" i="37"/>
  <c r="U141" i="37"/>
  <c r="C16" i="30"/>
  <c r="C86" i="30"/>
  <c r="E147" i="30"/>
  <c r="G133" i="30"/>
  <c r="T94" i="37"/>
  <c r="V49" i="37"/>
  <c r="D14" i="30"/>
  <c r="F45" i="30"/>
  <c r="S21" i="37"/>
  <c r="T146" i="37"/>
  <c r="V98" i="37"/>
  <c r="E85" i="30"/>
  <c r="G80" i="30"/>
  <c r="T45" i="37"/>
  <c r="U159" i="37"/>
  <c r="C130" i="30"/>
  <c r="F3" i="30"/>
  <c r="G154" i="30"/>
  <c r="T114" i="37"/>
  <c r="V68" i="37"/>
  <c r="E40" i="30"/>
  <c r="G44" i="30"/>
  <c r="T13" i="37"/>
  <c r="U127" i="37"/>
  <c r="D72" i="30"/>
  <c r="F93" i="30"/>
  <c r="S63" i="37"/>
  <c r="U25" i="37"/>
  <c r="V134" i="37"/>
  <c r="C133" i="30"/>
  <c r="F10" i="30"/>
  <c r="G157" i="30"/>
  <c r="T117" i="37"/>
  <c r="C4" i="30"/>
  <c r="C8" i="30"/>
  <c r="D67" i="30"/>
  <c r="E156" i="30"/>
  <c r="G78" i="30"/>
  <c r="T8" i="37"/>
  <c r="D84" i="30"/>
  <c r="F6" i="30"/>
  <c r="C44" i="30"/>
  <c r="D133" i="30"/>
  <c r="F55" i="30"/>
  <c r="D22" i="30"/>
  <c r="C30" i="30"/>
  <c r="D119" i="30"/>
  <c r="F41" i="30"/>
  <c r="G130" i="30"/>
  <c r="T60" i="37"/>
  <c r="U157" i="37"/>
  <c r="C32" i="30"/>
  <c r="C120" i="30"/>
  <c r="E167" i="30"/>
  <c r="G151" i="30"/>
  <c r="T111" i="37"/>
  <c r="V65" i="37"/>
  <c r="D42" i="30"/>
  <c r="F65" i="30"/>
  <c r="S40" i="37"/>
  <c r="U4" i="37"/>
  <c r="C20" i="30"/>
  <c r="E105" i="30"/>
  <c r="G99" i="30"/>
  <c r="T62" i="37"/>
  <c r="V17" i="37"/>
  <c r="C160" i="30"/>
  <c r="F27" i="30"/>
  <c r="S5" i="37"/>
  <c r="T131" i="37"/>
  <c r="V84" i="37"/>
  <c r="E66" i="30"/>
  <c r="G64" i="30"/>
  <c r="T30" i="37"/>
  <c r="U144" i="37"/>
  <c r="D93" i="30"/>
  <c r="F113" i="30"/>
  <c r="S81" i="37"/>
  <c r="U42" i="37"/>
  <c r="V150" i="37"/>
  <c r="C163" i="30"/>
  <c r="F30" i="30"/>
  <c r="S9" i="37"/>
  <c r="T134" i="37"/>
  <c r="V87" i="37"/>
  <c r="C164" i="30"/>
  <c r="F31" i="30"/>
  <c r="S10" i="37"/>
  <c r="T135" i="37"/>
  <c r="C35" i="30"/>
  <c r="E115" i="30"/>
  <c r="G105" i="30"/>
  <c r="T68" i="37"/>
  <c r="V23" i="37"/>
  <c r="C137" i="30"/>
  <c r="F13" i="30"/>
  <c r="C168" i="30"/>
  <c r="F34" i="30"/>
  <c r="S14" i="37"/>
  <c r="T138" i="37"/>
  <c r="V91" i="37"/>
  <c r="D104" i="30"/>
  <c r="F123" i="30"/>
  <c r="S88" i="37"/>
  <c r="U49" i="37"/>
  <c r="D105" i="30"/>
  <c r="F124" i="30"/>
  <c r="T55" i="37"/>
  <c r="W137" i="37"/>
  <c r="W83" i="37"/>
  <c r="F63" i="30"/>
  <c r="S49" i="37"/>
  <c r="W84" i="37"/>
  <c r="T58" i="37"/>
  <c r="W140" i="37"/>
  <c r="U69" i="37"/>
  <c r="F40" i="30"/>
  <c r="C85" i="30"/>
  <c r="C5" i="30"/>
  <c r="C9" i="30"/>
  <c r="D83" i="30"/>
  <c r="F5" i="30"/>
  <c r="G94" i="30"/>
  <c r="C11" i="30"/>
  <c r="D100" i="30"/>
  <c r="F22" i="30"/>
  <c r="C60" i="30"/>
  <c r="D149" i="30"/>
  <c r="F71" i="30"/>
  <c r="D38" i="30"/>
  <c r="C46" i="30"/>
  <c r="D135" i="30"/>
  <c r="F57" i="30"/>
  <c r="G146" i="30"/>
  <c r="T76" i="37"/>
  <c r="V14" i="37"/>
  <c r="C48" i="30"/>
  <c r="C150" i="30"/>
  <c r="F20" i="30"/>
  <c r="T128" i="37"/>
  <c r="V81" i="37"/>
  <c r="D63" i="30"/>
  <c r="F88" i="30"/>
  <c r="S58" i="37"/>
  <c r="U21" i="37"/>
  <c r="C54" i="30"/>
  <c r="E129" i="30"/>
  <c r="G117" i="30"/>
  <c r="T79" i="37"/>
  <c r="V34" i="37"/>
  <c r="D17" i="30"/>
  <c r="F47" i="30"/>
  <c r="S24" i="37"/>
  <c r="T148" i="37"/>
  <c r="V100" i="37"/>
  <c r="E87" i="30"/>
  <c r="G83" i="30"/>
  <c r="T47" i="37"/>
  <c r="V2" i="37"/>
  <c r="D114" i="30"/>
  <c r="F135" i="30"/>
  <c r="S99" i="37"/>
  <c r="U59" i="37"/>
  <c r="W7" i="37"/>
  <c r="D25" i="30"/>
  <c r="F50" i="30"/>
  <c r="S28" i="37"/>
  <c r="T151" i="37"/>
  <c r="V103" i="37"/>
  <c r="D26" i="30"/>
  <c r="F51" i="30"/>
  <c r="S29" i="37"/>
  <c r="T152" i="37"/>
  <c r="C69" i="30"/>
  <c r="E135" i="30"/>
  <c r="G123" i="30"/>
  <c r="T85" i="37"/>
  <c r="V40" i="37"/>
  <c r="C166" i="30"/>
  <c r="F33" i="30"/>
  <c r="D29" i="30"/>
  <c r="F58" i="30"/>
  <c r="S32" i="37"/>
  <c r="T155" i="37"/>
  <c r="V107" i="37"/>
  <c r="D125" i="30"/>
  <c r="F142" i="30"/>
  <c r="S106" i="37"/>
  <c r="U66" i="37"/>
  <c r="D126" i="30"/>
  <c r="F143" i="30"/>
  <c r="T107" i="37"/>
  <c r="W154" i="37"/>
  <c r="W101" i="37"/>
  <c r="G92" i="30"/>
  <c r="S108" i="37"/>
  <c r="W102" i="37"/>
  <c r="T120" i="37"/>
  <c r="W157" i="37"/>
  <c r="U121" i="37"/>
  <c r="S19" i="37"/>
  <c r="D80" i="30"/>
  <c r="C6" i="30"/>
  <c r="C10" i="30"/>
  <c r="D99" i="30"/>
  <c r="F21" i="30"/>
  <c r="G110" i="30"/>
  <c r="C27" i="30"/>
  <c r="D116" i="30"/>
  <c r="F38" i="30"/>
  <c r="C76" i="30"/>
  <c r="D165" i="30"/>
  <c r="F87" i="30"/>
  <c r="D54" i="30"/>
  <c r="C62" i="30"/>
  <c r="D151" i="30"/>
  <c r="F73" i="30"/>
  <c r="G162" i="30"/>
  <c r="T92" i="37"/>
  <c r="V30" i="37"/>
  <c r="C64" i="30"/>
  <c r="D13" i="30"/>
  <c r="F44" i="30"/>
  <c r="S20" i="37"/>
  <c r="T145" i="37"/>
  <c r="V97" i="37"/>
  <c r="D89" i="30"/>
  <c r="F109" i="30"/>
  <c r="S77" i="37"/>
  <c r="U38" i="37"/>
  <c r="C89" i="30"/>
  <c r="E149" i="30"/>
  <c r="G135" i="30"/>
  <c r="T96" i="37"/>
  <c r="V51" i="37"/>
  <c r="D44" i="30"/>
  <c r="F67" i="30"/>
  <c r="S42" i="37"/>
  <c r="U6" i="37"/>
  <c r="C22" i="30"/>
  <c r="E107" i="30"/>
  <c r="G101" i="30"/>
  <c r="T64" i="37"/>
  <c r="V19" i="37"/>
  <c r="D140" i="30"/>
  <c r="F155" i="30"/>
  <c r="S117" i="37"/>
  <c r="U76" i="37"/>
  <c r="W23" i="37"/>
  <c r="D47" i="30"/>
  <c r="F74" i="30"/>
  <c r="S46" i="37"/>
  <c r="U9" i="37"/>
  <c r="V119" i="37"/>
  <c r="D48" i="30"/>
  <c r="F75" i="30"/>
  <c r="S47" i="37"/>
  <c r="U10" i="37"/>
  <c r="C104" i="30"/>
  <c r="E155" i="30"/>
  <c r="G141" i="30"/>
  <c r="T102" i="37"/>
  <c r="V57" i="37"/>
  <c r="D28" i="30"/>
  <c r="F56" i="30"/>
  <c r="D56" i="30"/>
  <c r="F78" i="30"/>
  <c r="S50" i="37"/>
  <c r="U14" i="37"/>
  <c r="V123" i="37"/>
  <c r="D146" i="30"/>
  <c r="F161" i="30"/>
  <c r="S125" i="37"/>
  <c r="U83" i="37"/>
  <c r="D152" i="30"/>
  <c r="F162" i="30"/>
  <c r="T160" i="37"/>
  <c r="E7" i="30"/>
  <c r="W138" i="37"/>
  <c r="S37" i="37"/>
  <c r="T4" i="37"/>
  <c r="W122" i="37"/>
  <c r="U16" i="37"/>
  <c r="C84" i="30"/>
  <c r="V24" i="37"/>
  <c r="T144" i="37"/>
  <c r="E34" i="30"/>
  <c r="C7" i="30"/>
  <c r="C26" i="30"/>
  <c r="D115" i="30"/>
  <c r="F37" i="30"/>
  <c r="G126" i="30"/>
  <c r="C43" i="30"/>
  <c r="D132" i="30"/>
  <c r="F54" i="30"/>
  <c r="C92" i="30"/>
  <c r="E14" i="30"/>
  <c r="F103" i="30"/>
  <c r="D70" i="30"/>
  <c r="C78" i="30"/>
  <c r="D167" i="30"/>
  <c r="F89" i="30"/>
  <c r="S11" i="37"/>
  <c r="T108" i="37"/>
  <c r="V46" i="37"/>
  <c r="C80" i="30"/>
  <c r="C23" i="30"/>
  <c r="C42" i="30"/>
  <c r="D131" i="30"/>
  <c r="F53" i="30"/>
  <c r="G142" i="30"/>
  <c r="C59" i="30"/>
  <c r="D148" i="30"/>
  <c r="F70" i="30"/>
  <c r="C108" i="30"/>
  <c r="E30" i="30"/>
  <c r="F119" i="30"/>
  <c r="D86" i="30"/>
  <c r="C94" i="30"/>
  <c r="E16" i="30"/>
  <c r="F105" i="30"/>
  <c r="S27" i="37"/>
  <c r="T124" i="37"/>
  <c r="C15" i="30"/>
  <c r="C96" i="30"/>
  <c r="D62" i="30"/>
  <c r="F84" i="30"/>
  <c r="S57" i="37"/>
  <c r="U20" i="37"/>
  <c r="V129" i="37"/>
  <c r="D136" i="30"/>
  <c r="F148" i="30"/>
  <c r="S113" i="37"/>
  <c r="U72" i="37"/>
  <c r="C153" i="30"/>
  <c r="F26" i="30"/>
  <c r="S4" i="37"/>
  <c r="T130" i="37"/>
  <c r="V83" i="37"/>
  <c r="D91" i="30"/>
  <c r="F111" i="30"/>
  <c r="S79" i="37"/>
  <c r="U40" i="37"/>
  <c r="C99" i="30"/>
  <c r="E151" i="30"/>
  <c r="G137" i="30"/>
  <c r="T98" i="37"/>
  <c r="V53" i="37"/>
  <c r="E20" i="30"/>
  <c r="G26" i="30"/>
  <c r="S154" i="37"/>
  <c r="U111" i="37"/>
  <c r="W55" i="37"/>
  <c r="D94" i="30"/>
  <c r="F114" i="30"/>
  <c r="S82" i="37"/>
  <c r="U43" i="37"/>
  <c r="V151" i="37"/>
  <c r="D95" i="30"/>
  <c r="F115" i="30"/>
  <c r="S83" i="37"/>
  <c r="U44" i="37"/>
  <c r="C165" i="30"/>
  <c r="F32" i="30"/>
  <c r="S12" i="37"/>
  <c r="T136" i="37"/>
  <c r="V89" i="37"/>
  <c r="D76" i="30"/>
  <c r="F97" i="30"/>
  <c r="D98" i="30"/>
  <c r="F122" i="30"/>
  <c r="S86" i="37"/>
  <c r="U48" i="37"/>
  <c r="V155" i="37"/>
  <c r="E26" i="30"/>
  <c r="G35" i="30"/>
  <c r="C39" i="30"/>
  <c r="C58" i="30"/>
  <c r="D147" i="30"/>
  <c r="F69" i="30"/>
  <c r="G158" i="30"/>
  <c r="C75" i="30"/>
  <c r="D164" i="30"/>
  <c r="F86" i="30"/>
  <c r="C124" i="30"/>
  <c r="E46" i="30"/>
  <c r="C13" i="30"/>
  <c r="D102" i="30"/>
  <c r="C110" i="30"/>
  <c r="E32" i="30"/>
  <c r="F121" i="30"/>
  <c r="S43" i="37"/>
  <c r="T140" i="37"/>
  <c r="C31" i="30"/>
  <c r="C112" i="30"/>
  <c r="D88" i="30"/>
  <c r="F108" i="30"/>
  <c r="S76" i="37"/>
  <c r="U37" i="37"/>
  <c r="V145" i="37"/>
  <c r="D157" i="30"/>
  <c r="G3" i="30"/>
  <c r="S131" i="37"/>
  <c r="U89" i="37"/>
  <c r="D15" i="30"/>
  <c r="F46" i="30"/>
  <c r="S22" i="37"/>
  <c r="T147" i="37"/>
  <c r="V99" i="37"/>
  <c r="D112" i="30"/>
  <c r="F131" i="30"/>
  <c r="S97" i="37"/>
  <c r="U57" i="37"/>
  <c r="C131" i="30"/>
  <c r="F4" i="30"/>
  <c r="G155" i="30"/>
  <c r="T115" i="37"/>
  <c r="V69" i="37"/>
  <c r="E41" i="30"/>
  <c r="G45" i="30"/>
  <c r="T14" i="37"/>
  <c r="U128" i="37"/>
  <c r="W71" i="37"/>
  <c r="D120" i="30"/>
  <c r="F136" i="30"/>
  <c r="S100" i="37"/>
  <c r="U60" i="37"/>
  <c r="W8" i="37"/>
  <c r="D121" i="30"/>
  <c r="F138" i="30"/>
  <c r="S101" i="37"/>
  <c r="U62" i="37"/>
  <c r="D27" i="30"/>
  <c r="F52" i="30"/>
  <c r="S30" i="37"/>
  <c r="T153" i="37"/>
  <c r="V105" i="37"/>
  <c r="D97" i="30"/>
  <c r="F120" i="30"/>
  <c r="D124" i="30"/>
  <c r="F141" i="30"/>
  <c r="S105" i="37"/>
  <c r="U65" i="37"/>
  <c r="W12" i="37"/>
  <c r="E52" i="30"/>
  <c r="C55" i="30"/>
  <c r="C74" i="30"/>
  <c r="D163" i="30"/>
  <c r="F85" i="30"/>
  <c r="S7" i="37"/>
  <c r="C91" i="30"/>
  <c r="E13" i="30"/>
  <c r="F102" i="30"/>
  <c r="C140" i="30"/>
  <c r="E62" i="30"/>
  <c r="C29" i="30"/>
  <c r="D118" i="30"/>
  <c r="C126" i="30"/>
  <c r="E48" i="30"/>
  <c r="F137" i="30"/>
  <c r="S59" i="37"/>
  <c r="T156" i="37"/>
  <c r="C47" i="30"/>
  <c r="C128" i="30"/>
  <c r="D109" i="30"/>
  <c r="F128" i="30"/>
  <c r="S94" i="37"/>
  <c r="U54" i="37"/>
  <c r="W2" i="37"/>
  <c r="E11" i="30"/>
  <c r="G22" i="30"/>
  <c r="S149" i="37"/>
  <c r="U106" i="37"/>
  <c r="D43" i="30"/>
  <c r="F66" i="30"/>
  <c r="S41" i="37"/>
  <c r="U5" i="37"/>
  <c r="V115" i="37"/>
  <c r="D138" i="30"/>
  <c r="F152" i="30"/>
  <c r="S115" i="37"/>
  <c r="U74" i="37"/>
  <c r="C161" i="30"/>
  <c r="F28" i="30"/>
  <c r="S6" i="37"/>
  <c r="T132" i="37"/>
  <c r="V85" i="37"/>
  <c r="E67" i="30"/>
  <c r="G65" i="30"/>
  <c r="T31" i="37"/>
  <c r="U145" i="37"/>
  <c r="W87" i="37"/>
  <c r="D141" i="30"/>
  <c r="F156" i="30"/>
  <c r="S118" i="37"/>
  <c r="U78" i="37"/>
  <c r="W24" i="37"/>
  <c r="D142" i="30"/>
  <c r="F157" i="30"/>
  <c r="S120" i="37"/>
  <c r="U79" i="37"/>
  <c r="D49" i="30"/>
  <c r="F76" i="30"/>
  <c r="S48" i="37"/>
  <c r="U11" i="37"/>
  <c r="V121" i="37"/>
  <c r="D123" i="30"/>
  <c r="F140" i="30"/>
  <c r="D145" i="30"/>
  <c r="F160" i="30"/>
  <c r="S124" i="37"/>
  <c r="U82" i="37"/>
  <c r="W28" i="37"/>
  <c r="E73" i="30"/>
  <c r="C71" i="30"/>
  <c r="C90" i="30"/>
  <c r="E12" i="30"/>
  <c r="F101" i="30"/>
  <c r="S23" i="37"/>
  <c r="C107" i="30"/>
  <c r="E29" i="30"/>
  <c r="F118" i="30"/>
  <c r="C156" i="30"/>
  <c r="E78" i="30"/>
  <c r="C45" i="30"/>
  <c r="D134" i="30"/>
  <c r="C142" i="30"/>
  <c r="E64" i="30"/>
  <c r="F153" i="30"/>
  <c r="S75" i="37"/>
  <c r="U13" i="37"/>
  <c r="C63" i="30"/>
  <c r="C17" i="30"/>
  <c r="D130" i="30"/>
  <c r="F147" i="30"/>
  <c r="S112" i="37"/>
  <c r="U71" i="37"/>
  <c r="W18" i="37"/>
  <c r="E37" i="30"/>
  <c r="G41" i="30"/>
  <c r="T9" i="37"/>
  <c r="U123" i="37"/>
  <c r="D64" i="30"/>
  <c r="F90" i="30"/>
  <c r="S60" i="37"/>
  <c r="U22" i="37"/>
  <c r="V131" i="37"/>
  <c r="D159" i="30"/>
  <c r="G5" i="30"/>
  <c r="S133" i="37"/>
  <c r="U91" i="37"/>
  <c r="D18" i="30"/>
  <c r="F48" i="30"/>
  <c r="S25" i="37"/>
  <c r="T149" i="37"/>
  <c r="V101" i="37"/>
  <c r="E88" i="30"/>
  <c r="G84" i="30"/>
  <c r="T48" i="37"/>
  <c r="V3" i="37"/>
  <c r="W103" i="37"/>
  <c r="D162" i="30"/>
  <c r="G8" i="30"/>
  <c r="C87" i="30"/>
  <c r="C106" i="30"/>
  <c r="E28" i="30"/>
  <c r="F117" i="30"/>
  <c r="S39" i="37"/>
  <c r="C123" i="30"/>
  <c r="E45" i="30"/>
  <c r="F134" i="30"/>
  <c r="D5" i="30"/>
  <c r="E94" i="30"/>
  <c r="C61" i="30"/>
  <c r="D150" i="30"/>
  <c r="C158" i="30"/>
  <c r="E80" i="30"/>
  <c r="G2" i="30"/>
  <c r="S91" i="37"/>
  <c r="U29" i="37"/>
  <c r="C79" i="30"/>
  <c r="C33" i="30"/>
  <c r="D156" i="30"/>
  <c r="F168" i="30"/>
  <c r="S130" i="37"/>
  <c r="U88" i="37"/>
  <c r="W34" i="37"/>
  <c r="E58" i="30"/>
  <c r="G60" i="30"/>
  <c r="T26" i="37"/>
  <c r="U140" i="37"/>
  <c r="D90" i="30"/>
  <c r="F110" i="30"/>
  <c r="S78" i="37"/>
  <c r="U39" i="37"/>
  <c r="V147" i="37"/>
  <c r="E18" i="30"/>
  <c r="G24" i="30"/>
  <c r="S152" i="37"/>
  <c r="U108" i="37"/>
  <c r="D45" i="30"/>
  <c r="F68" i="30"/>
  <c r="S44" i="37"/>
  <c r="U7" i="37"/>
  <c r="C24" i="30"/>
  <c r="E111" i="30"/>
  <c r="G102" i="30"/>
  <c r="T65" i="37"/>
  <c r="V20" i="37"/>
  <c r="W119" i="37"/>
  <c r="E21" i="30"/>
  <c r="G27" i="30"/>
  <c r="S156" i="37"/>
  <c r="U112" i="37"/>
  <c r="W56" i="37"/>
  <c r="E22" i="30"/>
  <c r="G28" i="30"/>
  <c r="S157" i="37"/>
  <c r="U113" i="37"/>
  <c r="D96" i="30"/>
  <c r="F116" i="30"/>
  <c r="S84" i="37"/>
  <c r="U46" i="37"/>
  <c r="V153" i="37"/>
  <c r="E3" i="30"/>
  <c r="G11" i="30"/>
  <c r="E25" i="30"/>
  <c r="G33" i="30"/>
  <c r="S160" i="37"/>
  <c r="U116" i="37"/>
  <c r="C38" i="30"/>
  <c r="E118" i="30"/>
  <c r="G108" i="30"/>
  <c r="T71" i="37"/>
  <c r="C40" i="30"/>
  <c r="E119" i="30"/>
  <c r="E120" i="30"/>
  <c r="V125" i="37"/>
  <c r="C103" i="30"/>
  <c r="C122" i="30"/>
  <c r="E44" i="30"/>
  <c r="F133" i="30"/>
  <c r="S55" i="37"/>
  <c r="C139" i="30"/>
  <c r="E61" i="30"/>
  <c r="F150" i="30"/>
  <c r="D21" i="30"/>
  <c r="E110" i="30"/>
  <c r="C77" i="30"/>
  <c r="D166" i="30"/>
  <c r="D7" i="30"/>
  <c r="E96" i="30"/>
  <c r="G18" i="30"/>
  <c r="S107" i="37"/>
  <c r="U45" i="37"/>
  <c r="C95" i="30"/>
  <c r="C49" i="30"/>
  <c r="E10" i="30"/>
  <c r="G21" i="30"/>
  <c r="S148" i="37"/>
  <c r="U105" i="37"/>
  <c r="W50" i="37"/>
  <c r="E84" i="30"/>
  <c r="G79" i="30"/>
  <c r="T43" i="37"/>
  <c r="U158" i="37"/>
  <c r="D111" i="30"/>
  <c r="F130" i="30"/>
  <c r="S96" i="37"/>
  <c r="U56" i="37"/>
  <c r="W4" i="37"/>
  <c r="E39" i="30"/>
  <c r="G43" i="30"/>
  <c r="T11" i="37"/>
  <c r="U126" i="37"/>
  <c r="D66" i="30"/>
  <c r="F92" i="30"/>
  <c r="S62" i="37"/>
  <c r="U24" i="37"/>
  <c r="C66" i="30"/>
  <c r="E132" i="30"/>
  <c r="G120" i="30"/>
  <c r="T82" i="37"/>
  <c r="V37" i="37"/>
  <c r="W135" i="37"/>
  <c r="E42" i="30"/>
  <c r="G48" i="30"/>
  <c r="T15" i="37"/>
  <c r="U129" i="37"/>
  <c r="W72" i="37"/>
  <c r="E43" i="30"/>
  <c r="G49" i="30"/>
  <c r="T16" i="37"/>
  <c r="U130" i="37"/>
  <c r="D122" i="30"/>
  <c r="F139" i="30"/>
  <c r="S102" i="37"/>
  <c r="U63" i="37"/>
  <c r="W10" i="37"/>
  <c r="E24" i="30"/>
  <c r="G32" i="30"/>
  <c r="E51" i="30"/>
  <c r="G53" i="30"/>
  <c r="T19" i="37"/>
  <c r="U133" i="37"/>
  <c r="C73" i="30"/>
  <c r="E138" i="30"/>
  <c r="G127" i="30"/>
  <c r="T88" i="37"/>
  <c r="C82" i="30"/>
  <c r="C119" i="30"/>
  <c r="C138" i="30"/>
  <c r="E60" i="30"/>
  <c r="F149" i="30"/>
  <c r="S71" i="37"/>
  <c r="C155" i="30"/>
  <c r="E77" i="30"/>
  <c r="F166" i="30"/>
  <c r="D37" i="30"/>
  <c r="E126" i="30"/>
  <c r="C93" i="30"/>
  <c r="E15" i="30"/>
  <c r="D23" i="30"/>
  <c r="E112" i="30"/>
  <c r="G34" i="30"/>
  <c r="S123" i="37"/>
  <c r="U61" i="37"/>
  <c r="C111" i="30"/>
  <c r="C65" i="30"/>
  <c r="E36" i="30"/>
  <c r="G40" i="30"/>
  <c r="T7" i="37"/>
  <c r="U122" i="37"/>
  <c r="C19" i="30"/>
  <c r="E104" i="30"/>
  <c r="G97" i="30"/>
  <c r="T61" i="37"/>
  <c r="V16" i="37"/>
  <c r="D137" i="30"/>
  <c r="F151" i="30"/>
  <c r="S114" i="37"/>
  <c r="U73" i="37"/>
  <c r="W20" i="37"/>
  <c r="E65" i="30"/>
  <c r="G63" i="30"/>
  <c r="T29" i="37"/>
  <c r="U143" i="37"/>
  <c r="D92" i="30"/>
  <c r="F112" i="30"/>
  <c r="S80" i="37"/>
  <c r="U41" i="37"/>
  <c r="C100" i="30"/>
  <c r="E152" i="30"/>
  <c r="G138" i="30"/>
  <c r="T99" i="37"/>
  <c r="V54" i="37"/>
  <c r="W151" i="37"/>
  <c r="E68" i="30"/>
  <c r="G67" i="30"/>
  <c r="T32" i="37"/>
  <c r="U146" i="37"/>
  <c r="W88" i="37"/>
  <c r="E69" i="30"/>
  <c r="G68" i="30"/>
  <c r="T33" i="37"/>
  <c r="U147" i="37"/>
  <c r="D143" i="30"/>
  <c r="F158" i="30"/>
  <c r="S121" i="37"/>
  <c r="U80" i="37"/>
  <c r="W26" i="37"/>
  <c r="E50" i="30"/>
  <c r="G52" i="30"/>
  <c r="E72" i="30"/>
  <c r="G71" i="30"/>
  <c r="T36" i="37"/>
  <c r="U150" i="37"/>
  <c r="C114" i="30"/>
  <c r="E162" i="30"/>
  <c r="G145" i="30"/>
  <c r="T105" i="37"/>
  <c r="C115" i="30"/>
  <c r="E163" i="30"/>
  <c r="F167" i="30"/>
  <c r="W16" i="37"/>
  <c r="U118" i="37"/>
  <c r="W61" i="37"/>
  <c r="E8" i="30"/>
  <c r="C135" i="30"/>
  <c r="C154" i="30"/>
  <c r="E76" i="30"/>
  <c r="F165" i="30"/>
  <c r="S87" i="37"/>
  <c r="D4" i="30"/>
  <c r="E93" i="30"/>
  <c r="G15" i="30"/>
  <c r="D53" i="30"/>
  <c r="E142" i="30"/>
  <c r="C109" i="30"/>
  <c r="E31" i="30"/>
  <c r="D39" i="30"/>
  <c r="E128" i="30"/>
  <c r="G50" i="30"/>
  <c r="S139" i="37"/>
  <c r="U77" i="37"/>
  <c r="C127" i="30"/>
  <c r="C81" i="30"/>
  <c r="E57" i="30"/>
  <c r="G59" i="30"/>
  <c r="T25" i="37"/>
  <c r="U139" i="37"/>
  <c r="C53" i="30"/>
  <c r="E127" i="30"/>
  <c r="G116" i="30"/>
  <c r="T78" i="37"/>
  <c r="V33" i="37"/>
  <c r="D158" i="30"/>
  <c r="G4" i="30"/>
  <c r="S132" i="37"/>
  <c r="U90" i="37"/>
  <c r="W36" i="37"/>
  <c r="E86" i="30"/>
  <c r="G81" i="30"/>
  <c r="T46" i="37"/>
  <c r="U160" i="37"/>
  <c r="D113" i="30"/>
  <c r="F132" i="30"/>
  <c r="S98" i="37"/>
  <c r="U58" i="37"/>
  <c r="C132" i="30"/>
  <c r="F8" i="30"/>
  <c r="G156" i="30"/>
  <c r="T116" i="37"/>
  <c r="V70" i="37"/>
  <c r="W104" i="37"/>
  <c r="E89" i="30"/>
  <c r="G85" i="30"/>
  <c r="T49" i="37"/>
  <c r="V4" i="37"/>
  <c r="W120" i="37"/>
  <c r="E90" i="30"/>
  <c r="G86" i="30"/>
  <c r="T50" i="37"/>
  <c r="V5" i="37"/>
  <c r="G10" i="30"/>
  <c r="S140" i="37"/>
  <c r="U97" i="37"/>
  <c r="W42" i="37"/>
  <c r="C151" i="30"/>
  <c r="D3" i="30"/>
  <c r="E92" i="30"/>
  <c r="G14" i="30"/>
  <c r="S103" i="37"/>
  <c r="D20" i="30"/>
  <c r="E109" i="30"/>
  <c r="G31" i="30"/>
  <c r="D69" i="30"/>
  <c r="E158" i="30"/>
  <c r="C125" i="30"/>
  <c r="E47" i="30"/>
  <c r="D55" i="30"/>
  <c r="E144" i="30"/>
  <c r="G66" i="30"/>
  <c r="S155" i="37"/>
  <c r="U93" i="37"/>
  <c r="C143" i="30"/>
  <c r="C97" i="30"/>
  <c r="E83" i="30"/>
  <c r="G77" i="30"/>
  <c r="T42" i="37"/>
  <c r="U156" i="37"/>
  <c r="C88" i="30"/>
  <c r="E148" i="30"/>
  <c r="G134" i="30"/>
  <c r="T95" i="37"/>
  <c r="V50" i="37"/>
  <c r="E17" i="30"/>
  <c r="G23" i="30"/>
  <c r="S150" i="37"/>
  <c r="U107" i="37"/>
  <c r="C21" i="30"/>
  <c r="E106" i="30"/>
  <c r="G100" i="30"/>
  <c r="T63" i="37"/>
  <c r="V18" i="37"/>
  <c r="D139" i="30"/>
  <c r="F154" i="30"/>
  <c r="S116" i="37"/>
  <c r="U75" i="37"/>
  <c r="C162" i="30"/>
  <c r="F29" i="30"/>
  <c r="S8" i="37"/>
  <c r="T133" i="37"/>
  <c r="V86" i="37"/>
  <c r="C25" i="30"/>
  <c r="E113" i="30"/>
  <c r="G103" i="30"/>
  <c r="T66" i="37"/>
  <c r="V21" i="37"/>
  <c r="C34" i="30"/>
  <c r="E114" i="30"/>
  <c r="C167" i="30"/>
  <c r="D19" i="30"/>
  <c r="E108" i="30"/>
  <c r="G30" i="30"/>
  <c r="S119" i="37"/>
  <c r="D36" i="30"/>
  <c r="E125" i="30"/>
  <c r="G47" i="30"/>
  <c r="D85" i="30"/>
  <c r="F7" i="30"/>
  <c r="C141" i="30"/>
  <c r="E63" i="30"/>
  <c r="D71" i="30"/>
  <c r="E160" i="30"/>
  <c r="G82" i="30"/>
  <c r="T12" i="37"/>
  <c r="U109" i="37"/>
  <c r="C159" i="30"/>
  <c r="C18" i="30"/>
  <c r="E103" i="30"/>
  <c r="G96" i="30"/>
  <c r="T59" i="37"/>
  <c r="V15" i="37"/>
  <c r="C121" i="30"/>
  <c r="E168" i="30"/>
  <c r="G152" i="30"/>
  <c r="T112" i="37"/>
  <c r="V66" i="37"/>
  <c r="E38" i="30"/>
  <c r="G42" i="30"/>
  <c r="T10" i="37"/>
  <c r="U124" i="37"/>
  <c r="C56" i="30"/>
  <c r="E130" i="30"/>
  <c r="G118" i="30"/>
  <c r="T80" i="37"/>
  <c r="V35" i="37"/>
  <c r="D160" i="30"/>
  <c r="G6" i="30"/>
  <c r="S134" i="37"/>
  <c r="U92" i="37"/>
  <c r="D24" i="30"/>
  <c r="F49" i="30"/>
  <c r="S26" i="37"/>
  <c r="T150" i="37"/>
  <c r="V102" i="37"/>
  <c r="C67" i="30"/>
  <c r="E133" i="30"/>
  <c r="G121" i="30"/>
  <c r="T83" i="37"/>
  <c r="V38" i="37"/>
  <c r="C68" i="30"/>
  <c r="E134" i="30"/>
  <c r="G122" i="30"/>
  <c r="T84" i="37"/>
  <c r="V39" i="37"/>
  <c r="E49" i="30"/>
  <c r="W117" i="37"/>
  <c r="S147" i="37"/>
  <c r="S89" i="37"/>
  <c r="V43" i="37"/>
  <c r="C149" i="30"/>
  <c r="W76" i="37"/>
  <c r="S17" i="37"/>
  <c r="F126" i="30"/>
  <c r="W3" i="37"/>
  <c r="F125" i="30"/>
  <c r="W31" i="37"/>
  <c r="T127" i="37"/>
  <c r="T103" i="37"/>
  <c r="W5" i="37"/>
  <c r="V74" i="37"/>
  <c r="D81" i="30"/>
  <c r="W25" i="37"/>
  <c r="G38" i="30"/>
  <c r="W113" i="37"/>
  <c r="T6" i="37"/>
  <c r="V156" i="37"/>
  <c r="D60" i="30"/>
  <c r="T57" i="37"/>
  <c r="W38" i="37"/>
  <c r="T56" i="37"/>
  <c r="S159" i="37"/>
  <c r="E139" i="30"/>
  <c r="U32" i="37"/>
  <c r="G54" i="30"/>
  <c r="V25" i="37"/>
  <c r="F14" i="30"/>
  <c r="D144" i="30"/>
  <c r="G160" i="30"/>
  <c r="T67" i="37"/>
  <c r="S137" i="37"/>
  <c r="F91" i="30"/>
  <c r="D41" i="30"/>
  <c r="W99" i="37"/>
  <c r="S92" i="37"/>
  <c r="D129" i="30"/>
  <c r="U152" i="37"/>
  <c r="W98" i="37"/>
  <c r="W57" i="37"/>
  <c r="G128" i="30"/>
  <c r="F17" i="30"/>
  <c r="V138" i="37"/>
  <c r="E166" i="30"/>
  <c r="V78" i="37"/>
  <c r="T74" i="37"/>
  <c r="S90" i="37"/>
  <c r="V31" i="37"/>
  <c r="V27" i="37"/>
  <c r="C116" i="30"/>
  <c r="V158" i="37"/>
  <c r="F104" i="30"/>
  <c r="W158" i="37"/>
  <c r="S110" i="37"/>
  <c r="V128" i="37"/>
  <c r="C83" i="30"/>
  <c r="G150" i="30"/>
  <c r="D153" i="30"/>
  <c r="T3" i="37"/>
  <c r="S93" i="37"/>
  <c r="E99" i="30"/>
  <c r="U15" i="37"/>
  <c r="G13" i="30"/>
  <c r="V8" i="37"/>
  <c r="E137" i="30"/>
  <c r="D50" i="30"/>
  <c r="G87" i="30"/>
  <c r="S138" i="37"/>
  <c r="S64" i="37"/>
  <c r="D65" i="30"/>
  <c r="AQ13" i="27"/>
  <c r="AS13" i="27" s="1"/>
  <c r="AR13" i="27"/>
  <c r="BT13" i="27"/>
  <c r="BR13" i="27"/>
  <c r="AL13" i="27"/>
  <c r="AN13" i="27" s="1"/>
  <c r="BQ13" i="27"/>
  <c r="AM13" i="27" l="1"/>
  <c r="AO13" i="2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9D4FB0-D015-43E4-88E3-8D997E6862B0}" keepAlive="1" name="Query - Fix Mapping" description="Connection to the 'Fix Mapping' query in the workbook." type="5" refreshedVersion="6" background="1" saveData="1">
    <dbPr connection="Provider=Microsoft.Mashup.OleDb.1;Data Source=$Workbook$;Location=Fix Mapping;Extended Properties=&quot;&quot;" command="SELECT * FROM [Fix Mapping]"/>
  </connection>
  <connection id="2" xr16:uid="{7A10A8CB-0CD4-455F-AF05-E3AC7F4887E3}" keepAlive="1" name="Query - Form To Win" description="Connection to the 'Form To Win' query in the workbook." type="5" refreshedVersion="6" background="1" saveData="1">
    <dbPr connection="Provider=Microsoft.Mashup.OleDb.1;Data Source=$Workbook$;Location=Form To Win;Extended Properties=&quot;&quot;" command="SELECT * FROM [Form To Win]"/>
  </connection>
  <connection id="3" xr16:uid="{2B7838CA-5754-4A22-B3B4-7B54433E722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6F247135-BABB-47DF-B605-A1A071454990}" keepAlive="1" name="Query - Pvt Map 1" description="Connection to the 'Pvt Map 1' query in the workbook." type="5" refreshedVersion="6" background="1" saveData="1">
    <dbPr connection="Provider=Microsoft.Mashup.OleDb.1;Data Source=$Workbook$;Location=Pvt Map 1;Extended Properties=&quot;&quot;" command="SELECT * FROM [Pvt Map 1]"/>
  </connection>
  <connection id="5" xr16:uid="{9BADE066-2D2D-46D8-A821-AFFF4C2C221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7B1A872A-F02D-403C-AA47-E16333F26B44}" keepAlive="1" name="Query - Table43" description="Connection to the 'Table43' query in the workbook." type="5" refreshedVersion="6" background="1" saveData="1">
    <dbPr connection="Provider=Microsoft.Mashup.OleDb.1;Data Source=$Workbook$;Location=Table43;Extended Properties=&quot;&quot;" command="SELECT * FROM [Table43]"/>
  </connection>
  <connection id="7" xr16:uid="{E4F70726-7A32-44A5-843A-8E6CA8D10DB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6B6EA40D-464B-4CEE-AED8-032E6ADA9BF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<sst xmlns="http://schemas.openxmlformats.org/spreadsheetml/2006/main" count="37135" uniqueCount="2998">
  <si>
    <t>01</t>
  </si>
  <si>
    <t>0</t>
  </si>
  <si>
    <t>Kode Pcpl</t>
  </si>
  <si>
    <t>SATUAN</t>
  </si>
  <si>
    <t>KODE PRODUK PRINSIPAL</t>
  </si>
  <si>
    <t>NAMA ITEM</t>
  </si>
  <si>
    <t>ISI/CTN</t>
  </si>
  <si>
    <t>HARGA INCLUDE PPN 11% IN CTN</t>
  </si>
  <si>
    <t>HARGA/PCS</t>
  </si>
  <si>
    <t>Nama Barang Principle</t>
  </si>
  <si>
    <t>Klp Brg Pcpl</t>
  </si>
  <si>
    <t>Sortir Daftar Produk Principle sesuai Nama lalu sortir lagi by  kelompok</t>
  </si>
  <si>
    <t>Copy dan Paste kan ke Sheet Form Master (sesuaikan kolom nya)</t>
  </si>
  <si>
    <t>NO</t>
  </si>
  <si>
    <t>SATUAN Fix Win</t>
  </si>
  <si>
    <t xml:space="preserve">Nama Pcpl                   </t>
  </si>
  <si>
    <t>kode  2 Digit                (hrf+No)</t>
  </si>
  <si>
    <t>Nama            KLP</t>
  </si>
  <si>
    <t>kode  2 Digit                (Nomor)</t>
  </si>
  <si>
    <t>Nama            Sub KLP</t>
  </si>
  <si>
    <t>kode  1 Digit                (Nomor)</t>
  </si>
  <si>
    <t>Nama            Aroma/             Rasa</t>
  </si>
  <si>
    <t>kode  4 Digit                (Nomor)</t>
  </si>
  <si>
    <t>Nama Win</t>
  </si>
  <si>
    <t>LEN 15</t>
  </si>
  <si>
    <t>LEN 50</t>
  </si>
  <si>
    <t>Kolom Principle</t>
  </si>
  <si>
    <t>Nama            Promo</t>
  </si>
  <si>
    <t>ABC</t>
  </si>
  <si>
    <t>kode  2 Digit                (Nomor)2</t>
  </si>
  <si>
    <t>kode  1 Digit                (Nomor)4</t>
  </si>
  <si>
    <t>02</t>
  </si>
  <si>
    <t>Kode BARANG Win2</t>
  </si>
  <si>
    <t>PASTE NAMA DAN CODE PRINCIPLE                                                                                                                                                                                               (Buat Format seperti ini dan Ambil dari Daftar Harga Principle)</t>
  </si>
  <si>
    <t>UPDATE TGL</t>
  </si>
  <si>
    <t>ISI SESUAIKAN ANTARA DMS vs WIN</t>
  </si>
  <si>
    <t>HASIL CODE KELOMPOK, CODE BARANG &amp; NAMA BARANG WIN</t>
  </si>
  <si>
    <t>G1</t>
  </si>
  <si>
    <t>GDI</t>
  </si>
  <si>
    <t>Nama Kelompok Win</t>
  </si>
  <si>
    <t>Daftar Harga</t>
  </si>
  <si>
    <t>Harga Beli</t>
  </si>
  <si>
    <t>Harga Beli Krt
(- PPN)</t>
  </si>
  <si>
    <t>Harga Beli Pcs
(-PPN)</t>
  </si>
  <si>
    <t>Harga Beli Pcs
(+PPN)</t>
  </si>
  <si>
    <t>Harga Beli Krt
(+PPN)</t>
  </si>
  <si>
    <t>Harga Jual GT</t>
  </si>
  <si>
    <t>Update Per</t>
  </si>
  <si>
    <t>SM</t>
  </si>
  <si>
    <t>GOLONGAN</t>
  </si>
  <si>
    <t>PRINCIPAL</t>
  </si>
  <si>
    <t>RAMLI</t>
  </si>
  <si>
    <t>HENDRIK</t>
  </si>
  <si>
    <t>GODREJ DISTRIBUSI INDONESIA, PT</t>
  </si>
  <si>
    <t>SOFTEX INDONESIA, PT</t>
  </si>
  <si>
    <t>SUN PAPER SOURCE, PT</t>
  </si>
  <si>
    <t>SUDIRMAN</t>
  </si>
  <si>
    <t>ABC PRESIDENT INDONESIA, PT</t>
  </si>
  <si>
    <t>ENI</t>
  </si>
  <si>
    <t>FORISA NUSAPERSADA, PT</t>
  </si>
  <si>
    <t>GONDOWANGI TRADISIONAL KOSMETIK, PT</t>
  </si>
  <si>
    <t>PURATOS, PT</t>
  </si>
  <si>
    <t>MUSTIKA RATUBUANA INTERNATIONAL</t>
  </si>
  <si>
    <t>JEMS</t>
  </si>
  <si>
    <t>PZ CUSSONS INDONESIA, PT</t>
  </si>
  <si>
    <t>RECKITT BENCKISER, PT</t>
  </si>
  <si>
    <t>BUDI</t>
  </si>
  <si>
    <t>ENERGIZER INDONESIA, PT</t>
  </si>
  <si>
    <t>SAHAR</t>
  </si>
  <si>
    <t>KINO INDONESIA. TBK, PT</t>
  </si>
  <si>
    <t>L'OREAL INDONESIA, PT</t>
  </si>
  <si>
    <t>RATNA</t>
  </si>
  <si>
    <t>DOLPHIN, PT</t>
  </si>
  <si>
    <t>INMAS SURYA MAKMUR, PT</t>
  </si>
  <si>
    <t>URC INDONESIA, PT</t>
  </si>
  <si>
    <t>ADNA SENTRAL NIAGA, PT</t>
  </si>
  <si>
    <t>EASTON KALERIS INDONESIA, PT</t>
  </si>
  <si>
    <t>UNIVERSAL INDOFOOD PRODUCT, PT</t>
  </si>
  <si>
    <t>ADE DAN ARIEF</t>
  </si>
  <si>
    <t>HEINZ ABC INDONESIA, PT</t>
  </si>
  <si>
    <t>S1</t>
  </si>
  <si>
    <t>SFTX</t>
  </si>
  <si>
    <t>MTS</t>
  </si>
  <si>
    <t>M1</t>
  </si>
  <si>
    <t>ABCPI</t>
  </si>
  <si>
    <t>A1</t>
  </si>
  <si>
    <t>FRS</t>
  </si>
  <si>
    <t>F1</t>
  </si>
  <si>
    <t>GDW</t>
  </si>
  <si>
    <t>G2</t>
  </si>
  <si>
    <t>PRT</t>
  </si>
  <si>
    <t>P1</t>
  </si>
  <si>
    <t>MRT</t>
  </si>
  <si>
    <t>M2</t>
  </si>
  <si>
    <t>CS</t>
  </si>
  <si>
    <t>C1</t>
  </si>
  <si>
    <t>RBI</t>
  </si>
  <si>
    <t>R1</t>
  </si>
  <si>
    <t>E1</t>
  </si>
  <si>
    <t>KNF</t>
  </si>
  <si>
    <t>K1</t>
  </si>
  <si>
    <t>LOI</t>
  </si>
  <si>
    <t>L1</t>
  </si>
  <si>
    <t>DLP</t>
  </si>
  <si>
    <t>D1</t>
  </si>
  <si>
    <t>INMAS</t>
  </si>
  <si>
    <t>I1</t>
  </si>
  <si>
    <t>URC</t>
  </si>
  <si>
    <t>U1</t>
  </si>
  <si>
    <t>A2</t>
  </si>
  <si>
    <t>ASN</t>
  </si>
  <si>
    <t>EST</t>
  </si>
  <si>
    <t>E2</t>
  </si>
  <si>
    <t>UNIBIS</t>
  </si>
  <si>
    <t>U2</t>
  </si>
  <si>
    <t>A3</t>
  </si>
  <si>
    <t>MACROSENTRA NIAGABOGA, PT</t>
  </si>
  <si>
    <t>MMY</t>
  </si>
  <si>
    <t>M3</t>
  </si>
  <si>
    <t>NO.</t>
  </si>
  <si>
    <t>Efektif
Pembuatan</t>
  </si>
  <si>
    <t>Efektif Naik Harga</t>
  </si>
  <si>
    <t>Mata Uang</t>
  </si>
  <si>
    <t>Approval</t>
  </si>
  <si>
    <t>Status
Pembuatan</t>
  </si>
  <si>
    <t>Status
Harga</t>
  </si>
  <si>
    <t>Kode PCPL To Win</t>
  </si>
  <si>
    <t>SAT BSR</t>
  </si>
  <si>
    <t>GD</t>
  </si>
  <si>
    <t>Sama</t>
  </si>
  <si>
    <t>Kode PRK</t>
  </si>
  <si>
    <t>Kode PRK SJ</t>
  </si>
  <si>
    <t>Kode Job</t>
  </si>
  <si>
    <t>To Win, diisi oleh Admin</t>
  </si>
  <si>
    <t>Harga Jual Pcs GT
(-PPN)</t>
  </si>
  <si>
    <t>Harga Jual Krt GT
(- PPN)</t>
  </si>
  <si>
    <t>Harga Jual Pcs GT
(+PPN</t>
  </si>
  <si>
    <t>Harga Jual Krt GT
(+PPN)</t>
  </si>
  <si>
    <t>Harga Jual Pcs MT
(-PPN)</t>
  </si>
  <si>
    <t>Harga Jual Krt MT
(- PPN)</t>
  </si>
  <si>
    <t>Harga Jual Pcs MT
(+PPN)</t>
  </si>
  <si>
    <t>Harga Jual Krt MT
(+PPN)</t>
  </si>
  <si>
    <t>IDR</t>
  </si>
  <si>
    <t>KRT</t>
  </si>
  <si>
    <t>GD01</t>
  </si>
  <si>
    <t>Kode
Golongan</t>
  </si>
  <si>
    <t>No. Urut
Item Sama</t>
  </si>
  <si>
    <t>KELOMPOK PRODUK
By Principle</t>
  </si>
  <si>
    <t>kode  1 Digit                (Nomor)3</t>
  </si>
  <si>
    <t>Nama            Sub KLP2</t>
  </si>
  <si>
    <t>kode  1 Digit                (Nomor)5</t>
  </si>
  <si>
    <t>SACHET</t>
  </si>
  <si>
    <t>KELOMPOK PRODUK</t>
  </si>
  <si>
    <t>Sum of No. Urut
Item Sama</t>
  </si>
  <si>
    <t>Kode Barang Win</t>
  </si>
  <si>
    <t>Kode PCPL yang sama</t>
  </si>
  <si>
    <t>PCPL KODE 1</t>
  </si>
  <si>
    <t>PCPL KODE 2</t>
  </si>
  <si>
    <t>PCPL KODE 3</t>
  </si>
  <si>
    <t>PCPL KODE 4</t>
  </si>
  <si>
    <t>PCPL KODE 5</t>
  </si>
  <si>
    <t>Sheet kuning adalah rumus, jangan diganggu</t>
  </si>
  <si>
    <t>CONCATENATE MAPPING</t>
  </si>
  <si>
    <t>Buat satu folder master barang, master kelompok, price list, mapping produk win to pcpl dan mapping produk pcpl to win</t>
  </si>
  <si>
    <t>Master barang, master kelompok, price list, mapping produk win to pcpl  dan mapping produk pcpl to win berdiri sendiri dalam satu book</t>
  </si>
  <si>
    <t>MOTASA</t>
  </si>
  <si>
    <t>MOTASA INDONESIA, PT</t>
  </si>
  <si>
    <t>M4</t>
  </si>
  <si>
    <t>Nama            Gramasi atau Jumlah Pack per CTN</t>
  </si>
  <si>
    <t>KET TAMBAHAN2</t>
  </si>
  <si>
    <t>Gunakan ini apabila item tersebut sachet</t>
  </si>
  <si>
    <t>CHAROEN POKPHAND INDONESIA, PT</t>
  </si>
  <si>
    <t>CPI</t>
  </si>
  <si>
    <t>C2</t>
  </si>
  <si>
    <t>kode  1 Digit                (Nomor)32</t>
  </si>
  <si>
    <t>Kode Kelompok Win</t>
  </si>
  <si>
    <t>Kode Jenis Produk</t>
  </si>
  <si>
    <t>LADAKU</t>
  </si>
  <si>
    <t>1106FG-LDK33</t>
  </si>
  <si>
    <t>LADAKU SACHET</t>
  </si>
  <si>
    <t>DESAKU SPICES</t>
  </si>
  <si>
    <t>1106FG-DSK07</t>
  </si>
  <si>
    <t>DESAKU KETUMBAR BUBUK</t>
  </si>
  <si>
    <t>1106FG-DKU02</t>
  </si>
  <si>
    <t>DESAKU KUNYIT BUBUK</t>
  </si>
  <si>
    <t>1106FG-DCB02</t>
  </si>
  <si>
    <t>DESAKU CABE BUBUK</t>
  </si>
  <si>
    <t>1106FG-DBP01</t>
  </si>
  <si>
    <t>DESAKU BAWANG PUTIH</t>
  </si>
  <si>
    <t>1106FG-DMR01</t>
  </si>
  <si>
    <t>DESAKU MARINASI</t>
  </si>
  <si>
    <t>DESAKU SEASONING</t>
  </si>
  <si>
    <t>1106FG-DBL01</t>
  </si>
  <si>
    <t>DESAKU BALADO</t>
  </si>
  <si>
    <t>1106FG-DKR01</t>
  </si>
  <si>
    <t>DESAKU KARI NUSANTARA</t>
  </si>
  <si>
    <t>1106FG-DSG02</t>
  </si>
  <si>
    <t>DESAKU SAMBAL GORENG</t>
  </si>
  <si>
    <t>1106FG-DGL01</t>
  </si>
  <si>
    <t>DESAKU GULAI PADANG</t>
  </si>
  <si>
    <t>1106FG-DSO01</t>
  </si>
  <si>
    <t>DESAKU OPOR</t>
  </si>
  <si>
    <t>Column1</t>
  </si>
  <si>
    <t>Column2</t>
  </si>
  <si>
    <t>Column3</t>
  </si>
  <si>
    <t>ALEX</t>
  </si>
  <si>
    <t>KLG</t>
  </si>
  <si>
    <t>0200</t>
  </si>
  <si>
    <t>0400</t>
  </si>
  <si>
    <t>Nama Jenis Kemasan</t>
  </si>
  <si>
    <t>STRAWBERRY</t>
  </si>
  <si>
    <t>Nama Golongan</t>
  </si>
  <si>
    <t>kode  1 Digit
(Nomor)</t>
  </si>
  <si>
    <t>KET. GOLONGAN</t>
  </si>
  <si>
    <t>LITER</t>
  </si>
  <si>
    <t>GRAM</t>
  </si>
  <si>
    <t>0150</t>
  </si>
  <si>
    <t>0180</t>
  </si>
  <si>
    <t>0600</t>
  </si>
  <si>
    <t>03</t>
  </si>
  <si>
    <t>04</t>
  </si>
  <si>
    <t>06</t>
  </si>
  <si>
    <t>07</t>
  </si>
  <si>
    <t>05</t>
  </si>
  <si>
    <t>08</t>
  </si>
  <si>
    <t>Lama</t>
  </si>
  <si>
    <t>Tanda Kode Revisi</t>
  </si>
  <si>
    <t>Status Barang</t>
  </si>
  <si>
    <t>Ket. Tambahan / Pembantu</t>
  </si>
  <si>
    <t>0685</t>
  </si>
  <si>
    <t>0580</t>
  </si>
  <si>
    <t>COKLAT</t>
  </si>
  <si>
    <t>0025</t>
  </si>
  <si>
    <t>PROMO</t>
  </si>
  <si>
    <t>MARGIN</t>
  </si>
  <si>
    <t>Aktif</t>
  </si>
  <si>
    <t>Nama Principle</t>
  </si>
  <si>
    <t>RASA MANTAP SOY</t>
  </si>
  <si>
    <t>ABC KCP MNS PCH 48X75G 2208</t>
  </si>
  <si>
    <t>ABC KCP MNS PCH 48X62G 2311</t>
  </si>
  <si>
    <t>ABC KCP MNS PCH 48X62G</t>
  </si>
  <si>
    <t>ABC KCPMNS PCH 48X62G B5G12311</t>
  </si>
  <si>
    <t>ABC KCP MNS PCH 48X80ML 2007</t>
  </si>
  <si>
    <t>ABC KCPMNS PET 48X130ML GT2404</t>
  </si>
  <si>
    <t>ABC KCPMNS PET SB 48X135ML1607</t>
  </si>
  <si>
    <t>ABC KCP MNS PCH 24X250G 2311</t>
  </si>
  <si>
    <t>ABC KCPMNS PET SB 24X275ML1607</t>
  </si>
  <si>
    <t>ABC KCPMNS PCH SB 24X225ML1607</t>
  </si>
  <si>
    <t>ABC KCP MNS PCH 24X300G 2208</t>
  </si>
  <si>
    <t>ABC KMNS PCH 12X600G PRBTL2407</t>
  </si>
  <si>
    <t>ABC KCP MNS PCH 12X600G 2311</t>
  </si>
  <si>
    <t>ABC KCP MNS PCH 12X600G</t>
  </si>
  <si>
    <t>ABC KCPMNS PET SB 12X600ML1607</t>
  </si>
  <si>
    <t>ABC KCPMNS PET SB 12X600ML</t>
  </si>
  <si>
    <t>ABC KCPMNS BTL SB 12X620ML1607</t>
  </si>
  <si>
    <t>ABC KCP MNS PCH 12X685G 2208</t>
  </si>
  <si>
    <t>ABC KCPMNS PCH SB 12X520ML1607</t>
  </si>
  <si>
    <t>ABC KMNS 520ML+ SNUS TGT 2209</t>
  </si>
  <si>
    <t>ABC KCPMNS 685G+S.AS135ML 2301</t>
  </si>
  <si>
    <t>ABC KCP MNS PCH 12X825G 2407</t>
  </si>
  <si>
    <t>ABC KCP MNS PCH 12X825G 2311</t>
  </si>
  <si>
    <t>ABC KCP MNS PCH 12X700ML 1909</t>
  </si>
  <si>
    <t>ABC KCP MNS PCH 12X925G 2208</t>
  </si>
  <si>
    <t>ABC KCP MNS JRG 6KG 2111</t>
  </si>
  <si>
    <t>ABC KECAP MANIS 6 KG X 1 JRG</t>
  </si>
  <si>
    <t>ABC KCP MNS JRG 25KG 2006</t>
  </si>
  <si>
    <t>SOTO KCP MNS PCH 12X520ML 1605</t>
  </si>
  <si>
    <t>SOTO KCP MNS BTL 12x620ML 2106</t>
  </si>
  <si>
    <t>HOKI KCP MNS PCH 12X520ML 2008</t>
  </si>
  <si>
    <t>ABC K.MNS DG ASAP 48X135ML2111</t>
  </si>
  <si>
    <t>ABC K.MNS DG ASAP 12X650G 2111</t>
  </si>
  <si>
    <t>ABC K.MNS SEAFOOD 12X650G 2201</t>
  </si>
  <si>
    <t>ABC K.MNS SEAFOOD 48X135G 2201</t>
  </si>
  <si>
    <t>ABC KCP PEDAS PET 48X135ML2106</t>
  </si>
  <si>
    <t>ABC K.MNS PDS PET 48X135ML2201</t>
  </si>
  <si>
    <t>ABC KCP PEDAS PET 24X275ML2106</t>
  </si>
  <si>
    <t>ABC K.MNS PDS PET 24X275ML2201</t>
  </si>
  <si>
    <t>ABC K.MNS EP PCH 48X70G 2201</t>
  </si>
  <si>
    <t>ABC KCP EXT.PEDAS 48X135ML2106</t>
  </si>
  <si>
    <t>ABC K.MNS EP PET 48X135ML 2201</t>
  </si>
  <si>
    <t>SOY SACHET</t>
  </si>
  <si>
    <t>ABC KCPMNS SCT ND 288X15ML1607</t>
  </si>
  <si>
    <t>ABC KCP MNS SCT 24X12X15G 2208</t>
  </si>
  <si>
    <t>ABC KCPMNS 288X15G B5G1 2311</t>
  </si>
  <si>
    <t>ABC KCP MNS SCT 12X12X25ML2109</t>
  </si>
  <si>
    <t>ABC KMNS SCT 12X12X27G PR 2209</t>
  </si>
  <si>
    <t>ABC KCP ASIN 133ML 1110</t>
  </si>
  <si>
    <t>ABC KCP ASIN PET 48X133ML 2106</t>
  </si>
  <si>
    <t>ABC KCP ASIN PET 48X131ML 2403</t>
  </si>
  <si>
    <t>ABC KCP ASIN ND 12X620ML 1001</t>
  </si>
  <si>
    <t>ABC KCP ASIN ND 6KG 1001</t>
  </si>
  <si>
    <t>SPECIAL SAUCE</t>
  </si>
  <si>
    <t>ABC MINYAK WIJEN NL 195ML 0908</t>
  </si>
  <si>
    <t>ABC MYK WIJEN BB 24X195ML 2106</t>
  </si>
  <si>
    <t>ABC SAUS TIRAM PET48X135ML2106</t>
  </si>
  <si>
    <t>ABC SAUS TIRAM PET48X135ML2204</t>
  </si>
  <si>
    <t>ABC SAUS TIRAM BB 24X195ML2204</t>
  </si>
  <si>
    <t>ABC SAUS TIRAM BB 24X420ML2110</t>
  </si>
  <si>
    <t>ABC SAUS TIRAM BB 24X420ML2204</t>
  </si>
  <si>
    <t>ABC S.ASAM MNS BB 24X195ML2204</t>
  </si>
  <si>
    <t>ABC KCP INGGRIS BB24X195ML2106</t>
  </si>
  <si>
    <t>SHRIMP PASTE</t>
  </si>
  <si>
    <t>ABC TRS SCT NEW 36X20X4.2G2203</t>
  </si>
  <si>
    <t>ABC TRS SCT NEW 36X20X3.8G2211</t>
  </si>
  <si>
    <t>KIDS PRODUCT</t>
  </si>
  <si>
    <t>ABC MRJ MILKYGRP TWA 90ML 1809</t>
  </si>
  <si>
    <t>ABC MRJ MLKYSTBRY TWA90ML 1809</t>
  </si>
  <si>
    <t>ABC MRJ MILKYMNG TWA 90ML 1809</t>
  </si>
  <si>
    <t>ABC MRJ MILKYORG TWA 90ML 1809</t>
  </si>
  <si>
    <t>ABC MRJ CHOCO TWA 90ML 1809</t>
  </si>
  <si>
    <t>ABC MRJ FRUITYGVA TWA90ML 1809</t>
  </si>
  <si>
    <t>ABC MRJ FRUITYORG TWA90ML 1809</t>
  </si>
  <si>
    <t>KACANG HIJAU</t>
  </si>
  <si>
    <t>ABC MUNG BEAN DRINK 200ML 0912</t>
  </si>
  <si>
    <t>ABC MUNGBEAN DRNK 24X200ML2103</t>
  </si>
  <si>
    <t>ABC SOYBEAN DRNK TFA 200ML1909</t>
  </si>
  <si>
    <t>ABC MUNGBEAN DRNK 24X250ML2103</t>
  </si>
  <si>
    <t>ABC M.BEAN 24X(200+50)ML 2305</t>
  </si>
  <si>
    <t>ABC MUNG BEAN 8X3X250ML 2211</t>
  </si>
  <si>
    <t>ABC MUNG BEAN 8X3X250ML 2309</t>
  </si>
  <si>
    <t>SARI KEDELAI</t>
  </si>
  <si>
    <t>ABC SOY MILK TBA 24X200ML 2108</t>
  </si>
  <si>
    <t>ABC SOYMLK CHOCO 24X200ML 2304</t>
  </si>
  <si>
    <t>ABC SOYMLK STRAW 24X200ML 2304</t>
  </si>
  <si>
    <t>ADULT JUICE</t>
  </si>
  <si>
    <t>ABC GUAVA JUICE QI24X250ML1808</t>
  </si>
  <si>
    <t>ABC GUAVA JC TBA 24X250ML 2210</t>
  </si>
  <si>
    <t>ABC GUAVA JUICE Q1 12X1L 1808</t>
  </si>
  <si>
    <t>ABC GUAVA JC TPA 12X1L 2210</t>
  </si>
  <si>
    <t>ABC ORANGE JUICE 250ML 0912</t>
  </si>
  <si>
    <t>ABC ORANGE JC TBA 24X250ML2210</t>
  </si>
  <si>
    <t>ABC ORANGE JC TPA 12X1L 2210</t>
  </si>
  <si>
    <t>ABC APPLE JC TBA 24X250ML 2210</t>
  </si>
  <si>
    <t>ABC APPLE JC TPA 12X1L 2210</t>
  </si>
  <si>
    <t>ABC MANGO JUICE 250ML 0912</t>
  </si>
  <si>
    <t>ABC MANGO JC TBA 24x250ML 2210</t>
  </si>
  <si>
    <t>ABC LYCHEE JUICE TBA 250ML0912</t>
  </si>
  <si>
    <t>ABC LYCHEE JUICE TBA 250ML2209</t>
  </si>
  <si>
    <t>ABC SOURSOP JUICE TBA250ML0912</t>
  </si>
  <si>
    <t>ABC SOURSOPJC TBA 24x250ML2210</t>
  </si>
  <si>
    <t>SARI ASAM</t>
  </si>
  <si>
    <t>ABC TMRIND DR TBA 24X250ML2208</t>
  </si>
  <si>
    <t>THICK SYRUP</t>
  </si>
  <si>
    <t>ABC SG C'PANDAN BTL 485ML 1609</t>
  </si>
  <si>
    <t>ABC SG COCOPANDAN 12X460ML2308</t>
  </si>
  <si>
    <t>ABC SG MELON BTL 485ML 1908</t>
  </si>
  <si>
    <t>ABC SG MELON 12X460ML 2308</t>
  </si>
  <si>
    <t>SQUASH</t>
  </si>
  <si>
    <t>ABC SQ ORANGE 12X450ML 2207</t>
  </si>
  <si>
    <t>ABC SQ ORANGE 12X450ML 2307</t>
  </si>
  <si>
    <t>ABC SQ PINEAPPLE 12X450ML 2207</t>
  </si>
  <si>
    <t>ABC SQ PINEAPPLE 12X450ML 2307</t>
  </si>
  <si>
    <t>ABC SQ LYCHEE 12X450ML 2207</t>
  </si>
  <si>
    <t>ABC SQ LYCHEE 12X450ML 2307</t>
  </si>
  <si>
    <t>ABC SQ SOURSOP 12X450ML 2207</t>
  </si>
  <si>
    <t>ABC SQ SOURSOP 12X450ML 2307</t>
  </si>
  <si>
    <t>ABC SQ GRAPE 12X450ML 2207</t>
  </si>
  <si>
    <t>ABC SQ GRAPE 12X450ML 2307</t>
  </si>
  <si>
    <t>ABC SQ MANGO 12X450ML 2207</t>
  </si>
  <si>
    <t>ABC SQ MANGO 12X450ML 2307</t>
  </si>
  <si>
    <t>CANNED FISH SARDINES</t>
  </si>
  <si>
    <t>ABC SRDN TOM 155G+KCP 60ML2203</t>
  </si>
  <si>
    <t>ABC SRDNS TOMAT DW 425G 1107</t>
  </si>
  <si>
    <t>ABC SRDNS CHILI DW 425G 1107</t>
  </si>
  <si>
    <t>ABC SRDNS CHILI 24X300G 2401</t>
  </si>
  <si>
    <t>ABC SRDNS EP-EOE DW 425G 1107</t>
  </si>
  <si>
    <t>ABC SRDNS SERUNDNG 60X155G2210</t>
  </si>
  <si>
    <t>ABC SRDN SRNDG155+SNUS 18G2301</t>
  </si>
  <si>
    <t>ABC SRDNS SERUNDNG 24X400G2210</t>
  </si>
  <si>
    <t>TOMATO KETCHUP</t>
  </si>
  <si>
    <t>ABC SAUS TOMAT SCT21X22X8G1909</t>
  </si>
  <si>
    <t>ABC SAUS TOMAT SCT21X22X8G2211</t>
  </si>
  <si>
    <t>ABC SAUS TOMAT 24X275ML 2105</t>
  </si>
  <si>
    <t>ABC TOMAT 335ML 1311</t>
  </si>
  <si>
    <t>ABC SAUS TOMAT JRG 5.7KG 2004</t>
  </si>
  <si>
    <t>ABC SAUS TOMAT JRG 5.7KG 2211</t>
  </si>
  <si>
    <t>ABC SAUS TOMAT PLW 6X1KG 2004</t>
  </si>
  <si>
    <t>ABC SAUS TOMAT PLW 6X1KG 2211</t>
  </si>
  <si>
    <t>HEINZ TOM KC PCH 48X125G 2105</t>
  </si>
  <si>
    <t>HEINZ TOM KCP USD 24X325G 2207</t>
  </si>
  <si>
    <t>HEINZ TOM KCP USD 24X325G 2308</t>
  </si>
  <si>
    <t>CHILI</t>
  </si>
  <si>
    <t>ABC SAM ASLI SCT 21X22X8G 1909</t>
  </si>
  <si>
    <t>ABC SAM ASLI SCT 21X22X8G 2203</t>
  </si>
  <si>
    <t>ABC SAM ASLI SCT 21X22X8G 2406</t>
  </si>
  <si>
    <t>ABC SAM AS SCT 30X10X18G 2002</t>
  </si>
  <si>
    <t>ABC SAM AS SCT 30X10X18G 2203</t>
  </si>
  <si>
    <t>ABC SAM AS SCT 30X10X15G 2206</t>
  </si>
  <si>
    <t>ABC SAM AS SCT 30X10X15GHY2210</t>
  </si>
  <si>
    <t>ABC SAM ASLI PCH 48X75G 2108</t>
  </si>
  <si>
    <t>ABC SAM AS PET 48X130ML 2401</t>
  </si>
  <si>
    <t>ABC SAM AS PET 48X130ML GT2406</t>
  </si>
  <si>
    <t>ABC SAM AS 48X130ML PR TMB2403</t>
  </si>
  <si>
    <t>ABC SAM ASLI PET 48X135ML 2105</t>
  </si>
  <si>
    <t>ABC SAM ASLI PET 48X135ML 2111</t>
  </si>
  <si>
    <t>ABC SAM ASLI PET 24X275ML 2105</t>
  </si>
  <si>
    <t>ABC SAM ASLI PET 24X275ML 2111</t>
  </si>
  <si>
    <t>ABC SAM AS PET 24X270ML 2401</t>
  </si>
  <si>
    <t>ABC SAM ASLI BB 24X335ML 2105</t>
  </si>
  <si>
    <t>ABC SAM ASLI PCH 12X380G 2105</t>
  </si>
  <si>
    <t>ABC SAM AS PCH 12X380G HY 2210</t>
  </si>
  <si>
    <t>ABC SAM ASLI PET 12X600ML 2111</t>
  </si>
  <si>
    <t>ABC SAM ASLI PET 12X600ML 2405</t>
  </si>
  <si>
    <t>ABC SAM ASLI PCH 6X690G 2312</t>
  </si>
  <si>
    <t>ABC SAM ASLI JRG 5.5KG 2105</t>
  </si>
  <si>
    <t>ABC SAM ASLI JRG 24KG 2105</t>
  </si>
  <si>
    <t>ABC SAM ASLI JRG 24KG 2406</t>
  </si>
  <si>
    <t>ABC SAM ASLI PLW 6X1KG 1903</t>
  </si>
  <si>
    <t>ABC SAM AS PLW 6X1KG HY 2210</t>
  </si>
  <si>
    <t>ABC SAM EP SCT 21X22X8G 2011</t>
  </si>
  <si>
    <t>ABC SAM EP SCT 21X22X8G HY2303</t>
  </si>
  <si>
    <t>ABC SAM EP SCT 30X10X18G 2011</t>
  </si>
  <si>
    <t>ABC SAM EP SCT 30X10X15G 2206</t>
  </si>
  <si>
    <t>ABC SAM EP SCT 30X10X15GHY2210</t>
  </si>
  <si>
    <t>ABC SAM EP PCH 48X75G 2109</t>
  </si>
  <si>
    <t>ABC SAM EP PCH 48X75G HY 2301</t>
  </si>
  <si>
    <t>ABC SAM EP PCH 48X65G HY 2302</t>
  </si>
  <si>
    <t>ABC SAM EP PET 48X130ML 2401</t>
  </si>
  <si>
    <t>ABC SAM EP PET 48X130ML</t>
  </si>
  <si>
    <t>ABC SAM EP 48X130ML PR TMB2403</t>
  </si>
  <si>
    <t>ABC SAM EP PET 48X135ML 2202</t>
  </si>
  <si>
    <t>ABC SAM EP PET 48X135ML HY2301</t>
  </si>
  <si>
    <t>ABC SAM EP PET 24X275ML 2202</t>
  </si>
  <si>
    <t>ABC SAM EP PET 24X275ML HY2301</t>
  </si>
  <si>
    <t>ABC SAM EP PET 24X270ML 2401</t>
  </si>
  <si>
    <t>ABC SAM EXTRA PDS 335ML 1112</t>
  </si>
  <si>
    <t>ABC SAM EP BB 24X335ML 2105</t>
  </si>
  <si>
    <t>ABC SAM EP BB 24X335ML</t>
  </si>
  <si>
    <t>ABC SAM EP BB 24X335ML HY 2301</t>
  </si>
  <si>
    <t>ABC SAM EP PCH 12X380G 2105</t>
  </si>
  <si>
    <t>ABC SAM EP PCH 12X380G HY 2301</t>
  </si>
  <si>
    <t>ABC SAM EP PCH 12X380G HY 2302</t>
  </si>
  <si>
    <t>ABC SAM EP PLW 6X950G 2011</t>
  </si>
  <si>
    <t>ABC SAM EP PLW 6X950G HY 2303</t>
  </si>
  <si>
    <t>ABC SAM XP PCH 48X75G 2308</t>
  </si>
  <si>
    <t>ABC SAM XP PET 48X135ML 2308</t>
  </si>
  <si>
    <t>ABC SAM MNS PDS 48X135ML 2105</t>
  </si>
  <si>
    <t>ABC SAM MNS PDS 48X130ML 2105</t>
  </si>
  <si>
    <t>ABC SAM MNS PDS 24X335ML 2105</t>
  </si>
  <si>
    <t>ABC SAM AYM GRG 48X135ML 2105</t>
  </si>
  <si>
    <t>ABC SAM AYM GRG 24X335ML 2405</t>
  </si>
  <si>
    <t>ABC SAM AYM GRG 24X335ML 2105</t>
  </si>
  <si>
    <t>ABC SAM BWNG PDS 48X135ML 2105</t>
  </si>
  <si>
    <t>ABC SAM BWNG PDS 24X275ML 2105</t>
  </si>
  <si>
    <t>HOKI SAM SCT 21X24X7G 2201</t>
  </si>
  <si>
    <t>HOKI SAM PLW 6X580G 2201</t>
  </si>
  <si>
    <t>HOKI SAM PLW 6X580G 2209</t>
  </si>
  <si>
    <t>ABC SAM TERASI SCT 100X18G2108</t>
  </si>
  <si>
    <t>ABC SAM TERASI SCT 100X18G2203</t>
  </si>
  <si>
    <t>ABC SAM TRS SCT PR100X18G 2209</t>
  </si>
  <si>
    <t>ABC SAM TRASI 100X18G B8G22402</t>
  </si>
  <si>
    <t>ABC SAM TERASI PCH 48X70G 2404</t>
  </si>
  <si>
    <t>ABC SAM TERASI PCH 24X180G2207</t>
  </si>
  <si>
    <t>ABC SAM TRS 12X180G B1G1 2302</t>
  </si>
  <si>
    <t>ABC SAM TERASI JAR 24X180G2108</t>
  </si>
  <si>
    <t>ABC SAM HIJAU SCT 100X18G 2108</t>
  </si>
  <si>
    <t>ABC SAM HIJAU SCT 100X18G 2207</t>
  </si>
  <si>
    <t>ABC SAM HJU SCT PR100X18G 2209</t>
  </si>
  <si>
    <t>ABC SAM HIJAU 100X18G B8G22402</t>
  </si>
  <si>
    <t>ABC SAM RNDANG SCT 100X18G2108</t>
  </si>
  <si>
    <t>ABC SAM RDG SCT PR100X18G 2209</t>
  </si>
  <si>
    <t>ABC SAM GEPREK SCT 100X18G2108</t>
  </si>
  <si>
    <t>ABC SAM GEPREK SCT 100X18G2207</t>
  </si>
  <si>
    <t>ABC SAM GPRK SCT PR100X18G2209</t>
  </si>
  <si>
    <t>ABC SAM TERI SCT 100X18G 2108</t>
  </si>
  <si>
    <t>ABC SAM TERI SCT PR100X18G2209</t>
  </si>
  <si>
    <t>HEINZ IDN CHL PCH 48X125G 2103</t>
  </si>
  <si>
    <t>HEINZ IDN CHL PCH 48X125G 2207</t>
  </si>
  <si>
    <t>HEINZ MEX CHL PCH 48X125G 2207</t>
  </si>
  <si>
    <t>HEINZ KOR CHL PCH 48X125G 2207</t>
  </si>
  <si>
    <t>ABC SAM FR NA JR 48X135ML 2107</t>
  </si>
  <si>
    <t>ABC SAM FR AP MG 48X135ML 2110</t>
  </si>
  <si>
    <t>MINYAK GORENG</t>
  </si>
  <si>
    <t>MINYAK GORENG ROSEBRAND</t>
  </si>
  <si>
    <t>KECAP</t>
  </si>
  <si>
    <t>MANIS</t>
  </si>
  <si>
    <t>00</t>
  </si>
  <si>
    <t>62 GR</t>
  </si>
  <si>
    <t>0062</t>
  </si>
  <si>
    <t>PCH</t>
  </si>
  <si>
    <t>1</t>
  </si>
  <si>
    <t>B5G1</t>
  </si>
  <si>
    <t>80 ML</t>
  </si>
  <si>
    <t>0080</t>
  </si>
  <si>
    <t>135 ML</t>
  </si>
  <si>
    <t>0130</t>
  </si>
  <si>
    <t>BTL</t>
  </si>
  <si>
    <t>0135</t>
  </si>
  <si>
    <t>250 GR</t>
  </si>
  <si>
    <t>0250</t>
  </si>
  <si>
    <t>275 ML</t>
  </si>
  <si>
    <t>0275</t>
  </si>
  <si>
    <t>2</t>
  </si>
  <si>
    <t>300 GR</t>
  </si>
  <si>
    <t>0300</t>
  </si>
  <si>
    <t>600 GR</t>
  </si>
  <si>
    <t>BANDED</t>
  </si>
  <si>
    <t>600 ML</t>
  </si>
  <si>
    <t>620 ML</t>
  </si>
  <si>
    <t>0620</t>
  </si>
  <si>
    <t>685 GR</t>
  </si>
  <si>
    <t>825 GR</t>
  </si>
  <si>
    <t>0825</t>
  </si>
  <si>
    <t>925 GR</t>
  </si>
  <si>
    <t>0925</t>
  </si>
  <si>
    <t>6 KG</t>
  </si>
  <si>
    <t>JRG</t>
  </si>
  <si>
    <t>25 KG</t>
  </si>
  <si>
    <t>SOTO</t>
  </si>
  <si>
    <t>520 ML</t>
  </si>
  <si>
    <t>0520</t>
  </si>
  <si>
    <t>HOKI</t>
  </si>
  <si>
    <t>DAGING ASAP</t>
  </si>
  <si>
    <t>650 GR</t>
  </si>
  <si>
    <t>0650</t>
  </si>
  <si>
    <t>SEAFODD</t>
  </si>
  <si>
    <t>SEAFOOD</t>
  </si>
  <si>
    <t>135 GR</t>
  </si>
  <si>
    <t>PEDAS</t>
  </si>
  <si>
    <t>EXTRA PEDAS</t>
  </si>
  <si>
    <t>75 GR</t>
  </si>
  <si>
    <t>0075</t>
  </si>
  <si>
    <t>15 GR</t>
  </si>
  <si>
    <t>0015</t>
  </si>
  <si>
    <t>PCSX12</t>
  </si>
  <si>
    <t>RCG</t>
  </si>
  <si>
    <t>4</t>
  </si>
  <si>
    <t>25 GR</t>
  </si>
  <si>
    <t>27 GR</t>
  </si>
  <si>
    <t>0027</t>
  </si>
  <si>
    <t>ASIN</t>
  </si>
  <si>
    <t>131 ML</t>
  </si>
  <si>
    <t>0131</t>
  </si>
  <si>
    <t>SAUCE</t>
  </si>
  <si>
    <t>MINYAK WIJEN</t>
  </si>
  <si>
    <t>195 ML</t>
  </si>
  <si>
    <t>0195</t>
  </si>
  <si>
    <t>TIRAM</t>
  </si>
  <si>
    <t>420 ML</t>
  </si>
  <si>
    <t>0420</t>
  </si>
  <si>
    <t>ASAM MANIS</t>
  </si>
  <si>
    <t>KCP INGGRIS</t>
  </si>
  <si>
    <t>TERASI</t>
  </si>
  <si>
    <t>3,8 GR</t>
  </si>
  <si>
    <t>0003</t>
  </si>
  <si>
    <t>PCSX20</t>
  </si>
  <si>
    <t>PACK</t>
  </si>
  <si>
    <t>MR JUSSIE</t>
  </si>
  <si>
    <t>MILKY</t>
  </si>
  <si>
    <t>GRAPE</t>
  </si>
  <si>
    <t>90 ML</t>
  </si>
  <si>
    <t>0090</t>
  </si>
  <si>
    <t>PCS</t>
  </si>
  <si>
    <t>MANGO</t>
  </si>
  <si>
    <t>ORANGE</t>
  </si>
  <si>
    <t>FRUITY</t>
  </si>
  <si>
    <t>GUAVA</t>
  </si>
  <si>
    <t>200 ML</t>
  </si>
  <si>
    <t>MILK</t>
  </si>
  <si>
    <t>250 ML</t>
  </si>
  <si>
    <t>EXTRA 50 ML</t>
  </si>
  <si>
    <t>PCSX3</t>
  </si>
  <si>
    <t>JUICE</t>
  </si>
  <si>
    <t>1 L</t>
  </si>
  <si>
    <t>APPLE</t>
  </si>
  <si>
    <t>LECI</t>
  </si>
  <si>
    <t>SIRSAK</t>
  </si>
  <si>
    <t>SIRUP</t>
  </si>
  <si>
    <t>09</t>
  </si>
  <si>
    <t>SPECIAL GRADE</t>
  </si>
  <si>
    <t>C.PANDAN</t>
  </si>
  <si>
    <t>460 ML</t>
  </si>
  <si>
    <t>0460</t>
  </si>
  <si>
    <t>MELON</t>
  </si>
  <si>
    <t>450 ML</t>
  </si>
  <si>
    <t>0450</t>
  </si>
  <si>
    <t>NANAS</t>
  </si>
  <si>
    <t>ANGGUR</t>
  </si>
  <si>
    <t>MANGGA</t>
  </si>
  <si>
    <t>SARDINES</t>
  </si>
  <si>
    <t>TOMAT</t>
  </si>
  <si>
    <t>155 GR</t>
  </si>
  <si>
    <t>0155</t>
  </si>
  <si>
    <t>425 GR</t>
  </si>
  <si>
    <t>0425</t>
  </si>
  <si>
    <t>CHILI DW</t>
  </si>
  <si>
    <t>EXTRA PEDAS DW</t>
  </si>
  <si>
    <t>SARUNDENG</t>
  </si>
  <si>
    <t>400 GR</t>
  </si>
  <si>
    <t>8 GR</t>
  </si>
  <si>
    <t>0008</t>
  </si>
  <si>
    <t>PCSX22</t>
  </si>
  <si>
    <t>335 ML</t>
  </si>
  <si>
    <t>0335</t>
  </si>
  <si>
    <t>5,7 KG</t>
  </si>
  <si>
    <t>PILLOW</t>
  </si>
  <si>
    <t>1 KG</t>
  </si>
  <si>
    <t>HEINZ</t>
  </si>
  <si>
    <t>KETCHUP</t>
  </si>
  <si>
    <t>125 GR</t>
  </si>
  <si>
    <t>0125</t>
  </si>
  <si>
    <t>325 GR</t>
  </si>
  <si>
    <t>0325</t>
  </si>
  <si>
    <t>SAMBAL</t>
  </si>
  <si>
    <t>ASLI</t>
  </si>
  <si>
    <t>PCSX10</t>
  </si>
  <si>
    <t>130 ML</t>
  </si>
  <si>
    <t>270 ML</t>
  </si>
  <si>
    <t>0270</t>
  </si>
  <si>
    <t>380 GR</t>
  </si>
  <si>
    <t>0380</t>
  </si>
  <si>
    <t>690 GR</t>
  </si>
  <si>
    <t>0690</t>
  </si>
  <si>
    <t>5 KG</t>
  </si>
  <si>
    <t>24 KG</t>
  </si>
  <si>
    <t>1024</t>
  </si>
  <si>
    <t>ASLI PILLOW</t>
  </si>
  <si>
    <t>65 GR</t>
  </si>
  <si>
    <t>EXTRA PEDAS PILLOW</t>
  </si>
  <si>
    <t>950 GR</t>
  </si>
  <si>
    <t>0950</t>
  </si>
  <si>
    <t>EXTREME PEDAS</t>
  </si>
  <si>
    <t>MANIS PEDAS</t>
  </si>
  <si>
    <t>AYAM GORENG</t>
  </si>
  <si>
    <t>BAWANG PEDAS</t>
  </si>
  <si>
    <t>7 GR</t>
  </si>
  <si>
    <t>0007</t>
  </si>
  <si>
    <t>PCSX24</t>
  </si>
  <si>
    <t>580 GR</t>
  </si>
  <si>
    <t>NUSANTARA</t>
  </si>
  <si>
    <t>18 GR</t>
  </si>
  <si>
    <t>0018</t>
  </si>
  <si>
    <t>NUS.</t>
  </si>
  <si>
    <t>B8G2</t>
  </si>
  <si>
    <t>70 GR</t>
  </si>
  <si>
    <t>0070</t>
  </si>
  <si>
    <t>180 GR</t>
  </si>
  <si>
    <t>HIJAU</t>
  </si>
  <si>
    <t>RENDANG</t>
  </si>
  <si>
    <t>18GR</t>
  </si>
  <si>
    <t>GEPREK</t>
  </si>
  <si>
    <t>TERI</t>
  </si>
  <si>
    <t>INDONESIA CHILI</t>
  </si>
  <si>
    <t>MEXICAN CHILI</t>
  </si>
  <si>
    <t>KOREAN CHILI</t>
  </si>
  <si>
    <t>NANAS JERUK</t>
  </si>
  <si>
    <t>APEL MANGGA</t>
  </si>
  <si>
    <t>B&gt; ABC</t>
  </si>
  <si>
    <t>ROSEBRAND</t>
  </si>
  <si>
    <t>220ML</t>
  </si>
  <si>
    <t>0220</t>
  </si>
  <si>
    <t>CUP</t>
  </si>
  <si>
    <t>1B</t>
  </si>
  <si>
    <t>S-HNZ</t>
  </si>
  <si>
    <t>48HEINZ</t>
  </si>
  <si>
    <t>0123</t>
  </si>
  <si>
    <t>PT. HEINZ ABC INDONESIA</t>
  </si>
  <si>
    <t>Harga Jual Motorist</t>
  </si>
  <si>
    <t>A1011001062010</t>
  </si>
  <si>
    <t>A1011001052010</t>
  </si>
  <si>
    <t>A1011002052010</t>
  </si>
  <si>
    <t>A1011003065010</t>
  </si>
  <si>
    <t>A1011004065010</t>
  </si>
  <si>
    <t>A1011005013510</t>
  </si>
  <si>
    <t>A1011006013520</t>
  </si>
  <si>
    <t>A1011005027510</t>
  </si>
  <si>
    <t>A1011006007510</t>
  </si>
  <si>
    <t>A1011000006210</t>
  </si>
  <si>
    <t>A1011000006211</t>
  </si>
  <si>
    <t>A1011000008010</t>
  </si>
  <si>
    <t>A1011000030010</t>
  </si>
  <si>
    <t>A1011000025010</t>
  </si>
  <si>
    <t>A1011000068510</t>
  </si>
  <si>
    <t>A1011000068512</t>
  </si>
  <si>
    <t>A1011000060010</t>
  </si>
  <si>
    <t>A1011000092510</t>
  </si>
  <si>
    <t>A1011000082510</t>
  </si>
  <si>
    <t>A1011000102510</t>
  </si>
  <si>
    <t>A1011000013510</t>
  </si>
  <si>
    <t>A1011000027520</t>
  </si>
  <si>
    <t>A1011000062010</t>
  </si>
  <si>
    <t>A1011000060020</t>
  </si>
  <si>
    <t>A1012000062010</t>
  </si>
  <si>
    <t>A1020001019510</t>
  </si>
  <si>
    <t>A1020002042010</t>
  </si>
  <si>
    <t>A1020002013510</t>
  </si>
  <si>
    <t>A1020003019510</t>
  </si>
  <si>
    <t>A1020002019510</t>
  </si>
  <si>
    <t>A1020004019510</t>
  </si>
  <si>
    <t>A1041001009010</t>
  </si>
  <si>
    <t>A1041002009010</t>
  </si>
  <si>
    <t>A1041003009010</t>
  </si>
  <si>
    <t>A1041004009010</t>
  </si>
  <si>
    <t>A1042001009010</t>
  </si>
  <si>
    <t>A1042004009010</t>
  </si>
  <si>
    <t>A1041005009010</t>
  </si>
  <si>
    <t>A1050000025010</t>
  </si>
  <si>
    <t>A1050000020010</t>
  </si>
  <si>
    <t>A1050000025011</t>
  </si>
  <si>
    <t>A1050000025020</t>
  </si>
  <si>
    <t>A1061001020010</t>
  </si>
  <si>
    <t>A1061002020010</t>
  </si>
  <si>
    <t>A1061000020010</t>
  </si>
  <si>
    <t>A1070001025010</t>
  </si>
  <si>
    <t>A1070002025010</t>
  </si>
  <si>
    <t>A1070003025010</t>
  </si>
  <si>
    <t>A1070004025010</t>
  </si>
  <si>
    <t>A1070005025010</t>
  </si>
  <si>
    <t>A1070006025010</t>
  </si>
  <si>
    <t>A1091001046010</t>
  </si>
  <si>
    <t>A1091002046010</t>
  </si>
  <si>
    <t>A1092001045010</t>
  </si>
  <si>
    <t>A1092002045010</t>
  </si>
  <si>
    <t>A1092003045010</t>
  </si>
  <si>
    <t>A1092004045010</t>
  </si>
  <si>
    <t>A1092005045010</t>
  </si>
  <si>
    <t>A1092006045010</t>
  </si>
  <si>
    <t>A1100001015510</t>
  </si>
  <si>
    <t>A1100001015511</t>
  </si>
  <si>
    <t>A1100001042510</t>
  </si>
  <si>
    <t>A1100002015510</t>
  </si>
  <si>
    <t>A1100002042510</t>
  </si>
  <si>
    <t>A1100003030010</t>
  </si>
  <si>
    <t>A1100004015510</t>
  </si>
  <si>
    <t>A1100004042510</t>
  </si>
  <si>
    <t>A1100005015510</t>
  </si>
  <si>
    <t>A1100005040010</t>
  </si>
  <si>
    <t>A1100005015511</t>
  </si>
  <si>
    <t>A1111001032510</t>
  </si>
  <si>
    <t>A1111001012510</t>
  </si>
  <si>
    <t>A1110000000810</t>
  </si>
  <si>
    <t>A1110000013510</t>
  </si>
  <si>
    <t>A1110000027510</t>
  </si>
  <si>
    <t>A1110000033510</t>
  </si>
  <si>
    <t>A1121000000710</t>
  </si>
  <si>
    <t>A1121000058010</t>
  </si>
  <si>
    <t>A1122001001810</t>
  </si>
  <si>
    <t>A1122001001811</t>
  </si>
  <si>
    <t>A1122001018010</t>
  </si>
  <si>
    <t>A1122001018011</t>
  </si>
  <si>
    <t>A1122001007010</t>
  </si>
  <si>
    <t>A1122001018020</t>
  </si>
  <si>
    <t>A1122002001811</t>
  </si>
  <si>
    <t>A1122002001810</t>
  </si>
  <si>
    <t>A1122003001811</t>
  </si>
  <si>
    <t>A1122003001810</t>
  </si>
  <si>
    <t>A1122004001811</t>
  </si>
  <si>
    <t>A1122004001810</t>
  </si>
  <si>
    <t>A1122005001811</t>
  </si>
  <si>
    <t>A1122005001810</t>
  </si>
  <si>
    <t>A1011000013010</t>
  </si>
  <si>
    <t>A1011000030012</t>
  </si>
  <si>
    <t>A1011000100610</t>
  </si>
  <si>
    <t>A1011100001510</t>
  </si>
  <si>
    <t>A1011100001541</t>
  </si>
  <si>
    <t>A1011100002510</t>
  </si>
  <si>
    <t>A1011100002741</t>
  </si>
  <si>
    <t>A1012000013110</t>
  </si>
  <si>
    <t>A1012000100610</t>
  </si>
  <si>
    <t>A1030100000310</t>
  </si>
  <si>
    <t>A1070001100110</t>
  </si>
  <si>
    <t>A1070002100110</t>
  </si>
  <si>
    <t>A1070003100110</t>
  </si>
  <si>
    <t>A1080000025010</t>
  </si>
  <si>
    <t>A1110000100510</t>
  </si>
  <si>
    <t>A1110001100110</t>
  </si>
  <si>
    <t>A1120006000810</t>
  </si>
  <si>
    <t>A1120006001510</t>
  </si>
  <si>
    <t>A1120006007510</t>
  </si>
  <si>
    <t>A1120006013010</t>
  </si>
  <si>
    <t>A1120006013011</t>
  </si>
  <si>
    <t>A1120006013510</t>
  </si>
  <si>
    <t>A1120006027010</t>
  </si>
  <si>
    <t>A1120006033510</t>
  </si>
  <si>
    <t>A1120006038010</t>
  </si>
  <si>
    <t>A1120006060010</t>
  </si>
  <si>
    <t>A1120006069010</t>
  </si>
  <si>
    <t>A1120006100510</t>
  </si>
  <si>
    <t>A1120006102410</t>
  </si>
  <si>
    <t>A1120007100110</t>
  </si>
  <si>
    <t>A1120008000810</t>
  </si>
  <si>
    <t>A1120008001510</t>
  </si>
  <si>
    <t>A1120008007510</t>
  </si>
  <si>
    <t>A1120008013010</t>
  </si>
  <si>
    <t>A1120008013011</t>
  </si>
  <si>
    <t>A1120008013510</t>
  </si>
  <si>
    <t>A1120008027010</t>
  </si>
  <si>
    <t>A1120008033510</t>
  </si>
  <si>
    <t>A1120008038010</t>
  </si>
  <si>
    <t>A1120009095010</t>
  </si>
  <si>
    <t>A1120010007510</t>
  </si>
  <si>
    <t>A1120010013510</t>
  </si>
  <si>
    <t>A1120011013510</t>
  </si>
  <si>
    <t>A1120011033510</t>
  </si>
  <si>
    <t>A1120012013510</t>
  </si>
  <si>
    <t>A1120012033510</t>
  </si>
  <si>
    <t>A1120013013510</t>
  </si>
  <si>
    <t>A1120013027510</t>
  </si>
  <si>
    <t>A1123001012510</t>
  </si>
  <si>
    <t>A1123002012510</t>
  </si>
  <si>
    <t>A1123003012510</t>
  </si>
  <si>
    <t>A1124001013510</t>
  </si>
  <si>
    <t>A1011003013510</t>
  </si>
  <si>
    <t>A1011004015020</t>
  </si>
  <si>
    <t>A1130001022011B</t>
  </si>
  <si>
    <t>A1124002013510</t>
  </si>
  <si>
    <t>ABC KECAP MANIS 62 GR X 48 PCH</t>
  </si>
  <si>
    <t>ABC KECAP MANIS 62 GR X 48 PCH B5G1</t>
  </si>
  <si>
    <t>ABC KECAP MANIS 80 ML X 48 PCH</t>
  </si>
  <si>
    <t>ABC KECAP MANIS 135 ML X 48 BTL</t>
  </si>
  <si>
    <t>ABC KECAP MANIS 250 GR X 24 PCH</t>
  </si>
  <si>
    <t>ABC KECAP MANIS 275 ML X 24 BTL</t>
  </si>
  <si>
    <t>ABC KECAP MANIS 300 GR X 24 PCH</t>
  </si>
  <si>
    <t>ABC KECAP MANIS 600 GR X 12 PCH BANDED</t>
  </si>
  <si>
    <t>ABC KECAP MANIS 600 GR X 12 PCH</t>
  </si>
  <si>
    <t>ABC KECAP MANIS 600 ML X 12 BTL</t>
  </si>
  <si>
    <t>ABC KECAP MANIS 620 ML X 12 BTL</t>
  </si>
  <si>
    <t>ABC KECAP MANIS 685 GR X 12 PCH</t>
  </si>
  <si>
    <t>ABC KECAP MANIS 685 GR X 12 PCH BANDED</t>
  </si>
  <si>
    <t>ABC KECAP MANIS 825 GR X 12 PCH</t>
  </si>
  <si>
    <t>ABC KECAP MANIS 925 GR X 12 PCH</t>
  </si>
  <si>
    <t>ABC KECAP MANIS 25 KG X 1 JRG</t>
  </si>
  <si>
    <t>ABC KECAP MANIS SOTO 520 ML X 12 PCH</t>
  </si>
  <si>
    <t>ABC KECAP MANIS SOTO 620 ML X 12 BTL</t>
  </si>
  <si>
    <t>ABC KECAP MANIS HOKI 520 ML X 12 PCH</t>
  </si>
  <si>
    <t>ABC KECAP MANIS DAGING ASAP 135 ML X 48 BTL</t>
  </si>
  <si>
    <t>ABC KECAP MANIS DAGING ASAP 650 GR X 12 PCH</t>
  </si>
  <si>
    <t>ABC KECAP MANIS SEAFODD 650 GR X 12 PCH</t>
  </si>
  <si>
    <t>ABC KECAP MANIS SEAFOOD 135 GR X 48 BTL</t>
  </si>
  <si>
    <t>ABC KECAP MANIS PEDAS 135 ML X 48 BTL</t>
  </si>
  <si>
    <t>ABC KECAP MANIS PEDAS 275 ML X 24 BTL</t>
  </si>
  <si>
    <t>ABC KECAP MANIS EXTRA PEDAS 75 GR X 48 PCH</t>
  </si>
  <si>
    <t>ABC KECAP MANIS EXTRA PEDAS 135 ML X 48 BTL</t>
  </si>
  <si>
    <t>ABC KECAP MANIS SACHET 15 GR X 24 RCG PCSX12 B5G1</t>
  </si>
  <si>
    <t>ABC KECAP MANIS SACHET 25 GR X 12 RCG PCSX12</t>
  </si>
  <si>
    <t>ABC KECAP MANIS SACHET 27 GR X 12 RCG PCSX12 PROMO</t>
  </si>
  <si>
    <t>ABC KECAP ASIN 131 ML X 48 BTL</t>
  </si>
  <si>
    <t>ABC KECAP ASIN 620 ML X 12 BTL</t>
  </si>
  <si>
    <t>ABC KECAP ASIN 6 KG X 1 JRG</t>
  </si>
  <si>
    <t>ABC SAUCE MINYAK WIJEN 195 ML X 24 BTL</t>
  </si>
  <si>
    <t>ABC SAUCE TIRAM 135 ML X 48 BTL</t>
  </si>
  <si>
    <t>ABC SAUCE TIRAM 195 ML X 24 BTL</t>
  </si>
  <si>
    <t>ABC SAUCE TIRAM 420 ML X 24 BTL</t>
  </si>
  <si>
    <t>ABC SAUCE ASAM MANIS 195 ML X 24 BTL</t>
  </si>
  <si>
    <t>ABC SAUCE KCP INGGRIS 195 ML X 24 BTL</t>
  </si>
  <si>
    <t>ABC TERASI SACHET 3,8 GR X 36 PACK PCSX20</t>
  </si>
  <si>
    <t>ABC MR JUSSIE MILKY GRAPE 90 ML X 48 PCS</t>
  </si>
  <si>
    <t>ABC MR JUSSIE MILKY STRAWBERRY 90 ML X 48 PCS</t>
  </si>
  <si>
    <t>ABC MR JUSSIE MILKY MANGO 90 ML X 48 PCS</t>
  </si>
  <si>
    <t>ABC MR JUSSIE MILKY ORANGE 90 ML X 48 PCS</t>
  </si>
  <si>
    <t>ABC MR JUSSIE MILKY COKLAT 90 ML X 48 PCS</t>
  </si>
  <si>
    <t>ABC MR JUSSIE FRUITY GUAVA 90 ML X 48 PCS</t>
  </si>
  <si>
    <t>ABC MR JUSSIE FRUITY ORANGE 90 ML X 48 PCS</t>
  </si>
  <si>
    <t>ABC KACANG HIJAU 200 ML X 24 PCS</t>
  </si>
  <si>
    <t>ABC SARI KEDELAI MILK 200 ML X 24 PCS</t>
  </si>
  <si>
    <t>ABC KACANG HIJAU 250 ML X 24 PCS</t>
  </si>
  <si>
    <t>ABC KACANG HIJAU 250 ML X 24 PCS EXTRA 50 ML</t>
  </si>
  <si>
    <t>ABC KACANG HIJAU 250 ML X 8 PACK PCSX3</t>
  </si>
  <si>
    <t>ABC SARI KEDELAI MILK COKLAT 200 ML X 24 PCS</t>
  </si>
  <si>
    <t>ABC SARI KEDELAI MILK STRAWBERRY 200 ML X 24 PCS</t>
  </si>
  <si>
    <t>ABC JUICE GUAVA 250 ML X 24 PCS</t>
  </si>
  <si>
    <t>ABC JUICE GUAVA 1 L X 12 PCS</t>
  </si>
  <si>
    <t>ABC JUICE ORANGE 250 ML X 24 PCS</t>
  </si>
  <si>
    <t>ABC JUICE ORANGE 1 L X 12 PCS</t>
  </si>
  <si>
    <t>ABC JUICE APPLE 250 ML X 24 PCS</t>
  </si>
  <si>
    <t>ABC JUICE APPLE 1 L X 12 PCS</t>
  </si>
  <si>
    <t>ABC JUICE MANGO 250 ML X 24 PCS</t>
  </si>
  <si>
    <t>ABC JUICE LECI 250 ML X 24 PCS</t>
  </si>
  <si>
    <t>ABC JUICE SIRSAK 250 ML X 24 PCS</t>
  </si>
  <si>
    <t>ABC SARI ASAM 250 ML X 24 PCS</t>
  </si>
  <si>
    <t>ABC SIRUP SPECIAL GRADE C.PANDAN 460 ML X 12 BTL</t>
  </si>
  <si>
    <t>ABC SIRUP SPECIAL GRADE MELON 460 ML X 12 BTL</t>
  </si>
  <si>
    <t>ABC SIRUP SQUASH ORANGE 450 ML X 12 BTL</t>
  </si>
  <si>
    <t>ABC SIRUP SQUASH NANAS 450 ML X 12 BTL</t>
  </si>
  <si>
    <t>ABC SIRUP SQUASH LECI 450 ML X 12 BTL</t>
  </si>
  <si>
    <t>ABC SIRUP SQUASH SIRSAK 450 ML X 12 BTL</t>
  </si>
  <si>
    <t>ABC SIRUP SQUASH ANGGUR 450 ML X 12 BTL</t>
  </si>
  <si>
    <t>ABC SIRUP SQUASH MANGGA 450 ML X 12 BTL</t>
  </si>
  <si>
    <t>ABC SARDINES TOMAT 155 GR X 30 KLG BANDED</t>
  </si>
  <si>
    <t>ABC SARDINES TOMAT 425 GR X 24 KLG</t>
  </si>
  <si>
    <t>ABC SARDINES CHILI DW 425 GR X 24 KLG</t>
  </si>
  <si>
    <t>ABC SARDINES CHILI 300 GR X 24 KLG</t>
  </si>
  <si>
    <t>ABC SARDINES EXTRA PEDAS DW 425 GR X 24 KLG</t>
  </si>
  <si>
    <t>ABC SARDINES SARUNDENG 155 GR X 60 KLG</t>
  </si>
  <si>
    <t>ABC SARDINES SARUNDENG 155 GR X 60 KLG BANDED</t>
  </si>
  <si>
    <t>ABC SARDINES SARUNDENG 400 GR X 24 KLG</t>
  </si>
  <si>
    <t>ABC TOMAT 8 GR X 21 PACK PCSX22</t>
  </si>
  <si>
    <t>ABC TOMAT 135 ML X 48 BTL</t>
  </si>
  <si>
    <t>ABC TOMAT 275 ML X 24 BTL</t>
  </si>
  <si>
    <t>ABC TOMAT 335 ML X 24 BTL</t>
  </si>
  <si>
    <t>ABC TOMAT 5,7 KG X 1 JRG</t>
  </si>
  <si>
    <t>ABC TOMAT PILLOW 1 KG X 6 PCS</t>
  </si>
  <si>
    <t>ABC TOMAT HEINZ KETCHUP 125 GR X 48 PCH</t>
  </si>
  <si>
    <t>ABC TOMAT HEINZ KETCHUP 325 GR X 24 BTL</t>
  </si>
  <si>
    <t>ABC SAMBAL ASLI 8 GR X 21 PACK PCSX22</t>
  </si>
  <si>
    <t>ABC SAMBAL ASLI 15 GR X 30 PACK PCSX10</t>
  </si>
  <si>
    <t>ABC SAMBAL ASLI 130 ML X 48 BTL</t>
  </si>
  <si>
    <t>ABC SAMBAL ASLI 130 ML X 48 BTL BANDED</t>
  </si>
  <si>
    <t>ABC SAMBAL ASLI 135 ML X 48 BTL</t>
  </si>
  <si>
    <t>ABC SAMBAL ASLI 270 ML X 24 BTL</t>
  </si>
  <si>
    <t>ABC SAMBAL ASLI 335 ML X 24 BTL</t>
  </si>
  <si>
    <t>ABC SAMBAL ASLI 380 GR X 12 PCH</t>
  </si>
  <si>
    <t>ABC SAMBAL ASLI 600 ML X 12 BTL</t>
  </si>
  <si>
    <t>ABC SAMBAL ASLI 690 GR X 6 PCS</t>
  </si>
  <si>
    <t>ABC SAMBAL ASLI 5 KG X 1 JRG</t>
  </si>
  <si>
    <t>ABC SAMBAL ASLI 24 KG X 1 JRG</t>
  </si>
  <si>
    <t>ABC SAMBAL ASLI PILLOW 1 KG X 6 PCS</t>
  </si>
  <si>
    <t>ABC SAMBAL EXTRA PEDAS 8 GR X 21 PACK PCSX22</t>
  </si>
  <si>
    <t>ABC SAMBAL EXTRA PEDAS 15 GR X 30 PACK PCSX10</t>
  </si>
  <si>
    <t>ABC SAMBAL EXTRA PEDAS 130 ML X 48 BTL</t>
  </si>
  <si>
    <t>ABC SAMBAL EXTRA PEDAS 130 ML X 48 BTL BANDED</t>
  </si>
  <si>
    <t>ABC SAMBAL EXTRA PEDAS 135 ML X 48 BTL</t>
  </si>
  <si>
    <t>ABC SAMBAL EXTRA PEDAS 270 ML X 24 BTL</t>
  </si>
  <si>
    <t>ABC SAMBAL EXTRA PEDAS 335 ML X 24 BTL</t>
  </si>
  <si>
    <t>ABC SAMBAL EXTRA PEDAS 380 GR X 12 PCH</t>
  </si>
  <si>
    <t>ABC SAMBAL EXTRA PEDAS PILLOW 950 GR X 6 PCS</t>
  </si>
  <si>
    <t>ABC SAMBAL EXTREME PEDAS 75 GR X 48 PCH</t>
  </si>
  <si>
    <t>ABC SAMBAL EXTREME PEDAS 135 ML X 48 BTL</t>
  </si>
  <si>
    <t>ABC SAMBAL MANIS PEDAS 135 ML X 48 BTL</t>
  </si>
  <si>
    <t>ABC SAMBAL MANIS PEDAS 335 ML X 24 BTL</t>
  </si>
  <si>
    <t>ABC SAMBAL AYAM GORENG 135 ML X 48 BTL</t>
  </si>
  <si>
    <t>ABC SAMBAL AYAM GORENG 335 ML X 24 BTL</t>
  </si>
  <si>
    <t>ABC SAMBAL BAWANG PEDAS 135 ML X 48 BTL</t>
  </si>
  <si>
    <t>ABC SAMBAL BAWANG PEDAS 275 ML X 24 BTL</t>
  </si>
  <si>
    <t>ABC SAMBAL HOKI 7 GR X 21 PACK PCSX24</t>
  </si>
  <si>
    <t>ABC SAMBAL HOKI 580 GR X 6 PCS</t>
  </si>
  <si>
    <t>ABC SAMBAL NUSANTARA TERASI 18 GR X 10 PACK PCSX10</t>
  </si>
  <si>
    <t>ABC SAMBAL NUS. TERASI 18 GR X 10 PACK PCSX10 B8G2</t>
  </si>
  <si>
    <t>ABC SAMBAL NUSANTARA TERASI 70 GR X 48 PCH</t>
  </si>
  <si>
    <t>ABC SAMBAL NUSANTARA TERASI 180 GR X 24 PCH</t>
  </si>
  <si>
    <t>ABC SAMBAL NUSANTARA TERASI 180 GR X 12 PCH B8G2</t>
  </si>
  <si>
    <t>ABC SAMBAL NUSANTARA TERASI 180 GR X 24 BTL</t>
  </si>
  <si>
    <t>ABC SAMBAL NUSANTARA HIJAU 18 GR X 10 PACK PCSX10</t>
  </si>
  <si>
    <t>ABC SAMBAL NUS. HIJAU 18 GR X 10 PACK PCSX10 B8G2</t>
  </si>
  <si>
    <t>ABC SAMBAL NUSANTARA RENDANG 18 GR X 10 PACK PCSX10</t>
  </si>
  <si>
    <t>ABC SAMBAL NUS. RENDANG 18GR X 10 PACK PCSX10 B8G2</t>
  </si>
  <si>
    <t>ABC SAMBAL NUSANTARA GEPREK 18 GR X 10 PACK PCSX10</t>
  </si>
  <si>
    <t>ABC SAMBAL NUS. GEPREK 18 GR X 10 PACK PCSX10 B8G2</t>
  </si>
  <si>
    <t>ABC SAMBAL NUSANTARA TERI 18 GR X 10 PACK PCSX10</t>
  </si>
  <si>
    <t>ABC SAMBAL NUS. TERI 18 GR X 10 PACK PCSX10 B8G2</t>
  </si>
  <si>
    <t>ABC SAMBAL HEINZ INDONESIA CHILI 125 GR X 48 PCH</t>
  </si>
  <si>
    <t>ABC SAMBAL HEINZ MEXICAN CHILI 125 GR X 48 PCH</t>
  </si>
  <si>
    <t>ABC SAMBAL HEINZ KOREAN CHILI 125 GR X 48 PCH</t>
  </si>
  <si>
    <t>ABC SAMBAL FRUITY NANAS JERUK 135 ML X 48 BTL</t>
  </si>
  <si>
    <t>ABC SAMBAL FRUITY APEL MANGGA 135 ML X 48 BTL</t>
  </si>
  <si>
    <t>B&gt; ABC MINYAK GORENG ROSEBRAND 220ML X 48 CUP</t>
  </si>
  <si>
    <t>KECAP MANIS</t>
  </si>
  <si>
    <t>A1011</t>
  </si>
  <si>
    <t>KECAP ASIN</t>
  </si>
  <si>
    <t>A1012</t>
  </si>
  <si>
    <t>A1020</t>
  </si>
  <si>
    <t>A1030</t>
  </si>
  <si>
    <t>MR JUSSIE MILKY</t>
  </si>
  <si>
    <t>A1041</t>
  </si>
  <si>
    <t>MR JUSSIE FRUITY</t>
  </si>
  <si>
    <t>A1042</t>
  </si>
  <si>
    <t>A1050</t>
  </si>
  <si>
    <t>SARI KEDELAI MILK</t>
  </si>
  <si>
    <t>A1061</t>
  </si>
  <si>
    <t>A1070</t>
  </si>
  <si>
    <t>A1080</t>
  </si>
  <si>
    <t>SIRUP SPECIAL GRADE</t>
  </si>
  <si>
    <t>A1091</t>
  </si>
  <si>
    <t>SIRUP SQUASH</t>
  </si>
  <si>
    <t>A1092</t>
  </si>
  <si>
    <t>A1100</t>
  </si>
  <si>
    <t>A1110</t>
  </si>
  <si>
    <t>TOMAT HEINZ</t>
  </si>
  <si>
    <t>A1111</t>
  </si>
  <si>
    <t>A1120</t>
  </si>
  <si>
    <t>SAMBAL HOKI</t>
  </si>
  <si>
    <t>A1121</t>
  </si>
  <si>
    <t>SAMBAL NUSANTARA</t>
  </si>
  <si>
    <t>A1122</t>
  </si>
  <si>
    <t>SAMBAL NUS.</t>
  </si>
  <si>
    <t>SAMBAL HEINZ</t>
  </si>
  <si>
    <t>A1123</t>
  </si>
  <si>
    <t>SAMBAL FRUITY</t>
  </si>
  <si>
    <t>A1124</t>
  </si>
  <si>
    <t>A1130</t>
  </si>
  <si>
    <t>KODE BARANG</t>
  </si>
  <si>
    <t>NAMA BARANG</t>
  </si>
  <si>
    <t>NAMA KELOMPOK</t>
  </si>
  <si>
    <t>NAMA PRINCIPLE</t>
  </si>
  <si>
    <t>ABC SAM EP SCT 21X22X8G</t>
  </si>
  <si>
    <t>ABC KCP ASIN PET 48X131ML 2405</t>
  </si>
  <si>
    <t>ABC KECAP ASIN BB 12X620ML</t>
  </si>
  <si>
    <t>ABC SAM EP SCT 30X10X15G2405</t>
  </si>
  <si>
    <t>ABC SRDN CHILI 60X155G PR 2411</t>
  </si>
  <si>
    <t>ABC SRDN EP 60X155G PR 2501</t>
  </si>
  <si>
    <t>A1100001015512</t>
  </si>
  <si>
    <t>A1100002015512</t>
  </si>
  <si>
    <t>A1100004015512</t>
  </si>
  <si>
    <t>ABC SARDINES TOMAT 155 GR X 60 KLG PROMO</t>
  </si>
  <si>
    <t>ABC SARDINES CHILI DW 155 GR X 60 KLG PROMO</t>
  </si>
  <si>
    <t>ABC SARDINES EXTRA PEDAS DW 155 GR X 60 KLG PROMO</t>
  </si>
  <si>
    <t>ABC SAM BWNG PDS 24X270ML 2105</t>
  </si>
  <si>
    <t>ABC S.TRSI UNICODE 100X18G2409</t>
  </si>
  <si>
    <t>UNIK</t>
  </si>
  <si>
    <t>A1122001001812</t>
  </si>
  <si>
    <t>ABC SAMBAL NUS. TERASI 18 GR X 10 PACK PCSX10 UNIK</t>
  </si>
  <si>
    <t>T-SHIRT RETAIL GIMMICK</t>
  </si>
  <si>
    <t>ABC T-SHIRT</t>
  </si>
  <si>
    <t>T-SHIRT</t>
  </si>
  <si>
    <t>14</t>
  </si>
  <si>
    <t>RETAIL GIMMICK</t>
  </si>
  <si>
    <t>0000</t>
  </si>
  <si>
    <t>SHEET</t>
  </si>
  <si>
    <t>A1140001000011B</t>
  </si>
  <si>
    <t>B&gt; ABC T-SHIRT RETAIL GIMMICK X 1 PCS</t>
  </si>
  <si>
    <t>A1140</t>
  </si>
  <si>
    <t>ABC SAM AS SCT 30X10X15G</t>
  </si>
  <si>
    <t>ABC KMNS PCH 250+STRSI 18G2406</t>
  </si>
  <si>
    <t>A1011000025011</t>
  </si>
  <si>
    <t>ABC KECAP MANIS 250 GR X 24 PCH BANDED</t>
  </si>
  <si>
    <t>ABC SAUS TOMAT PLW 6X1KG</t>
  </si>
  <si>
    <t>ABC SAM TERASI SCT 100X18G2408</t>
  </si>
  <si>
    <t>ABC K.MNS PCHSPOUT 12X825G2405</t>
  </si>
  <si>
    <t>ABC S.ASAM MNS BB 24X195ML2409</t>
  </si>
  <si>
    <t>ABC SAM ASLI PCH 48X65G 2109</t>
  </si>
  <si>
    <t>ABC SAMBAL ASLI 65 GR X 48 PCH</t>
  </si>
  <si>
    <t>ABC SAMBAL EXTRA PEDAS 65 GR X 48 PCH</t>
  </si>
  <si>
    <t>ABC TRSI SCT NEW 36X20X3.8G</t>
  </si>
  <si>
    <t>ABC SAM TERASI PCH 24X180G2408</t>
  </si>
  <si>
    <t>ABC MYK WIJEN BB 24X195ML 2409</t>
  </si>
  <si>
    <t>HARGA NAIK GT</t>
  </si>
  <si>
    <t>CEK</t>
  </si>
  <si>
    <t>FIX HARGA</t>
  </si>
  <si>
    <t>ABC TOMAT SCT 21X22X8G 2409</t>
  </si>
  <si>
    <t>ABC KMNS PCH 60X62G B3G1</t>
  </si>
  <si>
    <t>A1022</t>
  </si>
  <si>
    <t>ABC SAUS TOMAT 24X270ML 2408</t>
  </si>
  <si>
    <t>A1022100006221</t>
  </si>
  <si>
    <t>ABC KECAP MANIS SACHET 62 GR X 60 RCG PCH PROMO</t>
  </si>
  <si>
    <t>HARGA MOTORIS +PPN</t>
  </si>
  <si>
    <t>HARGA MOTORIS -PPN</t>
  </si>
  <si>
    <t>ABC SAUS TOMAT 24X335ML</t>
  </si>
  <si>
    <t>ABC SAM TERASI 5KG4 120X18G</t>
  </si>
  <si>
    <t>ABC SAUS TIRAM SCT 12X10X18G</t>
  </si>
  <si>
    <t xml:space="preserve">ABC MUG BEAN DRNK 48 X 100ML </t>
  </si>
  <si>
    <t>0100</t>
  </si>
  <si>
    <t>100 ML</t>
  </si>
  <si>
    <t>A1020102001820</t>
  </si>
  <si>
    <t>A1050000010010</t>
  </si>
  <si>
    <t>A1122001001813</t>
  </si>
  <si>
    <t>ABC SAUCE SACHET TIRAM 18GR X 12 PCSX10</t>
  </si>
  <si>
    <t>ABC KACANG HIJAU 100 ML X 48 PCS</t>
  </si>
  <si>
    <t>ABC SAMBAL NUS. TERASI 18GR X 12 PACK PCSX10 PROMO</t>
  </si>
  <si>
    <t>ABC KCP MNS SCT 24X12X18G 2505</t>
  </si>
  <si>
    <t xml:space="preserve"> 26-07-2025</t>
  </si>
  <si>
    <t>ABC K MSN PDS PET 24X275ML</t>
  </si>
  <si>
    <t>ABC SAM TERASI PCH 48X70G</t>
  </si>
  <si>
    <t>ABC SAUS TOMAT 48X130ML</t>
  </si>
  <si>
    <t>ABC MINYAK WIJEN JRG 6X1L 2409</t>
  </si>
  <si>
    <t>SESAME OIL</t>
  </si>
  <si>
    <t>1L</t>
  </si>
  <si>
    <t>A1020001019520</t>
  </si>
  <si>
    <t>ABC SARDINES TOMAT POP 155 GR X 60 KLG</t>
  </si>
  <si>
    <t>ABC SARDINES CHILI DW 155 GR X 60 KLG</t>
  </si>
  <si>
    <t>ABC SARDINES EXTRA PEDAS DW 155 GR X 60 KLG</t>
  </si>
  <si>
    <t>ABC SRDNS CHILI DW 155G 1107</t>
  </si>
  <si>
    <t>ABC SRDNS EP-EOE DW 155G 1107</t>
  </si>
  <si>
    <t>ABC SARDINES TOMAT 155 GR X 60 KLG</t>
  </si>
  <si>
    <t xml:space="preserve">TOMAT </t>
  </si>
  <si>
    <t>ABC KECAP MNS PCHSPOUT 12X825G</t>
  </si>
  <si>
    <t>ABC SRDN TOM 60X155GR</t>
  </si>
  <si>
    <t>ABC SG COCOPANDAN 12X460ML2410</t>
  </si>
  <si>
    <t>ABC SAUS TOMAT 48X130ML 2105</t>
  </si>
  <si>
    <t>135/130 ML</t>
  </si>
  <si>
    <t>ABC SAUS TIRAM PET 48X130ML2501</t>
  </si>
  <si>
    <t>ABC S.TRSI 5KG4 POP 120X18G2507</t>
  </si>
  <si>
    <t>A1020002013010</t>
  </si>
  <si>
    <t>ABC MINYAK WIJEN SESAME OIL 1L X 6 JRG</t>
  </si>
  <si>
    <t>ABC SAUCE TIRAM 130 ML X 48 BTL</t>
  </si>
  <si>
    <t>ABC K.MNS EP PET 48X130ML 2407</t>
  </si>
  <si>
    <t xml:space="preserve">135/130 ML </t>
  </si>
  <si>
    <t>ABC KCP MNS 600G+BTL 2506</t>
  </si>
  <si>
    <t>ABC KCP MNS PCH 12 X 450G 2405</t>
  </si>
  <si>
    <t>450 GR</t>
  </si>
  <si>
    <t>A1011000045010</t>
  </si>
  <si>
    <t>ABC KECAP MANIS 450 GR X 12 PCH</t>
  </si>
  <si>
    <t>15/18 GR</t>
  </si>
  <si>
    <t>ABC SG COCOPANDAN 6X20x28ML2510</t>
  </si>
  <si>
    <t>28 ML</t>
  </si>
  <si>
    <t>0028</t>
  </si>
  <si>
    <t>A1091001002820</t>
  </si>
  <si>
    <t>ABC KECAP MANIS SACHET 15/18 GR X 24 RCG PCSX12</t>
  </si>
  <si>
    <t>ABC SIRUP SPECIAL GRADE C.PANDAN 28 ML X 6 PCSX20</t>
  </si>
  <si>
    <t>ABC SQ CCPANDN 12X425ML GT2509</t>
  </si>
  <si>
    <t>425 ML</t>
  </si>
  <si>
    <t>A1092007042510</t>
  </si>
  <si>
    <t>ABC SIRUP SQUASH C.PANDAN 425 ML X 12 BTL</t>
  </si>
  <si>
    <t>ABC KMNS 600G+S. TIRAM 18G 250G</t>
  </si>
  <si>
    <t>A1011000060011</t>
  </si>
  <si>
    <t>ABC PR S AS 24X270ML 2511</t>
  </si>
  <si>
    <t>A1120006027011</t>
  </si>
  <si>
    <t>ABC SAMBAL ASLI 270 ML X 24 BTL BANDED</t>
  </si>
  <si>
    <t>KAOS CORDIAL SACHET 5G</t>
  </si>
  <si>
    <t>KAOS</t>
  </si>
  <si>
    <t>15</t>
  </si>
  <si>
    <t>CORDIAL SACHET SG</t>
  </si>
  <si>
    <t>Discontinue</t>
  </si>
  <si>
    <t>(blank)</t>
  </si>
  <si>
    <t>A1150001000011B</t>
  </si>
  <si>
    <t>B&gt; ABC KAOS CORDIAL SACHET SG X 1 PCS</t>
  </si>
  <si>
    <t>ABC KECAP MANIS 600 GR X PCH BANDED</t>
  </si>
  <si>
    <t>A1150</t>
  </si>
  <si>
    <t>ABC SRDN CHILI 60X155G IJP 2509</t>
  </si>
  <si>
    <t>ABC SAM AS PET 48 X 130ML GT2509</t>
  </si>
  <si>
    <t>ABC SAM AS PET 48 X 130ML MT2406</t>
  </si>
  <si>
    <t>ABC SRDNS CHILI 24X300G 2401/2508</t>
  </si>
  <si>
    <t>BPCS/ LUCIA Code</t>
  </si>
  <si>
    <t>S/4 HANA Code</t>
  </si>
  <si>
    <t>MARKET GROUP</t>
  </si>
  <si>
    <t>BUSINESS GROUP</t>
  </si>
  <si>
    <t>Prefix</t>
  </si>
  <si>
    <t>SKU_CODE</t>
  </si>
  <si>
    <t>NOT IN DMS</t>
  </si>
  <si>
    <t>S4 Mat Num</t>
  </si>
  <si>
    <t>Active</t>
  </si>
  <si>
    <t>SOURCE</t>
  </si>
  <si>
    <t>PROD07_SKU_DESCRIPTION</t>
  </si>
  <si>
    <t>PROD_HIERARCHY</t>
  </si>
  <si>
    <t>L1 code</t>
  </si>
  <si>
    <t>PROD01_MACRO_CATEGORY</t>
  </si>
  <si>
    <t>L2 code</t>
  </si>
  <si>
    <t>PROD02_CATEGORY</t>
  </si>
  <si>
    <t>L3 code</t>
  </si>
  <si>
    <t>PROD03_SUBCATEGORY</t>
  </si>
  <si>
    <t>L4 code</t>
  </si>
  <si>
    <t>PROD04_PRODUCT_FAMILY_LINK_TO_PROFIT_CENTER</t>
  </si>
  <si>
    <t>L5 code</t>
  </si>
  <si>
    <t>PROD05_PPG</t>
  </si>
  <si>
    <t>L6 code</t>
  </si>
  <si>
    <t>PROD06_CASE_CONFIG</t>
  </si>
  <si>
    <t>PACK_TYPE</t>
  </si>
  <si>
    <t>PACK_TYPE_CODE</t>
  </si>
  <si>
    <t>SIZE</t>
  </si>
  <si>
    <t>SIZE_UNIT_OF_MEASUREMENT</t>
  </si>
  <si>
    <t>UNITS_PER_CASE</t>
  </si>
  <si>
    <t>case net size in size UoM</t>
  </si>
  <si>
    <t>Brand</t>
  </si>
  <si>
    <t>SUBBRAND</t>
  </si>
  <si>
    <t>Converted Size g/ml</t>
  </si>
  <si>
    <t>PRODUCT_FORM</t>
  </si>
  <si>
    <t>FOH_BOH</t>
  </si>
  <si>
    <t>PRIMARY_DIST_CHANNEL_DESC</t>
  </si>
  <si>
    <t>BRAND_CODE</t>
  </si>
  <si>
    <t>SUBBRAND_CODE</t>
  </si>
  <si>
    <t>FLAVOR_FLAG</t>
  </si>
  <si>
    <t>FLAVOR_GROUP</t>
  </si>
  <si>
    <t>FLAVOUR_GROUP_SHORT_FORM</t>
  </si>
  <si>
    <t>FLAVOR</t>
  </si>
  <si>
    <t>STYLE</t>
  </si>
  <si>
    <t>HEALTH_CLAIMS</t>
  </si>
  <si>
    <t>FLAVOR_SHORT_FORM</t>
  </si>
  <si>
    <t>STYLE_SHORT_FORM</t>
  </si>
  <si>
    <t>HEALTH_CLAIMS_SHORT_FORM</t>
  </si>
  <si>
    <t>HEALTH_CLAIM_GROUPING</t>
  </si>
  <si>
    <t>HEALTH_CLAIM_GROUPING_SHORT_FORM</t>
  </si>
  <si>
    <t>KEY_PLANNING_INGREDIENT</t>
  </si>
  <si>
    <t>TEMPERATURE_CONDITION_GFIN</t>
  </si>
  <si>
    <t>KIDS_MEALS</t>
  </si>
  <si>
    <t>Promo</t>
  </si>
  <si>
    <t>PRODUCT_TYPE</t>
  </si>
  <si>
    <t>Multipack</t>
  </si>
  <si>
    <t>LICENSE</t>
  </si>
  <si>
    <t>Strategic Planning Reference</t>
  </si>
  <si>
    <t>PPG Groupage</t>
  </si>
  <si>
    <t>Nielsen Category</t>
  </si>
  <si>
    <t>Single Customer Product</t>
  </si>
  <si>
    <t>Ref Platform</t>
  </si>
  <si>
    <t>Ref Categrory</t>
  </si>
  <si>
    <t>Ref Sub Cat 1</t>
  </si>
  <si>
    <t>Ref Sub Cat 2</t>
  </si>
  <si>
    <t>Ref Sub Cat 3</t>
  </si>
  <si>
    <t>BPCS Prod Line</t>
  </si>
  <si>
    <t>ID</t>
  </si>
  <si>
    <t>Indonesia</t>
  </si>
  <si>
    <t>10181175812E492G84</t>
  </si>
  <si>
    <t>Beverages</t>
  </si>
  <si>
    <t>Liquid Concentrate Beverages</t>
  </si>
  <si>
    <t>Liquid Concentrate</t>
  </si>
  <si>
    <t>Specialty Syrup-based Concentrate</t>
  </si>
  <si>
    <t>10181175812E492</t>
  </si>
  <si>
    <t>0NM_Spec Syr Conc_GB_460ml</t>
  </si>
  <si>
    <t>0NM_Spec Syr Conc_GB_460ml_12</t>
  </si>
  <si>
    <t>Glass Bottle</t>
  </si>
  <si>
    <t>GB</t>
  </si>
  <si>
    <t>ml</t>
  </si>
  <si>
    <t>ABC | Brand-only</t>
  </si>
  <si>
    <t>Multi-serve</t>
  </si>
  <si>
    <t>FOH</t>
  </si>
  <si>
    <t>TBC</t>
  </si>
  <si>
    <t>0NM</t>
  </si>
  <si>
    <t>00A</t>
  </si>
  <si>
    <t>Flvrd</t>
  </si>
  <si>
    <t>Fruit</t>
  </si>
  <si>
    <t>Fru</t>
  </si>
  <si>
    <t>Melon</t>
  </si>
  <si>
    <t>Standard</t>
  </si>
  <si>
    <t>No Health Claims</t>
  </si>
  <si>
    <t>Std</t>
  </si>
  <si>
    <t>NoHC</t>
  </si>
  <si>
    <t>Ambient</t>
  </si>
  <si>
    <t>DD-THICK SYRUP</t>
  </si>
  <si>
    <t>N/A</t>
  </si>
  <si>
    <t>N</t>
  </si>
  <si>
    <t>BEVERAGES</t>
  </si>
  <si>
    <t>CORDIALS</t>
  </si>
  <si>
    <t>Thick Syrup</t>
  </si>
  <si>
    <t>DD</t>
  </si>
  <si>
    <t>410064-ABC SG C'PANDAN 12X550ML 1511</t>
  </si>
  <si>
    <t>Coconut</t>
  </si>
  <si>
    <t>COC</t>
  </si>
  <si>
    <t>410071-ABC SG CARAML BTL 12X485ML2108</t>
  </si>
  <si>
    <t>Confectionery</t>
  </si>
  <si>
    <t>Con</t>
  </si>
  <si>
    <t>Caramel</t>
  </si>
  <si>
    <t>CARM</t>
  </si>
  <si>
    <t>ABC SG CARAML BTL 12X485ML2108</t>
  </si>
  <si>
    <t>10181175812ABCA105</t>
  </si>
  <si>
    <t>10181175812ABCA</t>
  </si>
  <si>
    <t>0NM_Spec Syr Conc_GB_485ml</t>
  </si>
  <si>
    <t>0NM_Spec Syr Conc_GB_485ml_12</t>
  </si>
  <si>
    <t>ABC SG CCPANDAN 6X20X28ML 2510</t>
  </si>
  <si>
    <t>10181175812R159K07</t>
  </si>
  <si>
    <t>10181175812R159</t>
  </si>
  <si>
    <t>0NM_Spec Syr Conc_SA_28ml</t>
  </si>
  <si>
    <t>0NM_Spec Syr Conc_SA_28ml_120</t>
  </si>
  <si>
    <t>Sachet</t>
  </si>
  <si>
    <t>SA</t>
  </si>
  <si>
    <t>Single-serve</t>
  </si>
  <si>
    <t>10181175812E493G85</t>
  </si>
  <si>
    <t>10181175812E493</t>
  </si>
  <si>
    <t>0NM_Spec Syr Conc_BL_485ml</t>
  </si>
  <si>
    <t>0NM_Spec Syr Conc_BL_485ml_12</t>
  </si>
  <si>
    <t>Plastic Bottle</t>
  </si>
  <si>
    <t>BL</t>
  </si>
  <si>
    <t>10181175811E491G83</t>
  </si>
  <si>
    <t>Specialty Liquid Concentrate Multi-Serve</t>
  </si>
  <si>
    <t>10181175811E491</t>
  </si>
  <si>
    <t>0NM_Spec Liq Conc MS_GB_450ml</t>
  </si>
  <si>
    <t>0NM_Spec Liq Conc MS_GB_450ml_12</t>
  </si>
  <si>
    <t>Lychee</t>
  </si>
  <si>
    <t>LYCHE</t>
  </si>
  <si>
    <t>DA-SQUASH</t>
  </si>
  <si>
    <t>Squash</t>
  </si>
  <si>
    <t>DA</t>
  </si>
  <si>
    <t>Soursop</t>
  </si>
  <si>
    <t>SOURSP</t>
  </si>
  <si>
    <t xml:space="preserve">ABC SQ GRAPE 12X425ML 2507    </t>
  </si>
  <si>
    <t>10181175811E490G82</t>
  </si>
  <si>
    <t>10181175811E490</t>
  </si>
  <si>
    <t>0NM_Spec Liq Conc MS_GB_425ml</t>
  </si>
  <si>
    <t>0NM_Spec Liq Conc MS_GB_425ml_12</t>
  </si>
  <si>
    <t>Grape</t>
  </si>
  <si>
    <t>GRAP</t>
  </si>
  <si>
    <t>NOT IN CP</t>
  </si>
  <si>
    <t xml:space="preserve">ABC SQ SOURSOP 12X425ML 2507  </t>
  </si>
  <si>
    <t xml:space="preserve">ABC SQ LYCHEE 12X425ML 2507   </t>
  </si>
  <si>
    <t xml:space="preserve">ABC SQ MANGO 12X425ML 2507    </t>
  </si>
  <si>
    <t>Mango</t>
  </si>
  <si>
    <t>MAN</t>
  </si>
  <si>
    <t xml:space="preserve">ABC SQ ORANGE 12X425ML 2507   </t>
  </si>
  <si>
    <t>Orange</t>
  </si>
  <si>
    <t>ORN</t>
  </si>
  <si>
    <t>ABC SQ PINEAPPLE 12X425ML 2507</t>
  </si>
  <si>
    <t>Pineapple</t>
  </si>
  <si>
    <t>PIN</t>
  </si>
  <si>
    <t>ABC SQ CCPANDN 12X425ML MT2509</t>
  </si>
  <si>
    <t>ABC SQ GRAPE 12X425ML GT 2508 </t>
  </si>
  <si>
    <t>Leg</t>
  </si>
  <si>
    <t>ABC SQ LYCHEE 12X425ML GT 2508</t>
  </si>
  <si>
    <t>ABC SQ MANGO 12X425ML GT 2508 </t>
  </si>
  <si>
    <t>ABC SQ ORANGE 12X425ML GT 2508</t>
  </si>
  <si>
    <t>ABC SQ PINEAPLE12X425ML GT2508</t>
  </si>
  <si>
    <t>150051-ABC SAM ASLI JRG 5.7KG NL 0906</t>
  </si>
  <si>
    <t>12101265813E464G70</t>
  </si>
  <si>
    <t>Condiments and Sauces</t>
  </si>
  <si>
    <t>All Other Condiments</t>
  </si>
  <si>
    <t>Asian Chilli Sauces</t>
  </si>
  <si>
    <t>Specialty Chili Sauce</t>
  </si>
  <si>
    <t>12101265813E464</t>
  </si>
  <si>
    <t>0NM_Spec Chili Sce_JC_5.5kg</t>
  </si>
  <si>
    <t>0NM_Spec Chili Sce_JC_5.5kg_1</t>
  </si>
  <si>
    <t>Jerry Can</t>
  </si>
  <si>
    <t>JC</t>
  </si>
  <si>
    <t>kg</t>
  </si>
  <si>
    <t>Large format</t>
  </si>
  <si>
    <t>BOH</t>
  </si>
  <si>
    <t>No Added Flavor</t>
  </si>
  <si>
    <t>NAF</t>
  </si>
  <si>
    <t>Pedas</t>
  </si>
  <si>
    <t>PDAS</t>
  </si>
  <si>
    <t>BO-CHILI</t>
  </si>
  <si>
    <t>TASTE ELEVATION</t>
  </si>
  <si>
    <t>CHILI BASE</t>
  </si>
  <si>
    <t>CHILI SAUCE</t>
  </si>
  <si>
    <t>BO</t>
  </si>
  <si>
    <t>150052-ABC SAM ASLI JRG 24KG NL 0906</t>
  </si>
  <si>
    <t>12101265813E465G72</t>
  </si>
  <si>
    <t>12101265813E465</t>
  </si>
  <si>
    <t>0NM_Spec Chili Sce_JC_24kg</t>
  </si>
  <si>
    <t>0NM_Spec Chili Sce_JC_24kg_1</t>
  </si>
  <si>
    <t>150059-ABC SAM PILLOW BAG 6X1KG 0906</t>
  </si>
  <si>
    <t>12101265813E466G73</t>
  </si>
  <si>
    <t>12101265813E466</t>
  </si>
  <si>
    <t>0NM_Spec Chili Sce_PO_1kg</t>
  </si>
  <si>
    <t>0NM_Spec Chili Sce_PO_1kg_6</t>
  </si>
  <si>
    <t>Pouch</t>
  </si>
  <si>
    <t>PO</t>
  </si>
  <si>
    <t>150068-ABC SAM ASLI 135ML NB 1004</t>
  </si>
  <si>
    <t>12101265813E467G74</t>
  </si>
  <si>
    <t>12101265813E467</t>
  </si>
  <si>
    <t>0NM_Spec Chili Sce_BL_130ml</t>
  </si>
  <si>
    <t>0NM_Spec Chili Sce_BL_130ml_48</t>
  </si>
  <si>
    <t>150069-ABC SAM EXTRA PDS NB 135ML1005</t>
  </si>
  <si>
    <t>Extra Pedas</t>
  </si>
  <si>
    <t>EXPD</t>
  </si>
  <si>
    <t>150070-ABC SAM MANIS PDS NB 135ML1005</t>
  </si>
  <si>
    <t>Manis Pedas</t>
  </si>
  <si>
    <t>MNPD</t>
  </si>
  <si>
    <t>150071-ABC SAM AYAM GRG NB 135ML 1005</t>
  </si>
  <si>
    <t>Ayam Goreng</t>
  </si>
  <si>
    <t>AYMG</t>
  </si>
  <si>
    <t>150075-ABC SAM ASLI 24X275ML 1101</t>
  </si>
  <si>
    <t>12101265813E468G76</t>
  </si>
  <si>
    <t>12101265813E468</t>
  </si>
  <si>
    <t>0NM_Spec Chili Sce_BL_270ml</t>
  </si>
  <si>
    <t>0NM_Spec Chili Sce_BL_270ml_24</t>
  </si>
  <si>
    <t>150076-ABC SAM EXTRA PDS 24X275ML1101</t>
  </si>
  <si>
    <t>150078-ABC SAM PET 12X600ML 1102</t>
  </si>
  <si>
    <t>12101265813E469G77</t>
  </si>
  <si>
    <t>12101265813E469</t>
  </si>
  <si>
    <t>0NM_Spec Chili Sce_BL_600ml</t>
  </si>
  <si>
    <t>0NM_Spec Chili Sce_BL_600ml_12</t>
  </si>
  <si>
    <t>150079-ABC SAM EXT PEDAS 6X950G 1111</t>
  </si>
  <si>
    <t>12101265813E470G7A</t>
  </si>
  <si>
    <t>12101265813E470</t>
  </si>
  <si>
    <t>0NM_Spec Chili Sce_PO_950g</t>
  </si>
  <si>
    <t>0NM_Spec Chili Sce_PO_950g_6</t>
  </si>
  <si>
    <t>g</t>
  </si>
  <si>
    <t>150080-ABC SAMBAL ASLI 335ML 1112</t>
  </si>
  <si>
    <t>12101265813E471G7B</t>
  </si>
  <si>
    <t>12101265813E471</t>
  </si>
  <si>
    <t>0NM_Spec Chili Sce_GB_335ml</t>
  </si>
  <si>
    <t>0NM_Spec Chili Sce_GB_335ml_24</t>
  </si>
  <si>
    <t>150081-ABC SAM EXTRA PDS 335ML 1112</t>
  </si>
  <si>
    <t>150082-ABC SAM MNS PDS 335ML 1112</t>
  </si>
  <si>
    <t>150083-ABC SAM AYAM GORENG 335ML 1112</t>
  </si>
  <si>
    <t>150085-ABC SAM ASLI POUCH 12X380G1208</t>
  </si>
  <si>
    <t>12101265813E472G7C</t>
  </si>
  <si>
    <t>12101265813E472</t>
  </si>
  <si>
    <t>0NM_Spec Chili Sce_PO_380g</t>
  </si>
  <si>
    <t>0NM_Spec Chili Sce_PO_380g_12</t>
  </si>
  <si>
    <t>150086-ABC SAM ASLI POUCH 48X80G 1280</t>
  </si>
  <si>
    <t>12101265813E473G7D</t>
  </si>
  <si>
    <t>12101265813E473</t>
  </si>
  <si>
    <t>0NM_Spec Chili Sce_PO_65g</t>
  </si>
  <si>
    <t>0NM_Spec Chili Sce_PO_65g_48</t>
  </si>
  <si>
    <t>150087-ABC SAM EP POUCH 12X380G 1208</t>
  </si>
  <si>
    <t>150088-ABC SAM EP POUCH 48X80G 1208</t>
  </si>
  <si>
    <t>150090-ABC SAM EXT PDS 462X9GR 1308</t>
  </si>
  <si>
    <t>12101265813E474G7F</t>
  </si>
  <si>
    <t>12101265813E474</t>
  </si>
  <si>
    <t>0NM_Spec Chili Sce_SA_8g</t>
  </si>
  <si>
    <t>0NM_Spec Chili Sce_SA_8g_21</t>
  </si>
  <si>
    <t>150091-ABC SAM ASLI 462X9GR 1308</t>
  </si>
  <si>
    <t>150099-ABC SAMBAL EP 30X10X18G 1405</t>
  </si>
  <si>
    <t>12101265813E475G7G</t>
  </si>
  <si>
    <t>12101265813E475</t>
  </si>
  <si>
    <t>0NM_Spec Chili Sce_SA_15g</t>
  </si>
  <si>
    <t>0NM_Spec Chili Sce_SA_15g_30</t>
  </si>
  <si>
    <t>150100-ABC SAMBAL ASLI 30X10X18G 1405</t>
  </si>
  <si>
    <t>150115-ABC SAM EP RCG SCT12X42X8G1811</t>
  </si>
  <si>
    <t>12101265813E474G7H</t>
  </si>
  <si>
    <t>0NM_Spec Chili Sce_SA_8g_14</t>
  </si>
  <si>
    <t>150116-ABC SAM AS RCG SCT12X42X8G1811</t>
  </si>
  <si>
    <t>150138-ABC SAM BWNG PDS 24X335ML 2004</t>
  </si>
  <si>
    <t>Bawang Pedas</t>
  </si>
  <si>
    <t>BWPD</t>
  </si>
  <si>
    <t>150298-ABC SAM XP PCH 48X75G 2308</t>
  </si>
  <si>
    <t>Sambal Extreme Pedas</t>
  </si>
  <si>
    <t>SMXP</t>
  </si>
  <si>
    <t>150299-ABC SAM XP PET 48X135ML 2308</t>
  </si>
  <si>
    <t>150300-ABC SAM XP PET 24X275ML 2308</t>
  </si>
  <si>
    <t>150377-ABC S.AS RCG 14X36X8GR LP 2411</t>
  </si>
  <si>
    <t>150378-ABC S.AS RCG 14X30X8GR 2411</t>
  </si>
  <si>
    <t>150379-ABC S.AS RCG 14X27X8GR 2411</t>
  </si>
  <si>
    <t>150380-ABC S.EP RCG 14X36X8GR LP 2411</t>
  </si>
  <si>
    <t>150381-ABC S.EP RCG 14X30X8GR 2411</t>
  </si>
  <si>
    <t>150382-ABC S.EP RCG 14X27X8GR 2411</t>
  </si>
  <si>
    <t>150383-ABC S.AS SCT 21X22X8GR LP 2411</t>
  </si>
  <si>
    <t>12101265813E474G7I</t>
  </si>
  <si>
    <t>0NM_Spec Chili Sce_SA_8g_462</t>
  </si>
  <si>
    <t>150384-ABC S.AS SCT 21X25X8GR 2411</t>
  </si>
  <si>
    <t>12101265813E474G7J</t>
  </si>
  <si>
    <t>0NM_Spec Chili Sce_SA_8g_525</t>
  </si>
  <si>
    <t>150385-ABC S.EP SCT 21X22X8GR LP 2411</t>
  </si>
  <si>
    <t>150386-ABC S.EP SCT 21X25X8GR 2411</t>
  </si>
  <si>
    <t>150392-ABC SAMBAL SERBAGUNA 6X1KG2504</t>
  </si>
  <si>
    <t>150395-ABC S.SRBGN RCG 21X24X7G 2505</t>
  </si>
  <si>
    <t>12101265813E476G7K</t>
  </si>
  <si>
    <t>12101265813E476</t>
  </si>
  <si>
    <t>0NM_Spec Chili Sce_SA_7g</t>
  </si>
  <si>
    <t>0NM_Spec Chili Sce_SA_7g_21</t>
  </si>
  <si>
    <t>150399-ABC S.SRBGN MLT 21X24X7G 2506</t>
  </si>
  <si>
    <t>12101265813E476G7L</t>
  </si>
  <si>
    <t>0NM_Spec Chili Sce_SA_7g_504</t>
  </si>
  <si>
    <t>815264-ABC EX.HOT TW HAN 12X335ML2210</t>
  </si>
  <si>
    <t>12101265813E471G7M</t>
  </si>
  <si>
    <t>0NM_Spec Chili Sce_GB_335ml_12</t>
  </si>
  <si>
    <t>815317-ABC SOS HOT&amp;SWT MY24X335ML2505</t>
  </si>
  <si>
    <t>815318-ABC SOS BWGPDS MY 24X335ML2505</t>
  </si>
  <si>
    <t>ABC CHILI SC MY 24X395G 2110</t>
  </si>
  <si>
    <t>Original</t>
  </si>
  <si>
    <t>ORI</t>
  </si>
  <si>
    <t>ABC EX.HOT CHL AU 12X335ML2110</t>
  </si>
  <si>
    <t>ABC EX.HOT CHL EU 12X335ML2312</t>
  </si>
  <si>
    <t>ABC EX.HOT CHL ME 24X335ML2110</t>
  </si>
  <si>
    <t>ABC EX.HOT CHL MY 24X395G 2110</t>
  </si>
  <si>
    <t>ABC EX.HOT CHL US 12X335ML2312</t>
  </si>
  <si>
    <t>ABC FR.CHK CHL US 12X335ML2312</t>
  </si>
  <si>
    <t>ABC FRCHKN CHL AU 12X335ML2311</t>
  </si>
  <si>
    <t>ABC HOT&amp;SWTCHL EU 12X335ML2312</t>
  </si>
  <si>
    <t>ABC HOT&amp;SWTCHL EU 24X335ML2110</t>
  </si>
  <si>
    <t>ABC HOT&amp;SWTCHL US 12X335ML2312</t>
  </si>
  <si>
    <t>ABC ORG CHL AU 12X335ML 2110</t>
  </si>
  <si>
    <t>ABC ORG CHL ME 24X335ML 2110</t>
  </si>
  <si>
    <t>ABC ORG CHL SC EU 12X335ML2312</t>
  </si>
  <si>
    <t>ABC ORG CHL SC ME 48X135ML2111</t>
  </si>
  <si>
    <t>12101265813E477G7N</t>
  </si>
  <si>
    <t>12101265813E477</t>
  </si>
  <si>
    <t>0NM_Spec Chili Sce_BL_135ml</t>
  </si>
  <si>
    <t>0NM_Spec Chili Sce_BL_135ml_48</t>
  </si>
  <si>
    <t>ABC ORG CHL SC US 12X335ML2312</t>
  </si>
  <si>
    <t>ABC ORIGINAL CHILI SAUCE ME 48X130ML</t>
  </si>
  <si>
    <t xml:space="preserve">ABC PR MIX NAT HANGER 2507    </t>
  </si>
  <si>
    <t>12101265813E478G7O</t>
  </si>
  <si>
    <t>12101265813E478</t>
  </si>
  <si>
    <t>0NM_Spec Chili Sce_DS_2.544Kg</t>
  </si>
  <si>
    <t>0NM_Spec Chili Sce_DS_2.544Kg_1</t>
  </si>
  <si>
    <t>Display</t>
  </si>
  <si>
    <t>DS</t>
  </si>
  <si>
    <t>Kg</t>
  </si>
  <si>
    <t xml:space="preserve">ABC PR MIX NAT NOHANGER 2507  </t>
  </si>
  <si>
    <t>12101265813E479G7Q</t>
  </si>
  <si>
    <t>12101265813E479</t>
  </si>
  <si>
    <t>0NM_Spec Chili Sce_DS_2.431Kg</t>
  </si>
  <si>
    <t>0NM_Spec Chili Sce_DS_2.431Kg_1</t>
  </si>
  <si>
    <t>ABC PR MIX SKU Z56 HANGER 2507</t>
  </si>
  <si>
    <t>ABC PR MIX SKU Z56 NOHANGR2507</t>
  </si>
  <si>
    <t>ABC S.AS RCG 14X36X8G B5G12311</t>
  </si>
  <si>
    <t>ABC S.AS SCT30X10X15G B9G12401</t>
  </si>
  <si>
    <t>ABC S.EP RCG 14X36X8G B5G12311</t>
  </si>
  <si>
    <t>ABC S.EP SCT30X10X15G B9G12401</t>
  </si>
  <si>
    <t>ABC SAM AS PCH 12X380G HY 2303</t>
  </si>
  <si>
    <t>ABC SAM AS RCG SCT12X42X8G1811</t>
  </si>
  <si>
    <t>12101265813E474G7S</t>
  </si>
  <si>
    <t>0NM_Spec Chili Sce_SA_8g_12</t>
  </si>
  <si>
    <t>ABC SAM AS RCG SCT12X42X8G2203</t>
  </si>
  <si>
    <t>ABC SAM AS RSCT14X36X8G HY2307</t>
  </si>
  <si>
    <t>12101265813E481G7T</t>
  </si>
  <si>
    <t>12101265813E481</t>
  </si>
  <si>
    <t>0NM_Spec Chili Sce_SA_18g</t>
  </si>
  <si>
    <t>0NM_Spec Chili Sce_SA_18g_30</t>
  </si>
  <si>
    <t>ABC SAM ASLI 24X275ML 1101</t>
  </si>
  <si>
    <t>12101265813E482G7U</t>
  </si>
  <si>
    <t>12101265813E482</t>
  </si>
  <si>
    <t>0NM_Spec Chili Sce_BL_275ml</t>
  </si>
  <si>
    <t>0NM_Spec Chili Sce_BL_275ml_24</t>
  </si>
  <si>
    <t>ABC SAM ASLI JRG 24KG 1903</t>
  </si>
  <si>
    <t>ABC SAM ASLI JRG 24KG NL 0906</t>
  </si>
  <si>
    <t>ABC SAM ASLI JRG 5.5KG 2005</t>
  </si>
  <si>
    <t>ABC SAM ASLI JRG 5.7KG 1903</t>
  </si>
  <si>
    <t>12101265813E483G7V</t>
  </si>
  <si>
    <t>12101265813E483</t>
  </si>
  <si>
    <t>0NM_Spec Chili Sce_JC_5.7kg</t>
  </si>
  <si>
    <t>0NM_Spec Chili Sce_JC_5.7kg_1</t>
  </si>
  <si>
    <t>ABC SAM ASLI JRG 5.7KG NL 0906</t>
  </si>
  <si>
    <t>ABC SAM ASLI PCH 12X380G 1903</t>
  </si>
  <si>
    <t>ABC SAM ASLI PCH 12X380G 2004</t>
  </si>
  <si>
    <t>ABC SAM ASLI PCH 48X75G 1909</t>
  </si>
  <si>
    <t>12101265813E484G7W</t>
  </si>
  <si>
    <t>12101265813E484</t>
  </si>
  <si>
    <t>0NM_Spec Chili Sce_PO_75g</t>
  </si>
  <si>
    <t>0NM_Spec Chili Sce_PO_75g_48</t>
  </si>
  <si>
    <t>ABC SAM ASLI PCH 48X80G 1903</t>
  </si>
  <si>
    <t>12101265813E485G7X</t>
  </si>
  <si>
    <t>12101265813E485</t>
  </si>
  <si>
    <t>0NM_Spec Chili Sce_PO_80g</t>
  </si>
  <si>
    <t>0NM_Spec Chili Sce_PO_80g_48</t>
  </si>
  <si>
    <t>ABC SAM ASLI PET 12X600ML 2105</t>
  </si>
  <si>
    <t>ABC SAM ASLI POUCH 12X380G1208</t>
  </si>
  <si>
    <t>ABC SAM ASLI POUCH 48X80G 1280</t>
  </si>
  <si>
    <t>ABC SAM ASLI SCT 21X24X8G 1805</t>
  </si>
  <si>
    <t>ABC SAM ASLI SCT 30X10X20G1803</t>
  </si>
  <si>
    <t>12101265813E487G7Z</t>
  </si>
  <si>
    <t>12101265813E487</t>
  </si>
  <si>
    <t>0NM_Spec Chili Sce_SA_20g</t>
  </si>
  <si>
    <t>0NM_Spec Chili Sce_SA_20g_30</t>
  </si>
  <si>
    <t>ABC SAM AYAM GORENG 335ML 1112</t>
  </si>
  <si>
    <t>ABC SAM AYAM GRG NB 135ML 1005</t>
  </si>
  <si>
    <t>ABC SAM AYMGRG MY 24X335ML2301</t>
  </si>
  <si>
    <t>ABC SAM BWNG PDS 24X275ML 2004</t>
  </si>
  <si>
    <t>ABC SAM EP PCH 12X380G 2011</t>
  </si>
  <si>
    <t>ABC SAM EP PCH 12X380G HY 2303</t>
  </si>
  <si>
    <t>ABC SAM EP PCH 48X75G 1909</t>
  </si>
  <si>
    <t>ABC SAM EP PET 24X275ML 2105</t>
  </si>
  <si>
    <t>ABC SAM EP PET 48X135ML 2105</t>
  </si>
  <si>
    <t>ABC SAM EP POUCH 12X380G 1208</t>
  </si>
  <si>
    <t>ABC SAM EP POUCH 48X80G 1208</t>
  </si>
  <si>
    <t>ABC SAM EP RCG SCT12X42X8G1811</t>
  </si>
  <si>
    <t>ABC SAM EP RCG SCT12X42X8G2011</t>
  </si>
  <si>
    <t>ABC SAM EP RSCT12X42X8G HY2303</t>
  </si>
  <si>
    <t>ABC SAM EP RSCT14X36X8G HY2307</t>
  </si>
  <si>
    <t>ABC SAM EP SCT 21X22X8G 1909</t>
  </si>
  <si>
    <t>ABC SAM EP SCT 21X24X8G 1805</t>
  </si>
  <si>
    <t>ABC SAM EP SCT 30X10X15GHY2303</t>
  </si>
  <si>
    <t>ABC SAM EP SCT 30X10X18G 2002</t>
  </si>
  <si>
    <t>ABC SAM EP SCT 30X10X20G 1803</t>
  </si>
  <si>
    <t>ABC SAM EXT PEDAS 6X950G 1111</t>
  </si>
  <si>
    <t>ABC SAM EXTRA PDS 24X275ML1101</t>
  </si>
  <si>
    <t>ABC SAM EXTRA PDS NB 135ML1005</t>
  </si>
  <si>
    <t>ABC SAM MANIS PDS NB 135ML1005</t>
  </si>
  <si>
    <t>ABC SAM MNS PDS 335ML 1112</t>
  </si>
  <si>
    <t>ABC SAM PET 12X600ML 1102</t>
  </si>
  <si>
    <t>ABC SAM PILLOW BAG 6X1KG 0906</t>
  </si>
  <si>
    <t xml:space="preserve">ABC SAM XP PET 24X270ML 2507  </t>
  </si>
  <si>
    <t xml:space="preserve">ABC SAM XP PET 48X130ML 2507  </t>
  </si>
  <si>
    <t>ABC SAMBAL ASLI 335ML 1112</t>
  </si>
  <si>
    <t>SINSIN GARLIC CHL SG 330G 2108</t>
  </si>
  <si>
    <t>12101265813E489G81</t>
  </si>
  <si>
    <t>12101265813E489</t>
  </si>
  <si>
    <t>0VR_Spec Chili Sce_GB_325g</t>
  </si>
  <si>
    <t>0VR_Spec Chili Sce_GB_325g_24</t>
  </si>
  <si>
    <t>Sinsin</t>
  </si>
  <si>
    <t>Sinsin | Brand-only</t>
  </si>
  <si>
    <t>0VR</t>
  </si>
  <si>
    <t>0KU</t>
  </si>
  <si>
    <t>140023 140023 - ABC BMB TUMIS 24X90GR</t>
  </si>
  <si>
    <t>12101265813R152J99</t>
  </si>
  <si>
    <t>12101265813R152</t>
  </si>
  <si>
    <t>0NM_Spec Chili Sce_SA_90g</t>
  </si>
  <si>
    <t>0NM_Spec Chili Sce_SA_90g_24</t>
  </si>
  <si>
    <t>Vegetable</t>
  </si>
  <si>
    <t>Veg</t>
  </si>
  <si>
    <t>Tamarind</t>
  </si>
  <si>
    <t>TMRND</t>
  </si>
  <si>
    <t>BB</t>
  </si>
  <si>
    <t>ABC EXHOT CHLSC TW21X22X8G2509</t>
  </si>
  <si>
    <t>12101265813R156K04</t>
  </si>
  <si>
    <t>12101265813R156</t>
  </si>
  <si>
    <t>0NM_Spec Chili Sce_GB_8g</t>
  </si>
  <si>
    <t>0NM_Spec Chili Sce_GB_8g_22</t>
  </si>
  <si>
    <t xml:space="preserve">ABC PR S.AS270+MYK GRG 2511   </t>
  </si>
  <si>
    <t xml:space="preserve">ABC PR S.EP270+MYK GRG 2511   </t>
  </si>
  <si>
    <t xml:space="preserve">ABC S.SRBGN 21X24X7G MLT 2509 </t>
  </si>
  <si>
    <t>ABC SAM AS PET 48X130ML GT2509</t>
  </si>
  <si>
    <t>ABC SAM BWNG PDS 24X270ML 2405</t>
  </si>
  <si>
    <t>ABC SAM EP PET 48X130ML GT2509</t>
  </si>
  <si>
    <t>ABC SAM GEPREKIN 15X34X8G 2508</t>
  </si>
  <si>
    <t>12101265813E474K13</t>
  </si>
  <si>
    <t>0NM_Spec Chili Sce_SA_8g_510</t>
  </si>
  <si>
    <t>Sambal Geprekin</t>
  </si>
  <si>
    <t>ABC SAM GEPREKIN 21X24X8G 2507</t>
  </si>
  <si>
    <t>12101265813E474K14</t>
  </si>
  <si>
    <t>0NM_Spec Chili Sce_SA_8g_288</t>
  </si>
  <si>
    <t>110013-ABC KCP ASIN ND 12X620ML 1001</t>
  </si>
  <si>
    <t>12174239649E459G6R</t>
  </si>
  <si>
    <t>Specialty Sauces</t>
  </si>
  <si>
    <t>Soy Sauce</t>
  </si>
  <si>
    <t>Soy Sauces Light</t>
  </si>
  <si>
    <t>12174239649E459</t>
  </si>
  <si>
    <t>0NM_Soy Sce Lgt_GB_620ml</t>
  </si>
  <si>
    <t>0NM_Soy Sce Lgt_GB_620ml_12</t>
  </si>
  <si>
    <t>Manis</t>
  </si>
  <si>
    <t>MANS</t>
  </si>
  <si>
    <t>BA-RASA MANTAP SOY</t>
  </si>
  <si>
    <t>SOY</t>
  </si>
  <si>
    <t>BA</t>
  </si>
  <si>
    <t>110014-ABC KCP ASIN ND 6KG 1001</t>
  </si>
  <si>
    <t>12174239649E460G6S</t>
  </si>
  <si>
    <t>12174239649E460</t>
  </si>
  <si>
    <t>0NM_Soy Sce Lgt_JC_6kg</t>
  </si>
  <si>
    <t>0NM_Soy Sce Lgt_JC_6kg_1</t>
  </si>
  <si>
    <t>110016-ABC KCP ASIN 133ML 1110</t>
  </si>
  <si>
    <t>12174239649E461G6T</t>
  </si>
  <si>
    <t>12174239649E461</t>
  </si>
  <si>
    <t>0NM_Soy Sce Lgt_BL_131ml</t>
  </si>
  <si>
    <t>0NM_Soy Sce Lgt_BL_131ml_48</t>
  </si>
  <si>
    <t>811102-ABC SLTYSOY SC MM 48X133ML2111</t>
  </si>
  <si>
    <t>Asin</t>
  </si>
  <si>
    <t>12174239649E462G6U</t>
  </si>
  <si>
    <t>12174239649E462</t>
  </si>
  <si>
    <t>0NM_Soy Sce Lgt_BL_133ml</t>
  </si>
  <si>
    <t>0NM_Soy Sce Lgt_BL_133ml_48</t>
  </si>
  <si>
    <t>ABC KICAP MASIN MY12X620ML1809</t>
  </si>
  <si>
    <t>ABC SLT SOY ME 12X600ML 2111</t>
  </si>
  <si>
    <t>12174239649E463G6W</t>
  </si>
  <si>
    <t>12174239649E463</t>
  </si>
  <si>
    <t>0NM_Soy Sce Lgt_BL_600ml</t>
  </si>
  <si>
    <t>0NM_Soy Sce Lgt_BL_600ml_12</t>
  </si>
  <si>
    <t>ABC SLTSOY SC EU 6X600ML 2111</t>
  </si>
  <si>
    <t>12174239649E463G6X</t>
  </si>
  <si>
    <t>0NM_Soy Sce Lgt_BL_600ml_6</t>
  </si>
  <si>
    <t>ABC SLTYSOY SC MM 12X620ML2111</t>
  </si>
  <si>
    <t>100089-ABC KCP PEDAS 48x135ML 1008</t>
  </si>
  <si>
    <t>12174239647E428G57</t>
  </si>
  <si>
    <t>Soy Sauces Dark</t>
  </si>
  <si>
    <t>12174239647E428</t>
  </si>
  <si>
    <t>0NM_Soy Sce Dk_BL_130ml</t>
  </si>
  <si>
    <t>0NM_Soy Sce Dk_BL_130ml_48</t>
  </si>
  <si>
    <t>100090-ABC KCP PEDAS 24x275ML 1008</t>
  </si>
  <si>
    <t>12174239647M169TZR</t>
  </si>
  <si>
    <t>12174239647M169</t>
  </si>
  <si>
    <t>0NM_Soy Sce Dk_BL_275ml</t>
  </si>
  <si>
    <t>0NM_Soy Sce Dk_BL_275ml_24</t>
  </si>
  <si>
    <t>100136-ABC KCP EXT PEDAS 48X70G 1307</t>
  </si>
  <si>
    <t>100138-ABC KCP EXT.PEDAS 48X135ML1307</t>
  </si>
  <si>
    <t>100147-ABC KCP MNS SCT 24X12X15ML1505</t>
  </si>
  <si>
    <t>12174239647E429G58</t>
  </si>
  <si>
    <t>12174239647E429</t>
  </si>
  <si>
    <t>0NM_Soy Sce Dk_SA_15g</t>
  </si>
  <si>
    <t>0NM_Soy Sce Dk_SA_15g_24</t>
  </si>
  <si>
    <t>BD-SOY SACHET</t>
  </si>
  <si>
    <t>BD</t>
  </si>
  <si>
    <t>12174239647E429G59</t>
  </si>
  <si>
    <t>0NM_Soy Sce Dk_SA_15g_288</t>
  </si>
  <si>
    <t>12174239647E43AG5A</t>
  </si>
  <si>
    <t>12174239647E43A</t>
  </si>
  <si>
    <t>0NM_Soy Sce Dk_SA_18g</t>
  </si>
  <si>
    <t>0NM_Soy Sce Dk_SA_18g_24</t>
  </si>
  <si>
    <t>12174239647E43A104</t>
  </si>
  <si>
    <t>0NM_Soy Sce Dk_SA_18g_30</t>
  </si>
  <si>
    <t>100158-ABC KCPMNS PCH SB 24X225ML1607</t>
  </si>
  <si>
    <t>12174239647E432G5F</t>
  </si>
  <si>
    <t>12174239647E432</t>
  </si>
  <si>
    <t>0NM_Soy Sce Dk_PO_250g</t>
  </si>
  <si>
    <t>0NM_Soy Sce Dk_PO_250g_24</t>
  </si>
  <si>
    <t>100159-ABC KCP MNS JRG SB 6KG 1607</t>
  </si>
  <si>
    <t>12174239647M210U1O</t>
  </si>
  <si>
    <t>12174239647M210</t>
  </si>
  <si>
    <t>0NM_Soy Sce Dk_JC_6kg</t>
  </si>
  <si>
    <t>0NM_Soy Sce Dk_JC_6kg_1</t>
  </si>
  <si>
    <t>100160-ABC KCP MNS JRG SB 25KG 1607</t>
  </si>
  <si>
    <t>12174239647E433G5G</t>
  </si>
  <si>
    <t>12174239647E433</t>
  </si>
  <si>
    <t>0NM_Soy Sce Dk_JC_25kg</t>
  </si>
  <si>
    <t>0NM_Soy Sce Dk_JC_25kg_1</t>
  </si>
  <si>
    <t>100161-ABC KCPMNS PET SB 48X135ML1607</t>
  </si>
  <si>
    <t>100163-ABC KCPMNS PET SB 12X600ML1607</t>
  </si>
  <si>
    <t>12174239647M208U1N</t>
  </si>
  <si>
    <t>12174239647M208</t>
  </si>
  <si>
    <t>0NM_Soy Sce Dk_BL_600ml</t>
  </si>
  <si>
    <t>0NM_Soy Sce Dk_BL_600ml_12</t>
  </si>
  <si>
    <t>100164-ABC KCPMNS PCH SB 48X70ML 1607</t>
  </si>
  <si>
    <t>12174239647E434G5I</t>
  </si>
  <si>
    <t>12174239647E434</t>
  </si>
  <si>
    <t>0NM_Soy Sce Dk_PO_62g</t>
  </si>
  <si>
    <t>0NM_Soy Sce Dk_PO_62g_48</t>
  </si>
  <si>
    <t>12174239647E434G5J</t>
  </si>
  <si>
    <t>0NM_Soy Sce Dk_PO_62g_60</t>
  </si>
  <si>
    <t>100165-ABC KCPMNS PCH SB 12X520ML1607</t>
  </si>
  <si>
    <t>12174239647E436G5K</t>
  </si>
  <si>
    <t>12174239647E436</t>
  </si>
  <si>
    <t>0NM_Soy Sce Dk_PO_600g</t>
  </si>
  <si>
    <t>0NM_Soy Sce Dk_PO_600g_12</t>
  </si>
  <si>
    <t>12174239647M220U2E</t>
  </si>
  <si>
    <t>12174239647M220</t>
  </si>
  <si>
    <t>0NM_Soy Sce Dk_PO_685g</t>
  </si>
  <si>
    <t>0NM_Soy Sce Dk_PO_685g_12</t>
  </si>
  <si>
    <t>100166-ABC KCPMNS BTL SB 12X620ML1607</t>
  </si>
  <si>
    <t>12174239647M207U1K</t>
  </si>
  <si>
    <t>12174239647M207</t>
  </si>
  <si>
    <t>0NM_Soy Sce Dk_GB_620ml</t>
  </si>
  <si>
    <t>0NM_Soy Sce Dk_GB_620ml_12</t>
  </si>
  <si>
    <t>100167-ABC KCP MNS SCT 20X10X20ML1607</t>
  </si>
  <si>
    <t>12174239647E429G5L</t>
  </si>
  <si>
    <t>0NM_Soy Sce Dk_SA_15g_192</t>
  </si>
  <si>
    <t>12174239647E429G5M</t>
  </si>
  <si>
    <t>0NM_Soy Sce Dk_SA_15g_16</t>
  </si>
  <si>
    <t>12174239647E43AG5O</t>
  </si>
  <si>
    <t>0NM_Soy Sce Dk_SA_18g_16</t>
  </si>
  <si>
    <t>12174239647E43AG5Q</t>
  </si>
  <si>
    <t>0NM_Soy Sce Dk_SA_18g_20</t>
  </si>
  <si>
    <t>100176-ABC KCP MNS PCH 12X700ML 1909</t>
  </si>
  <si>
    <t>12174239647E437G5R</t>
  </si>
  <si>
    <t>12174239647E437</t>
  </si>
  <si>
    <t>0NM_Soy Sce Dk_PO_825g</t>
  </si>
  <si>
    <t>0NM_Soy Sce Dk_PO_825g_12</t>
  </si>
  <si>
    <t>100223-ABC KCP MNS PCH 12X450G 2311</t>
  </si>
  <si>
    <t>12174239647E438G5T</t>
  </si>
  <si>
    <t>12174239647E438</t>
  </si>
  <si>
    <t>0NM_Soy Sce Dk_PO_450g</t>
  </si>
  <si>
    <t>0NM_Soy Sce Dk_PO_450g_12</t>
  </si>
  <si>
    <t>100236 ABC KCPMNS PET SB 24X275ML2405</t>
  </si>
  <si>
    <t>100262-ABC SOY HTM MANIS 48X62G 2411</t>
  </si>
  <si>
    <t>12174239647E434G5W</t>
  </si>
  <si>
    <t>0NM_Soy Sce Dk_PO_62g_24</t>
  </si>
  <si>
    <t>12174239647E434G5X</t>
  </si>
  <si>
    <t>0NM_Soy Sce Dk_PO_62g_72</t>
  </si>
  <si>
    <t>810314-ABC SWT SOY SC EU 48X135ML2111</t>
  </si>
  <si>
    <t>12174239647E441G5Y</t>
  </si>
  <si>
    <t>12174239647E441</t>
  </si>
  <si>
    <t>0NM_Soy Sce Dk_BL_132ml</t>
  </si>
  <si>
    <t>0NM_Soy Sce Dk_BL_132ml_48</t>
  </si>
  <si>
    <t>810322-ABC SWT SOY SC MM 48X135ML2111</t>
  </si>
  <si>
    <t>810359-ABC SWT SOY SC CN 12X600ML2307</t>
  </si>
  <si>
    <t>810366-ABC SWT SOY SC ME 48X135ML2308</t>
  </si>
  <si>
    <t>810367-ABC SWT SOY SC ME 12X620ML2308</t>
  </si>
  <si>
    <t>810369-ABC SWT SOY SC TW 48X135ML2308</t>
  </si>
  <si>
    <t>810370-ABC SWT SOY SC TW 12X600ML2308</t>
  </si>
  <si>
    <t>810371-ABC SWT SOY SC HK 48X135ML2308</t>
  </si>
  <si>
    <t>810372-ABC SWT SOY SC HK 12X620ML2308</t>
  </si>
  <si>
    <t>810374-ABC SWT SPCL SC MYSG 135ML2304</t>
  </si>
  <si>
    <t>810375-ABC SWT SPCL SC MYSG 320ML2304</t>
  </si>
  <si>
    <t>12174239647M214U23</t>
  </si>
  <si>
    <t>12174239647M214</t>
  </si>
  <si>
    <t>0NM_Soy Sce Dk_GB_320ml</t>
  </si>
  <si>
    <t>0NM_Soy Sce Dk_GB_320ml_24</t>
  </si>
  <si>
    <t>810376-ABC SWT SPCL SC MYSG 620ML2304</t>
  </si>
  <si>
    <t>810387-ABC SWT SC BN 48X135ML 2308</t>
  </si>
  <si>
    <t>810392-ABC SWT SOY SC TW 3X6KG 2308</t>
  </si>
  <si>
    <t>12174239647E442G60</t>
  </si>
  <si>
    <t>12174239647E442</t>
  </si>
  <si>
    <t>0NM_Soy Sce Dk_JC_4.4l</t>
  </si>
  <si>
    <t>0NM_Soy Sce Dk_JC_4.4l_3</t>
  </si>
  <si>
    <t>l</t>
  </si>
  <si>
    <t>810394-ABC SWT SPCL SC MYSG 132ML2403</t>
  </si>
  <si>
    <t>810395-ABC SWT SOY SC TW 48X132ML2403</t>
  </si>
  <si>
    <t>810397-ABC SWT SOY SC EU 48X132ML2403</t>
  </si>
  <si>
    <t>810398-ABC SWT SOY SC HK 48X132ML2403</t>
  </si>
  <si>
    <t>810442-ABC SWT SPCLSC MY 24X320ML2502</t>
  </si>
  <si>
    <t>810443-ABC SWT SPCLSC MY 12X620ML2502</t>
  </si>
  <si>
    <t>810444-ABC SOS MNSPDS MY 24X275ML2505</t>
  </si>
  <si>
    <t>ABC HOT&amp;SWT SY EU 12X275ML2203</t>
  </si>
  <si>
    <t>12174239647M169G61</t>
  </si>
  <si>
    <t>0NM_Soy Sce Dk_BL_275ml_12</t>
  </si>
  <si>
    <t>ABC K.MNS EP 48X135ML KR 2201</t>
  </si>
  <si>
    <t>12174239647M218U2A</t>
  </si>
  <si>
    <t>12174239647M218</t>
  </si>
  <si>
    <t>0NM_Soy Sce Dk_BL_135ml</t>
  </si>
  <si>
    <t>0NM_Soy Sce Dk_BL_135ml_48</t>
  </si>
  <si>
    <t>ABC K.MNS EP PCH 48X60G 2307</t>
  </si>
  <si>
    <t>12174239647E443G64</t>
  </si>
  <si>
    <t>12174239647E443</t>
  </si>
  <si>
    <t>0NM_Soy Sce Dk_PO_60g</t>
  </si>
  <si>
    <t>0NM_Soy Sce Dk_PO_60g_48</t>
  </si>
  <si>
    <t>12174239647E444G65</t>
  </si>
  <si>
    <t>12174239647E444</t>
  </si>
  <si>
    <t>0NM_Soy Sce Dk_PO_70g</t>
  </si>
  <si>
    <t>0NM_Soy Sce Dk_PO_70g_48</t>
  </si>
  <si>
    <t>ABC K.MNS PCH PRZ3 12X925G2308</t>
  </si>
  <si>
    <t>12174239647E445G66</t>
  </si>
  <si>
    <t>12174239647E445</t>
  </si>
  <si>
    <t>0NM_Soy Sce Dk_PO_925g</t>
  </si>
  <si>
    <t>0NM_Soy Sce Dk_PO_925g_12</t>
  </si>
  <si>
    <t>ABC K.MNS PDS 24X275ML KR 2201</t>
  </si>
  <si>
    <t>ABC K.MNS PDS 48X135ML KR 2201</t>
  </si>
  <si>
    <t>ABC KCP EXT PEDAS 48X70G 1307</t>
  </si>
  <si>
    <t>ABC KCP EXT.PEDAS 48X135ML1307</t>
  </si>
  <si>
    <t>ABC KCP EXT.PEDAS 48X70G 2006</t>
  </si>
  <si>
    <t>ABC KCP MNS JRG 6KG 2106</t>
  </si>
  <si>
    <t>ABC KCP MNS JRG SB 25KG 1607</t>
  </si>
  <si>
    <t>ABC KCP MNS JRG SB 6KG 1607</t>
  </si>
  <si>
    <t>ABC KCP MNS PCH 12X450G 2311</t>
  </si>
  <si>
    <t>12174239647E446G67</t>
  </si>
  <si>
    <t>12174239647E446</t>
  </si>
  <si>
    <t>0NM_Soy Sce Dk_PO_700ml</t>
  </si>
  <si>
    <t>0NM_Soy Sce Dk_PO_700ml_12</t>
  </si>
  <si>
    <t>12174239647E447G69</t>
  </si>
  <si>
    <t>12174239647E447</t>
  </si>
  <si>
    <t>0NM_Soy Sce Dk_PO_300g</t>
  </si>
  <si>
    <t>0NM_Soy Sce Dk_PO_300g_24</t>
  </si>
  <si>
    <t>ABC KCP MNS PCH 48X60ML 1909</t>
  </si>
  <si>
    <t>12174239647E448G6A</t>
  </si>
  <si>
    <t>12174239647E448</t>
  </si>
  <si>
    <t>0NM_Soy Sce Dk_PO_60ml</t>
  </si>
  <si>
    <t>0NM_Soy Sce Dk_PO_60ml_48</t>
  </si>
  <si>
    <t>ABC KCP MNS PCH 48X65ML 1707</t>
  </si>
  <si>
    <t>12174239647E449G6B</t>
  </si>
  <si>
    <t>12174239647E449</t>
  </si>
  <si>
    <t>0NM_Soy Sce Dk_PO_65ml</t>
  </si>
  <si>
    <t>0NM_Soy Sce Dk_PO_65ml_48</t>
  </si>
  <si>
    <t>12174239647E450G6C</t>
  </si>
  <si>
    <t>12174239647E450</t>
  </si>
  <si>
    <t>0NM_Soy Sce Dk_PO_75g</t>
  </si>
  <si>
    <t>0NM_Soy Sce Dk_PO_75g_48</t>
  </si>
  <si>
    <t>ABC KCP MNS SCT 16X12X15G 2208</t>
  </si>
  <si>
    <t>ABC KCP MNS SCT 16X12X15ML2001</t>
  </si>
  <si>
    <t>12174239647E451G6D</t>
  </si>
  <si>
    <t>12174239647E451</t>
  </si>
  <si>
    <t>0NM_Soy Sce Dk_SA_15ml</t>
  </si>
  <si>
    <t>0NM_Soy Sce Dk_SA_15ml_16</t>
  </si>
  <si>
    <t>ABC KCP MNS SCT 20X10X18ML1707</t>
  </si>
  <si>
    <t>12174239647E452G6E</t>
  </si>
  <si>
    <t>12174239647E452</t>
  </si>
  <si>
    <t>0NM_Soy Sce Dk_SA_18ml</t>
  </si>
  <si>
    <t>0NM_Soy Sce Dk_SA_18ml_20</t>
  </si>
  <si>
    <t>ABC KCP PEDAS 24x275ML 1008</t>
  </si>
  <si>
    <t>ABC KCP PEDAS 48x135ML 1008</t>
  </si>
  <si>
    <t>ABC KCPMNS 16X12X15G B5G1 2311</t>
  </si>
  <si>
    <t>12174239647E453G6F</t>
  </si>
  <si>
    <t>12174239647E453</t>
  </si>
  <si>
    <t>0NM_Soy Sce Dk_PO_520ml</t>
  </si>
  <si>
    <t>0NM_Soy Sce Dk_PO_520ml_12</t>
  </si>
  <si>
    <t>12174239647E454G6G</t>
  </si>
  <si>
    <t>12174239647E454</t>
  </si>
  <si>
    <t>0NM_Soy Sce Dk_PO_225ml</t>
  </si>
  <si>
    <t>0NM_Soy Sce Dk_PO_225ml_24</t>
  </si>
  <si>
    <t>12174239647E451G6H</t>
  </si>
  <si>
    <t>0NM_Soy Sce Dk_SA_15ml_24</t>
  </si>
  <si>
    <t>ABC KICAP MNS MY 12X620ML 2301</t>
  </si>
  <si>
    <t>ABC KICAP MNS MY 24X320ML 2301</t>
  </si>
  <si>
    <t>ABC MED SOY SC AU 12X620ML2111</t>
  </si>
  <si>
    <t>Manis Sedang</t>
  </si>
  <si>
    <t>MNSD</t>
  </si>
  <si>
    <t>ABC MED SOY SC EU 12X620ML2111</t>
  </si>
  <si>
    <t>ABC MED SOY SC US 12X620ML2310</t>
  </si>
  <si>
    <t>ABC MED SWT SY ME 12X620ML2111</t>
  </si>
  <si>
    <t>ABC SARI KECAP DSL 950L 1505</t>
  </si>
  <si>
    <t>12174239647E455G6I</t>
  </si>
  <si>
    <t>12174239647E455</t>
  </si>
  <si>
    <t>0NM_Soy Sce Dk_DR_950l</t>
  </si>
  <si>
    <t>0NM_Soy Sce Dk_DR_950l_1</t>
  </si>
  <si>
    <t>Drum</t>
  </si>
  <si>
    <t>DR</t>
  </si>
  <si>
    <t>ABC SARIJADI BB DSL 1000L 2208</t>
  </si>
  <si>
    <t>12174239647E456G6J</t>
  </si>
  <si>
    <t>12174239647E456</t>
  </si>
  <si>
    <t>0NM_Soy Sce Dk_JC_1000ml</t>
  </si>
  <si>
    <t>0NM_Soy Sce Dk_JC_1000ml_1</t>
  </si>
  <si>
    <t>ABC SAUS MANIS MY 12X600ML2205</t>
  </si>
  <si>
    <t>ABC SAUS MANIS MY 24X275ML2205</t>
  </si>
  <si>
    <t>ABC SAUS MANIS MY 3X6KG 2106</t>
  </si>
  <si>
    <t>12174239647M210U2C</t>
  </si>
  <si>
    <t>0NM_Soy Sce Dk_JC_6kg_3</t>
  </si>
  <si>
    <t>ABC SAUSMNS PCH MY12X500ML2211</t>
  </si>
  <si>
    <t>12174239647M215U25</t>
  </si>
  <si>
    <t>12174239647M215</t>
  </si>
  <si>
    <t>0NM_Soy Sce Dk_PO_500ml</t>
  </si>
  <si>
    <t>0NM_Soy Sce Dk_PO_500ml_12</t>
  </si>
  <si>
    <t>ABC SAUSMNS PCH MY24X219ML2211</t>
  </si>
  <si>
    <t>12174239647M216U26</t>
  </si>
  <si>
    <t>12174239647M216</t>
  </si>
  <si>
    <t>0NM_Soy Sce Dk_PO_219ml</t>
  </si>
  <si>
    <t>0NM_Soy Sce Dk_PO_219ml_24</t>
  </si>
  <si>
    <t>ABC SG BASIC SOY SC HOL</t>
  </si>
  <si>
    <t>12174239647M223U2N</t>
  </si>
  <si>
    <t>12174239647M223</t>
  </si>
  <si>
    <t>0NM_Soy Sce Dk_DR_24ton</t>
  </si>
  <si>
    <t>0NM_Soy Sce Dk_DR_24ton_1</t>
  </si>
  <si>
    <t>ton</t>
  </si>
  <si>
    <t>ABC SOY SAUCE US 12X620ML 2203</t>
  </si>
  <si>
    <t>ABC SPCYSWT SY US 24X275ML2202</t>
  </si>
  <si>
    <t>ABC SWT SC BN 12X600ML 2308</t>
  </si>
  <si>
    <t xml:space="preserve">ABC SWT SC BN 12X600ML 2507   </t>
  </si>
  <si>
    <t>ABC SWT SC BN 12X620ML 2308</t>
  </si>
  <si>
    <t xml:space="preserve">ABC SWT SC BN 12X620ML 2507   </t>
  </si>
  <si>
    <t>ABC SWT SC BN 24X275ML 2308</t>
  </si>
  <si>
    <t xml:space="preserve">ABC SWT SC BN 24X275ML 2507   </t>
  </si>
  <si>
    <t>ABC SWT SC BN 3X6KG 2308</t>
  </si>
  <si>
    <t xml:space="preserve">ABC SWT SC BN 3X6KG 2507      </t>
  </si>
  <si>
    <t xml:space="preserve">ABC SWT SC BN 48X132ML 2507   </t>
  </si>
  <si>
    <t>ABC SWT SOY SC AU 12X275ML2304</t>
  </si>
  <si>
    <t>ABC SWT SOY SC AU 3X6KG 2304</t>
  </si>
  <si>
    <t>ABC SWT SOY SC AU 6X600ML 2304</t>
  </si>
  <si>
    <t>12174239647M208U1L</t>
  </si>
  <si>
    <t>0NM_Soy Sce Dk_BL_600ml_6</t>
  </si>
  <si>
    <t>ABC SWT SOY SC AU 6X620ML 2304</t>
  </si>
  <si>
    <t>12174239647M207G6O</t>
  </si>
  <si>
    <t>0NM_Soy Sce Dk_GB_620ml_6</t>
  </si>
  <si>
    <t>ABC SWT SOY SC CA 12X600ML2307</t>
  </si>
  <si>
    <t>ABC SWT SOY SC CA 12X620ML2307</t>
  </si>
  <si>
    <t>ABC SWT SOY SC CN 12X600ML2307</t>
  </si>
  <si>
    <t>ABC SWT SOY SC EU 12X275ML2111</t>
  </si>
  <si>
    <t>ABC SWT SOY SC EU 12X600ML2111</t>
  </si>
  <si>
    <t>ABC SWT SOY SC EU 12X620ML2111</t>
  </si>
  <si>
    <t>ABC SWT SOY SC EU 24X275ML2111</t>
  </si>
  <si>
    <t>ABC SWT SOY SC EU 3X6KG 2111</t>
  </si>
  <si>
    <t>ABC SWT SOY SC EU 48X135ML2111</t>
  </si>
  <si>
    <t>ABC SWT SOY SC HK 12X620ML2308</t>
  </si>
  <si>
    <t>ABC SWT SOY SC ME 12X600ML2308</t>
  </si>
  <si>
    <t>ABC SWT SOY SC ME 3X6KG 2308</t>
  </si>
  <si>
    <t>ABC SWT SOY SC PH 25KG 2005</t>
  </si>
  <si>
    <t>ABC SWT SOY SC TW 12X600ML2308</t>
  </si>
  <si>
    <t>ABC SWT SOY SC TW 3X6KG 2308</t>
  </si>
  <si>
    <t>ABC SWT SOY SC US 12X275ML2307</t>
  </si>
  <si>
    <t>ABC SWT SOY SC US 12X600ML2307</t>
  </si>
  <si>
    <t>ABC SWT SOY SC US 12X620ML2307</t>
  </si>
  <si>
    <t>ABC SWT SPCL SC MYSG 135ML1703</t>
  </si>
  <si>
    <t>ABC SWT SPCL SC MYSG 320ML2304</t>
  </si>
  <si>
    <t>ABC SWT SPCL SC MYSG 620ML1703</t>
  </si>
  <si>
    <t>ABC SWT SPCLSC PH 12X620ML2308</t>
  </si>
  <si>
    <t>BALIBEST SWTSOYSC US 4X6KG2307</t>
  </si>
  <si>
    <t>12174239647M210G6P</t>
  </si>
  <si>
    <t>0NM_Soy Sce Dk_JC_6kg_4</t>
  </si>
  <si>
    <t>ABC | BALI'S BEST</t>
  </si>
  <si>
    <t>BALIBST SWTSOY SC CA 4X6KG2307</t>
  </si>
  <si>
    <t>HOKI KCP MNS BTL 12x620ML 2106</t>
  </si>
  <si>
    <t>HOKI KCP MNS PCH 12X520ML 1605</t>
  </si>
  <si>
    <t>HOKI KECAP MANIS 620 ML</t>
  </si>
  <si>
    <t>KCPMNS FOR HOTSOY DSL 900L2201</t>
  </si>
  <si>
    <t>12174239647E458G6Q</t>
  </si>
  <si>
    <t>12174239647E458</t>
  </si>
  <si>
    <t>0NM_Soy Sce Dk_JC_900l</t>
  </si>
  <si>
    <t>0NM_Soy Sce Dk_JC_900l_1</t>
  </si>
  <si>
    <t>ABC HTM MNS PCH 12X550G GT2508</t>
  </si>
  <si>
    <t>12174239647R157K05</t>
  </si>
  <si>
    <t>12174239647R157</t>
  </si>
  <si>
    <t>0NM_Soy Sce Dk_PO_550g</t>
  </si>
  <si>
    <t>0NM_Soy Sce Dk_PO_550g_12</t>
  </si>
  <si>
    <t>ABC HTM MNS PCH 12X550G MT2509</t>
  </si>
  <si>
    <t>ABC KMNS 250G+PNUT SC 18G 2511</t>
  </si>
  <si>
    <t>ABC KMNS 600G+S.TIRAM 18G 2509</t>
  </si>
  <si>
    <t>ABC KMNSPET130GT+TIRAM 18G2509</t>
  </si>
  <si>
    <t>12174239647R158K06</t>
  </si>
  <si>
    <t>12174239647R158</t>
  </si>
  <si>
    <t>0NM_Soy Sce Dk_BL_130g</t>
  </si>
  <si>
    <t>0NM_Soy Sce Dk_BL_130g_48</t>
  </si>
  <si>
    <t xml:space="preserve">ABC SWT SOY CA 12X275ML 2508  </t>
  </si>
  <si>
    <t xml:space="preserve">ABC SWT SOY CA 12X600ML 2508  </t>
  </si>
  <si>
    <t xml:space="preserve">ABC SWT SOY CA 12X620ML 2508  </t>
  </si>
  <si>
    <t>ABC SWT SPCL SC MYSG 620ML2304</t>
  </si>
  <si>
    <t>ABC SWT SPCLSC MY 48X132ML2506</t>
  </si>
  <si>
    <t>BALIBEST SWT SOY CA 4X6KG 2508</t>
  </si>
  <si>
    <t>ABC SOY HTMMNS PCH 24X240G2507</t>
  </si>
  <si>
    <t>12174239647R160K15</t>
  </si>
  <si>
    <t>12174239647R160</t>
  </si>
  <si>
    <t>0NM_Soy Sce Dk_PO_240g</t>
  </si>
  <si>
    <t>0NM_Soy Sce Dk_PO_240g_24</t>
  </si>
  <si>
    <t>ABC SWT SOY US 12X275ML 2507  </t>
  </si>
  <si>
    <t>ABC SWT SOY US 12X600ML 2507  </t>
  </si>
  <si>
    <t>12174239647E457G6L</t>
  </si>
  <si>
    <t>12174239647E457</t>
  </si>
  <si>
    <t>0NM_Soy Sce Dk_GB_600ml</t>
  </si>
  <si>
    <t>0NM_Soy Sce Dk_GB_600ml_12</t>
  </si>
  <si>
    <t>ABC SWT SOY US 12X620ML 2507  </t>
  </si>
  <si>
    <t>BALIBEST SWT SOY US 4X6KG 2507</t>
  </si>
  <si>
    <t>10108214626E426G56</t>
  </si>
  <si>
    <t>Ready To Drink Cold Beverages</t>
  </si>
  <si>
    <t>Soy Milk</t>
  </si>
  <si>
    <t>10108214626E426</t>
  </si>
  <si>
    <t>0NM_Soy Milk_CR_200ml</t>
  </si>
  <si>
    <t>0NM_Soy Milk_CR_200ml_24</t>
  </si>
  <si>
    <t>Carton</t>
  </si>
  <si>
    <t>CR</t>
  </si>
  <si>
    <t>Soybean</t>
  </si>
  <si>
    <t>EI-SARI KEDELAI</t>
  </si>
  <si>
    <t>RTD</t>
  </si>
  <si>
    <t xml:space="preserve">Soy Milk </t>
  </si>
  <si>
    <t>EI</t>
  </si>
  <si>
    <t>190030-ABC TOM SACHET 462X9GR 1308</t>
  </si>
  <si>
    <t>12142127563ABCA101</t>
  </si>
  <si>
    <t>Ketchup</t>
  </si>
  <si>
    <t>Core Tomato Ketchup</t>
  </si>
  <si>
    <t>Secondary Ketchup Sachets</t>
  </si>
  <si>
    <t>12142127563ABCA</t>
  </si>
  <si>
    <t>0NM_Sec Kchp Scht_SA_8g</t>
  </si>
  <si>
    <t>0NM_Sec Kchp Scht_SA_8g_21</t>
  </si>
  <si>
    <t>Away From Home</t>
  </si>
  <si>
    <t>BS-TOMATO KETCHUP</t>
  </si>
  <si>
    <t>TOMATO</t>
  </si>
  <si>
    <t>BS</t>
  </si>
  <si>
    <t>190033-ABC TOM RCG SCT 12X42X8G 1811</t>
  </si>
  <si>
    <t>12142127563ABCA102</t>
  </si>
  <si>
    <t>0NM_Sec Kchp Scht_SA_8g_12</t>
  </si>
  <si>
    <t>ABC SAUS TOMAT SCT21X24X8G1805</t>
  </si>
  <si>
    <t>ABC TOM RCG SCT 12X42X8G 1811</t>
  </si>
  <si>
    <t>ABC TOM RCG SCT 12X42X8G 2211</t>
  </si>
  <si>
    <t xml:space="preserve">ABC TOMAT GPRKN 15X34X8G 2510 </t>
  </si>
  <si>
    <t>12142127563ABCAA09</t>
  </si>
  <si>
    <t>0NM_Sec Kchp Scht_SA_8G</t>
  </si>
  <si>
    <t>0NM_Sec Kchp Scht_SA_8G_510</t>
  </si>
  <si>
    <t>G</t>
  </si>
  <si>
    <t>ABC TOMAT GPRKN 15X34X8G 2508 </t>
  </si>
  <si>
    <t>Tomato</t>
  </si>
  <si>
    <t>TMT</t>
  </si>
  <si>
    <t>190020-ABC TOMAT JRG 5.7KG NL 0906</t>
  </si>
  <si>
    <t>1214212756115331HK</t>
  </si>
  <si>
    <t>Secondary Ketchup Bulk</t>
  </si>
  <si>
    <t>0NM_Sec Kchp Blk_JC_5.7kg</t>
  </si>
  <si>
    <t>0NM_Sec Kchp Blk_JC_5.7kg_1</t>
  </si>
  <si>
    <t>190023-ABC TOM PILLOW BAG 6X1KG 0906</t>
  </si>
  <si>
    <t>1214212756116531PH</t>
  </si>
  <si>
    <t>0NM_Sec Kchp Blk_PO_1kg</t>
  </si>
  <si>
    <t>0NM_Sec Kchp Blk_PO_1kg_6</t>
  </si>
  <si>
    <t>190024-ABC TOMAT JRG 24KG 1001</t>
  </si>
  <si>
    <t>1214212756116781R1</t>
  </si>
  <si>
    <t>0NM_Sec Kchp Blk_JC_24kg</t>
  </si>
  <si>
    <t>0NM_Sec Kchp Blk_JC_24kg_1</t>
  </si>
  <si>
    <t>ABC SAUS TOMAT JRG 24KG 2004</t>
  </si>
  <si>
    <t>ABC SAUS TOMAT JRG 24KG 2211</t>
  </si>
  <si>
    <t>ABC TOMAT JRG 24KG 1001</t>
  </si>
  <si>
    <t>ABC TOMAT JRG 5.7KG NL 0906</t>
  </si>
  <si>
    <t>190028-ABC TOMAT NB 135ML 1005</t>
  </si>
  <si>
    <t>12142127557132519F</t>
  </si>
  <si>
    <t>Secondary Ketchup</t>
  </si>
  <si>
    <t>0NM_Sec Kchp_BL_135ml</t>
  </si>
  <si>
    <t>0NM_Sec Kchp_BL_135ml_48</t>
  </si>
  <si>
    <t>1214212755716791R4</t>
  </si>
  <si>
    <t>0NM_Sec Kchp_BL_130ml</t>
  </si>
  <si>
    <t>0NM_Sec Kchp_BL_130ml_48</t>
  </si>
  <si>
    <t>190029-ABC TOMAT 275ML 1104</t>
  </si>
  <si>
    <t>1214212755716761R0</t>
  </si>
  <si>
    <t>0NM_Sec Kchp_BL_270ml</t>
  </si>
  <si>
    <t>0NM_Sec Kchp_BL_270ml_24</t>
  </si>
  <si>
    <t>190031-ABC TOMAT 335ML 1311</t>
  </si>
  <si>
    <t>12142127557132619G</t>
  </si>
  <si>
    <t>0NM_Sec Kchp_GB_335ml</t>
  </si>
  <si>
    <t>0NM_Sec Kchp_GB_335ml_24</t>
  </si>
  <si>
    <t>1214212755713951CA</t>
  </si>
  <si>
    <t>0NM_Sec Kchp_BL_275ml</t>
  </si>
  <si>
    <t>0NM_Sec Kchp_BL_275ml_24</t>
  </si>
  <si>
    <t>ABC SAUS TOMAT 48X135ML 2105</t>
  </si>
  <si>
    <t>1214212755713941C9</t>
  </si>
  <si>
    <t>0NM_Sec Kchp_PO_1kg</t>
  </si>
  <si>
    <t>0NM_Sec Kchp_PO_1kg_6</t>
  </si>
  <si>
    <t>ABC TOM PILLOW BAG 6X1KG 0906</t>
  </si>
  <si>
    <t>ABC TOMAT 275ML 1104</t>
  </si>
  <si>
    <t>ABC TOMAT NB 135ML 1005</t>
  </si>
  <si>
    <t>140001-ABC BUMBU KACANG 24X180G 2304</t>
  </si>
  <si>
    <t>1215410453514271DA</t>
  </si>
  <si>
    <t>RTU Culinary Sauce, Paste, Ingredients</t>
  </si>
  <si>
    <t>All-Other Culinary Sauces and Pastes</t>
  </si>
  <si>
    <t>Satay Sauce</t>
  </si>
  <si>
    <t>0NM_Satay Sce_PO_180g</t>
  </si>
  <si>
    <t>0NM_Satay Sce_PO_180g_24</t>
  </si>
  <si>
    <t>Legumes</t>
  </si>
  <si>
    <t>Peanut</t>
  </si>
  <si>
    <t>Bumbu Kacang Serbaguna</t>
  </si>
  <si>
    <t>PEAT</t>
  </si>
  <si>
    <t>BKSR</t>
  </si>
  <si>
    <t>BB-Peanut Sauce</t>
  </si>
  <si>
    <t>PEANUT SAUCE</t>
  </si>
  <si>
    <t>COMPOUND SAUCE</t>
  </si>
  <si>
    <t>140007-ABC BUMBU KACANG 10X10X18G2407</t>
  </si>
  <si>
    <t>1215410453515531IR</t>
  </si>
  <si>
    <t>0NM_Satay Sce_SA_18g</t>
  </si>
  <si>
    <t>0NM_Satay Sce_SA_18g_100</t>
  </si>
  <si>
    <t>1215410453515531QZ</t>
  </si>
  <si>
    <t>0NM_Satay Sce_SA_18g_10</t>
  </si>
  <si>
    <t>140008 ABC BUMBU KACANG 48X60G 2407</t>
  </si>
  <si>
    <t>1215410453514641EE</t>
  </si>
  <si>
    <t>0NM_Satay Sce_PO_60g</t>
  </si>
  <si>
    <t>0NM_Satay Sce_PO_60g_48</t>
  </si>
  <si>
    <t>140008-ABC BUMBU KACANG 48X60G 2407</t>
  </si>
  <si>
    <t>ABC BUMBU KACANG 24X180G 2304</t>
  </si>
  <si>
    <t xml:space="preserve">ABC BBQ SC PLW  FS 6X1KG 2509 </t>
  </si>
  <si>
    <t>12154104535R150J97</t>
  </si>
  <si>
    <t>12154104535R150</t>
  </si>
  <si>
    <t>0NM_Satay Sce_PO_1kg</t>
  </si>
  <si>
    <t>0NM_Satay Sce_PO_1kg_6</t>
  </si>
  <si>
    <t>ABC BMB CB MRH SCT 24X90G 2511</t>
  </si>
  <si>
    <t>12154104535R154K02</t>
  </si>
  <si>
    <t>12154104535R154</t>
  </si>
  <si>
    <t>0NM_Satay Sce_SA_90g</t>
  </si>
  <si>
    <t>0NM_Satay Sce_SA_90g_24</t>
  </si>
  <si>
    <t>ABC BMB CB MRH SCT 60X30G 2511</t>
  </si>
  <si>
    <t>12154104535R155K03</t>
  </si>
  <si>
    <t>12154104535R155</t>
  </si>
  <si>
    <t>0NM_Satay Sce_SA_30g</t>
  </si>
  <si>
    <t>0NM_Satay Sce_SA_30g_60</t>
  </si>
  <si>
    <t>10108214510E424G55</t>
  </si>
  <si>
    <t>RTD Flavored Drink Single Serve</t>
  </si>
  <si>
    <t>10108214510E424</t>
  </si>
  <si>
    <t>0NM_RTD Flvr Drnk SSR_CR_250ml</t>
  </si>
  <si>
    <t>0NM_RTD Flvr Drnk SSR_CR_250ml_24</t>
  </si>
  <si>
    <t>Sari Asam</t>
  </si>
  <si>
    <t>SRAS</t>
  </si>
  <si>
    <t>EE-SARI ASAM</t>
  </si>
  <si>
    <t>EE</t>
  </si>
  <si>
    <t>ABC APPLE JC TBA 24X250ML 2001</t>
  </si>
  <si>
    <t>10108214511M176TZZ</t>
  </si>
  <si>
    <t>Ready to Drink Juice Drink</t>
  </si>
  <si>
    <t>10108214511M176</t>
  </si>
  <si>
    <t>0NM_RTD Jce Drnk_CR_250ml</t>
  </si>
  <si>
    <t>0NM_RTD Jce Drnk_CR_250ml_24</t>
  </si>
  <si>
    <t>Apple</t>
  </si>
  <si>
    <t>APPL</t>
  </si>
  <si>
    <t>EA-ADULT JUICE</t>
  </si>
  <si>
    <t>Adult Juice</t>
  </si>
  <si>
    <t>EA</t>
  </si>
  <si>
    <t>Guava</t>
  </si>
  <si>
    <t>GUA</t>
  </si>
  <si>
    <t>846142 ABC MRJ M.ORNG CN 48X90ML 2409</t>
  </si>
  <si>
    <t>10108214815E423G52</t>
  </si>
  <si>
    <t>Ready to Drink Children's Juice Drink</t>
  </si>
  <si>
    <t>10108214815E423</t>
  </si>
  <si>
    <t>0TS_RTD Chdrn Jce Drnk_CR_90ml</t>
  </si>
  <si>
    <t>0TS_RTD Chdrn Jce Drnk_CR_90ml_48</t>
  </si>
  <si>
    <t>Mr. Jussie</t>
  </si>
  <si>
    <t>Mr. Jussie | Brand-only</t>
  </si>
  <si>
    <t>0TS</t>
  </si>
  <si>
    <t>0BS</t>
  </si>
  <si>
    <t>GA-KIDS PRODUCT</t>
  </si>
  <si>
    <t>KID PRODUCT</t>
  </si>
  <si>
    <t>Kids Juice</t>
  </si>
  <si>
    <t>GA</t>
  </si>
  <si>
    <t>846143 ABC MRJ M. STBR CN 48X90ML2408</t>
  </si>
  <si>
    <t>Strawberry</t>
  </si>
  <si>
    <t>STR</t>
  </si>
  <si>
    <t>846144-ABC MRJ M.GRAPE CN 48X90ML2411</t>
  </si>
  <si>
    <t>Chocolate</t>
  </si>
  <si>
    <t>CHOC</t>
  </si>
  <si>
    <t>Jambu</t>
  </si>
  <si>
    <t>JAMBU</t>
  </si>
  <si>
    <t>ABC MRJ M.GRAPE CN 48X90ML2510</t>
  </si>
  <si>
    <t>ABC MRJ M.ORNG CN 48X90ML 2510</t>
  </si>
  <si>
    <t>ABC MRJ M.STBR CN 48X90ML 2510</t>
  </si>
  <si>
    <t>460057-ABC MUNG BEAN DRINK 250ML 0912</t>
  </si>
  <si>
    <t>10108214506E418G4W</t>
  </si>
  <si>
    <t>Ready to Drink All-other Cold Beverages</t>
  </si>
  <si>
    <t>10108214506E418</t>
  </si>
  <si>
    <t>0NM_RTD AO Cld Bev_CR_250ml</t>
  </si>
  <si>
    <t>0NM_RTD AO Cld Bev_CR_250ml_24</t>
  </si>
  <si>
    <t>Mung Bean</t>
  </si>
  <si>
    <t>MUNG</t>
  </si>
  <si>
    <t>EM-KACANG HIJAU</t>
  </si>
  <si>
    <t>Mung Bean Juice</t>
  </si>
  <si>
    <t>EM</t>
  </si>
  <si>
    <t>460197-ABC MUNGBEAN DRNK 48X100ML2503</t>
  </si>
  <si>
    <t>10108214506E419G4X</t>
  </si>
  <si>
    <t>10108214506E419</t>
  </si>
  <si>
    <t>0NM_RTD AO Cld Bev_CR_100ml</t>
  </si>
  <si>
    <t>0NM_RTD AO Cld Bev_CR_100ml_48</t>
  </si>
  <si>
    <t>ABC M.BEAN 8X3X250ML SAT 2310</t>
  </si>
  <si>
    <t>10108214506E418G4Y</t>
  </si>
  <si>
    <t>0NM_RTD AO Cld Bev_CR_250ml_8</t>
  </si>
  <si>
    <t>10108214506E421G4Z</t>
  </si>
  <si>
    <t>10108214506E421</t>
  </si>
  <si>
    <t>0NM_RTD AO Cld Bev_CR_200ml</t>
  </si>
  <si>
    <t>0NM_RTD AO Cld Bev_CR_200ml_24</t>
  </si>
  <si>
    <t>120007-ABC SAUS TIRAM NL 195ML 0908</t>
  </si>
  <si>
    <t>12174108474M366U8W</t>
  </si>
  <si>
    <t>Asian Sauces and Pastes</t>
  </si>
  <si>
    <t>Oyster Sauce</t>
  </si>
  <si>
    <t>12174108474M366</t>
  </si>
  <si>
    <t>0NM_Oyst Sce_GB_195ml</t>
  </si>
  <si>
    <t>0NM_Oyst Sce_GB_195ml_24</t>
  </si>
  <si>
    <t>Tiram</t>
  </si>
  <si>
    <t>TIRM</t>
  </si>
  <si>
    <t>BG-SPECIAL SAUCE</t>
  </si>
  <si>
    <t>SPECIAL SAUCES</t>
  </si>
  <si>
    <t>BG</t>
  </si>
  <si>
    <t>120008-ABC SAUS TIRAM NL 425ML 0908</t>
  </si>
  <si>
    <t>12174108474E415G4T</t>
  </si>
  <si>
    <t>12174108474E415</t>
  </si>
  <si>
    <t>0NM_Oyst Sce_GB_270ml</t>
  </si>
  <si>
    <t>0NM_Oyst Sce_GB_270ml_24</t>
  </si>
  <si>
    <t>120014-ABC SAUS TIRAM 135ML 1108</t>
  </si>
  <si>
    <t>12174108474E416G4U</t>
  </si>
  <si>
    <t>12174108474E416</t>
  </si>
  <si>
    <t>0NM_Oyst Sce_BL_130ml</t>
  </si>
  <si>
    <t>0NM_Oyst Sce_BL_130ml_48</t>
  </si>
  <si>
    <t>120027-ABC SAUS TIRAM JRG 5.5KG 2108</t>
  </si>
  <si>
    <t>12174108474M369U8Z</t>
  </si>
  <si>
    <t>12174108474M369</t>
  </si>
  <si>
    <t>0NM_Oyst Sce_JC_5.5kg</t>
  </si>
  <si>
    <t>0NM_Oyst Sce_JC_5.5kg_1</t>
  </si>
  <si>
    <t>120045-ABC S.TIRAM SCT 12X10X18G 2505</t>
  </si>
  <si>
    <t>12174108474E417K10</t>
  </si>
  <si>
    <t>12174108474E417</t>
  </si>
  <si>
    <t>0NM_Oyst Sce_SA_18g</t>
  </si>
  <si>
    <t>0NM_Oyst Sce_SA_18g_120</t>
  </si>
  <si>
    <t>ABC SAUS TIRAM 135ML 1108</t>
  </si>
  <si>
    <t>12174108474M367U8X</t>
  </si>
  <si>
    <t>12174108474M367</t>
  </si>
  <si>
    <t>0NM_Oyst Sce_BL_135ml</t>
  </si>
  <si>
    <t>0NM_Oyst Sce_BL_135ml_48</t>
  </si>
  <si>
    <t>ABC SAUS TIRAM BB 24X195ML1811</t>
  </si>
  <si>
    <t>ABC SAUS TIRAM BB 24X195ML2011</t>
  </si>
  <si>
    <t>12174108474M368U8Y</t>
  </si>
  <si>
    <t>12174108474M368</t>
  </si>
  <si>
    <t>0NM_Oyst Sce_GB_420ml</t>
  </si>
  <si>
    <t>0NM_Oyst Sce_GB_420ml_24</t>
  </si>
  <si>
    <t>ABC SAUS TIRAM BB 24X425ML1811</t>
  </si>
  <si>
    <t>12174108474M364U8U</t>
  </si>
  <si>
    <t>12174108474M364</t>
  </si>
  <si>
    <t>0NM_Oyst Sce_GB_425ml</t>
  </si>
  <si>
    <t>0NM_Oyst Sce_GB_425ml_24</t>
  </si>
  <si>
    <t>ABC SAUS TIRAM BB 24X425ML2011</t>
  </si>
  <si>
    <t>ABC SAUS TIRAM NL 195ML 0908</t>
  </si>
  <si>
    <t>ABC SAUS TIRAM NL 425ML 0908</t>
  </si>
  <si>
    <t>ABC SAUS TIRAM PET48X135ML1811</t>
  </si>
  <si>
    <t>ABC SAUS TIRAM PET48X135ML2011</t>
  </si>
  <si>
    <t>ABC S.TIRAM PR 12X10X18G 2507 </t>
  </si>
  <si>
    <t>FARLEY'S ORANGE 48X120G 2002</t>
  </si>
  <si>
    <t>16141163426B136U2Z</t>
  </si>
  <si>
    <t>Infant</t>
  </si>
  <si>
    <t>Infant Snacks</t>
  </si>
  <si>
    <t>Infant Biscuits</t>
  </si>
  <si>
    <t>Infant Rusks</t>
  </si>
  <si>
    <t>16141163426B136</t>
  </si>
  <si>
    <t>0QH_Inf Rsk_BO_120g</t>
  </si>
  <si>
    <t>0QH_Inf Rsk_BO_120g_48</t>
  </si>
  <si>
    <t>Box</t>
  </si>
  <si>
    <t>Farley's</t>
  </si>
  <si>
    <t>Farley's | Brand-only</t>
  </si>
  <si>
    <t>0QH</t>
  </si>
  <si>
    <t>04F</t>
  </si>
  <si>
    <t>Flavored</t>
  </si>
  <si>
    <t>FLVR</t>
  </si>
  <si>
    <t>HA-OTHERS</t>
  </si>
  <si>
    <t>OTHERS</t>
  </si>
  <si>
    <t>HA</t>
  </si>
  <si>
    <t>HNZ FARLEY APPL 24X120G ID2305</t>
  </si>
  <si>
    <t>16141163426B136E1Q</t>
  </si>
  <si>
    <t>0QH_Inf Rsk_BO_120g_24</t>
  </si>
  <si>
    <t>HNZ FARLEY BNNA 24X120G PK2311</t>
  </si>
  <si>
    <t>Banana</t>
  </si>
  <si>
    <t>BAN</t>
  </si>
  <si>
    <t>HNZ FARLEY ORGL 24X120G ID2305</t>
  </si>
  <si>
    <t>HNZ FARLEY ORGL 24X120G PK2311</t>
  </si>
  <si>
    <t>HNZ FARLEY ORNG 24X120G ID2305</t>
  </si>
  <si>
    <t>HNZ FARLEY ORNG 24X120G PK2311</t>
  </si>
  <si>
    <t>120011-ABC MINYAK WIJEN NL 195ML 0908</t>
  </si>
  <si>
    <t>12154103328M203U1G</t>
  </si>
  <si>
    <t>All-Other Culinary Condiments</t>
  </si>
  <si>
    <t>Culinary Oils</t>
  </si>
  <si>
    <t>12154103328M203</t>
  </si>
  <si>
    <t>0NM_Cul Oils_GB_195ml</t>
  </si>
  <si>
    <t>0NM_Cul Oils_GB_195ml_24</t>
  </si>
  <si>
    <t>Spice/Herb</t>
  </si>
  <si>
    <t>Spi</t>
  </si>
  <si>
    <t>Sesame</t>
  </si>
  <si>
    <t>SES</t>
  </si>
  <si>
    <t>120025-ABC MINYAK WIJEN JRG 6X1L 2104</t>
  </si>
  <si>
    <t>12154103328E410G4Q</t>
  </si>
  <si>
    <t>12154103328E410</t>
  </si>
  <si>
    <t>0NM_Cul Oils_BL_1000ml</t>
  </si>
  <si>
    <t>0NM_Cul Oils_BL_1000ml_6</t>
  </si>
  <si>
    <t>120010-ABC KCP INGGRIS NL 195ML 0908</t>
  </si>
  <si>
    <t>12144254315E407G4O</t>
  </si>
  <si>
    <t>Marinades and Seasonings</t>
  </si>
  <si>
    <t>Worcestershire Sauce</t>
  </si>
  <si>
    <t>Core Worcester Sauce</t>
  </si>
  <si>
    <t>12144254315E407</t>
  </si>
  <si>
    <t>0NM_Cre Wrchstr Sce_GB_195ml</t>
  </si>
  <si>
    <t>0NM_Cre Wrchstr Sce_GB_195ml_24</t>
  </si>
  <si>
    <t>120026-ABC KECAP INGGRIS JRG 6X1L2104</t>
  </si>
  <si>
    <t>12144254315E409G4P</t>
  </si>
  <si>
    <t>12144254315E409</t>
  </si>
  <si>
    <t>0NM_Cre Wrchstr Sce_BL_1000ml</t>
  </si>
  <si>
    <t>0NM_Cre Wrchstr Sce_BL_1000ml_6</t>
  </si>
  <si>
    <t>ABC KCP INGGRIS NL 195ML 0908</t>
  </si>
  <si>
    <t>HEINZ TOM SCT 14X22X7G 2207</t>
  </si>
  <si>
    <t>12142127262B348U68</t>
  </si>
  <si>
    <t>Core Ketchup Sachets</t>
  </si>
  <si>
    <t>12142127262B348</t>
  </si>
  <si>
    <t>0RD_Cre Kchp Scht_SA_7g</t>
  </si>
  <si>
    <t>0RD_Cre Kchp Scht_SA_7g_14</t>
  </si>
  <si>
    <t>Heinz</t>
  </si>
  <si>
    <t>Heinz | Brand-only</t>
  </si>
  <si>
    <t>0RD</t>
  </si>
  <si>
    <t>HEINZ TOM PLW 10X1KG 2310</t>
  </si>
  <si>
    <t>12142127256J905PYZ</t>
  </si>
  <si>
    <t>Core Ketchup Bulk</t>
  </si>
  <si>
    <t>12142127256J905</t>
  </si>
  <si>
    <t>0RD_Cre Kchp Blk_PO_1kg</t>
  </si>
  <si>
    <t>0RD_Cre Kchp Blk_PO_1kg_10</t>
  </si>
  <si>
    <t>HEINZ TOM PLW EX 6X3.23KG 2306</t>
  </si>
  <si>
    <t>12142127256ABCA103</t>
  </si>
  <si>
    <t>12142127256ABCA</t>
  </si>
  <si>
    <t>0RD_Cre Kchp Blk_PO_3.23kg</t>
  </si>
  <si>
    <t>0RD_Cre Kchp Blk_PO_3.23kg_6</t>
  </si>
  <si>
    <t>HEINZ TOM KC PCH 48X125G 2302</t>
  </si>
  <si>
    <t>12142127252D076FRM</t>
  </si>
  <si>
    <t>Core Ketchup</t>
  </si>
  <si>
    <t>12142127252D076</t>
  </si>
  <si>
    <t>0RD_Cre Kchp_PO_125g</t>
  </si>
  <si>
    <t>0RD_Cre Kchp_PO_125g_48</t>
  </si>
  <si>
    <t>HEINZ TOM KC PCH 48X125G 2308</t>
  </si>
  <si>
    <t>12142127252B343E6R</t>
  </si>
  <si>
    <t>12142127252B343</t>
  </si>
  <si>
    <t>0RD_Cre Kchp_BL_325g</t>
  </si>
  <si>
    <t>0RD_Cre Kchp_BL_325g_24</t>
  </si>
  <si>
    <t>HEINZ TOMATO KC MAL HRP 300GR</t>
  </si>
  <si>
    <t>12142127252B345E6T</t>
  </si>
  <si>
    <t>12142127252B345</t>
  </si>
  <si>
    <t>0RD_Cre Kchp_GB_300g</t>
  </si>
  <si>
    <t>0RD_Cre Kchp_GB_300g_24</t>
  </si>
  <si>
    <t>HEINZ TOMKC USD EX 12X570G2310</t>
  </si>
  <si>
    <t>12142127252L336U03</t>
  </si>
  <si>
    <t>12142127252L336</t>
  </si>
  <si>
    <t>0RD_Cre Kchp_BL_580g</t>
  </si>
  <si>
    <t>0RD_Cre Kchp_BL_580g_12</t>
  </si>
  <si>
    <t>HEINZ SAM PLW 20X1KG 2310</t>
  </si>
  <si>
    <t>12101265573ABCA100</t>
  </si>
  <si>
    <t>Core Chili Sauce</t>
  </si>
  <si>
    <t>12101265573ABCA</t>
  </si>
  <si>
    <t>0RD_Cre Chili Sce_PO_1kg</t>
  </si>
  <si>
    <t>0RD_Cre Chili Sce_PO_1kg_20</t>
  </si>
  <si>
    <t>HEINZ SAM SCT 14X22X7G 2207</t>
  </si>
  <si>
    <t>12101265573E387G4A</t>
  </si>
  <si>
    <t>12101265573E387</t>
  </si>
  <si>
    <t>0RD_Cre Chili Sce_SA_7g</t>
  </si>
  <si>
    <t>0RD_Cre Chili Sce_SA_7g_14</t>
  </si>
  <si>
    <t>HEINZ CHILI SAUCE 24X305G 2212</t>
  </si>
  <si>
    <t>12101265573E508G94</t>
  </si>
  <si>
    <t>12101265573E508</t>
  </si>
  <si>
    <t>0RD_Cre Chili Sce_GB_305g</t>
  </si>
  <si>
    <t>0RD_Cre Chili Sce_GB_305g_24</t>
  </si>
  <si>
    <t>Chilli</t>
  </si>
  <si>
    <t>CIQC</t>
  </si>
  <si>
    <t>HEINZ CHL PLW MY 6X3.23KG 2212</t>
  </si>
  <si>
    <t>12101265573E510G98</t>
  </si>
  <si>
    <t>12101265573E510</t>
  </si>
  <si>
    <t>0RD_Cre Chili Sce_PG_3.23kg</t>
  </si>
  <si>
    <t>0RD_Cre Chili Sce_PG_3.23kg_6</t>
  </si>
  <si>
    <t>Plastic Bag</t>
  </si>
  <si>
    <t>PG</t>
  </si>
  <si>
    <t>150319 - ABC SAM TERASI PCH 48X70G</t>
  </si>
  <si>
    <t>12174108814E380G3Y</t>
  </si>
  <si>
    <t>Chili-Based Cooking Pastes</t>
  </si>
  <si>
    <t>12174108814E380</t>
  </si>
  <si>
    <t>0NM_Chli Ck Pst_PO_70g</t>
  </si>
  <si>
    <t>0NM_Chli Ck Pst_PO_70g_48</t>
  </si>
  <si>
    <t>Sambal Terasi</t>
  </si>
  <si>
    <t>SMTE</t>
  </si>
  <si>
    <t>HOMESTYLE</t>
  </si>
  <si>
    <t>Homestyle</t>
  </si>
  <si>
    <t>150319-ABC SAM TERASI PCH 48X70G 2404</t>
  </si>
  <si>
    <t>150376-ABC SAM TRSI CURAH 100X18G2410</t>
  </si>
  <si>
    <t>12174108814E381G3Z</t>
  </si>
  <si>
    <t>12174108814E381</t>
  </si>
  <si>
    <t>0NM_Chli Ck Pst_SA_18g</t>
  </si>
  <si>
    <t>0NM_Chli Ck Pst_SA_18g_100</t>
  </si>
  <si>
    <t>612069-ABC SAM EXT.TERASI 24X190G1604</t>
  </si>
  <si>
    <t>12174108814E383G41</t>
  </si>
  <si>
    <t>12174108814E383</t>
  </si>
  <si>
    <t>0NM_Chli Ck Pst_PO_180g</t>
  </si>
  <si>
    <t>0NM_Chli Ck Pst_PO_180g_24</t>
  </si>
  <si>
    <t>612070-ABC SAM EXT.TERASI 300x23G1604</t>
  </si>
  <si>
    <t>12174108814E381G44</t>
  </si>
  <si>
    <t>0NM_Chli Ck Pst_SA_18g_10</t>
  </si>
  <si>
    <t>12174108814E381G47</t>
  </si>
  <si>
    <t>0NM_Chli Ck Pst_SA_18g_120</t>
  </si>
  <si>
    <t>ABC S.TRSI 5KG4 POP120X18G2507</t>
  </si>
  <si>
    <t>ABC SAM TERASI SCT 100X20G2005</t>
  </si>
  <si>
    <t>12174108814E384G48</t>
  </si>
  <si>
    <t>12174108814E384</t>
  </si>
  <si>
    <t>0NM_Chli Ck Pst_SA_20g</t>
  </si>
  <si>
    <t>0NM_Chli Ck Pst_SA_20g_10</t>
  </si>
  <si>
    <t>Terasi</t>
  </si>
  <si>
    <t>TRSI</t>
  </si>
  <si>
    <t>612045-ABC SRDNS TOMAT DW 155G 1107</t>
  </si>
  <si>
    <t>18169232178M171TZU</t>
  </si>
  <si>
    <t>Meats</t>
  </si>
  <si>
    <t>Shelf Stable Meats</t>
  </si>
  <si>
    <t>Shelf Stable Seafood</t>
  </si>
  <si>
    <t>Canned Fish</t>
  </si>
  <si>
    <t>18169232178M171</t>
  </si>
  <si>
    <t>0NM_Can Fsh_CN_155g</t>
  </si>
  <si>
    <t>0NM_Can Fsh_CN_155g_60</t>
  </si>
  <si>
    <t>Can</t>
  </si>
  <si>
    <t>CN</t>
  </si>
  <si>
    <t>CA-CANNED FISH SARDINES</t>
  </si>
  <si>
    <t>EASY MEAL</t>
  </si>
  <si>
    <t>CANNED FISH</t>
  </si>
  <si>
    <t>CA</t>
  </si>
  <si>
    <t>612046-ABC SRDNS CHILI DW 155G 1107</t>
  </si>
  <si>
    <t>612047-ABC SRDNS EP-EOE DW 155G 1107</t>
  </si>
  <si>
    <t>612141-ABC SRDNS CHILI 24X300G 2401</t>
  </si>
  <si>
    <t>18169232178M241U3L</t>
  </si>
  <si>
    <t>18169232178M241</t>
  </si>
  <si>
    <t>0NM_Can Fsh_CN_300g</t>
  </si>
  <si>
    <t>0NM_Can Fsh_CN_300g_24</t>
  </si>
  <si>
    <t>18169232178M170TZT</t>
  </si>
  <si>
    <t>18169232178M170</t>
  </si>
  <si>
    <t>0NM_Can Fsh_CN_425g</t>
  </si>
  <si>
    <t>0NM_Can Fsh_CN_425g_24</t>
  </si>
  <si>
    <t>ABC SRDNS TOMAT DW 155G 1107</t>
  </si>
  <si>
    <t>ABC SRDN CHILI 24X425G IJP2509</t>
  </si>
  <si>
    <t>ABC SRDN CHILI60X155G IJP 2509</t>
  </si>
  <si>
    <t xml:space="preserve">ABC SRDN EP 24X425G IJP 2509  </t>
  </si>
  <si>
    <t xml:space="preserve">ABC SRDN EP 60X155G IJP 2509  </t>
  </si>
  <si>
    <t>ABC SRDN TOMAT 24X425G IJP2509</t>
  </si>
  <si>
    <t>ABC SRDN TOMAT 60X155G IJP2509</t>
  </si>
  <si>
    <t>ABC SRDN TOMAT LM 48X155G 2511</t>
  </si>
  <si>
    <t>18169232178M171K08</t>
  </si>
  <si>
    <t>0NM_Can Fsh_CN_155g_48</t>
  </si>
  <si>
    <t>ABC SRDN CHILI POP 60X155G2507</t>
  </si>
  <si>
    <t>ABC SRDN EP POP 60X155G 2507  </t>
  </si>
  <si>
    <t>ABC SRDN TOMAT POP 60X155G2507</t>
  </si>
  <si>
    <t>ABC SRDNS CHILI 24X300G 2508  </t>
  </si>
  <si>
    <t>ABC SRDNS CHILI 60X155G 2508  </t>
  </si>
  <si>
    <t>ABC SRDNS CHILI  24X425G 2508 </t>
  </si>
  <si>
    <t>ABC SRDNS EP 24X425G 2508     </t>
  </si>
  <si>
    <t>ABC SRDNS EP 60X155G 2508     </t>
  </si>
  <si>
    <t>ABC SRDNS TOMAT 24X425G 2508  </t>
  </si>
  <si>
    <t>ABC SRDNS TOMAT 60X155G 2508  </t>
  </si>
  <si>
    <t>120009-ABC SAUS ASAMMNS NL 195NL 0908</t>
  </si>
  <si>
    <t>12174108104M205U1I</t>
  </si>
  <si>
    <t>All-Other Asian Cooking Sauces</t>
  </si>
  <si>
    <t>12174108104M205</t>
  </si>
  <si>
    <t>0NM_AO Asn Ck Sce_GB_195ml</t>
  </si>
  <si>
    <t>0NM_AO Asn Ck Sce_GB_195ml_24</t>
  </si>
  <si>
    <t>Asam Manis</t>
  </si>
  <si>
    <t>ASMN</t>
  </si>
  <si>
    <t>ABC SAUS ASAMMNS NL 195NL 0908</t>
  </si>
  <si>
    <t>612060-ABC TRS UDANG 32X20X4.2G 1405</t>
  </si>
  <si>
    <t>1217410810315831MM</t>
  </si>
  <si>
    <t>All-Other Asian Cooking Pastes</t>
  </si>
  <si>
    <t>0NM_AO Asn Ck Pst_SA_3.8g</t>
  </si>
  <si>
    <t>0NM_AO Asn Ck Pst_SA_3.8g_36</t>
  </si>
  <si>
    <t>BK-SHRIMP PASTE</t>
  </si>
  <si>
    <t>BK</t>
  </si>
  <si>
    <t>1217410810315831PU</t>
  </si>
  <si>
    <t>0NM_AO Asn Ck Pst_SA_3.8g_24</t>
  </si>
  <si>
    <t>ABC TERASI SCT 24X20X3.8G 2211</t>
  </si>
  <si>
    <t>1217410810313401A5</t>
  </si>
  <si>
    <t>0NM_AO Asn Ck Pst_SA_76g</t>
  </si>
  <si>
    <t>0NM_AO Asn Ck Pst_SA_76g_24</t>
  </si>
  <si>
    <t>ABC TERASI SCT 36X20X3.8G 2211</t>
  </si>
  <si>
    <t>1217410810313401A4</t>
  </si>
  <si>
    <t>0NM_AO Asn Ck Pst_SA_76g_36</t>
  </si>
  <si>
    <t>12174108103133719X</t>
  </si>
  <si>
    <t>0NM_AO Asn Ck Pst_SA_4.2g</t>
  </si>
  <si>
    <t>0NM_AO Asn Ck Pst_SA_4.2g_36</t>
  </si>
  <si>
    <t>TERASI CURAH 20KG 1011</t>
  </si>
  <si>
    <t>1217410810313441AK</t>
  </si>
  <si>
    <t>0NM_AO Asn Ck Pst_PG_20kg</t>
  </si>
  <si>
    <t>0NM_AO Asn Ck Pst_PG_20kg_1</t>
  </si>
  <si>
    <t>7000003405</t>
  </si>
  <si>
    <t>7000003407</t>
  </si>
  <si>
    <t>7000003406</t>
  </si>
  <si>
    <t>7000000092</t>
  </si>
  <si>
    <t>7000003404</t>
  </si>
  <si>
    <t>7000003590</t>
  </si>
  <si>
    <t>7000003588</t>
  </si>
  <si>
    <t>7000003589</t>
  </si>
  <si>
    <t>7000003387</t>
  </si>
  <si>
    <t>7000003391</t>
  </si>
  <si>
    <t>7000003393</t>
  </si>
  <si>
    <t>7000003396</t>
  </si>
  <si>
    <t>7000003390</t>
  </si>
  <si>
    <t>7000003397</t>
  </si>
  <si>
    <t>7000003399</t>
  </si>
  <si>
    <t>7000003400</t>
  </si>
  <si>
    <t>7000003388</t>
  </si>
  <si>
    <t>7000003394</t>
  </si>
  <si>
    <t>7000003395</t>
  </si>
  <si>
    <t>7000003385</t>
  </si>
  <si>
    <t>7000003389</t>
  </si>
  <si>
    <t>7000003398</t>
  </si>
  <si>
    <t>7000003386</t>
  </si>
  <si>
    <t>7000003392</t>
  </si>
  <si>
    <t>7000003402</t>
  </si>
  <si>
    <t>7000003401</t>
  </si>
  <si>
    <t>7000003603</t>
  </si>
  <si>
    <t>7000003605</t>
  </si>
  <si>
    <t>7000003606</t>
  </si>
  <si>
    <t>7000003602</t>
  </si>
  <si>
    <t>7000003604</t>
  </si>
  <si>
    <t>7000003294</t>
  </si>
  <si>
    <t>7000003295</t>
  </si>
  <si>
    <t>7000003296</t>
  </si>
  <si>
    <t>7000003342</t>
  </si>
  <si>
    <t>7000003349</t>
  </si>
  <si>
    <t>7000003315</t>
  </si>
  <si>
    <t>7000003348</t>
  </si>
  <si>
    <t>7000003291</t>
  </si>
  <si>
    <t>7000003347</t>
  </si>
  <si>
    <t>7000003343</t>
  </si>
  <si>
    <t>7000003316</t>
  </si>
  <si>
    <t>7000003302</t>
  </si>
  <si>
    <t>7000003276</t>
  </si>
  <si>
    <t>7000003277</t>
  </si>
  <si>
    <t>7000003292</t>
  </si>
  <si>
    <t>7000003303</t>
  </si>
  <si>
    <t>7000003293</t>
  </si>
  <si>
    <t>7000003304</t>
  </si>
  <si>
    <t>7000003290</t>
  </si>
  <si>
    <t>7000003301</t>
  </si>
  <si>
    <t>7000003306</t>
  </si>
  <si>
    <t>7000003297</t>
  </si>
  <si>
    <t>7000003286</t>
  </si>
  <si>
    <t>7000003281</t>
  </si>
  <si>
    <t>7000003305</t>
  </si>
  <si>
    <t>7000003282</t>
  </si>
  <si>
    <t>7000003299</t>
  </si>
  <si>
    <t>7000003287</t>
  </si>
  <si>
    <t>7000003300</t>
  </si>
  <si>
    <t>7000003289</t>
  </si>
  <si>
    <t>7000003298</t>
  </si>
  <si>
    <t>7000003288</t>
  </si>
  <si>
    <t>7000003345</t>
  </si>
  <si>
    <t>7000003309</t>
  </si>
  <si>
    <t>7000003283</t>
  </si>
  <si>
    <t>7000003284</t>
  </si>
  <si>
    <t>7000003314</t>
  </si>
  <si>
    <t>7000003319</t>
  </si>
  <si>
    <t>7000003320</t>
  </si>
  <si>
    <t>7000003321</t>
  </si>
  <si>
    <t>7000003322</t>
  </si>
  <si>
    <t>7000003323</t>
  </si>
  <si>
    <t>7000003324</t>
  </si>
  <si>
    <t>7000003325</t>
  </si>
  <si>
    <t>7000003326</t>
  </si>
  <si>
    <t>7000003327</t>
  </si>
  <si>
    <t>7000003328</t>
  </si>
  <si>
    <t>7000003352</t>
  </si>
  <si>
    <t>7000003329</t>
  </si>
  <si>
    <t>7000003330</t>
  </si>
  <si>
    <t>7000003331</t>
  </si>
  <si>
    <t>7000003553</t>
  </si>
  <si>
    <t>7200000040</t>
  </si>
  <si>
    <t>7200000032</t>
  </si>
  <si>
    <t>7000000111</t>
  </si>
  <si>
    <t>7000003552</t>
  </si>
  <si>
    <t>7000003558</t>
  </si>
  <si>
    <t>7000003545</t>
  </si>
  <si>
    <t>7000000112</t>
  </si>
  <si>
    <t>7000003561</t>
  </si>
  <si>
    <t>7000003563</t>
  </si>
  <si>
    <t>7000003556</t>
  </si>
  <si>
    <t>7000003559</t>
  </si>
  <si>
    <t>7000003550</t>
  </si>
  <si>
    <t>7000003562</t>
  </si>
  <si>
    <t>7000003551</t>
  </si>
  <si>
    <t>7000003546</t>
  </si>
  <si>
    <t>7000003557</t>
  </si>
  <si>
    <t>7000003544</t>
  </si>
  <si>
    <t>7000003560</t>
  </si>
  <si>
    <t>7000003555</t>
  </si>
  <si>
    <t>7000003335</t>
  </si>
  <si>
    <t>7000003337</t>
  </si>
  <si>
    <t>7000003334</t>
  </si>
  <si>
    <t>7000003336</t>
  </si>
  <si>
    <t>7000003338</t>
  </si>
  <si>
    <t>7000003340</t>
  </si>
  <si>
    <t>7000003339</t>
  </si>
  <si>
    <t>7000003341</t>
  </si>
  <si>
    <t>7000003260</t>
  </si>
  <si>
    <t>7000003272</t>
  </si>
  <si>
    <t>7000003307</t>
  </si>
  <si>
    <t>7000003278</t>
  </si>
  <si>
    <t>7000003263</t>
  </si>
  <si>
    <t>7000003214</t>
  </si>
  <si>
    <t>7000003255</t>
  </si>
  <si>
    <t>7000003261</t>
  </si>
  <si>
    <t>7000003257</t>
  </si>
  <si>
    <t>7000003262</t>
  </si>
  <si>
    <t>7000003256</t>
  </si>
  <si>
    <t>7000003197</t>
  </si>
  <si>
    <t>7000003216</t>
  </si>
  <si>
    <t>7000003232</t>
  </si>
  <si>
    <t>7000003192</t>
  </si>
  <si>
    <t>7000003227</t>
  </si>
  <si>
    <t>7000003215</t>
  </si>
  <si>
    <t>7000003191</t>
  </si>
  <si>
    <t>7000003218</t>
  </si>
  <si>
    <t>7000003226</t>
  </si>
  <si>
    <t>7000003243</t>
  </si>
  <si>
    <t>7000003220</t>
  </si>
  <si>
    <t>7000003245</t>
  </si>
  <si>
    <t>7000003219</t>
  </si>
  <si>
    <t>7000003239</t>
  </si>
  <si>
    <t>7000003249</t>
  </si>
  <si>
    <t>7000003237</t>
  </si>
  <si>
    <t>7000003248</t>
  </si>
  <si>
    <t>7000003233</t>
  </si>
  <si>
    <t>7000003247</t>
  </si>
  <si>
    <t>7000003217</t>
  </si>
  <si>
    <t>7000003205</t>
  </si>
  <si>
    <t>7000003206</t>
  </si>
  <si>
    <t>7000003223</t>
  </si>
  <si>
    <t>7000003254</t>
  </si>
  <si>
    <t>7000003212</t>
  </si>
  <si>
    <t>7000003210</t>
  </si>
  <si>
    <t>7000003204</t>
  </si>
  <si>
    <t>7000003196</t>
  </si>
  <si>
    <t>7000003241</t>
  </si>
  <si>
    <t>7000003236</t>
  </si>
  <si>
    <t>7000000118</t>
  </si>
  <si>
    <t>7000003225</t>
  </si>
  <si>
    <t>7000003242</t>
  </si>
  <si>
    <t>7000003240</t>
  </si>
  <si>
    <t>7000003229</t>
  </si>
  <si>
    <t>7000003244</t>
  </si>
  <si>
    <t>7000003264</t>
  </si>
  <si>
    <t>7000003273</t>
  </si>
  <si>
    <t>7000003221</t>
  </si>
  <si>
    <t>7000003246</t>
  </si>
  <si>
    <t>7000003265</t>
  </si>
  <si>
    <t>7000003308</t>
  </si>
  <si>
    <t>7000003238</t>
  </si>
  <si>
    <t>7000003251</t>
  </si>
  <si>
    <t>7000003267</t>
  </si>
  <si>
    <t>7000003279</t>
  </si>
  <si>
    <t>7000003234</t>
  </si>
  <si>
    <t>7000003250</t>
  </si>
  <si>
    <t>7000003266</t>
  </si>
  <si>
    <t>7000003228</t>
  </si>
  <si>
    <t>7000003268</t>
  </si>
  <si>
    <t>7000003207</t>
  </si>
  <si>
    <t>7000003208</t>
  </si>
  <si>
    <t>7000003213</t>
  </si>
  <si>
    <t>7000003231</t>
  </si>
  <si>
    <t>7000003271</t>
  </si>
  <si>
    <t>7000003275</t>
  </si>
  <si>
    <t>7000003222</t>
  </si>
  <si>
    <t>7000003230</t>
  </si>
  <si>
    <t>7000003270</t>
  </si>
  <si>
    <t>7000003211</t>
  </si>
  <si>
    <t>7000003258</t>
  </si>
  <si>
    <t>7000003269</t>
  </si>
  <si>
    <t>7000003274</t>
  </si>
  <si>
    <t>7000003224</t>
  </si>
  <si>
    <t>7000003209</t>
  </si>
  <si>
    <t>7000003200</t>
  </si>
  <si>
    <t>7000003198</t>
  </si>
  <si>
    <t>7000003202</t>
  </si>
  <si>
    <t>7000003194</t>
  </si>
  <si>
    <t>7000003195</t>
  </si>
  <si>
    <t>7000003203</t>
  </si>
  <si>
    <t>7000003235</t>
  </si>
  <si>
    <t>7000003199</t>
  </si>
  <si>
    <t>7000003193</t>
  </si>
  <si>
    <t>7000003333</t>
  </si>
  <si>
    <t>7000003332</t>
  </si>
  <si>
    <t>7000003201</t>
  </si>
  <si>
    <t>7000000110</t>
  </si>
  <si>
    <t>7000003581</t>
  </si>
  <si>
    <t>7000003566</t>
  </si>
  <si>
    <t>7000003584</t>
  </si>
  <si>
    <t>7000003585</t>
  </si>
  <si>
    <t>7000003353</t>
  </si>
  <si>
    <t>7000003312</t>
  </si>
  <si>
    <t>7000003583</t>
  </si>
  <si>
    <t>7000003311</t>
  </si>
  <si>
    <t>7000003600</t>
  </si>
  <si>
    <t>7000003599</t>
  </si>
  <si>
    <t>7000003153</t>
  </si>
  <si>
    <t>7000003154</t>
  </si>
  <si>
    <t>7000003155</t>
  </si>
  <si>
    <t>7000003543</t>
  </si>
  <si>
    <t>7000003152</t>
  </si>
  <si>
    <t>7000000103</t>
  </si>
  <si>
    <t>7000003539</t>
  </si>
  <si>
    <t>7000003541</t>
  </si>
  <si>
    <t>7000003540</t>
  </si>
  <si>
    <t>7000003580</t>
  </si>
  <si>
    <t>7000003098</t>
  </si>
  <si>
    <t>7000003109</t>
  </si>
  <si>
    <t>7000003099</t>
  </si>
  <si>
    <t>7000003100</t>
  </si>
  <si>
    <t>7000003110</t>
  </si>
  <si>
    <t>7000003128</t>
  </si>
  <si>
    <t>7000003131</t>
  </si>
  <si>
    <t>7000003123</t>
  </si>
  <si>
    <t>7000003144</t>
  </si>
  <si>
    <t>7000003139</t>
  </si>
  <si>
    <t>7000003114</t>
  </si>
  <si>
    <t>7000003108</t>
  </si>
  <si>
    <t>7000003107</t>
  </si>
  <si>
    <t>7000003111</t>
  </si>
  <si>
    <t>7000003143</t>
  </si>
  <si>
    <t>7000003142</t>
  </si>
  <si>
    <t>7000003113</t>
  </si>
  <si>
    <t>7000003105</t>
  </si>
  <si>
    <t>7000003116</t>
  </si>
  <si>
    <t>7000003146</t>
  </si>
  <si>
    <t>7000003138</t>
  </si>
  <si>
    <t>7000003141</t>
  </si>
  <si>
    <t>7000003119</t>
  </si>
  <si>
    <t>7000003118</t>
  </si>
  <si>
    <t>7000003137</t>
  </si>
  <si>
    <t>7000003150</t>
  </si>
  <si>
    <t>7000003106</t>
  </si>
  <si>
    <t>7000003129</t>
  </si>
  <si>
    <t>7000003120</t>
  </si>
  <si>
    <t>7000003132</t>
  </si>
  <si>
    <t>7000003124</t>
  </si>
  <si>
    <t>7000003145</t>
  </si>
  <si>
    <t>7000003125</t>
  </si>
  <si>
    <t>7000003115</t>
  </si>
  <si>
    <t>7000003121</t>
  </si>
  <si>
    <t>7000003140</t>
  </si>
  <si>
    <t>7000003117</t>
  </si>
  <si>
    <t>7000003112</t>
  </si>
  <si>
    <t>7000003148</t>
  </si>
  <si>
    <t>7000003136</t>
  </si>
  <si>
    <t>7000003147</t>
  </si>
  <si>
    <t>7000003122</t>
  </si>
  <si>
    <t>7000003512</t>
  </si>
  <si>
    <t>7000003514</t>
  </si>
  <si>
    <t>7000003522</t>
  </si>
  <si>
    <t>7000003502</t>
  </si>
  <si>
    <t>7000003503</t>
  </si>
  <si>
    <t>7000003511</t>
  </si>
  <si>
    <t>7000003528</t>
  </si>
  <si>
    <t>7000003513</t>
  </si>
  <si>
    <t>7000003531</t>
  </si>
  <si>
    <t>7000000867</t>
  </si>
  <si>
    <t>7000003535</t>
  </si>
  <si>
    <t>7000003536</t>
  </si>
  <si>
    <t>7000003515</t>
  </si>
  <si>
    <t>7000003529</t>
  </si>
  <si>
    <t>7000003534</t>
  </si>
  <si>
    <t>7000003527</t>
  </si>
  <si>
    <t>7000003521</t>
  </si>
  <si>
    <t>7000003530</t>
  </si>
  <si>
    <t>7000003532</t>
  </si>
  <si>
    <t>7000003533</t>
  </si>
  <si>
    <t>7200000031</t>
  </si>
  <si>
    <t>7000003478</t>
  </si>
  <si>
    <t>7000003089</t>
  </si>
  <si>
    <t>7000003096</t>
  </si>
  <si>
    <t>7000003093</t>
  </si>
  <si>
    <t>7000003092</t>
  </si>
  <si>
    <t>7000003130</t>
  </si>
  <si>
    <t>7000003088</t>
  </si>
  <si>
    <t>7000003087</t>
  </si>
  <si>
    <t>7000003091</t>
  </si>
  <si>
    <t>7000003090</t>
  </si>
  <si>
    <t>7000003059</t>
  </si>
  <si>
    <t>7000003060</t>
  </si>
  <si>
    <t>7000003085</t>
  </si>
  <si>
    <t>7000003077</t>
  </si>
  <si>
    <t>7000003076</t>
  </si>
  <si>
    <t>7000003078</t>
  </si>
  <si>
    <t>7000003066</t>
  </si>
  <si>
    <t>7000003065</t>
  </si>
  <si>
    <t>7000003103</t>
  </si>
  <si>
    <t>7000003104</t>
  </si>
  <si>
    <t>7000003072</t>
  </si>
  <si>
    <t>7000003079</t>
  </si>
  <si>
    <t>7000003101</t>
  </si>
  <si>
    <t>7000003071</t>
  </si>
  <si>
    <t>7000003073</t>
  </si>
  <si>
    <t>7000003102</t>
  </si>
  <si>
    <t>7000003070</t>
  </si>
  <si>
    <t>7000003080</t>
  </si>
  <si>
    <t>7000003095</t>
  </si>
  <si>
    <t>7000003074</t>
  </si>
  <si>
    <t>7000003069</t>
  </si>
  <si>
    <t>7000003094</t>
  </si>
  <si>
    <t>7000003058</t>
  </si>
  <si>
    <t>7000003057</t>
  </si>
  <si>
    <t>7000003084</t>
  </si>
  <si>
    <t>7000003083</t>
  </si>
  <si>
    <t>7000003133</t>
  </si>
  <si>
    <t>7000003135</t>
  </si>
  <si>
    <t>7000003134</t>
  </si>
  <si>
    <t>7000003067</t>
  </si>
  <si>
    <t>7000003064</t>
  </si>
  <si>
    <t>7000003068</t>
  </si>
  <si>
    <t>7000003486</t>
  </si>
  <si>
    <t>7000000102</t>
  </si>
  <si>
    <t>7000003469</t>
  </si>
  <si>
    <t>7000003474</t>
  </si>
  <si>
    <t>7000003504</t>
  </si>
  <si>
    <t>7000003466</t>
  </si>
  <si>
    <t>7000003061</t>
  </si>
  <si>
    <t>7000003097</t>
  </si>
  <si>
    <t>7000000099</t>
  </si>
  <si>
    <t>7000000098</t>
  </si>
  <si>
    <t>7000000097</t>
  </si>
  <si>
    <t>7000000101</t>
  </si>
  <si>
    <t>7000000100</t>
  </si>
  <si>
    <t>7000003462</t>
  </si>
  <si>
    <t>7000003542</t>
  </si>
  <si>
    <t>7000003468</t>
  </si>
  <si>
    <t>7000003507</t>
  </si>
  <si>
    <t>7000003518</t>
  </si>
  <si>
    <t>7000003506</t>
  </si>
  <si>
    <t>7000003519</t>
  </si>
  <si>
    <t>7000003505</t>
  </si>
  <si>
    <t>7000003517</t>
  </si>
  <si>
    <t>7000003508</t>
  </si>
  <si>
    <t>7000003520</t>
  </si>
  <si>
    <t>7000003516</t>
  </si>
  <si>
    <t>7000003488</t>
  </si>
  <si>
    <t>7000003485</t>
  </si>
  <si>
    <t>7000003490</t>
  </si>
  <si>
    <t>7000003489</t>
  </si>
  <si>
    <t>7000003496</t>
  </si>
  <si>
    <t>7000003495</t>
  </si>
  <si>
    <t>7000003491</t>
  </si>
  <si>
    <t>7000003475</t>
  </si>
  <si>
    <t>7000003473</t>
  </si>
  <si>
    <t>7000003472</t>
  </si>
  <si>
    <t>7000003471</t>
  </si>
  <si>
    <t>7000003476</t>
  </si>
  <si>
    <t>7000003470</t>
  </si>
  <si>
    <t>7000003499</t>
  </si>
  <si>
    <t>7000003497</t>
  </si>
  <si>
    <t>7000003484</t>
  </si>
  <si>
    <t>7000003465</t>
  </si>
  <si>
    <t>7000003498</t>
  </si>
  <si>
    <t>7000003509</t>
  </si>
  <si>
    <t>7000003492</t>
  </si>
  <si>
    <t>7000003494</t>
  </si>
  <si>
    <t>7000003493</t>
  </si>
  <si>
    <t>7000000093</t>
  </si>
  <si>
    <t>7000003501</t>
  </si>
  <si>
    <t>7000000095</t>
  </si>
  <si>
    <t>7000003500</t>
  </si>
  <si>
    <t>7000003483</t>
  </si>
  <si>
    <t>7000003477</t>
  </si>
  <si>
    <t>7000003081</t>
  </si>
  <si>
    <t>7000003062</t>
  </si>
  <si>
    <t>7000003075</t>
  </si>
  <si>
    <t>7000003056</t>
  </si>
  <si>
    <t>7000003086</t>
  </si>
  <si>
    <t>7000003082</t>
  </si>
  <si>
    <t>7000003063</t>
  </si>
  <si>
    <t>7000003126</t>
  </si>
  <si>
    <t>7000003127</t>
  </si>
  <si>
    <t>7000003579</t>
  </si>
  <si>
    <t>7000003149</t>
  </si>
  <si>
    <t>7000003151</t>
  </si>
  <si>
    <t>7000003523</t>
  </si>
  <si>
    <t>7000003524</t>
  </si>
  <si>
    <t>7000003525</t>
  </si>
  <si>
    <t>7000003592</t>
  </si>
  <si>
    <t>7000003593</t>
  </si>
  <si>
    <t>7000003526</t>
  </si>
  <si>
    <t>7000003597</t>
  </si>
  <si>
    <t>7000003617</t>
  </si>
  <si>
    <t>7000003618</t>
  </si>
  <si>
    <t>7000003619</t>
  </si>
  <si>
    <t>7000003620</t>
  </si>
  <si>
    <t>7000003419</t>
  </si>
  <si>
    <t>7000003377</t>
  </si>
  <si>
    <t>7000003376</t>
  </si>
  <si>
    <t>7000003361</t>
  </si>
  <si>
    <t>7000003370</t>
  </si>
  <si>
    <t>7000003359</t>
  </si>
  <si>
    <t>7000003360</t>
  </si>
  <si>
    <t>7000003369</t>
  </si>
  <si>
    <t>7000003587</t>
  </si>
  <si>
    <t>7000003601</t>
  </si>
  <si>
    <t>7000003382</t>
  </si>
  <si>
    <t>7000003381</t>
  </si>
  <si>
    <t>7000003383</t>
  </si>
  <si>
    <t>7000003364</t>
  </si>
  <si>
    <t>7000003372</t>
  </si>
  <si>
    <t>7000003362</t>
  </si>
  <si>
    <t>7000003371</t>
  </si>
  <si>
    <t>7000003367</t>
  </si>
  <si>
    <t>7000003356</t>
  </si>
  <si>
    <t>7000003354</t>
  </si>
  <si>
    <t>7000003384</t>
  </si>
  <si>
    <t>7000003379</t>
  </si>
  <si>
    <t>7000003380</t>
  </si>
  <si>
    <t>7000003378</t>
  </si>
  <si>
    <t>7000003366</t>
  </si>
  <si>
    <t>7000003365</t>
  </si>
  <si>
    <t>7000003363</t>
  </si>
  <si>
    <t>7000003355</t>
  </si>
  <si>
    <t>7000003358</t>
  </si>
  <si>
    <t>7000003357</t>
  </si>
  <si>
    <t>7000003586</t>
  </si>
  <si>
    <t>7000003185</t>
  </si>
  <si>
    <t>7000003188</t>
  </si>
  <si>
    <t>7000003190</t>
  </si>
  <si>
    <t>7000003186</t>
  </si>
  <si>
    <t>7000003187</t>
  </si>
  <si>
    <t>7000003189</t>
  </si>
  <si>
    <t>7000003184</t>
  </si>
  <si>
    <t>7000003582</t>
  </si>
  <si>
    <t>7000003418</t>
  </si>
  <si>
    <t>7000003415</t>
  </si>
  <si>
    <t>7000003425</t>
  </si>
  <si>
    <t>7000003424</t>
  </si>
  <si>
    <t>7000003422</t>
  </si>
  <si>
    <t>7000003423</t>
  </si>
  <si>
    <t>7000003420</t>
  </si>
  <si>
    <t>7000003421</t>
  </si>
  <si>
    <t>7000003573</t>
  </si>
  <si>
    <t>7000003574</t>
  </si>
  <si>
    <t>7000003575</t>
  </si>
  <si>
    <t>7000003414</t>
  </si>
  <si>
    <t>7000003412</t>
  </si>
  <si>
    <t>7000003413</t>
  </si>
  <si>
    <t>7000003408</t>
  </si>
  <si>
    <t>7000003410</t>
  </si>
  <si>
    <t>7000003411</t>
  </si>
  <si>
    <t>7000003409</t>
  </si>
  <si>
    <t>7000003596</t>
  </si>
  <si>
    <t>7000003594</t>
  </si>
  <si>
    <t>7000003595</t>
  </si>
  <si>
    <t>7000003430</t>
  </si>
  <si>
    <t>7000003426</t>
  </si>
  <si>
    <t>7000003427</t>
  </si>
  <si>
    <t>7000003428</t>
  </si>
  <si>
    <t>7000003429</t>
  </si>
  <si>
    <t>7000003416</t>
  </si>
  <si>
    <t>7000003417</t>
  </si>
  <si>
    <t>7000003174</t>
  </si>
  <si>
    <t>7000003176</t>
  </si>
  <si>
    <t>7000003172</t>
  </si>
  <si>
    <t>7000003175</t>
  </si>
  <si>
    <t>7000003183</t>
  </si>
  <si>
    <t>7000003181</t>
  </si>
  <si>
    <t>7000003161</t>
  </si>
  <si>
    <t>7000003163</t>
  </si>
  <si>
    <t>7000003166</t>
  </si>
  <si>
    <t>7000003169</t>
  </si>
  <si>
    <t>7000003162</t>
  </si>
  <si>
    <t>7000003165</t>
  </si>
  <si>
    <t>7000003156</t>
  </si>
  <si>
    <t>7000003157</t>
  </si>
  <si>
    <t>7000003164</t>
  </si>
  <si>
    <t>7000003167</t>
  </si>
  <si>
    <t>7000003168</t>
  </si>
  <si>
    <t>7000003171</t>
  </si>
  <si>
    <t>7000003598</t>
  </si>
  <si>
    <t>7000003458</t>
  </si>
  <si>
    <t>7000003461</t>
  </si>
  <si>
    <t>7000003578</t>
  </si>
  <si>
    <t>7000003459</t>
  </si>
  <si>
    <t>7000003576</t>
  </si>
  <si>
    <t>7000003460</t>
  </si>
  <si>
    <t>7000003577</t>
  </si>
  <si>
    <t>7000003177</t>
  </si>
  <si>
    <t>7000003178</t>
  </si>
  <si>
    <t>7000003160</t>
  </si>
  <si>
    <t>7000003179</t>
  </si>
  <si>
    <t>7000003180</t>
  </si>
  <si>
    <t>7000003159</t>
  </si>
  <si>
    <t>7000003368</t>
  </si>
  <si>
    <t>7000003375</t>
  </si>
  <si>
    <t>7000000122</t>
  </si>
  <si>
    <t>7000000120</t>
  </si>
  <si>
    <t>7000003374</t>
  </si>
  <si>
    <t>7000003373</t>
  </si>
  <si>
    <t>7000000119</t>
  </si>
  <si>
    <t>7000000123</t>
  </si>
  <si>
    <t>7000003280</t>
  </si>
  <si>
    <t>7000003259</t>
  </si>
  <si>
    <t>7000000825</t>
  </si>
  <si>
    <t>7000000108</t>
  </si>
  <si>
    <t>7000003285</t>
  </si>
  <si>
    <t>7000003317</t>
  </si>
  <si>
    <t>7000003318</t>
  </si>
  <si>
    <t>7000003310</t>
  </si>
  <si>
    <t>7000003346</t>
  </si>
  <si>
    <t>7000003313</t>
  </si>
  <si>
    <t>7000003344</t>
  </si>
  <si>
    <t>7000003350</t>
  </si>
  <si>
    <t>7000003351</t>
  </si>
  <si>
    <t>7000003252</t>
  </si>
  <si>
    <t>7000003440</t>
  </si>
  <si>
    <t>7000003253</t>
  </si>
  <si>
    <t>7000003439</t>
  </si>
  <si>
    <t>7000003455</t>
  </si>
  <si>
    <t>7000003456</t>
  </si>
  <si>
    <t>7000003457</t>
  </si>
  <si>
    <t>7000003448</t>
  </si>
  <si>
    <t>7000003444</t>
  </si>
  <si>
    <t>7000003436</t>
  </si>
  <si>
    <t>7000003433</t>
  </si>
  <si>
    <t>7000003437</t>
  </si>
  <si>
    <t>7000003434</t>
  </si>
  <si>
    <t>7000003435</t>
  </si>
  <si>
    <t>7000003432</t>
  </si>
  <si>
    <t>7000003449</t>
  </si>
  <si>
    <t>7000003450</t>
  </si>
  <si>
    <t>7000003451</t>
  </si>
  <si>
    <t>7000003452</t>
  </si>
  <si>
    <t>7000003453</t>
  </si>
  <si>
    <t>7000003454</t>
  </si>
  <si>
    <t>7000003591</t>
  </si>
  <si>
    <t>7000003615</t>
  </si>
  <si>
    <t>7000003616</t>
  </si>
  <si>
    <t>7000003614</t>
  </si>
  <si>
    <t>7000003613</t>
  </si>
  <si>
    <t>7000003611</t>
  </si>
  <si>
    <t>7000003608</t>
  </si>
  <si>
    <t>7000003609</t>
  </si>
  <si>
    <t>7000003612</t>
  </si>
  <si>
    <t>7000003607</t>
  </si>
  <si>
    <t>7000003610</t>
  </si>
  <si>
    <t>7000003173</t>
  </si>
  <si>
    <t>7000003170</t>
  </si>
  <si>
    <t>7000003158</t>
  </si>
  <si>
    <t>7000003447</t>
  </si>
  <si>
    <t>7000003446</t>
  </si>
  <si>
    <t>7000003445</t>
  </si>
  <si>
    <t>7000003442</t>
  </si>
  <si>
    <t>7000003441</t>
  </si>
  <si>
    <t>7000003443</t>
  </si>
  <si>
    <t>7000003438</t>
  </si>
  <si>
    <t>7000003431</t>
  </si>
  <si>
    <t>ABC SRDNS EP 24X425G 2508</t>
  </si>
  <si>
    <t>ABC SRDNS EP 60 X 155G 2508</t>
  </si>
  <si>
    <t>ABC SAM EP SCT 21X22X8GNEW</t>
  </si>
  <si>
    <t>ABC SAM AS SCT 21X22X8GNEW2602</t>
  </si>
  <si>
    <t>0N</t>
  </si>
  <si>
    <t>A1120006000810N</t>
  </si>
  <si>
    <t>ABC SAMBAL ASLI 8 GR X 21 PACK PCSX22 NEW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</si>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</sst>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Aptos Narrow"/>
      <family val="2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protection locked="0"/>
    </xf>
    <xf numFmtId="41" fontId="5" fillId="0" borderId="0">
      <alignment vertical="top"/>
      <protection locked="0"/>
    </xf>
    <xf numFmtId="0" fontId="7" fillId="0" borderId="0">
      <alignment vertical="center"/>
    </xf>
  </cellStyleXfs>
  <cellXfs count="15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0" fillId="0" borderId="0" xfId="0" pivotButton="1"/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164" fontId="15" fillId="8" borderId="0" xfId="1" applyNumberFormat="1" applyFont="1" applyFill="1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164" fontId="17" fillId="2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64" fontId="12" fillId="7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 wrapText="1"/>
    </xf>
    <xf numFmtId="164" fontId="12" fillId="9" borderId="0" xfId="1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14" fontId="2" fillId="0" borderId="0" xfId="0" quotePrefix="1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13" fillId="2" borderId="10" xfId="1" applyNumberFormat="1" applyFont="1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/>
    <xf numFmtId="0" fontId="6" fillId="11" borderId="12" xfId="0" applyFont="1" applyFill="1" applyBorder="1" applyAlignment="1">
      <alignment horizontal="center" vertical="center" wrapText="1"/>
    </xf>
    <xf numFmtId="164" fontId="0" fillId="0" borderId="0" xfId="0" applyNumberFormat="1"/>
    <xf numFmtId="0" fontId="6" fillId="11" borderId="15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49" fontId="2" fillId="5" borderId="0" xfId="0" applyNumberFormat="1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49" fontId="2" fillId="5" borderId="0" xfId="0" quotePrefix="1" applyNumberFormat="1" applyFont="1" applyFill="1" applyAlignment="1">
      <alignment horizontal="center" vertical="center"/>
    </xf>
    <xf numFmtId="164" fontId="2" fillId="5" borderId="0" xfId="1" applyNumberFormat="1" applyFont="1" applyFill="1" applyBorder="1" applyAlignment="1">
      <alignment horizontal="center" vertical="center"/>
    </xf>
    <xf numFmtId="164" fontId="2" fillId="5" borderId="0" xfId="1" applyNumberFormat="1" applyFont="1" applyFill="1" applyAlignment="1">
      <alignment horizontal="center" vertical="center"/>
    </xf>
    <xf numFmtId="14" fontId="2" fillId="5" borderId="0" xfId="0" quotePrefix="1" applyNumberFormat="1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quotePrefix="1" applyFont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  <xf numFmtId="0" fontId="0" fillId="12" borderId="0" xfId="0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1" fontId="0" fillId="12" borderId="12" xfId="0" applyNumberForma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left" vertical="center"/>
    </xf>
    <xf numFmtId="49" fontId="2" fillId="12" borderId="0" xfId="0" applyNumberFormat="1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49" fontId="2" fillId="12" borderId="0" xfId="0" quotePrefix="1" applyNumberFormat="1" applyFont="1" applyFill="1" applyAlignment="1">
      <alignment horizontal="center" vertical="center"/>
    </xf>
    <xf numFmtId="164" fontId="2" fillId="12" borderId="0" xfId="1" applyNumberFormat="1" applyFont="1" applyFill="1" applyBorder="1" applyAlignment="1">
      <alignment horizontal="center" vertical="center"/>
    </xf>
    <xf numFmtId="164" fontId="2" fillId="12" borderId="0" xfId="1" applyNumberFormat="1" applyFont="1" applyFill="1" applyAlignment="1">
      <alignment horizontal="center" vertical="center"/>
    </xf>
    <xf numFmtId="14" fontId="2" fillId="12" borderId="0" xfId="0" quotePrefix="1" applyNumberFormat="1" applyFont="1" applyFill="1" applyAlignment="1">
      <alignment horizontal="center" vertical="center"/>
    </xf>
    <xf numFmtId="14" fontId="2" fillId="12" borderId="0" xfId="0" applyNumberFormat="1" applyFont="1" applyFill="1" applyAlignment="1">
      <alignment horizontal="center" vertical="center"/>
    </xf>
    <xf numFmtId="0" fontId="2" fillId="12" borderId="0" xfId="0" quotePrefix="1" applyFont="1" applyFill="1" applyAlignment="1">
      <alignment horizontal="center" vertical="center"/>
    </xf>
    <xf numFmtId="0" fontId="0" fillId="12" borderId="0" xfId="0" quotePrefix="1" applyFill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0" fontId="0" fillId="12" borderId="0" xfId="0" applyFill="1"/>
    <xf numFmtId="164" fontId="0" fillId="12" borderId="0" xfId="0" applyNumberFormat="1" applyFill="1"/>
    <xf numFmtId="0" fontId="0" fillId="13" borderId="0" xfId="0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" fontId="0" fillId="13" borderId="12" xfId="0" applyNumberForma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49" fontId="2" fillId="13" borderId="0" xfId="0" applyNumberFormat="1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49" fontId="2" fillId="13" borderId="0" xfId="0" quotePrefix="1" applyNumberFormat="1" applyFont="1" applyFill="1" applyAlignment="1">
      <alignment horizontal="center" vertical="center"/>
    </xf>
    <xf numFmtId="164" fontId="2" fillId="13" borderId="0" xfId="1" applyNumberFormat="1" applyFont="1" applyFill="1" applyBorder="1" applyAlignment="1">
      <alignment horizontal="center" vertical="center"/>
    </xf>
    <xf numFmtId="164" fontId="2" fillId="13" borderId="0" xfId="1" applyNumberFormat="1" applyFont="1" applyFill="1" applyAlignment="1">
      <alignment horizontal="center" vertical="center"/>
    </xf>
    <xf numFmtId="14" fontId="2" fillId="13" borderId="0" xfId="0" quotePrefix="1" applyNumberFormat="1" applyFont="1" applyFill="1" applyAlignment="1">
      <alignment horizontal="center" vertical="center"/>
    </xf>
    <xf numFmtId="14" fontId="2" fillId="13" borderId="0" xfId="0" applyNumberFormat="1" applyFont="1" applyFill="1" applyAlignment="1">
      <alignment horizontal="center" vertical="center"/>
    </xf>
    <xf numFmtId="0" fontId="2" fillId="13" borderId="0" xfId="0" quotePrefix="1" applyFont="1" applyFill="1" applyAlignment="1">
      <alignment horizontal="center" vertical="center"/>
    </xf>
    <xf numFmtId="0" fontId="0" fillId="13" borderId="0" xfId="0" quotePrefix="1" applyFill="1" applyAlignment="1">
      <alignment horizontal="center" vertical="center"/>
    </xf>
    <xf numFmtId="164" fontId="0" fillId="13" borderId="0" xfId="0" applyNumberFormat="1" applyFill="1" applyAlignment="1">
      <alignment horizontal="center" vertical="center"/>
    </xf>
    <xf numFmtId="0" fontId="0" fillId="13" borderId="0" xfId="0" applyFill="1"/>
    <xf numFmtId="164" fontId="0" fillId="13" borderId="0" xfId="0" applyNumberFormat="1" applyFill="1"/>
    <xf numFmtId="0" fontId="0" fillId="14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1" fontId="0" fillId="14" borderId="12" xfId="0" applyNumberFormat="1" applyFill="1" applyBorder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49" fontId="2" fillId="14" borderId="0" xfId="0" applyNumberFormat="1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49" fontId="2" fillId="14" borderId="0" xfId="0" quotePrefix="1" applyNumberFormat="1" applyFont="1" applyFill="1" applyAlignment="1">
      <alignment horizontal="center" vertical="center"/>
    </xf>
    <xf numFmtId="164" fontId="2" fillId="14" borderId="0" xfId="1" applyNumberFormat="1" applyFont="1" applyFill="1" applyBorder="1" applyAlignment="1">
      <alignment horizontal="center" vertical="center"/>
    </xf>
    <xf numFmtId="164" fontId="2" fillId="14" borderId="0" xfId="1" applyNumberFormat="1" applyFont="1" applyFill="1" applyAlignment="1">
      <alignment horizontal="center" vertical="center"/>
    </xf>
    <xf numFmtId="14" fontId="2" fillId="14" borderId="0" xfId="0" quotePrefix="1" applyNumberFormat="1" applyFont="1" applyFill="1" applyAlignment="1">
      <alignment horizontal="center" vertical="center"/>
    </xf>
    <xf numFmtId="14" fontId="2" fillId="14" borderId="0" xfId="0" applyNumberFormat="1" applyFont="1" applyFill="1" applyAlignment="1">
      <alignment horizontal="center" vertical="center"/>
    </xf>
    <xf numFmtId="0" fontId="2" fillId="14" borderId="0" xfId="0" quotePrefix="1" applyFont="1" applyFill="1" applyAlignment="1">
      <alignment horizontal="center" vertical="center"/>
    </xf>
    <xf numFmtId="0" fontId="0" fillId="14" borderId="0" xfId="0" quotePrefix="1" applyFill="1" applyAlignment="1">
      <alignment horizontal="center" vertical="center"/>
    </xf>
    <xf numFmtId="164" fontId="0" fillId="14" borderId="0" xfId="0" applyNumberFormat="1" applyFill="1" applyAlignment="1">
      <alignment horizontal="center" vertical="center"/>
    </xf>
    <xf numFmtId="0" fontId="0" fillId="14" borderId="0" xfId="0" applyFill="1"/>
    <xf numFmtId="164" fontId="0" fillId="14" borderId="0" xfId="0" applyNumberFormat="1" applyFill="1"/>
    <xf numFmtId="0" fontId="2" fillId="0" borderId="0" xfId="0" applyFont="1"/>
    <xf numFmtId="22" fontId="0" fillId="0" borderId="0" xfId="0" applyNumberFormat="1"/>
    <xf numFmtId="43" fontId="2" fillId="0" borderId="0" xfId="1" applyFont="1" applyFill="1" applyAlignment="1">
      <alignment horizontal="center" vertical="center"/>
    </xf>
    <xf numFmtId="11" fontId="0" fillId="0" borderId="0" xfId="0" applyNumberFormat="1"/>
    <xf numFmtId="0" fontId="14" fillId="2" borderId="10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4" fontId="13" fillId="2" borderId="10" xfId="1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0" borderId="0" xfId="0" applyNumberFormat="1"/>
  </cellXfs>
  <cellStyles count="8">
    <cellStyle name="Comma" xfId="1" builtinId="3"/>
    <cellStyle name="Comma [0] 2" xfId="6" xr:uid="{B209AE8D-8414-4967-9B47-DE634695549A}"/>
    <cellStyle name="Comma 2" xfId="4" xr:uid="{3380173F-AD94-497B-88D1-7ABB8C0FBF67}"/>
    <cellStyle name="Comma 4" xfId="3" xr:uid="{BC76AE30-B22F-4565-8381-1CB1CD70D49D}"/>
    <cellStyle name="Normal" xfId="0" builtinId="0"/>
    <cellStyle name="Normal 2" xfId="2" xr:uid="{2DFBE380-8AC0-4BB4-AC2C-CCCDCF5765A3}"/>
    <cellStyle name="Normal 2 2" xfId="5" xr:uid="{F9D4CD8E-B798-4FFA-9031-10EDEC68785D}"/>
    <cellStyle name="Normal 3" xfId="7" xr:uid="{C21BE021-33E3-46F7-8BEA-8310A5A367FF}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URUL/KENAIKAN%20HARGA/HEINZ/DAFTAR%20HARGA%20JULI%202025%20HEINZ%20MOTORIS.xlsx" TargetMode="External"/><Relationship Id="rId1" Type="http://schemas.openxmlformats.org/officeDocument/2006/relationships/externalLinkPath" Target="/NURUL/KENAIKAN%20HARGA/HEINZ/DAFTAR%20HARGA%20JULI%202025%20HEINZ%20MOTOR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Pricelist%20July%202025%20-%20SMD%20Taskforc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I/2025/FIX%20HARGA%20JUAL%20SUPER%20MEI%202025.xlsx" TargetMode="External"/><Relationship Id="rId1" Type="http://schemas.openxmlformats.org/officeDocument/2006/relationships/externalLinkPath" Target="/ARI/2025/FIX%20HARGA%20JUAL%20SUPER%20MEI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INZ ABC"/>
    </sheetNames>
    <sheetDataSet>
      <sheetData sheetId="0" refreshError="1">
        <row r="4">
          <cell r="A4" t="str">
            <v>Telepon 0821-8793-0953, Makassar 90244</v>
          </cell>
        </row>
        <row r="5">
          <cell r="A5" t="str">
            <v>DAFTAR HARGA</v>
          </cell>
        </row>
        <row r="6">
          <cell r="A6" t="str">
            <v>NO   :   SP/DH-05/HAI/2023</v>
          </cell>
        </row>
        <row r="8">
          <cell r="A8" t="str">
            <v>KODE BARANG BARU</v>
          </cell>
          <cell r="B8" t="str">
            <v>KODE PRINCIPLE</v>
          </cell>
          <cell r="C8" t="str">
            <v>NAMA BARANG BARU</v>
          </cell>
          <cell r="D8" t="str">
            <v>SATUAN</v>
          </cell>
          <cell r="E8" t="str">
            <v>ISI</v>
          </cell>
        </row>
        <row r="10">
          <cell r="A10" t="str">
            <v>KDBRG</v>
          </cell>
          <cell r="B10" t="str">
            <v>KDPRC</v>
          </cell>
          <cell r="C10" t="str">
            <v>NAMABRG</v>
          </cell>
          <cell r="D10" t="str">
            <v>SAT</v>
          </cell>
          <cell r="E10" t="str">
            <v>ISI</v>
          </cell>
        </row>
        <row r="11">
          <cell r="A11" t="str">
            <v>A1120006013010</v>
          </cell>
          <cell r="B11">
            <v>150294</v>
          </cell>
          <cell r="C11" t="str">
            <v>ABC SAMBAL ASLI 130 ML X 48 BTL</v>
          </cell>
          <cell r="D11" t="str">
            <v>BTL</v>
          </cell>
          <cell r="E11">
            <v>48</v>
          </cell>
        </row>
        <row r="12">
          <cell r="A12" t="str">
            <v>A1120006007510</v>
          </cell>
          <cell r="B12">
            <v>150180</v>
          </cell>
          <cell r="C12" t="str">
            <v>ABC SAMBAL ASLI 65 GR X 48 PCH</v>
          </cell>
          <cell r="D12" t="str">
            <v>PCH</v>
          </cell>
          <cell r="E12">
            <v>48</v>
          </cell>
        </row>
        <row r="13">
          <cell r="A13" t="str">
            <v>A1120006013510</v>
          </cell>
          <cell r="B13">
            <v>150164</v>
          </cell>
          <cell r="C13" t="str">
            <v>ABC SAMBAL ASLI 135 ML X 48 BTL</v>
          </cell>
          <cell r="D13" t="str">
            <v>BTL</v>
          </cell>
          <cell r="E13">
            <v>48</v>
          </cell>
        </row>
        <row r="14">
          <cell r="A14" t="str">
            <v>A1120006013011</v>
          </cell>
          <cell r="B14">
            <v>150975</v>
          </cell>
          <cell r="C14" t="str">
            <v>ABC SAMBAL ASLI 130 ML X 48 BTL BANDED</v>
          </cell>
          <cell r="D14" t="str">
            <v>BTL</v>
          </cell>
          <cell r="E14">
            <v>48</v>
          </cell>
        </row>
        <row r="15">
          <cell r="A15" t="str">
            <v>A1120006001510</v>
          </cell>
          <cell r="B15">
            <v>150132</v>
          </cell>
          <cell r="C15" t="str">
            <v>ABC SAMBAL ASLI 15 GR X 30 PACK PCSX10</v>
          </cell>
          <cell r="D15" t="str">
            <v>PCSX10</v>
          </cell>
          <cell r="E15">
            <v>30</v>
          </cell>
        </row>
        <row r="16">
          <cell r="A16" t="str">
            <v>A1111001012510</v>
          </cell>
          <cell r="B16">
            <v>190039</v>
          </cell>
          <cell r="C16" t="str">
            <v>ABC TOMAT HEINZ KETCHUP 125 GR X 48 PCH</v>
          </cell>
          <cell r="D16" t="str">
            <v>PCH</v>
          </cell>
          <cell r="E16">
            <v>48</v>
          </cell>
        </row>
        <row r="17">
          <cell r="A17" t="str">
            <v>A1110001100110</v>
          </cell>
          <cell r="B17">
            <v>190036</v>
          </cell>
          <cell r="C17" t="str">
            <v>ABC TOMAT PILLOW 1 KG X 6 PCS</v>
          </cell>
          <cell r="D17" t="str">
            <v>PCS</v>
          </cell>
          <cell r="E17">
            <v>6</v>
          </cell>
        </row>
        <row r="18">
          <cell r="A18" t="str">
            <v>A1120006000810</v>
          </cell>
          <cell r="B18">
            <v>150129</v>
          </cell>
          <cell r="C18" t="str">
            <v>ABC SAMBAL ASLI 8 GR X 21 PACK PCSX22</v>
          </cell>
          <cell r="D18" t="str">
            <v>PCSX22</v>
          </cell>
          <cell r="E18">
            <v>21</v>
          </cell>
        </row>
        <row r="19">
          <cell r="A19" t="str">
            <v>A1111001032510</v>
          </cell>
          <cell r="B19">
            <v>190047</v>
          </cell>
          <cell r="C19" t="str">
            <v>ABC TOMAT HEINZ KETCHUP 325 GR X 24 BTL</v>
          </cell>
          <cell r="D19" t="str">
            <v>BTL</v>
          </cell>
          <cell r="E19">
            <v>24</v>
          </cell>
        </row>
        <row r="20">
          <cell r="A20" t="str">
            <v>A1120006102410</v>
          </cell>
          <cell r="B20">
            <v>150163</v>
          </cell>
          <cell r="C20" t="str">
            <v>ABC SAMBAL ASLI 24 KG X 1 JRG</v>
          </cell>
          <cell r="D20" t="str">
            <v>JRG</v>
          </cell>
          <cell r="E20">
            <v>1</v>
          </cell>
        </row>
        <row r="21">
          <cell r="A21" t="str">
            <v>A1120006100510</v>
          </cell>
          <cell r="B21">
            <v>150162</v>
          </cell>
          <cell r="C21" t="str">
            <v>ABC SAMBAL ASLI 5.5 KG X 1 JRG</v>
          </cell>
          <cell r="D21" t="str">
            <v>JRG</v>
          </cell>
          <cell r="E21">
            <v>1</v>
          </cell>
        </row>
        <row r="22">
          <cell r="A22" t="str">
            <v>A1120008000810</v>
          </cell>
          <cell r="B22">
            <v>150154</v>
          </cell>
          <cell r="C22" t="str">
            <v>ABC SAMBAL EXTRA PEDAS 8 GR X 21 PACK PCSX22</v>
          </cell>
          <cell r="D22" t="str">
            <v>PCSX22</v>
          </cell>
          <cell r="E22">
            <v>21</v>
          </cell>
        </row>
        <row r="23">
          <cell r="A23" t="str">
            <v>A1120007100110</v>
          </cell>
          <cell r="B23">
            <v>150119</v>
          </cell>
          <cell r="C23" t="str">
            <v>ABC SAMBAL ASLI PILLOW 1 KG X 6 PCS</v>
          </cell>
          <cell r="D23" t="str">
            <v>PCS</v>
          </cell>
          <cell r="E23">
            <v>6</v>
          </cell>
        </row>
        <row r="24">
          <cell r="A24" t="str">
            <v>A1120006069010</v>
          </cell>
          <cell r="B24">
            <v>150320</v>
          </cell>
          <cell r="C24" t="str">
            <v>ABC SAMBAL ASLI 690 GR X 6 PCS</v>
          </cell>
          <cell r="D24" t="str">
            <v>PCS</v>
          </cell>
          <cell r="E24">
            <v>6</v>
          </cell>
        </row>
        <row r="25">
          <cell r="A25" t="str">
            <v>A1120006033510</v>
          </cell>
          <cell r="B25">
            <v>150171</v>
          </cell>
          <cell r="C25" t="str">
            <v>ABC SAMBAL ASLI 335 ML X 24 BTL</v>
          </cell>
          <cell r="D25" t="str">
            <v>BTL</v>
          </cell>
          <cell r="E25">
            <v>24</v>
          </cell>
        </row>
        <row r="26">
          <cell r="A26" t="str">
            <v>A1120006027010</v>
          </cell>
          <cell r="B26">
            <v>150168</v>
          </cell>
          <cell r="C26" t="str">
            <v>ABC SAMBAL ASLI 270 ML X 24 BTL</v>
          </cell>
          <cell r="D26" t="str">
            <v>BTL</v>
          </cell>
          <cell r="E26">
            <v>24</v>
          </cell>
        </row>
        <row r="27">
          <cell r="A27" t="str">
            <v>A1120006060010</v>
          </cell>
          <cell r="B27">
            <v>150188</v>
          </cell>
          <cell r="C27" t="str">
            <v>ABC SAMBAL ASLI 600 ML X 12 BTL</v>
          </cell>
          <cell r="D27" t="str">
            <v>BTL</v>
          </cell>
          <cell r="E27">
            <v>12</v>
          </cell>
        </row>
        <row r="28">
          <cell r="A28" t="str">
            <v>A1120006038010</v>
          </cell>
          <cell r="B28">
            <v>150177</v>
          </cell>
          <cell r="C28" t="str">
            <v>ABC SAMBAL ASLI 380 GR X 12 PCH</v>
          </cell>
          <cell r="D28" t="str">
            <v>PCH</v>
          </cell>
          <cell r="E28">
            <v>12</v>
          </cell>
        </row>
        <row r="29">
          <cell r="A29" t="str">
            <v>A1100002042510</v>
          </cell>
          <cell r="B29">
            <v>612043</v>
          </cell>
          <cell r="C29" t="str">
            <v>ABC SARDINES CHILI DW 425 GR X 24 KLG</v>
          </cell>
          <cell r="D29" t="str">
            <v>KLG</v>
          </cell>
          <cell r="E29">
            <v>24</v>
          </cell>
        </row>
        <row r="30">
          <cell r="A30" t="str">
            <v>A1100002015510</v>
          </cell>
          <cell r="B30">
            <v>612046</v>
          </cell>
          <cell r="C30" t="str">
            <v>ABC SARDINES CHILI DW 155 GR X 60 KLG</v>
          </cell>
          <cell r="D30" t="str">
            <v>KLG</v>
          </cell>
          <cell r="E30">
            <v>60</v>
          </cell>
        </row>
        <row r="31">
          <cell r="A31" t="str">
            <v>A1100004015510</v>
          </cell>
          <cell r="B31">
            <v>612047</v>
          </cell>
          <cell r="C31" t="str">
            <v>ABC SARDINES EXTRA PEDAS DW 155 GR X 60 KLG</v>
          </cell>
          <cell r="D31" t="str">
            <v>KLG</v>
          </cell>
          <cell r="E31">
            <v>60</v>
          </cell>
        </row>
        <row r="32">
          <cell r="A32" t="str">
            <v>A1100003030010</v>
          </cell>
          <cell r="B32">
            <v>612141</v>
          </cell>
          <cell r="C32" t="str">
            <v>ABC SARDINES CHILI 300 GR X 24 KLG</v>
          </cell>
          <cell r="D32" t="str">
            <v>KLG</v>
          </cell>
          <cell r="E32">
            <v>24</v>
          </cell>
        </row>
        <row r="33">
          <cell r="A33" t="str">
            <v>A1100001042510</v>
          </cell>
          <cell r="B33">
            <v>612042</v>
          </cell>
          <cell r="C33" t="str">
            <v>ABC SARDINES TOMAT 425 GR X 24 KLG</v>
          </cell>
          <cell r="D33" t="str">
            <v>KLG</v>
          </cell>
          <cell r="E33">
            <v>24</v>
          </cell>
        </row>
        <row r="34">
          <cell r="A34" t="str">
            <v>A1092006045010</v>
          </cell>
          <cell r="B34">
            <v>400134</v>
          </cell>
          <cell r="C34" t="str">
            <v>ABC SIRUP SQUASH MANGGA 450 ML X 12 BTL</v>
          </cell>
          <cell r="D34" t="str">
            <v>BTL</v>
          </cell>
          <cell r="E34">
            <v>12</v>
          </cell>
        </row>
        <row r="35">
          <cell r="A35" t="str">
            <v>A1092005045010</v>
          </cell>
          <cell r="B35">
            <v>400130</v>
          </cell>
          <cell r="C35" t="str">
            <v>ABC SIRUP SQUASH ANGGUR 450 ML X 12 BTL</v>
          </cell>
          <cell r="D35" t="str">
            <v>BTL</v>
          </cell>
          <cell r="E35">
            <v>12</v>
          </cell>
        </row>
        <row r="36">
          <cell r="A36" t="str">
            <v>A1100001015511</v>
          </cell>
          <cell r="B36">
            <v>612953</v>
          </cell>
          <cell r="C36" t="str">
            <v>ABC SARDINES TOMAT 155 GR X 30 KLG BANDED</v>
          </cell>
          <cell r="D36" t="str">
            <v>KLG</v>
          </cell>
          <cell r="E36">
            <v>30</v>
          </cell>
        </row>
        <row r="37">
          <cell r="A37" t="str">
            <v>A1100001015510</v>
          </cell>
          <cell r="B37">
            <v>612045</v>
          </cell>
          <cell r="C37" t="str">
            <v>ABC SARDINES TOMAT 155 GR X 60 KLG</v>
          </cell>
          <cell r="D37" t="str">
            <v>KLG</v>
          </cell>
          <cell r="E37">
            <v>60</v>
          </cell>
        </row>
        <row r="38">
          <cell r="A38" t="str">
            <v>A1110000027510</v>
          </cell>
          <cell r="B38">
            <v>190041</v>
          </cell>
          <cell r="C38" t="str">
            <v>ABC TOMAT 275 ML X 24 BTL</v>
          </cell>
          <cell r="D38" t="str">
            <v>BTL</v>
          </cell>
          <cell r="E38">
            <v>24</v>
          </cell>
        </row>
        <row r="39">
          <cell r="A39" t="str">
            <v>A1110000013510</v>
          </cell>
          <cell r="B39">
            <v>190040</v>
          </cell>
          <cell r="C39" t="str">
            <v>ABC TOMAT 135 ML X 48 BTL</v>
          </cell>
          <cell r="D39" t="str">
            <v>BTL</v>
          </cell>
          <cell r="E39">
            <v>48</v>
          </cell>
        </row>
        <row r="40">
          <cell r="A40" t="str">
            <v>A1110000100510</v>
          </cell>
          <cell r="B40">
            <v>190035</v>
          </cell>
          <cell r="C40" t="str">
            <v>ABC TOMAT 5,7 KG X 1 JRG</v>
          </cell>
          <cell r="D40" t="str">
            <v>JRG</v>
          </cell>
          <cell r="E40">
            <v>1</v>
          </cell>
        </row>
        <row r="41">
          <cell r="A41" t="str">
            <v>A1110000033510</v>
          </cell>
          <cell r="B41">
            <v>190031</v>
          </cell>
          <cell r="C41" t="str">
            <v>ABC TOMAT 335 ML X 24 BTL</v>
          </cell>
          <cell r="D41" t="str">
            <v>BTL</v>
          </cell>
          <cell r="E41">
            <v>24</v>
          </cell>
        </row>
        <row r="42">
          <cell r="A42" t="str">
            <v>A1110000000810</v>
          </cell>
          <cell r="B42">
            <v>190034</v>
          </cell>
          <cell r="C42" t="str">
            <v>ABC TOMAT 8 GR X 21 PACK PCSX22</v>
          </cell>
          <cell r="D42" t="str">
            <v>PCSX22</v>
          </cell>
          <cell r="E42">
            <v>21</v>
          </cell>
        </row>
        <row r="43">
          <cell r="A43" t="str">
            <v>A1110000000810</v>
          </cell>
          <cell r="B43">
            <v>190065</v>
          </cell>
          <cell r="C43" t="str">
            <v>ABC TOMAT SCT 21X22X8G 2409</v>
          </cell>
          <cell r="D43" t="str">
            <v>PCSX23</v>
          </cell>
          <cell r="E43">
            <v>21</v>
          </cell>
        </row>
        <row r="44">
          <cell r="A44" t="str">
            <v>A1100005015510</v>
          </cell>
          <cell r="B44">
            <v>612134</v>
          </cell>
          <cell r="C44" t="str">
            <v>ABC SARDINES SARUNDENG 155 GR X 60 KLG</v>
          </cell>
          <cell r="D44" t="str">
            <v>KLG</v>
          </cell>
          <cell r="E44">
            <v>60</v>
          </cell>
        </row>
        <row r="45">
          <cell r="A45" t="str">
            <v>A1100004042510</v>
          </cell>
          <cell r="B45">
            <v>612044</v>
          </cell>
          <cell r="C45" t="str">
            <v>ABC SARDINES EXTRA PEDAS DW 425 GR X 24 KLG</v>
          </cell>
          <cell r="D45" t="str">
            <v>KLG</v>
          </cell>
          <cell r="E45">
            <v>24</v>
          </cell>
        </row>
        <row r="46">
          <cell r="A46" t="str">
            <v>A1100005040010</v>
          </cell>
          <cell r="B46">
            <v>612091</v>
          </cell>
          <cell r="C46" t="str">
            <v>ABC SARDINES SARUNDENG 400 GR X 24 KLG</v>
          </cell>
          <cell r="D46" t="str">
            <v>KLG</v>
          </cell>
          <cell r="E46">
            <v>24</v>
          </cell>
        </row>
        <row r="47">
          <cell r="A47" t="str">
            <v>A1100005015511</v>
          </cell>
          <cell r="B47">
            <v>612958</v>
          </cell>
          <cell r="C47" t="str">
            <v>ABC SARDINES SARUNDENG 155 GR X 60 KLG BANDED</v>
          </cell>
          <cell r="D47" t="str">
            <v>KLG</v>
          </cell>
          <cell r="E47">
            <v>60</v>
          </cell>
        </row>
        <row r="48">
          <cell r="A48" t="str">
            <v>A1120008001510</v>
          </cell>
          <cell r="B48">
            <v>150153</v>
          </cell>
          <cell r="C48" t="str">
            <v>ABC SAMBAL EXTRA PEDAS 15 GR X 30 PACK PCSX10</v>
          </cell>
          <cell r="D48" t="str">
            <v>PCSX10</v>
          </cell>
          <cell r="E48">
            <v>30</v>
          </cell>
        </row>
        <row r="49">
          <cell r="A49" t="str">
            <v>A1122002001810</v>
          </cell>
          <cell r="B49">
            <v>612098</v>
          </cell>
          <cell r="C49" t="str">
            <v>ABC SAMBAL NUSANTARA HIJAU 18 GR X 10 PACK PCSX10</v>
          </cell>
          <cell r="D49" t="str">
            <v>PCSX10</v>
          </cell>
          <cell r="E49">
            <v>10</v>
          </cell>
        </row>
        <row r="50">
          <cell r="A50" t="str">
            <v>A1122001018020</v>
          </cell>
          <cell r="B50">
            <v>612095</v>
          </cell>
          <cell r="C50" t="str">
            <v>ABC SAMBAL NUSANTARA TERASI 180 GR X 24 BTL</v>
          </cell>
          <cell r="D50" t="str">
            <v>BTL</v>
          </cell>
          <cell r="E50">
            <v>24</v>
          </cell>
        </row>
        <row r="51">
          <cell r="A51" t="str">
            <v>A1122003001810</v>
          </cell>
          <cell r="B51">
            <v>612128</v>
          </cell>
          <cell r="C51" t="str">
            <v>ABC SAMBAL NUSANTARA RENDANG 18 GR X 10 PACK PCSX10</v>
          </cell>
          <cell r="D51" t="str">
            <v>PCSX10</v>
          </cell>
          <cell r="E51">
            <v>10</v>
          </cell>
        </row>
        <row r="52">
          <cell r="A52" t="str">
            <v>A1122002001811</v>
          </cell>
          <cell r="B52">
            <v>612954</v>
          </cell>
          <cell r="C52" t="str">
            <v>ABC SAMBAL NUS. HIJAU 18 GR X 10 PACK PCSX10 B8G2</v>
          </cell>
          <cell r="D52" t="str">
            <v>PCSX10</v>
          </cell>
          <cell r="E52">
            <v>10</v>
          </cell>
        </row>
        <row r="53">
          <cell r="A53" t="str">
            <v>A1122001018011</v>
          </cell>
          <cell r="B53">
            <v>150961</v>
          </cell>
          <cell r="C53" t="str">
            <v>ABC SAMBAL NUSANTARA TERASI 180 GR X 12 PCH B8G2</v>
          </cell>
          <cell r="D53" t="str">
            <v>PCH</v>
          </cell>
          <cell r="E53">
            <v>12</v>
          </cell>
        </row>
        <row r="54">
          <cell r="A54" t="str">
            <v>A1122001001811</v>
          </cell>
          <cell r="B54">
            <v>150960</v>
          </cell>
          <cell r="C54" t="str">
            <v>ABC SAMBAL NUS. TERASI 18 GR X 10 PACK PCSX10 B8G2</v>
          </cell>
          <cell r="D54" t="str">
            <v>PCSX10</v>
          </cell>
          <cell r="E54">
            <v>10</v>
          </cell>
        </row>
        <row r="55">
          <cell r="A55" t="str">
            <v>A1122001001810</v>
          </cell>
          <cell r="B55">
            <v>612096</v>
          </cell>
          <cell r="C55" t="str">
            <v>ABC SAMBAL NUSANTARA TERASI 18 GR X 10 PACK PCSX10</v>
          </cell>
          <cell r="D55" t="str">
            <v>PCSX10</v>
          </cell>
          <cell r="E55">
            <v>10</v>
          </cell>
        </row>
        <row r="56">
          <cell r="A56" t="str">
            <v>A1122001018010</v>
          </cell>
          <cell r="B56">
            <v>150193</v>
          </cell>
          <cell r="C56" t="str">
            <v>ABC SAMBAL NUSANTARA TERASI 180 GR X 24 PCH</v>
          </cell>
          <cell r="D56" t="str">
            <v>PCH</v>
          </cell>
          <cell r="E56">
            <v>24</v>
          </cell>
        </row>
        <row r="57">
          <cell r="A57" t="str">
            <v>A1122001007010</v>
          </cell>
          <cell r="B57">
            <v>150319</v>
          </cell>
          <cell r="C57" t="str">
            <v>ABC SAMBAL NUSANTARA TERASI 70 GR X 48 PCH</v>
          </cell>
          <cell r="D57" t="str">
            <v>PCH</v>
          </cell>
          <cell r="E57">
            <v>48</v>
          </cell>
        </row>
        <row r="58">
          <cell r="A58" t="str">
            <v>A1123002012510</v>
          </cell>
          <cell r="B58">
            <v>150217</v>
          </cell>
          <cell r="C58" t="str">
            <v>ABC SAMBAL HEINZ MEXICAN CHILI 125 GR X 48 PCH</v>
          </cell>
          <cell r="D58" t="str">
            <v>PCH</v>
          </cell>
          <cell r="E58">
            <v>48</v>
          </cell>
        </row>
        <row r="59">
          <cell r="A59" t="str">
            <v>A1123001012510</v>
          </cell>
          <cell r="B59">
            <v>150148</v>
          </cell>
          <cell r="C59" t="str">
            <v>ABC SAMBAL HEINZ INDONESIA CHILI 125 GR X 48 PCH</v>
          </cell>
          <cell r="D59" t="str">
            <v>PCH</v>
          </cell>
          <cell r="E59">
            <v>48</v>
          </cell>
        </row>
        <row r="60">
          <cell r="A60" t="str">
            <v>A1124001013510</v>
          </cell>
          <cell r="B60">
            <v>150159</v>
          </cell>
          <cell r="C60" t="str">
            <v>ABC SAMBAL FRUITY NANAS JERUK 135 ML X 48 BTL</v>
          </cell>
          <cell r="D60" t="str">
            <v>BTL</v>
          </cell>
          <cell r="E60">
            <v>48</v>
          </cell>
        </row>
        <row r="61">
          <cell r="A61" t="str">
            <v>A1123003012510</v>
          </cell>
          <cell r="B61">
            <v>150219</v>
          </cell>
          <cell r="C61" t="str">
            <v>ABC SAMBAL HEINZ KOREAN CHILI 125 GR X 48 PCH</v>
          </cell>
          <cell r="D61" t="str">
            <v>PCH</v>
          </cell>
          <cell r="E61">
            <v>48</v>
          </cell>
        </row>
        <row r="62">
          <cell r="A62" t="str">
            <v>A1122005001811</v>
          </cell>
          <cell r="B62">
            <v>612956</v>
          </cell>
          <cell r="C62" t="str">
            <v>ABC SAMBAL NUS. TERI 18 GR X 10 PACK PCSX10 B8G2</v>
          </cell>
          <cell r="D62" t="str">
            <v>PCSX10</v>
          </cell>
          <cell r="E62">
            <v>10</v>
          </cell>
        </row>
        <row r="63">
          <cell r="A63" t="str">
            <v>A1122004001810</v>
          </cell>
          <cell r="B63">
            <v>612130</v>
          </cell>
          <cell r="C63" t="str">
            <v>ABC SAMBAL NUSANTARA GEPREK 18 GR X 10 PACK PCSX10</v>
          </cell>
          <cell r="D63" t="str">
            <v>PCSX10</v>
          </cell>
          <cell r="E63">
            <v>10</v>
          </cell>
        </row>
        <row r="64">
          <cell r="A64" t="str">
            <v>A1122003001811</v>
          </cell>
          <cell r="B64">
            <v>612955</v>
          </cell>
          <cell r="C64" t="str">
            <v>ABC SAMBAL NUS. RENDANG 18GR X 10 PACK PCSX10 B8G2</v>
          </cell>
          <cell r="D64" t="str">
            <v>PCSX10</v>
          </cell>
          <cell r="E64">
            <v>10</v>
          </cell>
        </row>
        <row r="65">
          <cell r="A65" t="str">
            <v>A1122005001810</v>
          </cell>
          <cell r="B65">
            <v>612100</v>
          </cell>
          <cell r="C65" t="str">
            <v>ABC SAMBAL NUSANTARA TERI 18 GR X 10 PACK PCSX10</v>
          </cell>
          <cell r="D65" t="str">
            <v>PCSX10</v>
          </cell>
          <cell r="E65">
            <v>10</v>
          </cell>
        </row>
        <row r="66">
          <cell r="A66" t="str">
            <v>A1122004001811</v>
          </cell>
          <cell r="B66">
            <v>612957</v>
          </cell>
          <cell r="C66" t="str">
            <v>ABC SAMBAL NUS. GEPREK 18 GR X 10 PACK PCSX10 B8G2</v>
          </cell>
          <cell r="D66" t="str">
            <v>PCSX10</v>
          </cell>
          <cell r="E66">
            <v>10</v>
          </cell>
        </row>
        <row r="67">
          <cell r="A67" t="str">
            <v>A1120008038010</v>
          </cell>
          <cell r="B67">
            <v>150178</v>
          </cell>
          <cell r="C67" t="str">
            <v>ABC SAMBAL EXTRA PEDAS 380 GR X 12 PCH</v>
          </cell>
          <cell r="D67" t="str">
            <v>PCH</v>
          </cell>
          <cell r="E67">
            <v>12</v>
          </cell>
        </row>
        <row r="68">
          <cell r="A68" t="str">
            <v>A1120008033510</v>
          </cell>
          <cell r="B68">
            <v>150081</v>
          </cell>
          <cell r="C68" t="str">
            <v>ABC SAMBAL EXTRA PEDAS 335 ML X 24 BTL</v>
          </cell>
          <cell r="D68" t="str">
            <v>BTL</v>
          </cell>
          <cell r="E68">
            <v>24</v>
          </cell>
        </row>
        <row r="69">
          <cell r="A69" t="str">
            <v>A1120010007510</v>
          </cell>
          <cell r="B69">
            <v>150298</v>
          </cell>
          <cell r="C69" t="str">
            <v>ABC SAMBAL EXTREME PEDAS 75 GR X 48 PCH</v>
          </cell>
          <cell r="D69" t="str">
            <v>PCH</v>
          </cell>
          <cell r="E69">
            <v>48</v>
          </cell>
        </row>
        <row r="70">
          <cell r="A70" t="str">
            <v>A1120009095010</v>
          </cell>
          <cell r="B70">
            <v>150150</v>
          </cell>
          <cell r="C70" t="str">
            <v>ABC SAMBAL EXTRA PEDAS PILLOW 950 GR X 6 PCS</v>
          </cell>
          <cell r="D70" t="str">
            <v>PCS</v>
          </cell>
          <cell r="E70">
            <v>6</v>
          </cell>
        </row>
        <row r="71">
          <cell r="A71" t="str">
            <v>A1120008027010</v>
          </cell>
          <cell r="B71">
            <v>150192</v>
          </cell>
          <cell r="C71" t="str">
            <v>ABC SAMBAL EXTRA PEDAS 270 ML X 24 BTL</v>
          </cell>
          <cell r="D71" t="str">
            <v>BTL</v>
          </cell>
          <cell r="E71">
            <v>24</v>
          </cell>
        </row>
        <row r="72">
          <cell r="A72" t="str">
            <v>A1120008013010</v>
          </cell>
          <cell r="B72">
            <v>150295</v>
          </cell>
          <cell r="C72" t="str">
            <v>ABC SAMBAL EXTRA PEDAS 130 ML X 48 BTL</v>
          </cell>
          <cell r="D72" t="str">
            <v>BTL</v>
          </cell>
          <cell r="E72">
            <v>48</v>
          </cell>
        </row>
        <row r="73">
          <cell r="A73" t="str">
            <v>A1120008007510</v>
          </cell>
          <cell r="B73">
            <v>150181</v>
          </cell>
          <cell r="C73" t="str">
            <v>ABC SAMBAL EXTRA PEDAS 75 GR X 48 PCH</v>
          </cell>
          <cell r="D73" t="str">
            <v>PCH</v>
          </cell>
          <cell r="E73">
            <v>48</v>
          </cell>
        </row>
        <row r="74">
          <cell r="A74" t="str">
            <v>A1120008013510</v>
          </cell>
          <cell r="B74">
            <v>150191</v>
          </cell>
          <cell r="C74" t="str">
            <v>ABC SAMBAL EXTRA PEDAS 135 ML X 48 BTL</v>
          </cell>
          <cell r="D74" t="str">
            <v>BTL</v>
          </cell>
          <cell r="E74">
            <v>48</v>
          </cell>
        </row>
        <row r="75">
          <cell r="A75" t="str">
            <v>A1120008013011</v>
          </cell>
          <cell r="B75">
            <v>150976</v>
          </cell>
          <cell r="C75" t="str">
            <v>ABC SAMBAL EXTRA PEDAS 130 ML X 48 BTL BANDED</v>
          </cell>
          <cell r="D75" t="str">
            <v>BTL</v>
          </cell>
          <cell r="E75">
            <v>48</v>
          </cell>
        </row>
        <row r="76">
          <cell r="A76" t="str">
            <v>A1120013027510</v>
          </cell>
          <cell r="B76">
            <v>150176</v>
          </cell>
          <cell r="C76" t="str">
            <v>ABC SAMBAL BAWANG PEDAS 270 ML X 24 BTL</v>
          </cell>
          <cell r="D76" t="str">
            <v>BTL</v>
          </cell>
          <cell r="E76">
            <v>24</v>
          </cell>
        </row>
        <row r="77">
          <cell r="A77" t="str">
            <v>A1120013013510</v>
          </cell>
          <cell r="B77">
            <v>150175</v>
          </cell>
          <cell r="C77" t="str">
            <v>ABC SAMBAL BAWANG PEDAS 135 ML X 48 BTL</v>
          </cell>
          <cell r="D77" t="str">
            <v>BTL</v>
          </cell>
          <cell r="E77">
            <v>48</v>
          </cell>
        </row>
        <row r="78">
          <cell r="A78" t="str">
            <v>A1121000058010</v>
          </cell>
          <cell r="B78">
            <v>150189</v>
          </cell>
          <cell r="C78" t="str">
            <v>ABC SAMBAL HOKI 580 GR X 6 PCS</v>
          </cell>
          <cell r="D78" t="str">
            <v>PCS</v>
          </cell>
          <cell r="E78">
            <v>6</v>
          </cell>
        </row>
        <row r="79">
          <cell r="A79" t="str">
            <v>A1121000000710</v>
          </cell>
          <cell r="B79">
            <v>150190</v>
          </cell>
          <cell r="C79" t="str">
            <v>ABC SAMBAL HOKI 7 GR X 21 PACK PCSX24</v>
          </cell>
          <cell r="D79" t="str">
            <v>PCSX24</v>
          </cell>
          <cell r="E79">
            <v>21</v>
          </cell>
        </row>
        <row r="80">
          <cell r="A80" t="str">
            <v>A1120012033510</v>
          </cell>
          <cell r="B80">
            <v>150174</v>
          </cell>
          <cell r="C80" t="str">
            <v>ABC SAMBAL AYAM GORENG 335 ML X 24 BTL</v>
          </cell>
          <cell r="D80" t="str">
            <v>BTL</v>
          </cell>
          <cell r="E80">
            <v>24</v>
          </cell>
        </row>
        <row r="81">
          <cell r="A81" t="str">
            <v>A1120011013510</v>
          </cell>
          <cell r="B81">
            <v>150166</v>
          </cell>
          <cell r="C81" t="str">
            <v>ABC SAMBAL MANIS PEDAS 135 ML X 48 BTL</v>
          </cell>
          <cell r="D81" t="str">
            <v>BTL</v>
          </cell>
          <cell r="E81">
            <v>48</v>
          </cell>
        </row>
        <row r="82">
          <cell r="A82" t="str">
            <v>A1120010013510</v>
          </cell>
          <cell r="B82">
            <v>150299</v>
          </cell>
          <cell r="C82" t="str">
            <v>ABC SAMBAL EXTREME PEDAS 135 ML X 48 BTL</v>
          </cell>
          <cell r="D82" t="str">
            <v>BTL</v>
          </cell>
          <cell r="E82">
            <v>48</v>
          </cell>
        </row>
        <row r="83">
          <cell r="A83" t="str">
            <v>A1120012013510</v>
          </cell>
          <cell r="B83">
            <v>150167</v>
          </cell>
          <cell r="C83" t="str">
            <v>ABC SAMBAL AYAM GORENG 135 ML X 48 BTL</v>
          </cell>
          <cell r="D83" t="str">
            <v>BTL</v>
          </cell>
          <cell r="E83">
            <v>48</v>
          </cell>
        </row>
        <row r="84">
          <cell r="A84" t="str">
            <v>A1120011033510</v>
          </cell>
          <cell r="B84">
            <v>150173</v>
          </cell>
          <cell r="C84" t="str">
            <v>ABC SAMBAL MANIS PEDAS 335 ML X 24 BTL</v>
          </cell>
          <cell r="D84" t="str">
            <v>BTL</v>
          </cell>
          <cell r="E84">
            <v>24</v>
          </cell>
        </row>
        <row r="85">
          <cell r="A85" t="str">
            <v>A1011004015020</v>
          </cell>
          <cell r="B85">
            <v>100173</v>
          </cell>
          <cell r="C85" t="str">
            <v>ABC KECAP MANIS SEAFOOD 135 GR X 48 BTL</v>
          </cell>
          <cell r="D85" t="str">
            <v>BTL</v>
          </cell>
          <cell r="E85">
            <v>48</v>
          </cell>
        </row>
        <row r="86">
          <cell r="A86" t="str">
            <v>A1011004065010</v>
          </cell>
          <cell r="B86">
            <v>100174</v>
          </cell>
          <cell r="C86" t="str">
            <v>ABC KECAP MANIS SEAFODD 650 GR X 12 PCH</v>
          </cell>
          <cell r="D86" t="str">
            <v>PCH</v>
          </cell>
          <cell r="E86">
            <v>12</v>
          </cell>
        </row>
        <row r="87">
          <cell r="A87" t="str">
            <v>A1011005027510</v>
          </cell>
          <cell r="B87">
            <v>100193</v>
          </cell>
          <cell r="C87" t="str">
            <v>ABC KECAP MANIS PEDAS 275 ML X 24 BTL</v>
          </cell>
          <cell r="D87" t="str">
            <v>BTL</v>
          </cell>
          <cell r="E87">
            <v>24</v>
          </cell>
        </row>
        <row r="88">
          <cell r="A88" t="str">
            <v>A1011005013510</v>
          </cell>
          <cell r="B88">
            <v>100192</v>
          </cell>
          <cell r="C88" t="str">
            <v>ABC KECAP MANIS PEDAS 135 ML X 48 BTL</v>
          </cell>
          <cell r="D88" t="str">
            <v>BTL</v>
          </cell>
          <cell r="E88">
            <v>48</v>
          </cell>
        </row>
        <row r="89">
          <cell r="A89" t="str">
            <v>A1011003065010</v>
          </cell>
          <cell r="B89">
            <v>100151</v>
          </cell>
          <cell r="C89" t="str">
            <v>ABC KECAP MANIS DAGING ASAP 650 GR X 12 PCH</v>
          </cell>
          <cell r="D89" t="str">
            <v>PCH</v>
          </cell>
          <cell r="E89">
            <v>12</v>
          </cell>
        </row>
        <row r="90">
          <cell r="A90" t="str">
            <v>A1011001062010</v>
          </cell>
          <cell r="B90">
            <v>100191</v>
          </cell>
          <cell r="C90" t="str">
            <v>ABC KECAP MANIS SOTO 620 ML X 12 BTL</v>
          </cell>
          <cell r="D90" t="str">
            <v>BTL</v>
          </cell>
          <cell r="E90">
            <v>12</v>
          </cell>
        </row>
        <row r="91">
          <cell r="A91" t="str">
            <v>A1011001052010</v>
          </cell>
          <cell r="B91">
            <v>100156</v>
          </cell>
          <cell r="C91" t="str">
            <v>ABC KECAP MANIS SOTO 520 ML X 12 PCH</v>
          </cell>
          <cell r="D91" t="str">
            <v>PCH</v>
          </cell>
          <cell r="E91">
            <v>12</v>
          </cell>
        </row>
        <row r="92">
          <cell r="A92" t="str">
            <v>A1011003013510</v>
          </cell>
          <cell r="B92">
            <v>100141</v>
          </cell>
          <cell r="C92" t="str">
            <v>ABC KECAP MANIS DAGING ASAP 135 ML X 48 BTL</v>
          </cell>
          <cell r="D92" t="str">
            <v>BTL</v>
          </cell>
          <cell r="E92">
            <v>48</v>
          </cell>
        </row>
        <row r="93">
          <cell r="A93" t="str">
            <v>A1011002052010</v>
          </cell>
          <cell r="B93">
            <v>100180</v>
          </cell>
          <cell r="C93" t="str">
            <v>ABC KECAP MANIS HOKI 520 ML X 12 PCH</v>
          </cell>
          <cell r="D93" t="str">
            <v>PCH</v>
          </cell>
          <cell r="E93">
            <v>12</v>
          </cell>
        </row>
        <row r="94">
          <cell r="A94" t="str">
            <v>A1012000013110</v>
          </cell>
          <cell r="B94">
            <v>110016</v>
          </cell>
          <cell r="C94" t="str">
            <v>ABC KECAP ASIN 131 ML X 48 BTL</v>
          </cell>
          <cell r="D94" t="str">
            <v>BTL</v>
          </cell>
          <cell r="E94">
            <v>48</v>
          </cell>
        </row>
        <row r="95">
          <cell r="A95" t="str">
            <v>A1011100002741</v>
          </cell>
          <cell r="B95">
            <v>100975</v>
          </cell>
          <cell r="C95" t="str">
            <v>ABC KECAP MANIS SACHET 27 GR X 12 RCG PCSX12 PROMO</v>
          </cell>
          <cell r="D95" t="str">
            <v>PCSX12</v>
          </cell>
          <cell r="E95">
            <v>12</v>
          </cell>
        </row>
        <row r="96">
          <cell r="A96" t="str">
            <v>A1012000100610</v>
          </cell>
          <cell r="B96">
            <v>110014</v>
          </cell>
          <cell r="C96" t="str">
            <v>ABC KECAP ASIN 6 KG X 1 JRG</v>
          </cell>
          <cell r="D96" t="str">
            <v>JRG</v>
          </cell>
          <cell r="E96">
            <v>1</v>
          </cell>
        </row>
        <row r="97">
          <cell r="A97" t="str">
            <v>A1012000062010</v>
          </cell>
          <cell r="B97">
            <v>110013</v>
          </cell>
          <cell r="C97" t="str">
            <v>ABC KECAP ASIN 620 ML X 12 BTL</v>
          </cell>
          <cell r="D97" t="str">
            <v>BTL</v>
          </cell>
          <cell r="E97">
            <v>12</v>
          </cell>
        </row>
        <row r="98">
          <cell r="A98" t="str">
            <v>A1011100002510</v>
          </cell>
          <cell r="B98">
            <v>100195</v>
          </cell>
          <cell r="C98" t="str">
            <v>ABC KECAP MANIS SACHET 25 GR X 12 RCG PCSX12</v>
          </cell>
          <cell r="D98" t="str">
            <v>PCSX12</v>
          </cell>
          <cell r="E98">
            <v>12</v>
          </cell>
        </row>
        <row r="99">
          <cell r="A99" t="str">
            <v>A1011006013520</v>
          </cell>
          <cell r="B99">
            <v>100194</v>
          </cell>
          <cell r="C99" t="str">
            <v>ABC KECAP MANIS EXTRA PEDAS 135 ML X 48 BTL</v>
          </cell>
          <cell r="D99" t="str">
            <v>BTL</v>
          </cell>
          <cell r="E99">
            <v>48</v>
          </cell>
        </row>
        <row r="100">
          <cell r="A100" t="str">
            <v>A1011006007510</v>
          </cell>
          <cell r="B100">
            <v>100204</v>
          </cell>
          <cell r="C100" t="str">
            <v>ABC KECAP MANIS EXTRA PEDAS 75 GR X 48 PCH</v>
          </cell>
          <cell r="D100" t="str">
            <v>PCH</v>
          </cell>
          <cell r="E100">
            <v>48</v>
          </cell>
        </row>
        <row r="101">
          <cell r="A101" t="str">
            <v>A1011100001541</v>
          </cell>
          <cell r="B101">
            <v>100987</v>
          </cell>
          <cell r="C101" t="str">
            <v>ABC KECAP MANIS SACHET 15 GR X 24 RCG PCSX12 B5G1</v>
          </cell>
          <cell r="D101" t="str">
            <v>PCSX12</v>
          </cell>
          <cell r="E101">
            <v>24</v>
          </cell>
        </row>
        <row r="102">
          <cell r="A102" t="str">
            <v>A1011100001510</v>
          </cell>
          <cell r="B102">
            <v>100168</v>
          </cell>
          <cell r="C102" t="str">
            <v>ABC KECAP MANIS SACHET 15 GR X 24 RCG PCSX12</v>
          </cell>
          <cell r="D102" t="str">
            <v>PCSX12</v>
          </cell>
          <cell r="E102">
            <v>24</v>
          </cell>
        </row>
        <row r="103">
          <cell r="A103" t="str">
            <v>A1011000027520</v>
          </cell>
          <cell r="B103">
            <v>100162</v>
          </cell>
          <cell r="C103" t="str">
            <v>ABC KECAP MANIS 275 ML X 24 BTL</v>
          </cell>
          <cell r="D103" t="str">
            <v>BTL</v>
          </cell>
          <cell r="E103">
            <v>24</v>
          </cell>
        </row>
        <row r="104">
          <cell r="A104" t="str">
            <v>A1011000025010</v>
          </cell>
          <cell r="B104">
            <v>100220</v>
          </cell>
          <cell r="C104" t="str">
            <v>ABC KECAP MANIS 250 GR X 24 PCH</v>
          </cell>
          <cell r="D104" t="str">
            <v>PCH</v>
          </cell>
          <cell r="E104">
            <v>24</v>
          </cell>
        </row>
        <row r="105">
          <cell r="A105" t="str">
            <v>A1011000030012</v>
          </cell>
          <cell r="B105">
            <v>100991</v>
          </cell>
          <cell r="C105" t="str">
            <v>ABC KECAP MANIS 600 GR X 12 PCH BANDED</v>
          </cell>
          <cell r="D105" t="str">
            <v>PCH</v>
          </cell>
          <cell r="E105">
            <v>12</v>
          </cell>
        </row>
        <row r="106">
          <cell r="A106" t="str">
            <v>A1011000030010</v>
          </cell>
          <cell r="B106">
            <v>100158</v>
          </cell>
          <cell r="C106" t="str">
            <v>ABC KECAP MANIS 300 GR X 24 PCH</v>
          </cell>
          <cell r="D106" t="str">
            <v>PCH</v>
          </cell>
          <cell r="E106">
            <v>24</v>
          </cell>
        </row>
        <row r="107">
          <cell r="A107" t="str">
            <v>A1011000013510</v>
          </cell>
          <cell r="B107">
            <v>100161</v>
          </cell>
          <cell r="C107" t="str">
            <v>ABC KECAP MANIS 135 ML X 48 BTL</v>
          </cell>
          <cell r="D107" t="str">
            <v>BTL</v>
          </cell>
          <cell r="E107">
            <v>48</v>
          </cell>
        </row>
        <row r="108">
          <cell r="A108" t="str">
            <v>A1011000006211</v>
          </cell>
          <cell r="B108">
            <v>100986</v>
          </cell>
          <cell r="C108" t="str">
            <v>ABC KECAP MANIS 62 GR X 48 PCH B5G1</v>
          </cell>
          <cell r="D108" t="str">
            <v>PCH</v>
          </cell>
          <cell r="E108">
            <v>48</v>
          </cell>
        </row>
        <row r="109">
          <cell r="A109" t="str">
            <v>A1011000006210</v>
          </cell>
          <cell r="B109">
            <v>100189</v>
          </cell>
          <cell r="C109" t="str">
            <v>ABC KECAP MANIS 62 GR X 48 PCH</v>
          </cell>
          <cell r="D109" t="str">
            <v>PCH</v>
          </cell>
          <cell r="E109">
            <v>48</v>
          </cell>
        </row>
        <row r="110">
          <cell r="A110" t="str">
            <v>A1011000013010</v>
          </cell>
          <cell r="B110">
            <v>100234</v>
          </cell>
          <cell r="C110" t="str">
            <v>ABC KECAP MANIS 135 ML X 48 BTL</v>
          </cell>
          <cell r="D110" t="str">
            <v>BTL</v>
          </cell>
          <cell r="E110">
            <v>48</v>
          </cell>
        </row>
        <row r="111">
          <cell r="A111" t="str">
            <v>A1011000008010</v>
          </cell>
          <cell r="B111">
            <v>100179</v>
          </cell>
          <cell r="C111" t="str">
            <v>ABC KECAP MANIS 80 ML X 48 PCH</v>
          </cell>
          <cell r="D111" t="str">
            <v>PCH</v>
          </cell>
          <cell r="E111">
            <v>48</v>
          </cell>
        </row>
        <row r="112">
          <cell r="A112" t="str">
            <v>A1011000092510</v>
          </cell>
          <cell r="B112">
            <v>100176</v>
          </cell>
          <cell r="C112" t="str">
            <v>ABC KECAP MANIS 925 GR X 12 PCH</v>
          </cell>
          <cell r="D112" t="str">
            <v>PCH</v>
          </cell>
          <cell r="E112">
            <v>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list"/>
      <sheetName val="Sheet2"/>
      <sheetName val="Sheet1"/>
    </sheetNames>
    <sheetDataSet>
      <sheetData sheetId="0">
        <row r="4">
          <cell r="A4">
            <v>190039</v>
          </cell>
          <cell r="B4" t="str">
            <v>HEINZ TOM KC PCH 48X125G 2105</v>
          </cell>
          <cell r="C4">
            <v>190039</v>
          </cell>
          <cell r="D4" t="str">
            <v>B60-TOMATO KETCHUP</v>
          </cell>
          <cell r="E4">
            <v>48</v>
          </cell>
          <cell r="F4">
            <v>45839</v>
          </cell>
          <cell r="G4" t="str">
            <v>Y</v>
          </cell>
          <cell r="H4">
            <v>6632.5777083333332</v>
          </cell>
          <cell r="I4">
            <v>318363.73</v>
          </cell>
          <cell r="J4">
            <v>0.08</v>
          </cell>
          <cell r="K4">
            <v>7951.1341567500012</v>
          </cell>
        </row>
        <row r="5">
          <cell r="A5">
            <v>190038</v>
          </cell>
          <cell r="B5" t="str">
            <v>HEINZ TOM KC USD 24X325G 2105</v>
          </cell>
          <cell r="C5">
            <v>190038</v>
          </cell>
          <cell r="D5" t="str">
            <v>B60-TOMATO KETCHUP</v>
          </cell>
          <cell r="E5">
            <v>24</v>
          </cell>
          <cell r="F5">
            <v>45839</v>
          </cell>
          <cell r="G5" t="str">
            <v>Y</v>
          </cell>
          <cell r="H5">
            <v>15528.022499999999</v>
          </cell>
          <cell r="I5">
            <v>372672.54</v>
          </cell>
          <cell r="J5">
            <v>0.08</v>
          </cell>
          <cell r="K5">
            <v>18614.993373000001</v>
          </cell>
        </row>
        <row r="6">
          <cell r="A6">
            <v>190047</v>
          </cell>
          <cell r="B6" t="str">
            <v>HEINZ TOM KCP USD 24X325G 2207</v>
          </cell>
          <cell r="C6">
            <v>190038</v>
          </cell>
          <cell r="D6" t="str">
            <v>B60-TOMATO KETCHUP</v>
          </cell>
          <cell r="E6">
            <v>24</v>
          </cell>
          <cell r="F6">
            <v>45839</v>
          </cell>
          <cell r="G6" t="str">
            <v>Y</v>
          </cell>
          <cell r="H6">
            <v>15528.022499999999</v>
          </cell>
          <cell r="I6">
            <v>372672.54</v>
          </cell>
          <cell r="J6">
            <v>0.08</v>
          </cell>
          <cell r="K6">
            <v>18614.993373000001</v>
          </cell>
        </row>
        <row r="7">
          <cell r="A7">
            <v>190060</v>
          </cell>
          <cell r="B7" t="str">
            <v>HEINZ TOM PLW 10X1KG 2310</v>
          </cell>
          <cell r="C7">
            <v>190060</v>
          </cell>
          <cell r="D7" t="str">
            <v>B60-TOMATO KETCHUP</v>
          </cell>
          <cell r="E7">
            <v>10</v>
          </cell>
          <cell r="F7">
            <v>45839</v>
          </cell>
          <cell r="G7" t="str">
            <v>Y</v>
          </cell>
          <cell r="H7">
            <v>35910.538</v>
          </cell>
          <cell r="I7">
            <v>359105.38</v>
          </cell>
          <cell r="J7">
            <v>0.08</v>
          </cell>
          <cell r="K7">
            <v>43049.552954400002</v>
          </cell>
        </row>
        <row r="8">
          <cell r="A8">
            <v>190046</v>
          </cell>
          <cell r="B8" t="str">
            <v>HEINZ TOM SCT 14X22X7G 2207</v>
          </cell>
          <cell r="C8">
            <v>190046</v>
          </cell>
          <cell r="D8" t="str">
            <v>B60-TOMATO KETCHUP</v>
          </cell>
          <cell r="E8">
            <v>14</v>
          </cell>
          <cell r="F8">
            <v>45839</v>
          </cell>
          <cell r="G8" t="str">
            <v>Y</v>
          </cell>
          <cell r="H8">
            <v>7145.0456249999997</v>
          </cell>
          <cell r="I8">
            <v>100030.63875</v>
          </cell>
          <cell r="J8">
            <v>0.08</v>
          </cell>
          <cell r="K8">
            <v>8565.4806952500021</v>
          </cell>
        </row>
        <row r="9">
          <cell r="A9">
            <v>190059</v>
          </cell>
          <cell r="B9" t="str">
            <v>HEINZ TOM SCT PY 48X22X7G 2307</v>
          </cell>
          <cell r="C9">
            <v>190059</v>
          </cell>
          <cell r="D9" t="str">
            <v>B60-TOMATO KETCHUP</v>
          </cell>
          <cell r="E9">
            <v>48</v>
          </cell>
          <cell r="F9">
            <v>45839</v>
          </cell>
          <cell r="G9" t="str">
            <v>Y</v>
          </cell>
          <cell r="H9">
            <v>7145.0456249999997</v>
          </cell>
          <cell r="I9">
            <v>342962.19</v>
          </cell>
          <cell r="J9">
            <v>0.08</v>
          </cell>
          <cell r="K9">
            <v>8565.4806952500021</v>
          </cell>
        </row>
        <row r="10">
          <cell r="A10">
            <v>120019</v>
          </cell>
          <cell r="B10" t="str">
            <v>ABC SAUS TIRAM PET48X135ML1811</v>
          </cell>
          <cell r="C10">
            <v>120014</v>
          </cell>
          <cell r="D10" t="str">
            <v>B30-SPECIAL SAUCE</v>
          </cell>
          <cell r="E10">
            <v>48</v>
          </cell>
          <cell r="F10">
            <v>45839</v>
          </cell>
          <cell r="G10" t="str">
            <v>Y</v>
          </cell>
          <cell r="H10">
            <v>10457.747747747746</v>
          </cell>
          <cell r="I10">
            <v>501971.89189189184</v>
          </cell>
          <cell r="J10">
            <v>0.08</v>
          </cell>
          <cell r="K10">
            <v>12536.748</v>
          </cell>
        </row>
        <row r="11">
          <cell r="A11">
            <v>190032</v>
          </cell>
          <cell r="B11" t="str">
            <v>ABC SAUS TOMAT SCT21X24X8G1805</v>
          </cell>
          <cell r="C11">
            <v>190030</v>
          </cell>
          <cell r="D11" t="str">
            <v>B60-TOMATO KETCHUP</v>
          </cell>
          <cell r="E11">
            <v>21</v>
          </cell>
          <cell r="F11">
            <v>45839</v>
          </cell>
          <cell r="G11" t="str">
            <v>Y</v>
          </cell>
          <cell r="H11">
            <v>5465.4954954954937</v>
          </cell>
          <cell r="I11">
            <v>114775.40540540537</v>
          </cell>
          <cell r="J11">
            <v>0.08</v>
          </cell>
          <cell r="K11">
            <v>6552.0359999999991</v>
          </cell>
        </row>
        <row r="12">
          <cell r="A12">
            <v>190058</v>
          </cell>
          <cell r="B12" t="str">
            <v>HEINZ TOM KC PCH 48X125G 2308</v>
          </cell>
          <cell r="C12">
            <v>190039</v>
          </cell>
          <cell r="D12" t="str">
            <v>B60-TOMATO KETCHUP</v>
          </cell>
          <cell r="E12">
            <v>48</v>
          </cell>
          <cell r="F12">
            <v>45839</v>
          </cell>
          <cell r="G12" t="str">
            <v>Y</v>
          </cell>
          <cell r="H12">
            <v>6632.5777083333332</v>
          </cell>
          <cell r="I12">
            <v>318363.73</v>
          </cell>
          <cell r="J12">
            <v>0.08</v>
          </cell>
          <cell r="K12">
            <v>7951.1341567500012</v>
          </cell>
        </row>
        <row r="13">
          <cell r="A13">
            <v>150143</v>
          </cell>
          <cell r="B13" t="str">
            <v>ABC SAM ASLI JRG 5.5KG 2005</v>
          </cell>
          <cell r="C13">
            <v>150051</v>
          </cell>
          <cell r="D13" t="str">
            <v>B50-CHILI</v>
          </cell>
          <cell r="E13">
            <v>1</v>
          </cell>
          <cell r="F13">
            <v>45839</v>
          </cell>
          <cell r="G13" t="str">
            <v>Y</v>
          </cell>
          <cell r="H13">
            <v>126468.37837837836</v>
          </cell>
          <cell r="I13">
            <v>126468.37837837836</v>
          </cell>
          <cell r="J13">
            <v>0.08</v>
          </cell>
          <cell r="K13">
            <v>151610.29199999999</v>
          </cell>
        </row>
        <row r="14">
          <cell r="A14">
            <v>150162</v>
          </cell>
          <cell r="B14" t="str">
            <v>ABC SAM ASLI JRG 5.5KG 2105</v>
          </cell>
          <cell r="C14">
            <v>150051</v>
          </cell>
          <cell r="D14" t="str">
            <v>B50-CHILI</v>
          </cell>
          <cell r="E14">
            <v>1</v>
          </cell>
          <cell r="F14">
            <v>45839</v>
          </cell>
          <cell r="G14" t="str">
            <v>Y</v>
          </cell>
          <cell r="H14">
            <v>126468.37837837836</v>
          </cell>
          <cell r="I14">
            <v>126468.37837837836</v>
          </cell>
          <cell r="J14">
            <v>0.08</v>
          </cell>
          <cell r="K14">
            <v>151610.29199999999</v>
          </cell>
        </row>
        <row r="15">
          <cell r="A15">
            <v>150333</v>
          </cell>
          <cell r="B15" t="str">
            <v>ABC SAM ASLI JRG 5.5KG 2406</v>
          </cell>
          <cell r="C15">
            <v>150051</v>
          </cell>
          <cell r="D15" t="str">
            <v>B50-CHILI</v>
          </cell>
          <cell r="E15">
            <v>1</v>
          </cell>
          <cell r="F15">
            <v>45839</v>
          </cell>
          <cell r="G15" t="str">
            <v>Y</v>
          </cell>
          <cell r="H15">
            <v>126468.37837837836</v>
          </cell>
          <cell r="I15">
            <v>126468.37837837836</v>
          </cell>
          <cell r="J15">
            <v>0.08</v>
          </cell>
          <cell r="K15">
            <v>151610.29199999999</v>
          </cell>
        </row>
        <row r="16">
          <cell r="A16">
            <v>150117</v>
          </cell>
          <cell r="B16" t="str">
            <v>ABC SAM ASLI JRG 5.7KG 1903</v>
          </cell>
          <cell r="C16">
            <v>150051</v>
          </cell>
          <cell r="D16" t="str">
            <v>B50-CHILI</v>
          </cell>
          <cell r="E16">
            <v>1</v>
          </cell>
          <cell r="F16">
            <v>45839</v>
          </cell>
          <cell r="G16" t="str">
            <v>Y</v>
          </cell>
          <cell r="H16">
            <v>126468.37837837836</v>
          </cell>
          <cell r="I16">
            <v>126468.37837837836</v>
          </cell>
          <cell r="J16">
            <v>0.08</v>
          </cell>
          <cell r="K16">
            <v>151610.29199999999</v>
          </cell>
        </row>
        <row r="17">
          <cell r="A17">
            <v>150051</v>
          </cell>
          <cell r="B17" t="str">
            <v>ABC SAM ASLI JRG 5.7KG NL 0906</v>
          </cell>
          <cell r="C17">
            <v>150051</v>
          </cell>
          <cell r="D17" t="str">
            <v>B50-CHILI</v>
          </cell>
          <cell r="E17">
            <v>1</v>
          </cell>
          <cell r="F17">
            <v>45839</v>
          </cell>
          <cell r="G17" t="str">
            <v>Y</v>
          </cell>
          <cell r="H17">
            <v>126468.37837837836</v>
          </cell>
          <cell r="I17">
            <v>126468.37837837836</v>
          </cell>
          <cell r="J17">
            <v>0.08</v>
          </cell>
          <cell r="K17">
            <v>151610.29199999999</v>
          </cell>
        </row>
        <row r="18">
          <cell r="A18">
            <v>150071</v>
          </cell>
          <cell r="B18" t="str">
            <v>ABC SAM AYAM GRG NB 135ML 1005</v>
          </cell>
          <cell r="C18">
            <v>150071</v>
          </cell>
          <cell r="D18" t="str">
            <v>B50-CHILI</v>
          </cell>
          <cell r="E18">
            <v>48</v>
          </cell>
          <cell r="F18">
            <v>45839</v>
          </cell>
          <cell r="G18" t="str">
            <v>Y</v>
          </cell>
          <cell r="H18">
            <v>6486.479166666667</v>
          </cell>
          <cell r="I18">
            <v>311351</v>
          </cell>
          <cell r="J18">
            <v>0.08</v>
          </cell>
          <cell r="K18">
            <v>7775.9912250000016</v>
          </cell>
        </row>
        <row r="19">
          <cell r="A19">
            <v>150292</v>
          </cell>
          <cell r="B19" t="str">
            <v>ABC SAM AYM GRG 48X130ML 2406</v>
          </cell>
          <cell r="C19">
            <v>150071</v>
          </cell>
          <cell r="D19" t="str">
            <v>B50-CHILI</v>
          </cell>
          <cell r="E19">
            <v>48</v>
          </cell>
          <cell r="F19">
            <v>45839</v>
          </cell>
          <cell r="G19" t="str">
            <v>Y</v>
          </cell>
          <cell r="H19">
            <v>6486.479166666667</v>
          </cell>
          <cell r="I19">
            <v>311351</v>
          </cell>
          <cell r="J19">
            <v>0.08</v>
          </cell>
          <cell r="K19">
            <v>7775.9912250000016</v>
          </cell>
        </row>
        <row r="20">
          <cell r="A20">
            <v>150167</v>
          </cell>
          <cell r="B20" t="str">
            <v>ABC SAM AYM GRG 48X135ML 2105</v>
          </cell>
          <cell r="C20">
            <v>150071</v>
          </cell>
          <cell r="D20" t="str">
            <v>B50-CHILI</v>
          </cell>
          <cell r="E20">
            <v>48</v>
          </cell>
          <cell r="F20">
            <v>45839</v>
          </cell>
          <cell r="G20" t="str">
            <v>Y</v>
          </cell>
          <cell r="H20">
            <v>6486.479166666667</v>
          </cell>
          <cell r="I20">
            <v>311351</v>
          </cell>
          <cell r="J20">
            <v>0.08</v>
          </cell>
          <cell r="K20">
            <v>7775.9912250000016</v>
          </cell>
        </row>
        <row r="21">
          <cell r="A21">
            <v>150057</v>
          </cell>
          <cell r="B21" t="str">
            <v>ABC SAM MANIS PDS 340ML NL0906</v>
          </cell>
          <cell r="C21">
            <v>150082</v>
          </cell>
          <cell r="D21" t="str">
            <v>B50-CHILI</v>
          </cell>
          <cell r="E21">
            <v>24</v>
          </cell>
          <cell r="F21">
            <v>45839</v>
          </cell>
          <cell r="G21" t="str">
            <v>Y</v>
          </cell>
          <cell r="H21">
            <v>14918.918918918915</v>
          </cell>
          <cell r="I21">
            <v>358054.05405405397</v>
          </cell>
          <cell r="J21">
            <v>0.08</v>
          </cell>
          <cell r="K21">
            <v>17884.8</v>
          </cell>
        </row>
        <row r="22">
          <cell r="A22">
            <v>150070</v>
          </cell>
          <cell r="B22" t="str">
            <v>ABC SAM MANIS PDS NB 135ML1005</v>
          </cell>
          <cell r="C22">
            <v>150070</v>
          </cell>
          <cell r="D22" t="str">
            <v>B50-CHILI</v>
          </cell>
          <cell r="E22">
            <v>48</v>
          </cell>
          <cell r="F22">
            <v>45839</v>
          </cell>
          <cell r="G22" t="str">
            <v>Y</v>
          </cell>
          <cell r="H22">
            <v>6486.479166666667</v>
          </cell>
          <cell r="I22">
            <v>311351</v>
          </cell>
          <cell r="J22">
            <v>0.08</v>
          </cell>
          <cell r="K22">
            <v>7775.9912250000016</v>
          </cell>
        </row>
        <row r="23">
          <cell r="A23">
            <v>150173</v>
          </cell>
          <cell r="B23" t="str">
            <v>ABC SAM MNS PDS 24X335ML 2105</v>
          </cell>
          <cell r="C23">
            <v>150082</v>
          </cell>
          <cell r="D23" t="str">
            <v>B50-CHILI</v>
          </cell>
          <cell r="E23">
            <v>24</v>
          </cell>
          <cell r="F23">
            <v>45839</v>
          </cell>
          <cell r="G23" t="str">
            <v>Y</v>
          </cell>
          <cell r="H23">
            <v>14918.918918918915</v>
          </cell>
          <cell r="I23">
            <v>358054.05405405397</v>
          </cell>
          <cell r="J23">
            <v>0.08</v>
          </cell>
          <cell r="K23">
            <v>17884.8</v>
          </cell>
        </row>
        <row r="24">
          <cell r="A24">
            <v>150347</v>
          </cell>
          <cell r="B24" t="str">
            <v>ABC SAM MNS PDS 24X335ML 2405</v>
          </cell>
          <cell r="C24">
            <v>150082</v>
          </cell>
          <cell r="D24" t="str">
            <v>B50-CHILI</v>
          </cell>
          <cell r="E24">
            <v>24</v>
          </cell>
          <cell r="F24">
            <v>45839</v>
          </cell>
          <cell r="G24" t="str">
            <v>Y</v>
          </cell>
          <cell r="H24">
            <v>14918.918918918915</v>
          </cell>
          <cell r="I24">
            <v>358054.05405405397</v>
          </cell>
          <cell r="J24">
            <v>0.08</v>
          </cell>
          <cell r="K24">
            <v>17884.8</v>
          </cell>
        </row>
        <row r="25">
          <cell r="A25">
            <v>150082</v>
          </cell>
          <cell r="B25" t="str">
            <v>ABC SAM MNS PDS 335ML 1112</v>
          </cell>
          <cell r="C25">
            <v>150082</v>
          </cell>
          <cell r="D25" t="str">
            <v>B50-CHILI</v>
          </cell>
          <cell r="E25">
            <v>24</v>
          </cell>
          <cell r="F25">
            <v>45839</v>
          </cell>
          <cell r="G25" t="str">
            <v>Y</v>
          </cell>
          <cell r="H25">
            <v>14918.918918918915</v>
          </cell>
          <cell r="I25">
            <v>358054.05405405397</v>
          </cell>
          <cell r="J25">
            <v>0.08</v>
          </cell>
          <cell r="K25">
            <v>17884.8</v>
          </cell>
        </row>
        <row r="26">
          <cell r="A26">
            <v>150291</v>
          </cell>
          <cell r="B26" t="str">
            <v>ABC SAM MNS PDS 48X130ML 2406</v>
          </cell>
          <cell r="C26">
            <v>150070</v>
          </cell>
          <cell r="D26" t="str">
            <v>B50-CHILI</v>
          </cell>
          <cell r="E26">
            <v>48</v>
          </cell>
          <cell r="F26">
            <v>45839</v>
          </cell>
          <cell r="G26" t="str">
            <v>Y</v>
          </cell>
          <cell r="H26">
            <v>6486.479166666667</v>
          </cell>
          <cell r="I26">
            <v>311351</v>
          </cell>
          <cell r="J26">
            <v>0.08</v>
          </cell>
          <cell r="K26">
            <v>7775.9912250000016</v>
          </cell>
        </row>
        <row r="27">
          <cell r="A27">
            <v>150166</v>
          </cell>
          <cell r="B27" t="str">
            <v>ABC SAM MNS PDS 48X135ML 2105</v>
          </cell>
          <cell r="C27">
            <v>150070</v>
          </cell>
          <cell r="D27" t="str">
            <v>B50-CHILI</v>
          </cell>
          <cell r="E27">
            <v>48</v>
          </cell>
          <cell r="F27">
            <v>45839</v>
          </cell>
          <cell r="G27" t="str">
            <v>Y</v>
          </cell>
          <cell r="H27">
            <v>6486.479166666667</v>
          </cell>
          <cell r="I27">
            <v>311351</v>
          </cell>
          <cell r="J27">
            <v>0.08</v>
          </cell>
          <cell r="K27">
            <v>7775.9912250000016</v>
          </cell>
        </row>
        <row r="28">
          <cell r="A28">
            <v>612136</v>
          </cell>
          <cell r="B28" t="str">
            <v>ABC TERASI SCT 24X20X3.8G 2211</v>
          </cell>
          <cell r="C28">
            <v>612060</v>
          </cell>
          <cell r="D28" t="str">
            <v>B40-SHRIMP PASTE</v>
          </cell>
          <cell r="E28">
            <v>24</v>
          </cell>
          <cell r="F28">
            <v>45839</v>
          </cell>
          <cell r="G28" t="str">
            <v>Y</v>
          </cell>
          <cell r="H28">
            <v>6300.6306306306296</v>
          </cell>
          <cell r="I28">
            <v>151215.13513513512</v>
          </cell>
          <cell r="J28">
            <v>0.05</v>
          </cell>
          <cell r="K28">
            <v>7343.3850000000002</v>
          </cell>
        </row>
        <row r="29">
          <cell r="A29">
            <v>612145</v>
          </cell>
          <cell r="B29" t="str">
            <v>ABC TERASI SCT 24X20X3.8G 2411</v>
          </cell>
          <cell r="C29">
            <v>612060</v>
          </cell>
          <cell r="D29" t="str">
            <v>B40-SHRIMP PASTE</v>
          </cell>
          <cell r="E29">
            <v>24</v>
          </cell>
          <cell r="F29">
            <v>45839</v>
          </cell>
          <cell r="G29" t="str">
            <v>Y</v>
          </cell>
          <cell r="H29">
            <v>6300.6306306306296</v>
          </cell>
          <cell r="I29">
            <v>151215.13513513512</v>
          </cell>
          <cell r="J29">
            <v>0.05</v>
          </cell>
          <cell r="K29">
            <v>7343.3850000000002</v>
          </cell>
        </row>
        <row r="30">
          <cell r="A30">
            <v>612093</v>
          </cell>
          <cell r="B30" t="str">
            <v>ABC TERASI SCT 24X20X4.2G 2006</v>
          </cell>
          <cell r="C30">
            <v>612060</v>
          </cell>
          <cell r="D30" t="str">
            <v>B40-SHRIMP PASTE</v>
          </cell>
          <cell r="E30">
            <v>24</v>
          </cell>
          <cell r="F30">
            <v>45839</v>
          </cell>
          <cell r="G30" t="str">
            <v>Y</v>
          </cell>
          <cell r="H30">
            <v>6300.6306306306296</v>
          </cell>
          <cell r="I30">
            <v>151215.13513513512</v>
          </cell>
          <cell r="J30">
            <v>0.05</v>
          </cell>
          <cell r="K30">
            <v>7343.3850000000002</v>
          </cell>
        </row>
        <row r="31">
          <cell r="A31">
            <v>612135</v>
          </cell>
          <cell r="B31" t="str">
            <v>ABC TERASI SCT 36X20X3.8G 2211</v>
          </cell>
          <cell r="C31">
            <v>612060</v>
          </cell>
          <cell r="D31" t="str">
            <v>B40-SHRIMP PASTE</v>
          </cell>
          <cell r="E31">
            <v>36</v>
          </cell>
          <cell r="F31">
            <v>45839</v>
          </cell>
          <cell r="G31" t="str">
            <v>Y</v>
          </cell>
          <cell r="H31">
            <v>6300.6306306306296</v>
          </cell>
          <cell r="I31">
            <v>226822.70270270266</v>
          </cell>
          <cell r="J31">
            <v>0.05</v>
          </cell>
          <cell r="K31">
            <v>7343.3850000000002</v>
          </cell>
        </row>
        <row r="32">
          <cell r="A32">
            <v>612146</v>
          </cell>
          <cell r="B32" t="str">
            <v>ABC TERASI SCT 36X20X3.8G 2411</v>
          </cell>
          <cell r="C32">
            <v>612060</v>
          </cell>
          <cell r="D32" t="str">
            <v>B40-SHRIMP PASTE</v>
          </cell>
          <cell r="E32">
            <v>36</v>
          </cell>
          <cell r="F32">
            <v>45839</v>
          </cell>
          <cell r="G32" t="str">
            <v>Y</v>
          </cell>
          <cell r="H32">
            <v>6300.6306306306296</v>
          </cell>
          <cell r="I32">
            <v>226822.70270270266</v>
          </cell>
          <cell r="J32">
            <v>0.05</v>
          </cell>
          <cell r="K32">
            <v>7343.3850000000002</v>
          </cell>
        </row>
        <row r="33">
          <cell r="A33">
            <v>612071</v>
          </cell>
          <cell r="B33" t="str">
            <v>ABC TERASI SCT 36X20X4.2G 1610</v>
          </cell>
          <cell r="C33">
            <v>612060</v>
          </cell>
          <cell r="D33" t="str">
            <v>B40-SHRIMP PASTE</v>
          </cell>
          <cell r="E33">
            <v>36</v>
          </cell>
          <cell r="F33">
            <v>45839</v>
          </cell>
          <cell r="G33" t="str">
            <v>Y</v>
          </cell>
          <cell r="H33">
            <v>6300.6306306306296</v>
          </cell>
          <cell r="I33">
            <v>226822.70270270266</v>
          </cell>
          <cell r="J33">
            <v>0.05</v>
          </cell>
          <cell r="K33">
            <v>7343.3850000000002</v>
          </cell>
        </row>
        <row r="34">
          <cell r="A34">
            <v>612029</v>
          </cell>
          <cell r="B34" t="str">
            <v>ABC TERASI UDANG 320X4.5G 1003</v>
          </cell>
          <cell r="C34">
            <v>612060</v>
          </cell>
          <cell r="D34" t="str">
            <v>B40-SHRIMP PASTE</v>
          </cell>
          <cell r="E34">
            <v>32</v>
          </cell>
          <cell r="F34">
            <v>45839</v>
          </cell>
          <cell r="G34" t="str">
            <v>Y</v>
          </cell>
          <cell r="H34">
            <v>6300.6306306306296</v>
          </cell>
          <cell r="I34">
            <v>201620.18018018015</v>
          </cell>
          <cell r="J34">
            <v>0.05</v>
          </cell>
          <cell r="K34">
            <v>7343.3850000000002</v>
          </cell>
        </row>
        <row r="35">
          <cell r="A35">
            <v>612946</v>
          </cell>
          <cell r="B35" t="str">
            <v>ABC TRS 4.2G+AMB 30ML 1611</v>
          </cell>
          <cell r="C35">
            <v>612060</v>
          </cell>
          <cell r="D35" t="str">
            <v>B40-SHRIMP PASTE</v>
          </cell>
          <cell r="E35">
            <v>32</v>
          </cell>
          <cell r="F35">
            <v>45839</v>
          </cell>
          <cell r="G35" t="str">
            <v>Y</v>
          </cell>
          <cell r="H35">
            <v>6300.6306306306296</v>
          </cell>
          <cell r="I35">
            <v>201620.18018018015</v>
          </cell>
          <cell r="J35">
            <v>0.05</v>
          </cell>
          <cell r="K35">
            <v>7343.3850000000002</v>
          </cell>
        </row>
        <row r="36">
          <cell r="A36">
            <v>612137</v>
          </cell>
          <cell r="B36" t="str">
            <v>ABC TRS SCT NEW 36X20X3.8G2211</v>
          </cell>
          <cell r="C36">
            <v>612060</v>
          </cell>
          <cell r="D36" t="str">
            <v>B40-SHRIMP PASTE</v>
          </cell>
          <cell r="E36">
            <v>36</v>
          </cell>
          <cell r="F36">
            <v>45839</v>
          </cell>
          <cell r="G36" t="str">
            <v>Y</v>
          </cell>
          <cell r="H36">
            <v>6300.6306306306296</v>
          </cell>
          <cell r="I36">
            <v>226822.70270270266</v>
          </cell>
          <cell r="J36">
            <v>0.05</v>
          </cell>
          <cell r="K36">
            <v>7343.3850000000002</v>
          </cell>
        </row>
        <row r="37">
          <cell r="A37">
            <v>612087</v>
          </cell>
          <cell r="B37" t="str">
            <v>ABC TRS SCT NEW 36X20X4.2G2203</v>
          </cell>
          <cell r="C37">
            <v>612060</v>
          </cell>
          <cell r="D37" t="str">
            <v>B40-SHRIMP PASTE</v>
          </cell>
          <cell r="E37">
            <v>36</v>
          </cell>
          <cell r="F37">
            <v>45839</v>
          </cell>
          <cell r="G37" t="str">
            <v>Y</v>
          </cell>
          <cell r="H37">
            <v>6300.6306306306296</v>
          </cell>
          <cell r="I37">
            <v>226822.70270270266</v>
          </cell>
          <cell r="J37">
            <v>0.05</v>
          </cell>
          <cell r="K37">
            <v>7343.3850000000002</v>
          </cell>
        </row>
        <row r="38">
          <cell r="A38">
            <v>612051</v>
          </cell>
          <cell r="B38" t="str">
            <v>ABC TRS UDANG 16X20X4.2G 1306</v>
          </cell>
          <cell r="C38">
            <v>612060</v>
          </cell>
          <cell r="D38" t="str">
            <v>B40-SHRIMP PASTE</v>
          </cell>
          <cell r="E38">
            <v>32</v>
          </cell>
          <cell r="F38">
            <v>45839</v>
          </cell>
          <cell r="G38" t="str">
            <v>Y</v>
          </cell>
          <cell r="H38">
            <v>6300.6306306306296</v>
          </cell>
          <cell r="I38">
            <v>201620.18018018015</v>
          </cell>
          <cell r="J38">
            <v>0.05</v>
          </cell>
          <cell r="K38">
            <v>7343.3850000000002</v>
          </cell>
        </row>
        <row r="39">
          <cell r="A39">
            <v>612060</v>
          </cell>
          <cell r="B39" t="str">
            <v>ABC TRS UDANG 32X20X4.2G 1405</v>
          </cell>
          <cell r="C39">
            <v>612060</v>
          </cell>
          <cell r="D39" t="str">
            <v>B40-SHRIMP PASTE</v>
          </cell>
          <cell r="E39">
            <v>32</v>
          </cell>
          <cell r="F39">
            <v>45839</v>
          </cell>
          <cell r="G39" t="str">
            <v>Y</v>
          </cell>
          <cell r="H39">
            <v>6300.6306306306296</v>
          </cell>
          <cell r="I39">
            <v>201620.18018018015</v>
          </cell>
          <cell r="J39">
            <v>0.05</v>
          </cell>
          <cell r="K39">
            <v>7343.3850000000002</v>
          </cell>
        </row>
        <row r="40">
          <cell r="A40">
            <v>612147</v>
          </cell>
          <cell r="B40" t="str">
            <v>ABC TRSI SCTNEW 36X20X3.8G2411</v>
          </cell>
          <cell r="C40">
            <v>612060</v>
          </cell>
          <cell r="D40" t="str">
            <v>B40-SHRIMP PASTE</v>
          </cell>
          <cell r="E40">
            <v>36</v>
          </cell>
          <cell r="F40">
            <v>45839</v>
          </cell>
          <cell r="G40" t="str">
            <v>Y</v>
          </cell>
          <cell r="H40">
            <v>6300.6306306306296</v>
          </cell>
          <cell r="I40">
            <v>226822.70270270266</v>
          </cell>
          <cell r="J40">
            <v>0.05</v>
          </cell>
          <cell r="K40">
            <v>7343.3850000000002</v>
          </cell>
        </row>
        <row r="41">
          <cell r="A41">
            <v>110016</v>
          </cell>
          <cell r="B41" t="str">
            <v>ABC KCP ASIN 133ML 1110</v>
          </cell>
          <cell r="C41">
            <v>110016</v>
          </cell>
          <cell r="D41" t="str">
            <v>B10-RASA MANTAP SOY</v>
          </cell>
          <cell r="E41">
            <v>48</v>
          </cell>
          <cell r="F41">
            <v>45839</v>
          </cell>
          <cell r="G41" t="str">
            <v>Y</v>
          </cell>
          <cell r="H41">
            <v>4565.405405405405</v>
          </cell>
          <cell r="I41">
            <v>219139.45945945944</v>
          </cell>
          <cell r="J41">
            <v>0.08</v>
          </cell>
          <cell r="K41">
            <v>5473.0080000000007</v>
          </cell>
        </row>
        <row r="42">
          <cell r="A42">
            <v>110015</v>
          </cell>
          <cell r="B42" t="str">
            <v>ABC KCP ASIN 135ML NB 1005</v>
          </cell>
          <cell r="C42">
            <v>110016</v>
          </cell>
          <cell r="D42" t="str">
            <v>B10-RASA MANTAP SOY</v>
          </cell>
          <cell r="E42">
            <v>48</v>
          </cell>
          <cell r="F42">
            <v>45839</v>
          </cell>
          <cell r="G42" t="str">
            <v>Y</v>
          </cell>
          <cell r="H42">
            <v>4565.405405405405</v>
          </cell>
          <cell r="I42">
            <v>219139.45945945944</v>
          </cell>
          <cell r="J42">
            <v>0.08</v>
          </cell>
          <cell r="K42">
            <v>5473.0080000000007</v>
          </cell>
        </row>
        <row r="43">
          <cell r="A43">
            <v>110012</v>
          </cell>
          <cell r="B43" t="str">
            <v>ABC KCP ASIN ND 48X135ML 1001</v>
          </cell>
          <cell r="C43">
            <v>110016</v>
          </cell>
          <cell r="D43" t="str">
            <v>B10-RASA MANTAP SOY</v>
          </cell>
          <cell r="E43">
            <v>48</v>
          </cell>
          <cell r="F43">
            <v>45839</v>
          </cell>
          <cell r="G43" t="str">
            <v>Y</v>
          </cell>
          <cell r="H43">
            <v>4565.405405405405</v>
          </cell>
          <cell r="I43">
            <v>219139.45945945944</v>
          </cell>
          <cell r="J43">
            <v>0.08</v>
          </cell>
          <cell r="K43">
            <v>5473.0080000000007</v>
          </cell>
        </row>
        <row r="44">
          <cell r="A44">
            <v>110018</v>
          </cell>
          <cell r="B44" t="str">
            <v>ABC KCP ASIN PET 48X131ML 2403</v>
          </cell>
          <cell r="C44">
            <v>110016</v>
          </cell>
          <cell r="D44" t="str">
            <v>B10-RASA MANTAP SOY</v>
          </cell>
          <cell r="E44">
            <v>48</v>
          </cell>
          <cell r="F44">
            <v>45839</v>
          </cell>
          <cell r="G44" t="str">
            <v>Y</v>
          </cell>
          <cell r="H44">
            <v>4565.405405405405</v>
          </cell>
          <cell r="I44">
            <v>219139.45945945944</v>
          </cell>
          <cell r="J44">
            <v>0.08</v>
          </cell>
          <cell r="K44">
            <v>5473.0080000000007</v>
          </cell>
        </row>
        <row r="45">
          <cell r="A45">
            <v>110021</v>
          </cell>
          <cell r="B45" t="str">
            <v>ABC KCP ASIN PET 48X131ML 2405</v>
          </cell>
          <cell r="C45">
            <v>110016</v>
          </cell>
          <cell r="D45" t="str">
            <v>B10-RASA MANTAP SOY</v>
          </cell>
          <cell r="E45">
            <v>48</v>
          </cell>
          <cell r="F45">
            <v>45839</v>
          </cell>
          <cell r="G45" t="str">
            <v>Y</v>
          </cell>
          <cell r="H45">
            <v>4565.405405405405</v>
          </cell>
          <cell r="I45">
            <v>219139.45945945944</v>
          </cell>
          <cell r="J45">
            <v>0.08</v>
          </cell>
          <cell r="K45">
            <v>5473.0080000000007</v>
          </cell>
        </row>
        <row r="46">
          <cell r="A46">
            <v>110017</v>
          </cell>
          <cell r="B46" t="str">
            <v>ABC KCP ASIN PET 48X133ML 2106</v>
          </cell>
          <cell r="C46">
            <v>110016</v>
          </cell>
          <cell r="D46" t="str">
            <v>B10-RASA MANTAP SOY</v>
          </cell>
          <cell r="E46">
            <v>48</v>
          </cell>
          <cell r="F46">
            <v>45839</v>
          </cell>
          <cell r="G46" t="str">
            <v>Y</v>
          </cell>
          <cell r="H46">
            <v>4565.405405405405</v>
          </cell>
          <cell r="I46">
            <v>219139.45945945944</v>
          </cell>
          <cell r="J46">
            <v>0.08</v>
          </cell>
          <cell r="K46">
            <v>5473.0080000000007</v>
          </cell>
        </row>
        <row r="47">
          <cell r="A47">
            <v>100185</v>
          </cell>
          <cell r="B47" t="str">
            <v>ABC KCP MNS JRG 6KG 2106</v>
          </cell>
          <cell r="C47">
            <v>100159</v>
          </cell>
          <cell r="D47" t="str">
            <v>B10-RASA MANTAP SOY</v>
          </cell>
          <cell r="E47">
            <v>1</v>
          </cell>
          <cell r="F47">
            <v>45839</v>
          </cell>
          <cell r="G47" t="str">
            <v>Y</v>
          </cell>
          <cell r="H47">
            <v>140178.57142857142</v>
          </cell>
          <cell r="I47">
            <v>140178.57142857142</v>
          </cell>
          <cell r="J47">
            <v>0.08</v>
          </cell>
          <cell r="K47">
            <v>168046.07142857142</v>
          </cell>
        </row>
        <row r="48">
          <cell r="A48">
            <v>100186</v>
          </cell>
          <cell r="B48" t="str">
            <v>ABC KCP MNS JRG 6KG 2111</v>
          </cell>
          <cell r="C48">
            <v>100159</v>
          </cell>
          <cell r="D48" t="str">
            <v>B10-RASA MANTAP SOY</v>
          </cell>
          <cell r="E48">
            <v>1</v>
          </cell>
          <cell r="F48">
            <v>45839</v>
          </cell>
          <cell r="G48" t="str">
            <v>Y</v>
          </cell>
          <cell r="H48">
            <v>140178.57142857142</v>
          </cell>
          <cell r="I48">
            <v>140178.57142857142</v>
          </cell>
          <cell r="J48">
            <v>0.08</v>
          </cell>
          <cell r="K48">
            <v>168046.07142857142</v>
          </cell>
        </row>
        <row r="49">
          <cell r="A49">
            <v>100229</v>
          </cell>
          <cell r="B49" t="str">
            <v>ABC KCP MNS JRG 6KG 2405</v>
          </cell>
          <cell r="C49">
            <v>100159</v>
          </cell>
          <cell r="D49" t="str">
            <v>B10-RASA MANTAP SOY</v>
          </cell>
          <cell r="E49">
            <v>1</v>
          </cell>
          <cell r="F49">
            <v>45839</v>
          </cell>
          <cell r="G49" t="str">
            <v>Y</v>
          </cell>
          <cell r="H49">
            <v>140178.57142857142</v>
          </cell>
          <cell r="I49">
            <v>140178.57142857142</v>
          </cell>
          <cell r="J49">
            <v>0.08</v>
          </cell>
          <cell r="K49">
            <v>168046.07142857142</v>
          </cell>
        </row>
        <row r="50">
          <cell r="A50">
            <v>100079</v>
          </cell>
          <cell r="B50" t="str">
            <v>ABC KCP MNS JRG ND 6KG 1001</v>
          </cell>
          <cell r="C50">
            <v>100159</v>
          </cell>
          <cell r="D50" t="str">
            <v>B10-RASA MANTAP SOY</v>
          </cell>
          <cell r="E50">
            <v>1</v>
          </cell>
          <cell r="F50">
            <v>45839</v>
          </cell>
          <cell r="G50" t="str">
            <v>Y</v>
          </cell>
          <cell r="H50">
            <v>140178.57142857142</v>
          </cell>
          <cell r="I50">
            <v>140178.57142857142</v>
          </cell>
          <cell r="J50">
            <v>0.08</v>
          </cell>
          <cell r="K50">
            <v>168046.07142857142</v>
          </cell>
        </row>
        <row r="51">
          <cell r="A51">
            <v>100159</v>
          </cell>
          <cell r="B51" t="str">
            <v>ABC KCP MNS JRG SB 6KG 1607</v>
          </cell>
          <cell r="C51">
            <v>100159</v>
          </cell>
          <cell r="D51" t="str">
            <v>B10-RASA MANTAP SOY</v>
          </cell>
          <cell r="E51">
            <v>1</v>
          </cell>
          <cell r="F51">
            <v>45839</v>
          </cell>
          <cell r="G51" t="str">
            <v>Y</v>
          </cell>
          <cell r="H51">
            <v>140178.57142857142</v>
          </cell>
          <cell r="I51">
            <v>140178.57142857142</v>
          </cell>
          <cell r="J51">
            <v>0.08</v>
          </cell>
          <cell r="K51">
            <v>168046.07142857142</v>
          </cell>
        </row>
        <row r="52">
          <cell r="A52">
            <v>120028</v>
          </cell>
          <cell r="B52" t="str">
            <v>ABC KCP INGGRIS BB24X195ML2106</v>
          </cell>
          <cell r="C52">
            <v>120010</v>
          </cell>
          <cell r="D52" t="str">
            <v>B30-SPECIAL SAUCE</v>
          </cell>
          <cell r="E52">
            <v>24</v>
          </cell>
          <cell r="F52">
            <v>45839</v>
          </cell>
          <cell r="G52" t="str">
            <v>Y</v>
          </cell>
          <cell r="H52">
            <v>11691.891891891888</v>
          </cell>
          <cell r="I52">
            <v>280605.40540540533</v>
          </cell>
          <cell r="J52">
            <v>0.08</v>
          </cell>
          <cell r="K52">
            <v>14016.239999999998</v>
          </cell>
        </row>
        <row r="53">
          <cell r="A53">
            <v>120043</v>
          </cell>
          <cell r="B53" t="str">
            <v>ABC KCP INGGRIS BB24X195ML2409</v>
          </cell>
          <cell r="C53">
            <v>120010</v>
          </cell>
          <cell r="D53" t="str">
            <v>B30-SPECIAL SAUCE</v>
          </cell>
          <cell r="E53">
            <v>24</v>
          </cell>
          <cell r="F53">
            <v>45839</v>
          </cell>
          <cell r="G53" t="str">
            <v>Y</v>
          </cell>
          <cell r="H53">
            <v>11691.891891891888</v>
          </cell>
          <cell r="I53">
            <v>280605.40540540533</v>
          </cell>
          <cell r="J53">
            <v>0.08</v>
          </cell>
          <cell r="K53">
            <v>14016.239999999998</v>
          </cell>
        </row>
        <row r="54">
          <cell r="A54">
            <v>120044</v>
          </cell>
          <cell r="B54" t="str">
            <v>ABC KCP INGGRIS JRG 6X1L 2409</v>
          </cell>
          <cell r="C54">
            <v>120026</v>
          </cell>
          <cell r="D54" t="str">
            <v>B30-SPECIAL SAUCE</v>
          </cell>
          <cell r="E54">
            <v>6</v>
          </cell>
          <cell r="F54">
            <v>45839</v>
          </cell>
          <cell r="G54" t="str">
            <v>Y</v>
          </cell>
          <cell r="H54">
            <v>38230.630226124849</v>
          </cell>
          <cell r="I54">
            <v>229383.7813567491</v>
          </cell>
          <cell r="J54">
            <v>0.08</v>
          </cell>
          <cell r="K54">
            <v>45830.879515078472</v>
          </cell>
        </row>
        <row r="55">
          <cell r="A55">
            <v>120010</v>
          </cell>
          <cell r="B55" t="str">
            <v>ABC KCP INGGRIS NL 195ML 0908</v>
          </cell>
          <cell r="C55">
            <v>120010</v>
          </cell>
          <cell r="D55" t="str">
            <v>B30-SPECIAL SAUCE</v>
          </cell>
          <cell r="E55">
            <v>24</v>
          </cell>
          <cell r="F55">
            <v>45839</v>
          </cell>
          <cell r="G55" t="str">
            <v>Y</v>
          </cell>
          <cell r="H55">
            <v>11691.891891891888</v>
          </cell>
          <cell r="I55">
            <v>280605.40540540533</v>
          </cell>
          <cell r="J55">
            <v>0.08</v>
          </cell>
          <cell r="K55">
            <v>14016.239999999998</v>
          </cell>
        </row>
        <row r="56">
          <cell r="A56">
            <v>120026</v>
          </cell>
          <cell r="B56" t="str">
            <v>ABC KECAP INGGRIS JRG 6X1L2104</v>
          </cell>
          <cell r="C56">
            <v>120026</v>
          </cell>
          <cell r="D56" t="str">
            <v>B30-SPECIAL SAUCE</v>
          </cell>
          <cell r="E56">
            <v>6</v>
          </cell>
          <cell r="F56">
            <v>45839</v>
          </cell>
          <cell r="G56" t="str">
            <v>Y</v>
          </cell>
          <cell r="H56">
            <v>38230.630226124849</v>
          </cell>
          <cell r="I56">
            <v>229383.7813567491</v>
          </cell>
          <cell r="J56">
            <v>0.08</v>
          </cell>
          <cell r="K56">
            <v>45830.879515078472</v>
          </cell>
        </row>
        <row r="57">
          <cell r="A57">
            <v>120025</v>
          </cell>
          <cell r="B57" t="str">
            <v>ABC MINYAK WIJEN JRG 6X1L 2104</v>
          </cell>
          <cell r="C57">
            <v>120025</v>
          </cell>
          <cell r="D57" t="str">
            <v>B30-SPECIAL SAUCE</v>
          </cell>
          <cell r="E57">
            <v>6</v>
          </cell>
          <cell r="F57">
            <v>45839</v>
          </cell>
          <cell r="G57" t="str">
            <v>Y</v>
          </cell>
          <cell r="H57">
            <v>157283.78313583444</v>
          </cell>
          <cell r="I57">
            <v>943702.69881500665</v>
          </cell>
          <cell r="J57">
            <v>0.08</v>
          </cell>
          <cell r="K57">
            <v>188551.79922323834</v>
          </cell>
        </row>
        <row r="58">
          <cell r="A58">
            <v>120011</v>
          </cell>
          <cell r="B58" t="str">
            <v>ABC MINYAK WIJEN NL 195ML 0908</v>
          </cell>
          <cell r="C58">
            <v>120011</v>
          </cell>
          <cell r="D58" t="str">
            <v>B30-SPECIAL SAUCE</v>
          </cell>
          <cell r="E58">
            <v>24</v>
          </cell>
          <cell r="F58">
            <v>45839</v>
          </cell>
          <cell r="G58" t="str">
            <v>Y</v>
          </cell>
          <cell r="H58">
            <v>45728.288288288284</v>
          </cell>
          <cell r="I58">
            <v>1097478.9189189188</v>
          </cell>
          <cell r="J58">
            <v>0.08</v>
          </cell>
          <cell r="K58">
            <v>54819.072000000007</v>
          </cell>
        </row>
        <row r="59">
          <cell r="A59">
            <v>120029</v>
          </cell>
          <cell r="B59" t="str">
            <v>ABC MYK WIJEN BB 24X195ML 2106</v>
          </cell>
          <cell r="C59">
            <v>120011</v>
          </cell>
          <cell r="D59" t="str">
            <v>B30-SPECIAL SAUCE</v>
          </cell>
          <cell r="E59">
            <v>24</v>
          </cell>
          <cell r="F59">
            <v>45839</v>
          </cell>
          <cell r="G59" t="str">
            <v>Y</v>
          </cell>
          <cell r="H59">
            <v>45728.288288288284</v>
          </cell>
          <cell r="I59">
            <v>1097478.9189189188</v>
          </cell>
          <cell r="J59">
            <v>0.08</v>
          </cell>
          <cell r="K59">
            <v>54819.072000000007</v>
          </cell>
        </row>
        <row r="60">
          <cell r="A60">
            <v>120041</v>
          </cell>
          <cell r="B60" t="str">
            <v>ABC MYK WIJEN BB 24X195ML 2409</v>
          </cell>
          <cell r="C60">
            <v>120011</v>
          </cell>
          <cell r="D60" t="str">
            <v>B30-SPECIAL SAUCE</v>
          </cell>
          <cell r="E60">
            <v>24</v>
          </cell>
          <cell r="F60">
            <v>45839</v>
          </cell>
          <cell r="G60" t="str">
            <v>Y</v>
          </cell>
          <cell r="H60">
            <v>45728.288288288284</v>
          </cell>
          <cell r="I60">
            <v>1097478.9189189188</v>
          </cell>
          <cell r="J60">
            <v>0.08</v>
          </cell>
          <cell r="K60">
            <v>54819.072000000007</v>
          </cell>
        </row>
        <row r="61">
          <cell r="A61">
            <v>120042</v>
          </cell>
          <cell r="B61" t="str">
            <v>ABC MYK WIJEN JRG 6X1L 2409</v>
          </cell>
          <cell r="C61">
            <v>120025</v>
          </cell>
          <cell r="D61" t="str">
            <v>B30-SPECIAL SAUCE</v>
          </cell>
          <cell r="E61">
            <v>6</v>
          </cell>
          <cell r="F61">
            <v>45839</v>
          </cell>
          <cell r="G61" t="str">
            <v>Y</v>
          </cell>
          <cell r="H61">
            <v>157283.78313583444</v>
          </cell>
          <cell r="I61">
            <v>943702.69881500665</v>
          </cell>
          <cell r="J61">
            <v>0.08</v>
          </cell>
          <cell r="K61">
            <v>188551.79922323834</v>
          </cell>
        </row>
        <row r="62">
          <cell r="A62">
            <v>120032</v>
          </cell>
          <cell r="B62" t="str">
            <v>ABC S.ASAM MNS BB 24X195ML2204</v>
          </cell>
          <cell r="C62">
            <v>120009</v>
          </cell>
          <cell r="D62" t="str">
            <v>B30-SPECIAL SAUCE</v>
          </cell>
          <cell r="E62">
            <v>24</v>
          </cell>
          <cell r="F62">
            <v>45839</v>
          </cell>
          <cell r="G62" t="str">
            <v>Y</v>
          </cell>
          <cell r="H62">
            <v>17046.036036036036</v>
          </cell>
          <cell r="I62">
            <v>409104.86486486485</v>
          </cell>
          <cell r="J62">
            <v>0.08</v>
          </cell>
          <cell r="K62">
            <v>20434.788000000004</v>
          </cell>
        </row>
        <row r="63">
          <cell r="A63">
            <v>120037</v>
          </cell>
          <cell r="B63" t="str">
            <v>ABC S.ASAM MNS BB 24X195ML2409</v>
          </cell>
          <cell r="C63">
            <v>120009</v>
          </cell>
          <cell r="D63" t="str">
            <v>B30-SPECIAL SAUCE</v>
          </cell>
          <cell r="E63">
            <v>24</v>
          </cell>
          <cell r="F63">
            <v>45839</v>
          </cell>
          <cell r="G63" t="str">
            <v>Y</v>
          </cell>
          <cell r="H63">
            <v>17046.036036036036</v>
          </cell>
          <cell r="I63">
            <v>409104.86486486485</v>
          </cell>
          <cell r="J63">
            <v>0.08</v>
          </cell>
          <cell r="K63">
            <v>20434.788000000004</v>
          </cell>
        </row>
        <row r="64">
          <cell r="A64">
            <v>120009</v>
          </cell>
          <cell r="B64" t="str">
            <v>ABC SAUS ASAMMNS NL 195NL 0908</v>
          </cell>
          <cell r="C64">
            <v>120009</v>
          </cell>
          <cell r="D64" t="str">
            <v>B30-SPECIAL SAUCE</v>
          </cell>
          <cell r="E64">
            <v>24</v>
          </cell>
          <cell r="F64">
            <v>45839</v>
          </cell>
          <cell r="G64" t="str">
            <v>Y</v>
          </cell>
          <cell r="H64">
            <v>17046.036036036036</v>
          </cell>
          <cell r="I64">
            <v>409104.86486486485</v>
          </cell>
          <cell r="J64">
            <v>0.08</v>
          </cell>
          <cell r="K64">
            <v>20434.788000000004</v>
          </cell>
        </row>
        <row r="65">
          <cell r="A65">
            <v>120902</v>
          </cell>
          <cell r="B65" t="str">
            <v>ABC SAUS ASMMNS195ML PRKNF1105</v>
          </cell>
          <cell r="C65">
            <v>120009</v>
          </cell>
          <cell r="D65" t="str">
            <v>B30-SPECIAL SAUCE</v>
          </cell>
          <cell r="E65">
            <v>24</v>
          </cell>
          <cell r="F65">
            <v>45839</v>
          </cell>
          <cell r="G65" t="str">
            <v>Y</v>
          </cell>
          <cell r="H65">
            <v>17046.036036036036</v>
          </cell>
          <cell r="I65">
            <v>409104.86486486485</v>
          </cell>
          <cell r="J65">
            <v>0.08</v>
          </cell>
          <cell r="K65">
            <v>20434.788000000004</v>
          </cell>
        </row>
        <row r="66">
          <cell r="A66">
            <v>120014</v>
          </cell>
          <cell r="B66" t="str">
            <v>ABC SAUS TIRAM 135ML 1108</v>
          </cell>
          <cell r="C66">
            <v>120014</v>
          </cell>
          <cell r="D66" t="str">
            <v>B30-SPECIAL SAUCE</v>
          </cell>
          <cell r="E66">
            <v>48</v>
          </cell>
          <cell r="F66">
            <v>45839</v>
          </cell>
          <cell r="G66" t="str">
            <v>Y</v>
          </cell>
          <cell r="H66">
            <v>10457.747747747746</v>
          </cell>
          <cell r="I66">
            <v>501971.89189189184</v>
          </cell>
          <cell r="J66">
            <v>0.08</v>
          </cell>
          <cell r="K66">
            <v>12536.748</v>
          </cell>
        </row>
        <row r="67">
          <cell r="A67">
            <v>120001</v>
          </cell>
          <cell r="B67" t="str">
            <v>ABC SAUS TIRAM 195 ML</v>
          </cell>
          <cell r="C67">
            <v>120007</v>
          </cell>
          <cell r="D67" t="str">
            <v>B30-SPECIAL SAUCE</v>
          </cell>
          <cell r="E67">
            <v>24</v>
          </cell>
          <cell r="F67">
            <v>45839</v>
          </cell>
          <cell r="G67" t="str">
            <v>Y</v>
          </cell>
          <cell r="H67">
            <v>15468.558558558556</v>
          </cell>
          <cell r="I67">
            <v>371245.40540540533</v>
          </cell>
          <cell r="J67">
            <v>0.08</v>
          </cell>
          <cell r="K67">
            <v>18543.708000000002</v>
          </cell>
        </row>
        <row r="68">
          <cell r="A68">
            <v>120018</v>
          </cell>
          <cell r="B68" t="str">
            <v>ABC SAUS TIRAM BB 24X195ML1811</v>
          </cell>
          <cell r="C68">
            <v>120007</v>
          </cell>
          <cell r="D68" t="str">
            <v>B30-SPECIAL SAUCE</v>
          </cell>
          <cell r="E68">
            <v>24</v>
          </cell>
          <cell r="F68">
            <v>45839</v>
          </cell>
          <cell r="G68" t="str">
            <v>Y</v>
          </cell>
          <cell r="H68">
            <v>15468.558558558556</v>
          </cell>
          <cell r="I68">
            <v>371245.40540540533</v>
          </cell>
          <cell r="J68">
            <v>0.08</v>
          </cell>
          <cell r="K68">
            <v>18543.708000000002</v>
          </cell>
        </row>
        <row r="69">
          <cell r="A69">
            <v>120022</v>
          </cell>
          <cell r="B69" t="str">
            <v>ABC SAUS TIRAM BB 24X195ML2011</v>
          </cell>
          <cell r="C69">
            <v>120007</v>
          </cell>
          <cell r="D69" t="str">
            <v>B30-SPECIAL SAUCE</v>
          </cell>
          <cell r="E69">
            <v>24</v>
          </cell>
          <cell r="F69">
            <v>45839</v>
          </cell>
          <cell r="G69" t="str">
            <v>Y</v>
          </cell>
          <cell r="H69">
            <v>15468.558558558556</v>
          </cell>
          <cell r="I69">
            <v>371245.40540540533</v>
          </cell>
          <cell r="J69">
            <v>0.08</v>
          </cell>
          <cell r="K69">
            <v>18543.708000000002</v>
          </cell>
        </row>
        <row r="70">
          <cell r="A70">
            <v>120034</v>
          </cell>
          <cell r="B70" t="str">
            <v>ABC SAUS TIRAM BB 24X195ML2204</v>
          </cell>
          <cell r="C70">
            <v>120007</v>
          </cell>
          <cell r="D70" t="str">
            <v>B30-SPECIAL SAUCE</v>
          </cell>
          <cell r="E70">
            <v>24</v>
          </cell>
          <cell r="F70">
            <v>45839</v>
          </cell>
          <cell r="G70" t="str">
            <v>Y</v>
          </cell>
          <cell r="H70">
            <v>15468.558558558556</v>
          </cell>
          <cell r="I70">
            <v>371245.40540540533</v>
          </cell>
          <cell r="J70">
            <v>0.08</v>
          </cell>
          <cell r="K70">
            <v>18543.708000000002</v>
          </cell>
        </row>
        <row r="71">
          <cell r="A71">
            <v>120038</v>
          </cell>
          <cell r="B71" t="str">
            <v>ABC SAUS TIRAM BB 24X195ML2409</v>
          </cell>
          <cell r="C71">
            <v>120007</v>
          </cell>
          <cell r="D71" t="str">
            <v>B30-SPECIAL SAUCE</v>
          </cell>
          <cell r="E71">
            <v>24</v>
          </cell>
          <cell r="F71">
            <v>45839</v>
          </cell>
          <cell r="G71" t="str">
            <v>Y</v>
          </cell>
          <cell r="H71">
            <v>15468.558558558556</v>
          </cell>
          <cell r="I71">
            <v>371245.40540540533</v>
          </cell>
          <cell r="J71">
            <v>0.08</v>
          </cell>
          <cell r="K71">
            <v>18543.708000000002</v>
          </cell>
        </row>
        <row r="72">
          <cell r="A72">
            <v>120031</v>
          </cell>
          <cell r="B72" t="str">
            <v>ABC SAUS TIRAM BB 24X420ML2110</v>
          </cell>
          <cell r="C72">
            <v>120008</v>
          </cell>
          <cell r="D72" t="str">
            <v>B30-SPECIAL SAUCE</v>
          </cell>
          <cell r="E72">
            <v>24</v>
          </cell>
          <cell r="F72">
            <v>45839</v>
          </cell>
          <cell r="G72" t="str">
            <v>Y</v>
          </cell>
          <cell r="H72">
            <v>32208.378378378377</v>
          </cell>
          <cell r="I72">
            <v>773001.08108108107</v>
          </cell>
          <cell r="J72">
            <v>0.08</v>
          </cell>
          <cell r="K72">
            <v>38611.404000000002</v>
          </cell>
        </row>
        <row r="73">
          <cell r="A73">
            <v>120033</v>
          </cell>
          <cell r="B73" t="str">
            <v>ABC SAUS TIRAM BB 24X420ML2204</v>
          </cell>
          <cell r="C73">
            <v>120008</v>
          </cell>
          <cell r="D73" t="str">
            <v>B30-SPECIAL SAUCE</v>
          </cell>
          <cell r="E73">
            <v>24</v>
          </cell>
          <cell r="F73">
            <v>45839</v>
          </cell>
          <cell r="G73" t="str">
            <v>Y</v>
          </cell>
          <cell r="H73">
            <v>32208.378378378377</v>
          </cell>
          <cell r="I73">
            <v>773001.08108108107</v>
          </cell>
          <cell r="J73">
            <v>0.08</v>
          </cell>
          <cell r="K73">
            <v>38611.404000000002</v>
          </cell>
        </row>
        <row r="74">
          <cell r="A74">
            <v>120040</v>
          </cell>
          <cell r="B74" t="str">
            <v>ABC SAUS TIRAM BB 24X420ML2409</v>
          </cell>
          <cell r="C74">
            <v>120008</v>
          </cell>
          <cell r="D74" t="str">
            <v>B30-SPECIAL SAUCE</v>
          </cell>
          <cell r="E74">
            <v>24</v>
          </cell>
          <cell r="F74">
            <v>45839</v>
          </cell>
          <cell r="G74" t="str">
            <v>Y</v>
          </cell>
          <cell r="H74">
            <v>32208.378378378377</v>
          </cell>
          <cell r="I74">
            <v>773001.08108108107</v>
          </cell>
          <cell r="J74">
            <v>0.08</v>
          </cell>
          <cell r="K74">
            <v>38611.404000000002</v>
          </cell>
        </row>
        <row r="75">
          <cell r="A75">
            <v>120017</v>
          </cell>
          <cell r="B75" t="str">
            <v>ABC SAUS TIRAM BB 24X425ML1811</v>
          </cell>
          <cell r="C75">
            <v>120008</v>
          </cell>
          <cell r="D75" t="str">
            <v>B30-SPECIAL SAUCE</v>
          </cell>
          <cell r="E75">
            <v>24</v>
          </cell>
          <cell r="F75">
            <v>45839</v>
          </cell>
          <cell r="G75" t="str">
            <v>Y</v>
          </cell>
          <cell r="H75">
            <v>32208.378378378377</v>
          </cell>
          <cell r="I75">
            <v>773001.08108108107</v>
          </cell>
          <cell r="J75">
            <v>0.08</v>
          </cell>
          <cell r="K75">
            <v>38611.404000000002</v>
          </cell>
        </row>
        <row r="76">
          <cell r="A76">
            <v>120021</v>
          </cell>
          <cell r="B76" t="str">
            <v>ABC SAUS TIRAM BB 24X425ML2011</v>
          </cell>
          <cell r="C76">
            <v>120008</v>
          </cell>
          <cell r="D76" t="str">
            <v>B30-SPECIAL SAUCE</v>
          </cell>
          <cell r="E76">
            <v>24</v>
          </cell>
          <cell r="F76">
            <v>45839</v>
          </cell>
          <cell r="G76" t="str">
            <v>Y</v>
          </cell>
          <cell r="H76">
            <v>32208.378378378377</v>
          </cell>
          <cell r="I76">
            <v>773001.08108108107</v>
          </cell>
          <cell r="J76">
            <v>0.08</v>
          </cell>
          <cell r="K76">
            <v>38611.404000000002</v>
          </cell>
        </row>
        <row r="77">
          <cell r="A77">
            <v>120027</v>
          </cell>
          <cell r="B77" t="str">
            <v>ABC SAUS TIRAM JRG 5.5KG 2108</v>
          </cell>
          <cell r="C77">
            <v>120027</v>
          </cell>
          <cell r="D77" t="str">
            <v>B30-SPECIAL SAUCE</v>
          </cell>
          <cell r="E77">
            <v>1</v>
          </cell>
          <cell r="F77">
            <v>45839</v>
          </cell>
          <cell r="G77" t="str">
            <v>Y</v>
          </cell>
          <cell r="H77">
            <v>224727.2746</v>
          </cell>
          <cell r="I77">
            <v>224727.2746</v>
          </cell>
          <cell r="J77">
            <v>0.08</v>
          </cell>
          <cell r="K77">
            <v>269403.05679048004</v>
          </cell>
        </row>
        <row r="78">
          <cell r="A78">
            <v>120039</v>
          </cell>
          <cell r="B78" t="str">
            <v>ABC SAUS TIRAM JRG 5.5KG 2409</v>
          </cell>
          <cell r="C78">
            <v>120027</v>
          </cell>
          <cell r="D78" t="str">
            <v>B30-SPECIAL SAUCE</v>
          </cell>
          <cell r="E78">
            <v>1</v>
          </cell>
          <cell r="F78">
            <v>45839</v>
          </cell>
          <cell r="G78" t="str">
            <v>Y</v>
          </cell>
          <cell r="H78">
            <v>224727.2746</v>
          </cell>
          <cell r="I78">
            <v>224727.2746</v>
          </cell>
          <cell r="J78">
            <v>0.08</v>
          </cell>
          <cell r="K78">
            <v>269403.05679048004</v>
          </cell>
        </row>
        <row r="79">
          <cell r="A79">
            <v>120007</v>
          </cell>
          <cell r="B79" t="str">
            <v>ABC SAUS TIRAM NL 195ML 0908</v>
          </cell>
          <cell r="C79">
            <v>120007</v>
          </cell>
          <cell r="D79" t="str">
            <v>B30-SPECIAL SAUCE</v>
          </cell>
          <cell r="E79">
            <v>24</v>
          </cell>
          <cell r="F79">
            <v>45839</v>
          </cell>
          <cell r="G79" t="str">
            <v>Y</v>
          </cell>
          <cell r="H79">
            <v>15468.558558558556</v>
          </cell>
          <cell r="I79">
            <v>371245.40540540533</v>
          </cell>
          <cell r="J79">
            <v>0.08</v>
          </cell>
          <cell r="K79">
            <v>18543.708000000002</v>
          </cell>
        </row>
        <row r="80">
          <cell r="A80">
            <v>120008</v>
          </cell>
          <cell r="B80" t="str">
            <v>ABC SAUS TIRAM NL 425ML 0908</v>
          </cell>
          <cell r="C80">
            <v>120008</v>
          </cell>
          <cell r="D80" t="str">
            <v>B30-SPECIAL SAUCE</v>
          </cell>
          <cell r="E80">
            <v>24</v>
          </cell>
          <cell r="F80">
            <v>45839</v>
          </cell>
          <cell r="G80" t="str">
            <v>Y</v>
          </cell>
          <cell r="H80">
            <v>32208.378378378377</v>
          </cell>
          <cell r="I80">
            <v>773001.08108108107</v>
          </cell>
          <cell r="J80">
            <v>0.08</v>
          </cell>
          <cell r="K80">
            <v>38611.404000000002</v>
          </cell>
        </row>
        <row r="81">
          <cell r="A81">
            <v>120023</v>
          </cell>
          <cell r="B81" t="str">
            <v>ABC SAUS TIRAM PET48X135ML2011</v>
          </cell>
          <cell r="C81">
            <v>120014</v>
          </cell>
          <cell r="D81" t="str">
            <v>B30-SPECIAL SAUCE</v>
          </cell>
          <cell r="E81">
            <v>48</v>
          </cell>
          <cell r="F81">
            <v>45839</v>
          </cell>
          <cell r="G81" t="str">
            <v>Y</v>
          </cell>
          <cell r="H81">
            <v>10457.747747747746</v>
          </cell>
          <cell r="I81">
            <v>501971.89189189184</v>
          </cell>
          <cell r="J81">
            <v>0.08</v>
          </cell>
          <cell r="K81">
            <v>12536.748</v>
          </cell>
        </row>
        <row r="82">
          <cell r="A82">
            <v>120030</v>
          </cell>
          <cell r="B82" t="str">
            <v>ABC SAUS TIRAM PET48X135ML2106</v>
          </cell>
          <cell r="C82">
            <v>120014</v>
          </cell>
          <cell r="D82" t="str">
            <v>B30-SPECIAL SAUCE</v>
          </cell>
          <cell r="E82">
            <v>48</v>
          </cell>
          <cell r="F82">
            <v>45839</v>
          </cell>
          <cell r="G82" t="str">
            <v>Y</v>
          </cell>
          <cell r="H82">
            <v>10457.747747747746</v>
          </cell>
          <cell r="I82">
            <v>501971.89189189184</v>
          </cell>
          <cell r="J82">
            <v>0.08</v>
          </cell>
          <cell r="K82">
            <v>12536.748</v>
          </cell>
        </row>
        <row r="83">
          <cell r="A83">
            <v>120035</v>
          </cell>
          <cell r="B83" t="str">
            <v>ABC SAUS TIRAM PET48X135ML2204</v>
          </cell>
          <cell r="C83">
            <v>120014</v>
          </cell>
          <cell r="D83" t="str">
            <v>B30-SPECIAL SAUCE</v>
          </cell>
          <cell r="E83">
            <v>48</v>
          </cell>
          <cell r="F83">
            <v>45839</v>
          </cell>
          <cell r="G83" t="str">
            <v>Y</v>
          </cell>
          <cell r="H83">
            <v>10457.747747747746</v>
          </cell>
          <cell r="I83">
            <v>501971.89189189184</v>
          </cell>
          <cell r="J83">
            <v>0.08</v>
          </cell>
          <cell r="K83">
            <v>12536.748</v>
          </cell>
        </row>
        <row r="84">
          <cell r="A84">
            <v>190068</v>
          </cell>
          <cell r="B84" t="str">
            <v>ABC SAUS TOMAT 24X270ML</v>
          </cell>
          <cell r="C84">
            <v>190029</v>
          </cell>
          <cell r="D84" t="str">
            <v>B60-TOMATO KETCHUP</v>
          </cell>
          <cell r="E84">
            <v>24</v>
          </cell>
          <cell r="F84">
            <v>45839</v>
          </cell>
          <cell r="G84" t="str">
            <v>Y</v>
          </cell>
          <cell r="H84">
            <v>11998.108108108112</v>
          </cell>
          <cell r="I84">
            <v>287954.59459459467</v>
          </cell>
          <cell r="J84">
            <v>0.08</v>
          </cell>
          <cell r="K84">
            <v>14383.332000000006</v>
          </cell>
        </row>
        <row r="85">
          <cell r="A85">
            <v>190041</v>
          </cell>
          <cell r="B85" t="str">
            <v>ABC SAUS TOMAT 24X275ML 2105</v>
          </cell>
          <cell r="C85">
            <v>190029</v>
          </cell>
          <cell r="D85" t="str">
            <v>B60-TOMATO KETCHUP</v>
          </cell>
          <cell r="E85">
            <v>24</v>
          </cell>
          <cell r="F85">
            <v>45839</v>
          </cell>
          <cell r="G85" t="str">
            <v>Y</v>
          </cell>
          <cell r="H85">
            <v>11998.108108108112</v>
          </cell>
          <cell r="I85">
            <v>287954.59459459467</v>
          </cell>
          <cell r="J85">
            <v>0.08</v>
          </cell>
          <cell r="K85">
            <v>14383.332000000006</v>
          </cell>
        </row>
        <row r="86">
          <cell r="A86">
            <v>190040</v>
          </cell>
          <cell r="B86" t="str">
            <v>ABC SAUS TOMAT 48X135ML 2105</v>
          </cell>
          <cell r="C86">
            <v>190028</v>
          </cell>
          <cell r="D86" t="str">
            <v>B60-TOMATO KETCHUP</v>
          </cell>
          <cell r="E86">
            <v>48</v>
          </cell>
          <cell r="F86">
            <v>45839</v>
          </cell>
          <cell r="G86" t="str">
            <v>Y</v>
          </cell>
          <cell r="H86">
            <v>6838.8288288288286</v>
          </cell>
          <cell r="I86">
            <v>328263.78378378379</v>
          </cell>
          <cell r="J86">
            <v>0.08</v>
          </cell>
          <cell r="K86">
            <v>8198.3880000000008</v>
          </cell>
        </row>
        <row r="87">
          <cell r="A87">
            <v>190037</v>
          </cell>
          <cell r="B87" t="str">
            <v>ABC SAUS TOMAT JRG 24KG 2004</v>
          </cell>
          <cell r="C87">
            <v>190024</v>
          </cell>
          <cell r="D87" t="str">
            <v>B60-TOMATO KETCHUP</v>
          </cell>
          <cell r="E87">
            <v>1</v>
          </cell>
          <cell r="F87">
            <v>45839</v>
          </cell>
          <cell r="G87" t="str">
            <v>Y</v>
          </cell>
          <cell r="H87">
            <v>373221.89189189189</v>
          </cell>
          <cell r="I87">
            <v>373221.89189189189</v>
          </cell>
          <cell r="J87">
            <v>0.08</v>
          </cell>
          <cell r="K87">
            <v>447418.4040000001</v>
          </cell>
        </row>
        <row r="88">
          <cell r="A88">
            <v>190053</v>
          </cell>
          <cell r="B88" t="str">
            <v>ABC SAUS TOMAT JRG 24KG 2211</v>
          </cell>
          <cell r="C88">
            <v>190024</v>
          </cell>
          <cell r="D88" t="str">
            <v>B60-TOMATO KETCHUP</v>
          </cell>
          <cell r="E88">
            <v>1</v>
          </cell>
          <cell r="F88">
            <v>45839</v>
          </cell>
          <cell r="G88" t="str">
            <v>Y</v>
          </cell>
          <cell r="H88">
            <v>373221.89189189189</v>
          </cell>
          <cell r="I88">
            <v>373221.89189189189</v>
          </cell>
          <cell r="J88">
            <v>0.08</v>
          </cell>
          <cell r="K88">
            <v>447418.4040000001</v>
          </cell>
        </row>
        <row r="89">
          <cell r="A89">
            <v>190071</v>
          </cell>
          <cell r="B89" t="str">
            <v>ABC SAUS TOMAT JRG 24KG 2408</v>
          </cell>
          <cell r="C89">
            <v>190024</v>
          </cell>
          <cell r="D89" t="str">
            <v>B60-TOMATO KETCHUP</v>
          </cell>
          <cell r="E89">
            <v>1</v>
          </cell>
          <cell r="F89">
            <v>45839</v>
          </cell>
          <cell r="G89" t="str">
            <v>Y</v>
          </cell>
          <cell r="H89">
            <v>373221.89189189189</v>
          </cell>
          <cell r="I89">
            <v>373221.89189189189</v>
          </cell>
          <cell r="J89">
            <v>0.08</v>
          </cell>
          <cell r="K89">
            <v>447418.4040000001</v>
          </cell>
        </row>
        <row r="90">
          <cell r="A90">
            <v>190035</v>
          </cell>
          <cell r="B90" t="str">
            <v>ABC SAUS TOMAT JRG 5.7KG 2004</v>
          </cell>
          <cell r="C90">
            <v>190020</v>
          </cell>
          <cell r="D90" t="str">
            <v>B60-TOMATO KETCHUP</v>
          </cell>
          <cell r="E90">
            <v>1</v>
          </cell>
          <cell r="F90">
            <v>45839</v>
          </cell>
          <cell r="G90" t="str">
            <v>Y</v>
          </cell>
          <cell r="H90">
            <v>97645.855855855843</v>
          </cell>
          <cell r="I90">
            <v>97645.855855855843</v>
          </cell>
          <cell r="J90">
            <v>0.08</v>
          </cell>
          <cell r="K90">
            <v>117057.852</v>
          </cell>
        </row>
        <row r="91">
          <cell r="A91">
            <v>190051</v>
          </cell>
          <cell r="B91" t="str">
            <v>ABC SAUS TOMAT JRG 5.7KG 2211</v>
          </cell>
          <cell r="C91">
            <v>190020</v>
          </cell>
          <cell r="D91" t="str">
            <v>B60-TOMATO KETCHUP</v>
          </cell>
          <cell r="E91">
            <v>1</v>
          </cell>
          <cell r="F91">
            <v>45839</v>
          </cell>
          <cell r="G91" t="str">
            <v>Y</v>
          </cell>
          <cell r="H91">
            <v>97645.855855855843</v>
          </cell>
          <cell r="I91">
            <v>97645.855855855843</v>
          </cell>
          <cell r="J91">
            <v>0.08</v>
          </cell>
          <cell r="K91">
            <v>117057.852</v>
          </cell>
        </row>
        <row r="92">
          <cell r="A92">
            <v>190070</v>
          </cell>
          <cell r="B92" t="str">
            <v>ABC SAUS TOMAT JRG 5.7KG 2408</v>
          </cell>
          <cell r="C92">
            <v>190020</v>
          </cell>
          <cell r="D92" t="str">
            <v>B60-TOMATO KETCHUP</v>
          </cell>
          <cell r="E92">
            <v>1</v>
          </cell>
          <cell r="F92">
            <v>45839</v>
          </cell>
          <cell r="G92" t="str">
            <v>Y</v>
          </cell>
          <cell r="H92">
            <v>97645.855855855843</v>
          </cell>
          <cell r="I92">
            <v>97645.855855855843</v>
          </cell>
          <cell r="J92">
            <v>0.08</v>
          </cell>
          <cell r="K92">
            <v>117057.852</v>
          </cell>
        </row>
        <row r="93">
          <cell r="A93">
            <v>190036</v>
          </cell>
          <cell r="B93" t="str">
            <v>ABC SAUS TOMAT PLW 6X1KG 2004</v>
          </cell>
          <cell r="C93">
            <v>190023</v>
          </cell>
          <cell r="D93" t="str">
            <v>B60-TOMATO KETCHUP</v>
          </cell>
          <cell r="E93">
            <v>6</v>
          </cell>
          <cell r="F93">
            <v>45839</v>
          </cell>
          <cell r="G93" t="str">
            <v>Y</v>
          </cell>
          <cell r="H93">
            <v>17278.018018018018</v>
          </cell>
          <cell r="I93">
            <v>103668.10810810811</v>
          </cell>
          <cell r="J93">
            <v>0.08</v>
          </cell>
          <cell r="K93">
            <v>20712.888000000003</v>
          </cell>
        </row>
        <row r="94">
          <cell r="A94">
            <v>190043</v>
          </cell>
          <cell r="B94" t="str">
            <v>ABC SAUS TOMAT PLW 6X1KG 2211</v>
          </cell>
          <cell r="C94">
            <v>190023</v>
          </cell>
          <cell r="D94" t="str">
            <v>B60-TOMATO KETCHUP</v>
          </cell>
          <cell r="E94">
            <v>6</v>
          </cell>
          <cell r="F94">
            <v>45839</v>
          </cell>
          <cell r="G94" t="str">
            <v>Y</v>
          </cell>
          <cell r="H94">
            <v>17278.018018018018</v>
          </cell>
          <cell r="I94">
            <v>103668.10810810811</v>
          </cell>
          <cell r="J94">
            <v>0.08</v>
          </cell>
          <cell r="K94">
            <v>20712.888000000003</v>
          </cell>
        </row>
        <row r="95">
          <cell r="A95">
            <v>190069</v>
          </cell>
          <cell r="B95" t="str">
            <v>ABC SAUS TOMAT PLW 6X1KG 2408</v>
          </cell>
          <cell r="C95">
            <v>190023</v>
          </cell>
          <cell r="D95" t="str">
            <v>B60-TOMATO KETCHUP</v>
          </cell>
          <cell r="E95">
            <v>6</v>
          </cell>
          <cell r="F95">
            <v>45839</v>
          </cell>
          <cell r="G95" t="str">
            <v>Y</v>
          </cell>
          <cell r="H95">
            <v>17278.018018018018</v>
          </cell>
          <cell r="I95">
            <v>103668.10810810811</v>
          </cell>
          <cell r="J95">
            <v>0.08</v>
          </cell>
          <cell r="K95">
            <v>20712.888000000003</v>
          </cell>
        </row>
        <row r="96">
          <cell r="A96">
            <v>190065</v>
          </cell>
          <cell r="B96" t="str">
            <v>ABC SAUS TOMAT SCT21X22X8G</v>
          </cell>
          <cell r="C96">
            <v>190030</v>
          </cell>
          <cell r="D96" t="str">
            <v>B60-TOMATO KETCHUP</v>
          </cell>
          <cell r="E96">
            <v>21</v>
          </cell>
          <cell r="F96">
            <v>45839</v>
          </cell>
          <cell r="G96" t="str">
            <v>Y</v>
          </cell>
          <cell r="H96">
            <v>5465.4954954954937</v>
          </cell>
          <cell r="I96">
            <v>114775.40540540537</v>
          </cell>
          <cell r="J96">
            <v>0.08</v>
          </cell>
          <cell r="K96">
            <v>6552.0359999999991</v>
          </cell>
        </row>
        <row r="97">
          <cell r="A97">
            <v>190034</v>
          </cell>
          <cell r="B97" t="str">
            <v>ABC SAUS TOMAT SCT21X22X8G1909</v>
          </cell>
          <cell r="C97">
            <v>190030</v>
          </cell>
          <cell r="D97" t="str">
            <v>B60-TOMATO KETCHUP</v>
          </cell>
          <cell r="E97">
            <v>21</v>
          </cell>
          <cell r="F97">
            <v>45839</v>
          </cell>
          <cell r="G97" t="str">
            <v>Y</v>
          </cell>
          <cell r="H97">
            <v>5465.4954954954937</v>
          </cell>
          <cell r="I97">
            <v>114775.40540540537</v>
          </cell>
          <cell r="J97">
            <v>0.08</v>
          </cell>
          <cell r="K97">
            <v>6552.0359999999991</v>
          </cell>
        </row>
        <row r="98">
          <cell r="A98">
            <v>190050</v>
          </cell>
          <cell r="B98" t="str">
            <v>ABC SAUS TOMAT SCT21X22X8G2211</v>
          </cell>
          <cell r="C98">
            <v>190030</v>
          </cell>
          <cell r="D98" t="str">
            <v>B60-TOMATO KETCHUP</v>
          </cell>
          <cell r="E98">
            <v>21</v>
          </cell>
          <cell r="F98">
            <v>45839</v>
          </cell>
          <cell r="G98" t="str">
            <v>Y</v>
          </cell>
          <cell r="H98">
            <v>5465.4954954954937</v>
          </cell>
          <cell r="I98">
            <v>114775.40540540537</v>
          </cell>
          <cell r="J98">
            <v>0.08</v>
          </cell>
          <cell r="K98">
            <v>6552.0359999999991</v>
          </cell>
        </row>
        <row r="99">
          <cell r="A99">
            <v>190023</v>
          </cell>
          <cell r="B99" t="str">
            <v>ABC TOM PILLOW BAG 6X1KG 0906</v>
          </cell>
          <cell r="C99">
            <v>190023</v>
          </cell>
          <cell r="D99" t="str">
            <v>B60-TOMATO KETCHUP</v>
          </cell>
          <cell r="E99">
            <v>6</v>
          </cell>
          <cell r="F99">
            <v>45839</v>
          </cell>
          <cell r="G99" t="str">
            <v>Y</v>
          </cell>
          <cell r="H99">
            <v>17278.018018018018</v>
          </cell>
          <cell r="I99">
            <v>103668.10810810811</v>
          </cell>
          <cell r="J99">
            <v>0.08</v>
          </cell>
          <cell r="K99">
            <v>20712.888000000003</v>
          </cell>
        </row>
        <row r="100">
          <cell r="A100">
            <v>190064</v>
          </cell>
          <cell r="B100" t="str">
            <v>ABC TOM RCG SCT 12X42X8G</v>
          </cell>
          <cell r="C100">
            <v>190033</v>
          </cell>
          <cell r="D100" t="str">
            <v>B60-TOMATO KETCHUP</v>
          </cell>
          <cell r="E100">
            <v>12</v>
          </cell>
          <cell r="F100">
            <v>45839</v>
          </cell>
          <cell r="G100" t="str">
            <v>Y</v>
          </cell>
          <cell r="H100">
            <v>9186.4864864864885</v>
          </cell>
          <cell r="I100">
            <v>110237.83783783787</v>
          </cell>
          <cell r="J100">
            <v>0.08</v>
          </cell>
          <cell r="K100">
            <v>11012.760000000004</v>
          </cell>
        </row>
        <row r="101">
          <cell r="A101">
            <v>190033</v>
          </cell>
          <cell r="B101" t="str">
            <v>ABC TOM RCG SCT 12X42X8G 1811</v>
          </cell>
          <cell r="C101">
            <v>190033</v>
          </cell>
          <cell r="D101" t="str">
            <v>B60-TOMATO KETCHUP</v>
          </cell>
          <cell r="E101">
            <v>12</v>
          </cell>
          <cell r="F101">
            <v>45839</v>
          </cell>
          <cell r="G101" t="str">
            <v>Y</v>
          </cell>
          <cell r="H101">
            <v>9186.4864864864885</v>
          </cell>
          <cell r="I101">
            <v>110237.83783783787</v>
          </cell>
          <cell r="J101">
            <v>0.08</v>
          </cell>
          <cell r="K101">
            <v>11012.760000000004</v>
          </cell>
        </row>
        <row r="102">
          <cell r="A102">
            <v>190049</v>
          </cell>
          <cell r="B102" t="str">
            <v>ABC TOM RCG SCT 12X42X8G 2211</v>
          </cell>
          <cell r="C102">
            <v>190033</v>
          </cell>
          <cell r="D102" t="str">
            <v>B60-TOMATO KETCHUP</v>
          </cell>
          <cell r="E102">
            <v>12</v>
          </cell>
          <cell r="F102">
            <v>45839</v>
          </cell>
          <cell r="G102" t="str">
            <v>Y</v>
          </cell>
          <cell r="H102">
            <v>9186.4864864864885</v>
          </cell>
          <cell r="I102">
            <v>110237.83783783787</v>
          </cell>
          <cell r="J102">
            <v>0.08</v>
          </cell>
          <cell r="K102">
            <v>11012.760000000004</v>
          </cell>
        </row>
        <row r="103">
          <cell r="A103">
            <v>190030</v>
          </cell>
          <cell r="B103" t="str">
            <v>ABC TOM SACHET 462X9GR 1308</v>
          </cell>
          <cell r="C103">
            <v>190030</v>
          </cell>
          <cell r="D103" t="str">
            <v>B60-TOMATO KETCHUP</v>
          </cell>
          <cell r="E103">
            <v>462</v>
          </cell>
          <cell r="F103">
            <v>45839</v>
          </cell>
          <cell r="G103" t="str">
            <v>Y</v>
          </cell>
          <cell r="H103">
            <v>5465.4954954954928</v>
          </cell>
          <cell r="I103">
            <v>2525058.9189189179</v>
          </cell>
          <cell r="J103">
            <v>0.08</v>
          </cell>
          <cell r="K103">
            <v>6552.0359999999982</v>
          </cell>
        </row>
        <row r="104">
          <cell r="A104">
            <v>190025</v>
          </cell>
          <cell r="B104" t="str">
            <v>ABC TOM SACHET 504X9G 1003</v>
          </cell>
          <cell r="C104">
            <v>190030</v>
          </cell>
          <cell r="D104" t="str">
            <v>B60-TOMATO KETCHUP</v>
          </cell>
          <cell r="E104">
            <v>462</v>
          </cell>
          <cell r="F104">
            <v>45839</v>
          </cell>
          <cell r="G104" t="str">
            <v>Y</v>
          </cell>
          <cell r="H104">
            <v>5465.4954954954928</v>
          </cell>
          <cell r="I104">
            <v>2525058.9189189179</v>
          </cell>
          <cell r="J104">
            <v>0.08</v>
          </cell>
          <cell r="K104">
            <v>6552.0359999999982</v>
          </cell>
        </row>
        <row r="105">
          <cell r="A105">
            <v>190066</v>
          </cell>
          <cell r="B105" t="str">
            <v>ABC TOMAT 24X335ML</v>
          </cell>
          <cell r="C105">
            <v>190031</v>
          </cell>
          <cell r="D105" t="str">
            <v>B60-TOMATO KETCHUP</v>
          </cell>
          <cell r="E105">
            <v>24</v>
          </cell>
          <cell r="F105">
            <v>45839</v>
          </cell>
          <cell r="G105" t="str">
            <v>Y</v>
          </cell>
          <cell r="H105">
            <v>15468.55855855856</v>
          </cell>
          <cell r="I105">
            <v>371245.40540540544</v>
          </cell>
          <cell r="J105">
            <v>0.08</v>
          </cell>
          <cell r="K105">
            <v>18543.708000000006</v>
          </cell>
        </row>
        <row r="106">
          <cell r="A106">
            <v>190029</v>
          </cell>
          <cell r="B106" t="str">
            <v>ABC TOMAT 275ML 1104</v>
          </cell>
          <cell r="C106">
            <v>190029</v>
          </cell>
          <cell r="D106" t="str">
            <v>B60-TOMATO KETCHUP</v>
          </cell>
          <cell r="E106">
            <v>24</v>
          </cell>
          <cell r="F106">
            <v>45839</v>
          </cell>
          <cell r="G106" t="str">
            <v>Y</v>
          </cell>
          <cell r="H106">
            <v>11998.108108108112</v>
          </cell>
          <cell r="I106">
            <v>287954.59459459467</v>
          </cell>
          <cell r="J106">
            <v>0.08</v>
          </cell>
          <cell r="K106">
            <v>14383.332000000006</v>
          </cell>
        </row>
        <row r="107">
          <cell r="A107">
            <v>190031</v>
          </cell>
          <cell r="B107" t="str">
            <v>ABC TOMAT 335ML 1311</v>
          </cell>
          <cell r="C107">
            <v>190031</v>
          </cell>
          <cell r="D107" t="str">
            <v>B60-TOMATO KETCHUP</v>
          </cell>
          <cell r="E107">
            <v>24</v>
          </cell>
          <cell r="F107">
            <v>45839</v>
          </cell>
          <cell r="G107" t="str">
            <v>Y</v>
          </cell>
          <cell r="H107">
            <v>15468.55855855856</v>
          </cell>
          <cell r="I107">
            <v>371245.40540540544</v>
          </cell>
          <cell r="J107">
            <v>0.08</v>
          </cell>
          <cell r="K107">
            <v>18543.708000000006</v>
          </cell>
        </row>
        <row r="108">
          <cell r="A108">
            <v>190027</v>
          </cell>
          <cell r="B108" t="str">
            <v>ABC TOMAT 340ML 1004</v>
          </cell>
          <cell r="C108">
            <v>190031</v>
          </cell>
          <cell r="D108" t="str">
            <v>B60-TOMATO KETCHUP</v>
          </cell>
          <cell r="E108">
            <v>24</v>
          </cell>
          <cell r="F108">
            <v>45839</v>
          </cell>
          <cell r="G108" t="str">
            <v>Y</v>
          </cell>
          <cell r="H108">
            <v>15468.55855855856</v>
          </cell>
          <cell r="I108">
            <v>371245.40540540544</v>
          </cell>
          <cell r="J108">
            <v>0.08</v>
          </cell>
          <cell r="K108">
            <v>18543.708000000006</v>
          </cell>
        </row>
        <row r="109">
          <cell r="A109">
            <v>190024</v>
          </cell>
          <cell r="B109" t="str">
            <v>ABC TOMAT JRG 24KG 1001</v>
          </cell>
          <cell r="C109">
            <v>190024</v>
          </cell>
          <cell r="D109" t="str">
            <v>B60-TOMATO KETCHUP</v>
          </cell>
          <cell r="E109">
            <v>1</v>
          </cell>
          <cell r="F109">
            <v>45839</v>
          </cell>
          <cell r="G109" t="str">
            <v>Y</v>
          </cell>
          <cell r="H109">
            <v>373221.89189189189</v>
          </cell>
          <cell r="I109">
            <v>373221.89189189189</v>
          </cell>
          <cell r="J109">
            <v>0.08</v>
          </cell>
          <cell r="K109">
            <v>447418.4040000001</v>
          </cell>
        </row>
        <row r="110">
          <cell r="A110">
            <v>190020</v>
          </cell>
          <cell r="B110" t="str">
            <v>ABC TOMAT JRG 5.7KG NL 0906</v>
          </cell>
          <cell r="C110">
            <v>190020</v>
          </cell>
          <cell r="D110" t="str">
            <v>B60-TOMATO KETCHUP</v>
          </cell>
          <cell r="E110">
            <v>1</v>
          </cell>
          <cell r="F110">
            <v>45839</v>
          </cell>
          <cell r="G110" t="str">
            <v>Y</v>
          </cell>
          <cell r="H110">
            <v>97645.855855855843</v>
          </cell>
          <cell r="I110">
            <v>97645.855855855843</v>
          </cell>
          <cell r="J110">
            <v>0.08</v>
          </cell>
          <cell r="K110">
            <v>117057.852</v>
          </cell>
        </row>
        <row r="111">
          <cell r="A111">
            <v>190028</v>
          </cell>
          <cell r="B111" t="str">
            <v>ABC TOMAT NB 135ML 1005</v>
          </cell>
          <cell r="C111">
            <v>190028</v>
          </cell>
          <cell r="D111" t="str">
            <v>B60-TOMATO KETCHUP</v>
          </cell>
          <cell r="E111">
            <v>48</v>
          </cell>
          <cell r="F111">
            <v>45839</v>
          </cell>
          <cell r="G111" t="str">
            <v>Y</v>
          </cell>
          <cell r="H111">
            <v>6838.8288288288286</v>
          </cell>
          <cell r="I111">
            <v>328263.78378378379</v>
          </cell>
          <cell r="J111">
            <v>0.08</v>
          </cell>
          <cell r="K111">
            <v>8198.3880000000008</v>
          </cell>
        </row>
        <row r="112">
          <cell r="A112">
            <v>190057</v>
          </cell>
          <cell r="B112" t="str">
            <v>HEINZ TOM KCP USD 24X325G 2308</v>
          </cell>
          <cell r="C112">
            <v>190038</v>
          </cell>
          <cell r="D112" t="str">
            <v>B60-TOMATO KETCHUP</v>
          </cell>
          <cell r="E112">
            <v>24</v>
          </cell>
          <cell r="F112">
            <v>45839</v>
          </cell>
          <cell r="G112" t="str">
            <v>Y</v>
          </cell>
          <cell r="H112">
            <v>15528.022499999999</v>
          </cell>
          <cell r="I112">
            <v>372672.54</v>
          </cell>
          <cell r="J112">
            <v>0.08</v>
          </cell>
          <cell r="K112">
            <v>18614.993373000001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USSONS"/>
      <sheetName val="ENERGIZER"/>
      <sheetName val="SOFTEX"/>
      <sheetName val="GONDOWANGI"/>
      <sheetName val="SUN PAPER SOURCE"/>
      <sheetName val="ADNA"/>
      <sheetName val="PURATOS"/>
      <sheetName val="ABCPI"/>
      <sheetName val="DOLPHIN"/>
      <sheetName val="FORISA"/>
      <sheetName val="MUSTIKA RATU"/>
      <sheetName val="URC"/>
      <sheetName val="UNIBIS"/>
      <sheetName val="MAMAYO"/>
      <sheetName val="FONTERA"/>
      <sheetName val="HEINZ ABC"/>
      <sheetName val="KINO NON FOOD"/>
      <sheetName val="FKS FOOD"/>
      <sheetName val="MARKETAMA INDAH"/>
      <sheetName val="MPM"/>
      <sheetName val="MOTASA"/>
      <sheetName val="GODREJ"/>
      <sheetName val="RECKITT"/>
      <sheetName val="PRISKILA"/>
      <sheetName val="PURATOSS"/>
      <sheetName val="PRIMARASA"/>
      <sheetName val="FIX HARGA JUAL SUPER MEI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ri Ramadhan" refreshedDate="46209.454262037034" createdVersion="8" refreshedVersion="8" minRefreshableVersion="3" recordCount="305" xr:uid="{14271D16-06CD-49A1-81CD-A428F8521F54}">
  <cacheSource type="worksheet">
    <worksheetSource name="Table43"/>
  </cacheSource>
  <cacheFields count="70">
    <cacheField name="CONCATENATE MAPPING" numFmtId="0">
      <sharedItems/>
    </cacheField>
    <cacheField name="No. Urut_x000a_Item Sama" numFmtId="0">
      <sharedItems containsString="0" containsBlank="1" containsNumber="1" containsInteger="1" minValue="1" maxValue="5"/>
    </cacheField>
    <cacheField name="NO" numFmtId="0">
      <sharedItems containsString="0" containsBlank="1" containsNumber="1" containsInteger="1" minValue="1" maxValue="293"/>
    </cacheField>
    <cacheField name="Kode Pcpl" numFmtId="0">
      <sharedItems containsString="0" containsBlank="1" containsNumber="1" containsInteger="1" minValue="100141" maxValue="100113773" count="1057">
        <n v="100189"/>
        <n v="100222"/>
        <n v="100240"/>
        <n v="100986"/>
        <n v="100179"/>
        <n v="100234"/>
        <n v="100161"/>
        <n v="100220"/>
        <n v="100238"/>
        <n v="100992"/>
        <m/>
        <n v="100162"/>
        <n v="100236"/>
        <n v="100158"/>
        <n v="100172"/>
        <n v="100991"/>
        <n v="109002"/>
        <n v="109001"/>
        <n v="100241"/>
        <n v="100225"/>
        <n v="100242"/>
        <n v="100163"/>
        <n v="100226"/>
        <n v="100166"/>
        <n v="100187"/>
        <n v="100165"/>
        <n v="100976"/>
        <n v="100981"/>
        <n v="100252"/>
        <n v="100221"/>
        <n v="100239"/>
        <n v="100267"/>
        <n v="100176"/>
        <n v="100188"/>
        <n v="100186"/>
        <n v="100229"/>
        <n v="100181"/>
        <n v="100228"/>
        <n v="100156"/>
        <n v="100191"/>
        <n v="100180"/>
        <n v="100141"/>
        <n v="100151"/>
        <n v="100173"/>
        <n v="100174"/>
        <n v="100192"/>
        <n v="100201"/>
        <n v="100193"/>
        <n v="100202"/>
        <n v="100231"/>
        <n v="100204"/>
        <n v="100194"/>
        <n v="100203"/>
        <n v="100215"/>
        <n v="100168"/>
        <n v="100205"/>
        <n v="100233"/>
        <n v="100265"/>
        <n v="100987"/>
        <n v="100195"/>
        <n v="100975"/>
        <n v="110016"/>
        <n v="110017"/>
        <n v="110018"/>
        <n v="110021"/>
        <n v="110013"/>
        <n v="110019"/>
        <n v="110014"/>
        <n v="110020"/>
        <n v="120011"/>
        <n v="120029"/>
        <n v="120041"/>
        <n v="120042"/>
        <n v="120036"/>
        <n v="120030"/>
        <n v="120035"/>
        <n v="120034"/>
        <n v="120038"/>
        <n v="120031"/>
        <n v="120033"/>
        <n v="120040"/>
        <n v="120032"/>
        <n v="120037"/>
        <n v="120028"/>
        <n v="120043"/>
        <n v="120045"/>
        <n v="101001"/>
        <n v="612087"/>
        <n v="612137"/>
        <n v="612147"/>
        <n v="460166"/>
        <n v="460167"/>
        <n v="460168"/>
        <n v="460169"/>
        <n v="460172"/>
        <n v="460170"/>
        <n v="460171"/>
        <n v="460197"/>
        <n v="460056"/>
        <n v="460178"/>
        <n v="460179"/>
        <n v="460918"/>
        <n v="460917"/>
        <n v="460921"/>
        <n v="460174"/>
        <n v="460183"/>
        <n v="460194"/>
        <n v="460195"/>
        <n v="460164"/>
        <n v="460190"/>
        <n v="460165"/>
        <n v="460191"/>
        <n v="460061"/>
        <n v="460188"/>
        <n v="460189"/>
        <n v="460192"/>
        <n v="460193"/>
        <n v="460060"/>
        <n v="460187"/>
        <n v="460054"/>
        <n v="460185"/>
        <n v="460055"/>
        <n v="460186"/>
        <n v="460182"/>
        <n v="410076"/>
        <n v="410066"/>
        <n v="410072"/>
        <n v="410075"/>
        <n v="410068"/>
        <n v="410073"/>
        <n v="400129"/>
        <n v="400135"/>
        <n v="400154"/>
        <n v="400132"/>
        <n v="400138"/>
        <n v="400133"/>
        <n v="400139"/>
        <n v="400131"/>
        <n v="400137"/>
        <n v="400130"/>
        <n v="400136"/>
        <n v="400134"/>
        <n v="400140"/>
        <n v="612045"/>
        <n v="612953"/>
        <n v="612157"/>
        <n v="612961"/>
        <n v="612042"/>
        <n v="612149"/>
        <n v="612046"/>
        <n v="612158"/>
        <n v="612161"/>
        <n v="612043"/>
        <n v="612150"/>
        <n v="612141"/>
        <n v="612148"/>
        <n v="612155"/>
        <n v="612047"/>
        <n v="612154"/>
        <n v="612159"/>
        <n v="612963"/>
        <n v="612044"/>
        <n v="612151"/>
        <n v="612134"/>
        <n v="612958"/>
        <n v="612091"/>
        <n v="190034"/>
        <n v="190050"/>
        <n v="190065"/>
        <n v="190040"/>
        <n v="190067"/>
        <n v="190041"/>
        <n v="190068"/>
        <n v="190031"/>
        <n v="190066"/>
        <n v="190035"/>
        <n v="190051"/>
        <n v="190070"/>
        <n v="190036"/>
        <n v="190043"/>
        <n v="190069"/>
        <n v="190039"/>
        <n v="190047"/>
        <n v="190057"/>
        <n v="150129"/>
        <n v="150204"/>
        <n v="150326"/>
        <n v="150409"/>
        <n v="150132"/>
        <n v="150206"/>
        <n v="150210"/>
        <n v="150230"/>
        <n v="150328"/>
        <n v="150180"/>
        <n v="150308"/>
        <n v="150294"/>
        <n v="150373"/>
        <n v="150364"/>
        <n v="150363"/>
        <n v="150330"/>
        <n v="150975"/>
        <n v="150164"/>
        <n v="150186"/>
        <n v="150168"/>
        <n v="150187"/>
        <n v="150349"/>
        <n v="150331"/>
        <n v="150984"/>
        <n v="150171"/>
        <n v="150329"/>
        <n v="150177"/>
        <n v="150221"/>
        <n v="150325"/>
        <n v="150188"/>
        <n v="150332"/>
        <n v="150320"/>
        <n v="150162"/>
        <n v="150333"/>
        <n v="150163"/>
        <n v="150334"/>
        <n v="150119"/>
        <n v="150231"/>
        <n v="150335"/>
        <n v="150154"/>
        <n v="150241"/>
        <n v="150339"/>
        <n v="150153"/>
        <n v="150211"/>
        <n v="150240"/>
        <n v="150340"/>
        <n v="150181"/>
        <n v="150233"/>
        <n v="150309"/>
        <n v="150295"/>
        <n v="150374"/>
        <n v="150976"/>
        <n v="150191"/>
        <n v="150234"/>
        <n v="150192"/>
        <n v="150235"/>
        <n v="150350"/>
        <n v="150343"/>
        <n v="150081"/>
        <n v="150172"/>
        <n v="150226"/>
        <n v="150341"/>
        <n v="150178"/>
        <n v="150232"/>
        <n v="150346"/>
        <n v="150150"/>
        <n v="150239"/>
        <n v="150344"/>
        <n v="150298"/>
        <n v="150299"/>
        <n v="150166"/>
        <n v="150291"/>
        <n v="150173"/>
        <n v="150347"/>
        <n v="150167"/>
        <n v="150292"/>
        <n v="150336"/>
        <n v="150174"/>
        <n v="150175"/>
        <n v="150176"/>
        <n v="150371"/>
        <n v="150190"/>
        <n v="150189"/>
        <n v="150209"/>
        <n v="612096"/>
        <n v="150194"/>
        <n v="150365"/>
        <n v="150960"/>
        <n v="150971"/>
        <n v="150990"/>
        <n v="150994"/>
        <n v="150995"/>
        <n v="150319"/>
        <n v="150375"/>
        <n v="150193"/>
        <n v="150360"/>
        <n v="150961"/>
        <n v="612095"/>
        <n v="612098"/>
        <n v="150196"/>
        <n v="612954"/>
        <n v="150978"/>
        <n v="612128"/>
        <n v="612955"/>
        <n v="612130"/>
        <n v="150202"/>
        <n v="612957"/>
        <n v="612100"/>
        <n v="612956"/>
        <n v="150148"/>
        <n v="150218"/>
        <n v="150217"/>
        <n v="150219"/>
        <n v="150159"/>
        <n v="150184"/>
        <n v="900005"/>
        <n v="900053"/>
        <n v="900044"/>
        <n v="100003468" u="1"/>
        <n v="100110193" u="1"/>
        <n v="100106534" u="1"/>
        <n v="100112697" u="1"/>
        <n v="100108910" u="1"/>
        <n v="100002372" u="1"/>
        <n v="100101774" u="1"/>
        <n v="10484494" u="1"/>
        <n v="100100102" u="1"/>
        <n v="100111473" u="1"/>
        <n v="100105822" u="1"/>
        <n v="100003012" u="1"/>
        <n v="100003204" u="1"/>
        <n v="100003332" u="1"/>
        <n v="100003460" u="1"/>
        <n v="100106334" u="1"/>
        <n v="100112369" u="1"/>
        <n v="100101446" u="1"/>
        <n v="100004356" u="1"/>
        <n v="100111022" u="1"/>
        <n v="100113009" u="1"/>
        <n v="100101894" u="1"/>
        <n v="100003068" u="1"/>
        <n v="100003260" u="1"/>
        <n v="100111662" u="1"/>
        <n v="100003324" u="1"/>
        <n v="100106198" u="1"/>
        <n v="100109990" u="1"/>
        <n v="100103302" u="1"/>
        <n v="100113006" u="1"/>
        <n v="100003060" u="1"/>
        <n v="100111462" u="1"/>
        <n v="100003252" u="1"/>
        <n v="100003316" u="1"/>
        <n v="100003380" u="1"/>
        <n v="100109982" u="1"/>
        <n v="100003508" u="1"/>
        <n v="100108374" u="1"/>
        <n v="100101366" u="1"/>
        <n v="100004212" u="1"/>
        <n v="100000425" u="1"/>
        <n v="100004340" u="1"/>
        <n v="100103614" u="1"/>
        <n v="100109142" u="1"/>
        <n v="100112870" u="1"/>
        <n v="100111326" u="1"/>
        <n v="100105798" u="1"/>
        <n v="100109910" u="1"/>
        <n v="100112286" u="1"/>
        <n v="100110486" u="1"/>
        <n v="100112862" u="1"/>
        <n v="100111254" u="1"/>
        <n v="100100075" u="1"/>
        <n v="100003305" u="1"/>
        <n v="100003369" u="1"/>
        <n v="100111958" u="1"/>
        <n v="100112342" u="1"/>
        <n v="100101227" u="1"/>
        <n v="100002273" u="1"/>
        <n v="100004329" u="1"/>
        <n v="100101803" u="1"/>
        <n v="100100067" u="1"/>
        <n v="100100131" u="1"/>
        <n v="100100259" u="1"/>
        <n v="100003297" u="1"/>
        <n v="100003361" u="1"/>
        <n v="100106358" u="1"/>
        <n v="100113750" u="1"/>
        <n v="100106550" u="1"/>
        <n v="100112462" u="1"/>
        <n v="100101347" u="1"/>
        <n v="100004193" u="1"/>
        <n v="100103531" u="1"/>
        <n v="100101795" u="1"/>
        <n v="100109566" u="1"/>
        <n v="100003033" u="1"/>
        <n v="100003161" u="1"/>
        <n v="100100443" u="1"/>
        <n v="100003289" u="1"/>
        <n v="100003417" u="1"/>
        <n v="10374203" u="1"/>
        <n v="100108918" u="1"/>
        <n v="100004377" u="1"/>
        <n v="100103523" u="1"/>
        <n v="100111102" u="1"/>
        <n v="100111166" u="1"/>
        <n v="100101787" u="1"/>
        <n v="100002897" u="1"/>
        <n v="1059929" u="1"/>
        <n v="100100435" u="1"/>
        <n v="1059933" u="1"/>
        <n v="100113670" u="1"/>
        <n v="10374202" u="1"/>
        <n v="100106539" u="1"/>
        <n v="100112318" u="1"/>
        <n v="100101267" u="1"/>
        <n v="100112830" u="1"/>
        <n v="100002441" u="1"/>
        <n v="100103515" u="1"/>
        <n v="100003017" u="1"/>
        <n v="100003209" u="1"/>
        <n v="100003337" u="1"/>
        <n v="100003465" u="1"/>
        <n v="100002369" u="1"/>
        <n v="100103379" u="1"/>
        <n v="100100099" u="1"/>
        <n v="100003009" u="1"/>
        <n v="100003329" u="1"/>
        <n v="100101059" u="1"/>
        <n v="100108707" u="1"/>
        <n v="100002681" u="1"/>
        <n v="100103627" u="1"/>
        <n v="100111147" u="1"/>
        <n v="100101891" u="1"/>
        <n v="100111467" u="1"/>
        <n v="100003321" u="1"/>
        <n v="100109987" u="1"/>
        <n v="100113003" u="1"/>
        <n v="100100083" u="1"/>
        <n v="100003057" u="1"/>
        <n v="100003313" u="1"/>
        <n v="100003377" u="1"/>
        <n v="100109979" u="1"/>
        <n v="100001582" u="1"/>
        <n v="100111971" u="1"/>
        <n v="100101363" u="1"/>
        <n v="100004209" u="1"/>
        <n v="100004337" u="1"/>
        <n v="100112867" u="1"/>
        <n v="100111323" u="1"/>
        <n v="100105795" u="1"/>
        <n v="100111515" u="1"/>
        <n v="100003054" u="1"/>
        <n v="100109907" u="1"/>
        <n v="100001638" u="1"/>
        <n v="100001766" u="1"/>
        <n v="100103411" u="1"/>
        <n v="100004334" u="1"/>
        <n v="100111251" u="1"/>
        <n v="100109579" u="1"/>
        <n v="100003302" u="1"/>
        <n v="100109963" u="1"/>
        <n v="100003366" u="1"/>
        <n v="100106363" u="1"/>
        <n v="100111955" u="1"/>
        <n v="100001694" u="1"/>
        <n v="100100840" u="1"/>
        <n v="100106555" u="1"/>
        <n v="100101352" u="1"/>
        <n v="100004326" u="1"/>
        <n v="100112851" u="1"/>
        <n v="100101800" u="1"/>
        <n v="100002718" u="1"/>
        <n v="100100064" u="1"/>
        <n v="100003166" u="1"/>
        <n v="100003230" u="1"/>
        <n v="100106547" u="1"/>
        <n v="100112267" u="1"/>
        <n v="100101344" u="1"/>
        <n v="100101792" u="1"/>
        <n v="100111235" u="1"/>
        <n v="100100120" u="1"/>
        <n v="100103848" u="1"/>
        <n v="100100440" u="1"/>
        <n v="100003222" u="1"/>
        <n v="100113675" u="1"/>
        <n v="100003350" u="1"/>
        <n v="100108915" u="1"/>
        <n v="100004374" u="1"/>
        <n v="100111099" u="1"/>
        <n v="100111163" u="1"/>
        <n v="100101784" u="1"/>
        <n v="100100112" u="1"/>
        <n v="100100240" u="1"/>
        <n v="100003022" u="1"/>
        <n v="100100432" u="1"/>
        <n v="100003214" u="1"/>
        <n v="100003342" u="1"/>
        <n v="100003406" u="1"/>
        <n v="100106536" u="1"/>
        <n v="100112507" u="1"/>
        <n v="100002374" u="1"/>
        <n v="100103512" u="1"/>
        <n v="100101776" u="1"/>
        <n v="100100232" u="1"/>
        <n v="100003014" u="1"/>
        <n v="100003206" u="1"/>
        <n v="100001470" u="1"/>
        <n v="100003334" u="1"/>
        <n v="100111987" u="1"/>
        <n v="100112371" u="1"/>
        <n v="100002366" u="1"/>
        <n v="100004358" u="1"/>
        <n v="100002686" u="1"/>
        <n v="100100096" u="1"/>
        <n v="100003262" u="1"/>
        <n v="1062272" u="1"/>
        <n v="100106200" u="1"/>
        <n v="100003454" u="1"/>
        <n v="100109992" u="1"/>
        <n v="10489794" u="1"/>
        <n v="100111080" u="1"/>
        <n v="100002998" u="1"/>
        <n v="100003062" u="1"/>
        <n v="100111464" u="1"/>
        <n v="100003254" u="1"/>
        <n v="100109984" u="1"/>
        <n v="100100792" u="1"/>
        <n v="100108376" u="1"/>
        <n v="10489793" u="1"/>
        <n v="100101368" u="1"/>
        <n v="100110880" u="1"/>
        <n v="100109144" u="1"/>
        <n v="100109208" u="1"/>
        <n v="100100272" u="1"/>
        <n v="100100400" u="1"/>
        <n v="100111968" u="1"/>
        <n v="100001771" u="1"/>
        <n v="100112288" u="1"/>
        <n v="100101232" u="1"/>
        <n v="10489792" u="1"/>
        <n v="100101360" u="1"/>
        <n v="100002347" u="1"/>
        <n v="100112864" u="1"/>
        <n v="100111256" u="1"/>
        <n v="100100077" u="1"/>
        <n v="100003051" u="1"/>
        <n v="100003307" u="1"/>
        <n v="100003371" u="1"/>
        <n v="100111960" u="1"/>
        <n v="100001763" u="1"/>
        <n v="100110416" u="1"/>
        <n v="100112344" u="1"/>
        <n v="10489791" u="1"/>
        <n v="100112408" u="1"/>
        <n v="100004203" u="1"/>
        <n v="1062376" u="1"/>
        <n v="100004331" u="1"/>
        <n v="100111248" u="1"/>
        <n v="100003235" u="1"/>
        <n v="100003299" u="1"/>
        <n v="100003363" u="1"/>
        <n v="100106360" u="1"/>
        <n v="100106552" u="1"/>
        <n v="100112272" u="1"/>
        <n v="100112464" u="1"/>
        <n v="100101349" u="1"/>
        <n v="100004195" u="1"/>
        <n v="100003163" u="1"/>
        <n v="100003227" u="1"/>
        <n v="100003483" u="1"/>
        <n v="100112456" u="1"/>
        <n v="100101341" u="1"/>
        <n v="100101789" u="1"/>
        <n v="100111424" u="1"/>
        <n v="100100437" u="1"/>
        <n v="100003219" u="1"/>
        <n v="100003283" u="1"/>
        <n v="100113672" u="1"/>
        <n v="100003347" u="1"/>
        <n v="100106541" u="1"/>
        <n v="100003987" u="1"/>
        <n v="100108912" u="1"/>
        <n v="100112832" u="1"/>
        <n v="100103517" u="1"/>
        <n v="100103965" u="1"/>
        <n v="100003019" u="1"/>
        <n v="100003211" u="1"/>
        <n v="100003339" u="1"/>
        <n v="100104413" u="1"/>
        <n v="100003467" u="1"/>
        <n v="10492077" u="1"/>
        <n v="100108909" u="1"/>
        <n v="100002371" u="1"/>
        <n v="100004235" u="1"/>
        <n v="100103381" u="1"/>
        <n v="100101773" u="1"/>
        <n v="100105821" u="1"/>
        <n v="100003011" u="1"/>
        <n v="100003203" u="1"/>
        <n v="100003331" u="1"/>
        <n v="100106205" u="1"/>
        <n v="100003459" u="1"/>
        <n v="100108709" u="1"/>
        <n v="100113008" u="1"/>
        <n v="100105557" u="1"/>
        <n v="100101893" u="1"/>
        <n v="100109477" u="1"/>
        <n v="100003067" u="1"/>
        <n v="100111661" u="1"/>
        <n v="100003323" u="1"/>
        <n v="100100605" u="1"/>
        <n v="100106197" u="1"/>
        <n v="100109989" u="1"/>
        <n v="10476413" u="1"/>
        <n v="10476212" u="1"/>
        <n v="100003059" u="1"/>
        <n v="100104133" u="1"/>
        <n v="100003315" u="1"/>
        <n v="100003379" u="1"/>
        <n v="100109981" u="1"/>
        <n v="100113773" u="1"/>
        <n v="10476412" u="1"/>
        <n v="10476211" u="1"/>
        <n v="100101365" u="1"/>
        <n v="100004211" u="1"/>
        <n v="100004339" u="1"/>
        <n v="100109141" u="1"/>
        <n v="100112869" u="1"/>
        <n v="100109205" u="1"/>
        <n v="10491511" u="1"/>
        <n v="100111325" u="1"/>
        <n v="100105797" u="1"/>
        <n v="100111709" u="1"/>
        <n v="100109909" u="1"/>
        <n v="10476411" u="1"/>
        <n v="100002216" u="1"/>
        <n v="100108877" u="1"/>
        <n v="10493109" u="1"/>
        <n v="100002472" u="1"/>
        <n v="100111253" u="1"/>
        <n v="100113437" u="1"/>
        <n v="10492040" u="1"/>
        <n v="100003304" u="1"/>
        <n v="100003368" u="1"/>
        <n v="100111957" u="1"/>
        <n v="100106557" u="1"/>
        <n v="100108677" u="1"/>
        <n v="100002080" u="1"/>
        <n v="100004328" u="1"/>
        <n v="100101802" u="1"/>
        <n v="100100066" u="1"/>
        <n v="100003040" u="1"/>
        <n v="100003296" u="1"/>
        <n v="100108157" u="1"/>
        <n v="100003360" u="1"/>
        <n v="100113749" u="1"/>
        <n v="100110085" u="1"/>
        <n v="100106549" u="1"/>
        <n v="100112269" u="1"/>
        <n v="100112461" u="1"/>
        <n v="100101346" u="1"/>
        <n v="100002392" u="1"/>
        <n v="100103530" u="1"/>
        <n v="100101794" u="1"/>
        <n v="100111237" u="1"/>
        <n v="100103850" u="1"/>
        <n v="100109565" u="1"/>
        <n v="100111429" u="1"/>
        <n v="100003032" u="1"/>
        <n v="100100314" u="1"/>
        <n v="100003224" u="1"/>
        <n v="100003288" u="1"/>
        <n v="100003416" u="1"/>
        <n v="10493307" u="1"/>
        <n v="100002384" u="1"/>
        <n v="100112837" u="1"/>
        <n v="100004376" u="1"/>
        <n v="100111101" u="1"/>
        <n v="100111165" u="1"/>
        <n v="10493130" u="1"/>
        <n v="100100114" u="1"/>
        <n v="100002896" u="1"/>
        <n v="100109877" u="1"/>
        <n v="100003216" u="1"/>
        <n v="10493909" u="1"/>
        <n v="100003280" u="1"/>
        <n v="100003344" u="1"/>
        <n v="100110197" u="1"/>
        <n v="100106538" u="1"/>
        <n v="100112317" u="1"/>
        <n v="10493306" u="1"/>
        <n v="100002376" u="1"/>
        <n v="100112829" u="1"/>
        <n v="100002440" u="1"/>
        <n v="10493129" u="1"/>
        <n v="100101778" u="1"/>
        <n v="100100234" u="1"/>
        <n v="100111541" u="1"/>
        <n v="10493892" u="1"/>
        <n v="100003208" u="1"/>
        <n v="100003272" u="1"/>
        <n v="100003336" u="1"/>
        <n v="100111989" u="1"/>
        <n v="100003464" u="1"/>
        <n v="10493040" u="1"/>
        <n v="100002368" u="1"/>
        <n v="100109162" u="1"/>
        <n v="10493128" u="1"/>
        <n v="100003008" u="1"/>
        <n v="100003328" u="1"/>
        <n v="100106202" u="1"/>
        <n v="10493039" u="1"/>
        <n v="1056730" u="1"/>
        <n v="1056731" u="1"/>
        <n v="10493127" u="1"/>
        <n v="100002680" u="1"/>
        <n v="100103626" u="1"/>
        <n v="100100090" u="1"/>
        <n v="100003000" u="1"/>
        <n v="100111466" u="1"/>
        <n v="100001264" u="1"/>
        <n v="100111658" u="1"/>
        <n v="100003320" u="1"/>
        <n v="100109986" u="1"/>
        <n v="100003512" u="1"/>
        <n v="612962" u="1"/>
        <n v="10493126" u="1"/>
        <n v="100109146" u="1"/>
        <n v="100113002" u="1"/>
        <n v="100100082" u="1"/>
        <n v="100003056" u="1"/>
        <n v="100003312" u="1"/>
        <n v="100003376" u="1"/>
        <n v="100109978" u="1"/>
        <n v="100003504" u="1"/>
        <n v="100111970" u="1"/>
        <n v="100001773" u="1"/>
        <n v="100101362" u="1"/>
        <n v="100004208" u="1"/>
        <n v="100004336" u="1"/>
        <n v="100112866" u="1"/>
        <n v="100111322" u="1"/>
        <n v="100100207" u="1"/>
        <n v="100003053" u="1"/>
        <n v="100109906" u="1"/>
        <n v="100111962" u="1"/>
        <n v="100001765" u="1"/>
        <n v="100102898" u="1"/>
        <n v="10445624" u="1"/>
        <n v="100004333" u="1"/>
        <n v="100112858" u="1"/>
        <n v="100111250" u="1"/>
        <n v="100003301" u="1"/>
        <n v="100003365" u="1"/>
        <n v="100106362" u="1"/>
        <n v="100110026" u="1"/>
        <n v="100001693" u="1"/>
        <n v="100106554" u="1"/>
        <n v="100108674" u="1"/>
        <n v="100004325" u="1"/>
        <n v="100112850" u="1"/>
        <n v="100101799" u="1"/>
        <n v="100002717" u="1"/>
        <n v="100100063" u="1"/>
        <n v="100003165" u="1"/>
        <n v="100003357" u="1"/>
        <n v="100003421" u="1"/>
        <n v="100106546" u="1"/>
        <n v="100112458" u="1"/>
        <n v="100101343" u="1"/>
        <n v="100100119" u="1"/>
        <n v="100103847" u="1"/>
        <n v="100100439" u="1"/>
        <n v="100113674" u="1"/>
        <n v="100003349" u="1"/>
        <n v="100108914" u="1"/>
        <n v="100103519" u="1"/>
        <n v="100111162" u="1"/>
        <n v="100101783" u="1"/>
        <n v="100003021" u="1"/>
        <n v="100100431" u="1"/>
        <n v="100003213" u="1"/>
        <n v="100003341" u="1"/>
        <n v="100003469" u="1"/>
        <n v="100110194" u="1"/>
        <n v="100106535" u="1"/>
        <n v="100108719" u="1"/>
        <n v="100108911" u="1"/>
        <n v="10446110" u="1"/>
        <n v="100111090" u="1"/>
        <n v="100101775" u="1"/>
        <n v="100100103" u="1"/>
        <n v="100105823" u="1"/>
        <n v="100003013" u="1"/>
        <n v="100113530" u="1"/>
        <n v="100003205" u="1"/>
        <n v="100001469" u="1"/>
        <n v="100003333" u="1"/>
        <n v="100003397" u="1"/>
        <n v="100111986" u="1"/>
        <n v="100003461" u="1"/>
        <n v="100004357" u="1"/>
        <n v="100113010" u="1"/>
        <n v="100100095" u="1"/>
        <n v="100101895" u="1"/>
        <n v="100003069" u="1"/>
        <n v="100111663" u="1"/>
        <n v="100003325" u="1"/>
        <n v="100106199" u="1"/>
        <n v="100109991" u="1"/>
        <n v="100112367" u="1"/>
        <n v="100103303" u="1"/>
        <n v="100113007" u="1"/>
        <n v="100003061" u="1"/>
        <n v="100111463" u="1"/>
        <n v="100003253" u="1"/>
        <n v="100003317" u="1"/>
        <n v="100109983" u="1"/>
        <n v="10496741" u="1"/>
        <n v="100101367" u="1"/>
        <n v="100004341" u="1"/>
        <n v="100109143" u="1"/>
        <n v="100109207" u="1"/>
        <n v="100111327" u="1"/>
        <n v="100105799" u="1"/>
        <n v="100001194" u="1"/>
        <n v="100106375" u="1"/>
        <n v="100111967" u="1"/>
        <n v="100001770" u="1"/>
        <n v="100112287" u="1"/>
        <n v="10415658" u="1"/>
        <n v="100002218" u="1"/>
        <n v="100112863" u="1"/>
        <n v="100111255" u="1"/>
        <n v="100003050" u="1"/>
        <n v="100001250" u="1"/>
        <n v="100003306" u="1"/>
        <n v="100003370" u="1"/>
        <n v="100111959" u="1"/>
        <n v="100001762" u="1"/>
        <n v="100112343" u="1"/>
        <n v="100108679" u="1"/>
        <n v="10415657" u="1"/>
        <n v="100101228" u="1"/>
        <n v="100004202" u="1"/>
        <n v="100100068" u="1"/>
        <n v="100100260" u="1"/>
        <n v="10496706" u="1"/>
        <n v="100003234" u="1"/>
        <n v="100003298" u="1"/>
        <n v="100922" u="1"/>
        <n v="100003362" u="1"/>
        <n v="100106359" u="1"/>
        <n v="100113751" u="1"/>
        <n v="100106551" u="1"/>
        <n v="100112463" u="1"/>
        <n v="100101348" u="1"/>
        <n v="100108927" u="1"/>
        <n v="10497059" u="1"/>
        <n v="100004194" u="1"/>
        <n v="100103532" u="1"/>
        <n v="100101796" u="1"/>
        <n v="100100316" u="1"/>
        <n v="10496705" u="1"/>
        <n v="100003162" u="1"/>
        <n v="100003226" u="1"/>
        <n v="100108151" u="1"/>
        <n v="100003354" u="1"/>
        <n v="100003418" u="1"/>
        <n v="100112455" u="1"/>
        <n v="100101340" u="1"/>
        <n v="10367046" u="1"/>
        <n v="100111103" u="1"/>
        <n v="100111167" u="1"/>
        <n v="100100436" u="1"/>
        <n v="10496712" u="1"/>
        <n v="100003282" u="1"/>
        <n v="100113671" u="1"/>
        <n v="100003346" u="1"/>
        <n v="10480600" u="1"/>
        <n v="100106540" u="1"/>
        <n v="100112319" u="1"/>
        <n v="10415646" u="1"/>
        <n v="100112831" u="1"/>
        <n v="100002442" u="1"/>
        <n v="100004370" u="1"/>
        <n v="100103516" u="1"/>
        <n v="100101780" u="1"/>
        <n v="100100236" u="1"/>
        <n v="100003018" u="1"/>
        <n v="10481258" u="1"/>
        <n v="100003210" u="1"/>
        <n v="10480599" u="1"/>
        <n v="100003466" u="1"/>
        <n v="100108908" u="1"/>
        <n v="100002370" u="1"/>
        <n v="100004234" u="1"/>
        <n v="100103380" u="1"/>
        <n v="100101772" u="1"/>
        <n v="100100100" u="1"/>
        <n v="100105820" u="1"/>
        <n v="10481257" u="1"/>
        <n v="100109676" u="1"/>
        <n v="100003202" u="1"/>
        <n v="10480598" u="1"/>
        <n v="100003330" u="1"/>
        <n v="100106204" u="1"/>
        <n v="100003458" u="1"/>
        <n v="100103628" u="1"/>
        <n v="100105556" u="1"/>
        <n v="100111148" u="1"/>
        <n v="100101892" u="1"/>
        <n v="100109476" u="1"/>
        <n v="100003066" u="1"/>
        <n v="100111468" u="1"/>
        <n v="100003322" u="1"/>
        <n v="100100604" u="1"/>
        <n v="100109988" u="1"/>
        <n v="100100796" u="1"/>
        <n v="100113004" u="1"/>
        <n v="100101948" u="1"/>
        <n v="100003058" u="1"/>
        <n v="100104132" u="1"/>
        <n v="100003314" u="1"/>
        <n v="100003378" u="1"/>
        <n v="100109980" u="1"/>
        <n v="100113772" u="1"/>
        <n v="100111972" u="1"/>
        <n v="100101364" u="1"/>
        <n v="100004210" u="1"/>
        <n v="100004338" u="1"/>
        <n v="100112868" u="1"/>
        <n v="100109204" u="1"/>
        <n v="100111324" u="1"/>
        <n v="100105796" u="1"/>
        <n v="100003055" u="1"/>
        <n v="100109908" u="1"/>
        <n v="100003311" u="1"/>
        <n v="100003375" u="1"/>
        <n v="100003503" u="1"/>
        <n v="100002215" u="1"/>
        <n v="100108876" u="1"/>
        <n v="100002471" u="1"/>
        <n v="100004335" u="1"/>
        <n v="100111252" u="1"/>
        <n v="100109580" u="1"/>
        <n v="100003303" u="1"/>
        <n v="100003367" u="1"/>
        <n v="100106364" u="1"/>
        <n v="100111956" u="1"/>
        <n v="100100841" u="1"/>
        <n v="100106556" u="1"/>
        <n v="100108676" u="1"/>
        <n v="100101225" u="1"/>
        <n v="100004327" u="1"/>
        <n v="100112852" u="1"/>
        <n v="100101801" u="1"/>
        <n v="100100129" u="1"/>
        <n v="100111500" u="1"/>
        <n v="100003039" u="1"/>
        <n v="100003231" u="1"/>
        <n v="100108156" u="1"/>
        <n v="100003359" u="1"/>
        <n v="100100833" u="1"/>
        <n v="100106548" u="1"/>
        <n v="100112268" u="1"/>
        <n v="100112460" u="1"/>
        <n v="100101345" u="1"/>
        <n v="100101793" u="1"/>
        <n v="100111236" u="1"/>
        <n v="100103849" u="1"/>
        <n v="100109564" u="1"/>
        <n v="100100313" u="1"/>
        <n v="100113420" u="1"/>
        <n v="100001295" u="1"/>
        <n v="100100441" u="1"/>
        <n v="100003223" u="1"/>
        <n v="100003287" u="1"/>
        <n v="100003351" u="1"/>
        <n v="100108916" u="1"/>
        <n v="100103521" u="1"/>
        <n v="100111100" u="1"/>
        <n v="100111164" u="1"/>
        <n v="100101785" u="1"/>
        <n v="10483781" u="1"/>
        <n v="100002895" u="1"/>
        <n v="100100241" u="1"/>
        <n v="100003215" u="1"/>
        <n v="100003279" u="1"/>
        <n v="100003343" u="1"/>
        <n v="100110196" u="1"/>
        <n v="100106537" u="1"/>
        <n v="100103513" u="1"/>
        <n v="10483780" u="1"/>
        <n v="100003015" u="1"/>
        <n v="100003207" u="1"/>
        <n v="100001471" u="1"/>
        <n v="100111988" u="1"/>
        <n v="100002367" u="1"/>
        <n v="100101449" u="1"/>
        <n v="100003007" u="1"/>
        <n v="10386537" u="1"/>
        <n v="100003263" u="1"/>
        <n v="100003327" u="1"/>
        <n v="100106201" u="1"/>
        <n v="100003455" u="1"/>
        <n v="100109993" u="1"/>
        <n v="10483417" u="1"/>
        <n v="10499440" u="1"/>
        <n v="100103625" u="1"/>
        <n v="100100089" u="1"/>
        <n v="100002999" u="1"/>
        <n v="10499263" u="1"/>
        <n v="100003063" u="1"/>
        <n v="100111465" u="1"/>
        <n v="100003255" u="1"/>
        <n v="100003319" u="1"/>
        <n v="100109985" u="1"/>
        <n v="100100793" u="1"/>
        <n v="100101369" u="1"/>
        <n v="100110881" u="1"/>
        <n v="100109145" u="1"/>
        <n v="100109209" u="1"/>
        <n v="100100081" u="1"/>
        <n v="100100273" u="1"/>
        <n v="10499262" u="1"/>
        <n v="100100337" u="1"/>
        <n v="100111969" u="1"/>
        <n v="100001772" u="1"/>
        <n v="100101361" u="1"/>
        <n v="100112865" u="1"/>
        <n v="100003052" u="1"/>
        <n v="100113441" u="1"/>
        <n v="100003308" u="1"/>
        <n v="100003372" u="1"/>
        <n v="100111961" u="1"/>
        <n v="100001764" u="1"/>
        <n v="100102897" u="1"/>
        <n v="100101230" u="1"/>
        <n v="100004204" u="1"/>
        <n v="100004332" u="1"/>
        <n v="10483783" u="1"/>
        <n v="100111249" u="1"/>
        <n v="100003300" u="1"/>
        <n v="100109961" u="1"/>
        <n v="100003364" u="1"/>
        <n v="100106361" u="1"/>
        <n v="100110025" u="1"/>
        <n v="100106553" u="1"/>
        <n v="100112465" u="1"/>
        <n v="100101350" u="1"/>
        <n v="100004324" u="1"/>
        <n v="100112849" u="1"/>
        <n v="10483782" u="1"/>
        <n v="100100062" u="1"/>
        <n v="100003164" u="1"/>
        <n v="100003228" u="1"/>
        <n v="100108153" u="1"/>
        <n v="10484360" u="1"/>
        <n v="100112457" u="1"/>
        <n v="100101342" u="1"/>
        <n v="100101790" u="1"/>
        <n v="100111169" u="1"/>
        <n v="100100118" u="1"/>
        <n v="100109625" u="1"/>
        <n v="100003284" u="1"/>
        <n v="100113673" u="1"/>
        <n v="100003348" u="1"/>
        <n v="100106542" u="1"/>
        <n v="100108721" u="1"/>
        <n v="100103518" u="1"/>
        <n v="100111161" u="1"/>
        <n v="100101782" u="1"/>
        <n v="100003020" u="1"/>
      </sharedItems>
    </cacheField>
    <cacheField name="Klp Brg Pcpl" numFmtId="0">
      <sharedItems containsBlank="1"/>
    </cacheField>
    <cacheField name="Nama Barang Principle" numFmtId="0">
      <sharedItems containsBlank="1"/>
    </cacheField>
    <cacheField name="ISI/CTN" numFmtId="0">
      <sharedItems containsString="0" containsBlank="1" containsNumber="1" containsInteger="1" minValue="1" maxValue="288" count="27">
        <n v="48"/>
        <n v="24"/>
        <m/>
        <n v="12"/>
        <n v="1"/>
        <n v="6"/>
        <n v="60"/>
        <n v="36"/>
        <n v="8"/>
        <n v="30"/>
        <n v="21"/>
        <n v="10"/>
        <n v="96" u="1"/>
        <n v="100" u="1"/>
        <n v="288" u="1"/>
        <n v="40" u="1"/>
        <n v="15" u="1"/>
        <n v="120" u="1"/>
        <n v="2" u="1"/>
        <n v="18" u="1"/>
        <n v="144" u="1"/>
        <n v="20" u="1"/>
        <n v="160" u="1"/>
        <n v="9" u="1"/>
        <n v="72" u="1"/>
        <n v="216" u="1"/>
        <n v="4" u="1"/>
      </sharedItems>
    </cacheField>
    <cacheField name="Ket. Tambahan / Pembantu" numFmtId="1">
      <sharedItems containsMixedTypes="1" containsNumber="1" containsInteger="1" minValue="0" maxValue="7000003792" count="221">
        <s v="7000003080"/>
        <s v="7000003102"/>
        <s v="7000003116"/>
        <s v="7000003134"/>
        <n v="0"/>
        <s v="7000003111"/>
        <s v="7000003101"/>
        <s v="7000003114"/>
        <s v="7000003139"/>
        <s v="7000003112"/>
        <s v="7000003064"/>
        <s v="7000003071"/>
        <s v="7000003138"/>
        <s v="7000003150"/>
        <s v="7000003149"/>
        <s v="7000003117"/>
        <s v="7000003104"/>
        <s v="7000003118"/>
        <s v="7000003105"/>
        <s v="7000003067"/>
        <s v="7000003121"/>
        <s v="7000003115"/>
        <s v="7000003125"/>
        <s v="7000003072"/>
        <s v="7000003079"/>
        <s v="7000003108"/>
        <s v="7000003076"/>
        <s v="7000003107"/>
        <s v="7000003063"/>
        <n v="7000003778"/>
        <s v="7000003082"/>
        <n v="7000003792"/>
        <s v="7000003075"/>
        <s v="7000003083"/>
        <s v="7000003090"/>
        <s v="7000003084"/>
        <s v="7000003091"/>
        <s v="7000003109"/>
        <s v="7000003093"/>
        <s v="7000003085"/>
        <s v="7000003092"/>
        <s v="7000003100"/>
        <s v="7000003068"/>
        <s v="7000003094"/>
        <s v="7000003110"/>
        <s v="7000003123"/>
        <s v="7000003135"/>
        <s v="7000003152"/>
        <s v="7000003155"/>
        <s v="7000003580"/>
        <s v="7000003153"/>
        <s v="7000003154"/>
        <s v="7000003160"/>
        <s v="7000003177"/>
        <s v="7000003178"/>
        <s v="7000003172"/>
        <s v="7000003168"/>
        <s v="7000003171"/>
        <s v="7000003174"/>
        <s v="7000003169"/>
        <s v="7000003176"/>
        <s v="7000003170"/>
        <s v="7000003173"/>
        <s v="7000003179"/>
        <s v="7000003181"/>
        <s v="7000003146"/>
        <s v="7000003438"/>
        <s v="7000003443"/>
        <s v="7000003447"/>
        <s v="7000003408"/>
        <s v="7000003409"/>
        <s v="7000003410"/>
        <s v="7000003411"/>
        <s v="7000003414"/>
        <s v="7000003412"/>
        <s v="7000003413"/>
        <s v="7000003426"/>
        <s v="7000003416"/>
        <s v="7000003417"/>
        <s v="7000003427"/>
        <s v="7000003429"/>
        <s v="7000003419"/>
        <s v="7000003424"/>
        <s v="7000003423"/>
        <s v="7000003425"/>
        <s v="7000003422"/>
        <s v="7000003420"/>
        <s v="7000003421"/>
        <s v="7000003418"/>
        <s v="7000003590"/>
        <s v="7000003588"/>
        <s v="7000003404"/>
        <s v="7000003407"/>
        <s v="7000003589"/>
        <s v="7000003405"/>
        <s v="7000003385"/>
        <s v="7000003389"/>
        <s v="7000003402"/>
        <s v="7000003386"/>
        <s v="7000003392"/>
        <s v="7000003387"/>
        <s v="7000003393"/>
        <s v="7000003391"/>
        <s v="7000003390"/>
        <s v="7000003388"/>
        <s v="7000003394"/>
        <s v="7000003435"/>
        <s v="7000003614"/>
        <s v="7000003455"/>
        <s v="7000003432"/>
        <s v="7000003607"/>
        <s v="7000003436"/>
        <s v="7000003615"/>
        <s v="7000003450"/>
        <s v="7000003433"/>
        <s v="7000003608"/>
        <s v="7000003444"/>
        <s v="7000003448"/>
        <s v="7000003613"/>
        <s v="7000003437"/>
        <n v="7000003612"/>
        <s v="7000003616"/>
        <s v="7000003457"/>
        <s v="7000003434"/>
        <s v="7000003361"/>
        <s v="7000003370"/>
        <s v="7000003377"/>
        <s v="7000003365"/>
        <s v="7000003379"/>
        <s v="7000003366"/>
        <s v="7000003380"/>
        <s v="7000003586"/>
        <s v="7000003378"/>
        <s v="7000003362"/>
        <s v="7000003371"/>
        <s v="7000003382"/>
        <s v="7000003363"/>
        <s v="7000003367"/>
        <s v="7000003381"/>
        <s v="7000003373"/>
        <s v="7000003223"/>
        <s v="7000003254"/>
        <s v="7000003287"/>
        <n v="7000003676"/>
        <s v="7000003256"/>
        <s v="7000003257"/>
        <s v="7000003262"/>
        <s v="7000003289"/>
        <s v="7000003245"/>
        <s v="7000003281"/>
        <s v="7000003278"/>
        <s v="7000003315"/>
        <s v="7000003312"/>
        <s v="7000003311"/>
        <s v="7000003291"/>
        <s v="7000003342"/>
        <s v="7000003233"/>
        <s v="7000003247"/>
        <s v="7000003237"/>
        <s v="7000003248"/>
        <s v="7000003307"/>
        <s v="7000003292"/>
        <s v="7000003584"/>
        <s v="7000003290"/>
        <s v="7000003243"/>
        <s v="7000003260"/>
        <s v="7000003286"/>
        <s v="7000003249"/>
        <s v="7000003293"/>
        <s v="7000003294"/>
        <s v="7000003232"/>
        <s v="7000003295"/>
        <s v="7000003217"/>
        <s v="7000003263"/>
        <s v="7000003296"/>
        <s v="7000003230"/>
        <s v="7000003270"/>
        <s v="7000003299"/>
        <s v="7000003258"/>
        <s v="7000003269"/>
        <s v="7000003300"/>
        <s v="7000003246"/>
        <s v="7000003265"/>
        <s v="7000003282"/>
        <s v="7000003279"/>
        <s v="7000003316"/>
        <s v="7000003343"/>
        <s v="7000003250"/>
        <s v="7000003266"/>
        <s v="7000003251"/>
        <s v="7000003267"/>
        <s v="7000003308"/>
        <s v="7000003303"/>
        <s v="7000003202"/>
        <s v="7000003240"/>
        <s v="7000003301"/>
        <s v="7000003244"/>
        <s v="7000003264"/>
        <s v="7000003305"/>
        <s v="7000003228"/>
        <s v="7000003268"/>
        <s v="7000003304"/>
        <s v="7000003235"/>
        <s v="7000003276"/>
        <s v="7000003306"/>
        <s v="7000003236"/>
        <s v="7000003277"/>
        <s v="7000003297"/>
        <s v="7000003241"/>
        <s v="7000003242"/>
        <s v="7000003583"/>
        <s v="7000003440"/>
        <s v="7000003253"/>
        <s v="7000003313"/>
        <s v="7000003346"/>
        <s v="7000003350"/>
        <s v="7000003351"/>
        <s v="7000003285"/>
        <s v="7000003317"/>
        <s v="7000003252"/>
        <s v="7000003310"/>
      </sharedItems>
    </cacheField>
    <cacheField name="SATUAN Fix Win" numFmtId="0">
      <sharedItems containsMixedTypes="1" containsNumber="1" containsInteger="1" minValue="0" maxValue="0" count="13">
        <s v="PCH"/>
        <s v="BTL"/>
        <s v="JRG"/>
        <s v="PCSX12"/>
        <s v="PCSX10"/>
        <s v="PCSX20"/>
        <s v="PCS"/>
        <s v="PCSX3"/>
        <s v="KLG"/>
        <s v="PCSX22"/>
        <s v="PCSX24"/>
        <s v="CUP"/>
        <n v="0" u="1"/>
      </sharedItems>
    </cacheField>
    <cacheField name="Nama Kelompok Win" numFmtId="0">
      <sharedItems/>
    </cacheField>
    <cacheField name="Kode Kelompok Win" numFmtId="0">
      <sharedItems/>
    </cacheField>
    <cacheField name="Kode BARANG Win2" numFmtId="0">
      <sharedItems count="1353">
        <s v="A1011000006210"/>
        <s v="A1011000006211"/>
        <s v="A1011000008010"/>
        <s v="A1011000013010"/>
        <s v="A1011000013510"/>
        <s v="A1011000025010"/>
        <s v="A1011000025011"/>
        <s v="A1011000060011"/>
        <s v="A1011000027520"/>
        <s v="A1011000030010"/>
        <s v="A1011000030012"/>
        <s v="A1011000045010"/>
        <s v="A1011000060010"/>
        <s v="A1011000060020"/>
        <s v="A1011000062010"/>
        <s v="A1011000068510"/>
        <s v="A1011000068512"/>
        <s v="A1011000082510"/>
        <s v="A1011000092510"/>
        <s v="A1011000100610"/>
        <s v="A1011000102510"/>
        <s v="A1011001052010"/>
        <s v="A1011001062010"/>
        <s v="A1011002052010"/>
        <s v="A1011003013510"/>
        <s v="A1011003065010"/>
        <s v="A1011004015020"/>
        <s v="A1011004065010"/>
        <s v="A1011005013510"/>
        <s v="A1011005027510"/>
        <s v="A1011006007510"/>
        <s v="A1011006013520"/>
        <s v="A1011100001510"/>
        <s v="A1011100001541"/>
        <s v="A1011100002510"/>
        <s v="A1011100002741"/>
        <s v="A1012000013110"/>
        <s v="A1012000062010"/>
        <s v="A1012000100610"/>
        <s v="A1020001019510"/>
        <s v="A1020001019520"/>
        <s v="A1020002013010"/>
        <s v="A1020002013510"/>
        <s v="A1020002019510"/>
        <s v="A1020002042010"/>
        <s v="A1020003019510"/>
        <s v="A1020004019510"/>
        <s v="A1020102001820"/>
        <s v="A1022100006221"/>
        <s v="A1030100000310"/>
        <s v="A1041001009010"/>
        <s v="A1041002009010"/>
        <s v="A1041003009010"/>
        <s v="A1041004009010"/>
        <s v="A1041005009010"/>
        <s v="A1042001009010"/>
        <s v="A1042004009010"/>
        <s v="A1050000010010"/>
        <s v="A1050000020010"/>
        <s v="A1050000025010"/>
        <s v="A1050000025011"/>
        <s v="A1050000025020"/>
        <s v="A1061000020010"/>
        <s v="A1061001020010"/>
        <s v="A1061002020010"/>
        <s v="A1070001025010"/>
        <s v="A1070001100110"/>
        <s v="A1070002025010"/>
        <s v="A1070002100110"/>
        <s v="A1070003025010"/>
        <s v="A1070003100110"/>
        <s v="A1070004025010"/>
        <s v="A1070005025010"/>
        <s v="A1070006025010"/>
        <s v="A1080000025010"/>
        <s v="A1091001002820"/>
        <s v="A1091001046010"/>
        <s v="A1091002046010"/>
        <s v="A1092001045010"/>
        <s v="A1092007042510"/>
        <s v="A1092002045010"/>
        <s v="A1092003045010"/>
        <s v="A1092004045010"/>
        <s v="A1092005045010"/>
        <s v="A1092006045010"/>
        <s v="A1100001015510"/>
        <s v="A1100001015511"/>
        <s v="A1100001015512"/>
        <s v="A1100001042510"/>
        <s v="A1100002015510"/>
        <s v="A1100002015512"/>
        <s v="A1100002042510"/>
        <s v="A1100003030010"/>
        <s v="A1100004015510"/>
        <s v="A1100004015512"/>
        <s v="A1100004042510"/>
        <s v="A1100005015510"/>
        <s v="A1100005015511"/>
        <s v="A1100005040010"/>
        <s v="A1110000000810"/>
        <s v="A1110000013510"/>
        <s v="A1110000027510"/>
        <s v="A1110000033510"/>
        <s v="A1110000100510"/>
        <s v="A1110001100110"/>
        <s v="A1111001012510"/>
        <s v="A1111001032510"/>
        <s v="A1120006000810"/>
        <s v="A1120006000810N"/>
        <s v="A1120006001510"/>
        <s v="A1120006007510"/>
        <s v="A1120006013010"/>
        <s v="A1120008013010"/>
        <s v="A1120006013011"/>
        <s v="A1120006013510"/>
        <s v="A1120006027010"/>
        <s v="A1120006027011"/>
        <s v="A1120006033510"/>
        <s v="A1120006038010"/>
        <s v="A1120006060010"/>
        <s v="A1120006069010"/>
        <s v="A1120006100510"/>
        <s v="A1120006102410"/>
        <s v="A1120007100110"/>
        <s v="A1120008000810"/>
        <s v="A1120008001510"/>
        <s v="A1120008007510"/>
        <s v="A1120008013011"/>
        <s v="A1120008013510"/>
        <s v="A1120008027010"/>
        <s v="A1120008033510"/>
        <s v="A1120008038010"/>
        <s v="A1120009095010"/>
        <s v="A1120010007510"/>
        <s v="A1120010013510"/>
        <s v="A1120011013510"/>
        <s v="A1120011033510"/>
        <s v="A1120012013510"/>
        <s v="A1120012033510"/>
        <s v="A1120013013510"/>
        <s v="A1120013027510"/>
        <s v="A1121000000710"/>
        <s v="A1121000058010"/>
        <s v="A1122001001810"/>
        <s v="A1122001001811"/>
        <s v="A1122001001812"/>
        <s v="A1122001001813"/>
        <s v="A1122001007010"/>
        <s v="A1122001018010"/>
        <s v="A1122001018011"/>
        <s v="A1122001018020"/>
        <s v="A1122002001810"/>
        <s v="A1122002001811"/>
        <s v="A1122003001810"/>
        <s v="A1122003001811"/>
        <s v="A1122004001810"/>
        <s v="A1122004001811"/>
        <s v="A1122005001810"/>
        <s v="A1122005001811"/>
        <s v="A1123001012510"/>
        <s v="A1123002012510"/>
        <s v="A1123003012510"/>
        <s v="A1124001013510"/>
        <s v="A1124002013510"/>
        <s v="A1130001022011B"/>
        <s v="A1140001000011B"/>
        <s v="A1150001000011B"/>
        <s v="K1090002010010" u="1"/>
        <s v="K1155013020010" u="1"/>
        <s v="K1161003028010" u="1"/>
        <s v="K1048002005010" u="1"/>
        <s v="K1161001000110" u="1"/>
        <s v="K1242004010010" u="1"/>
        <s v="K1045003015010" u="1"/>
        <s v="C1150005010010" u="1"/>
        <s v="C1390002010020" u="1"/>
        <s v="K1330005010010" u="1"/>
        <s v="K1256002005010" u="1"/>
        <s v="C1270004010010" u="1"/>
        <s v="C1290003010010" u="1"/>
        <s v="K1190002005011" u="1"/>
        <s v="C1350005010010" u="1"/>
        <s v="C1390003010010" u="1"/>
        <s v="C1380003004010" u="1"/>
        <s v="K1241004015010" u="1"/>
        <s v="K1490001025020" u="1"/>
        <s v="C1020006005010" u="1"/>
        <s v="C1370003025020" u="1"/>
        <s v="K1400006005010" u="1"/>
        <s v="C1240004006020" u="1"/>
        <s v="K1280002006010" u="1"/>
        <s v="K1048008004510" u="1"/>
        <s v="K1155002010020" u="1"/>
        <s v="K1155004050010" u="1"/>
        <s v="K1155003010010" u="1"/>
        <s v="K1155012010020" u="1"/>
        <s v="K1051004010010" u="1"/>
        <s v="C1270004040020" u="1"/>
        <s v="K1030005000010" u="1"/>
        <s v="K1111006010010" u="1"/>
        <s v="K1437003018010" u="1"/>
        <s v="C1150006040010" u="1"/>
        <s v="C1350005040020" u="1"/>
        <s v="C1330005028020" u="1"/>
        <s v="K1030015000010" u="1"/>
        <s v="K1380003020010" u="1"/>
        <s v="K1154003015010" u="1"/>
        <s v="K1081002001810" u="1"/>
        <s v="K1153003005010" u="1"/>
        <s v="C1400008020010" u="1"/>
        <s v="K1045003006010" u="1"/>
        <s v="K1157002006010" u="1"/>
        <s v="K1082002002010" u="1"/>
        <s v="K1380002009010" u="1"/>
        <s v="K1470003015010" u="1"/>
        <s v="K1381002006010" u="1"/>
        <s v="K1170003003010" u="1"/>
        <s v="K1155010001040" u="1"/>
        <s v="K1156003025010" u="1"/>
        <s v="C1080004010010" u="1"/>
        <s v="K1070002005020" u="1"/>
        <s v="K1340005010010" u="1"/>
        <s v="C1020100000000" u="1"/>
        <s v="C1360005010010" u="1"/>
        <s v="K1190002005010" u="1"/>
        <s v="K1242004005010" u="1"/>
        <s v="K1251004015010" u="1"/>
        <s v="K1490003025011" u="1"/>
        <s v="K1381002009010" u="1"/>
        <s v="C1270004005010" u="1"/>
        <s v="K1046003020020" u="1"/>
        <s v="K1100002000140" u="1"/>
        <s v="K1330005006010" u="1"/>
        <s v="C1417005050030" u="1"/>
        <s v="K1046004020010" u="1"/>
        <s v="K1070003020020" u="1"/>
        <s v="K1480002040030" u="1"/>
        <s v="C1390002007020" u="1"/>
        <s v="K1070004020010" u="1"/>
        <s v="K1253004010010" u="1"/>
        <s v="K1100005000110" u="1"/>
        <s v="C1150006020010" u="1"/>
        <s v="K1330006020010" u="1"/>
        <s v="K1460001000120" u="1"/>
        <s v="C1417005025020" u="1"/>
        <s v="K1255003005010" u="1"/>
        <s v="C1360007010710" u="1"/>
        <s v="K1460002000110" u="1"/>
        <s v="K1047003006010" u="1"/>
        <s v="K1111006005010" u="1"/>
        <s v="K1081002012020" u="1"/>
        <s v="C1417006025010" u="1"/>
        <s v="C1280004001010" u="1"/>
        <s v="K1046003010020" u="1"/>
        <s v="K1155003020020" u="1"/>
        <s v="K1180003003010" u="1"/>
        <s v="K1155013020020" u="1"/>
        <s v="K1048002005020" u="1"/>
        <s v="K1155009004510" u="1"/>
        <s v="K1155014020010" u="1"/>
        <s v="K1161004028010" u="1"/>
        <s v="K1048003005010" u="1"/>
        <s v="K1242005010010" u="1"/>
        <s v="K1045004015010" u="1"/>
        <s v="C1001000000410" u="1"/>
        <s v="C1150006010010" u="1"/>
        <s v="K1330006010010" u="1"/>
        <s v="K1190003005011" u="1"/>
        <s v="C1390004010010" u="1"/>
        <s v="C1380004004010" u="1"/>
        <s v="K1241005015010" u="1"/>
        <s v="C1020007005010" u="1"/>
        <s v="C1080004005010" u="1"/>
        <s v="K1490003025010" u="1"/>
        <s v="C1280004005010" u="1"/>
        <s v="K1155004050020" u="1"/>
        <s v="K1380003006010" u="1"/>
        <s v="K1155003010020" u="1"/>
        <s v="K1155005050010" u="1"/>
        <s v="C1040006020020" u="1"/>
        <s v="K1051005010010" u="1"/>
        <s v="C1011501020010" u="1"/>
        <s v="K1030006000010" u="1"/>
        <s v="K1111007010010" u="1"/>
        <s v="K1155014010010" u="1"/>
        <s v="K1030016000010" u="1"/>
        <s v="K1380004020010" u="1"/>
        <s v="K1154004015010" u="1"/>
        <s v="K1081003001810" u="1"/>
        <s v="K1153004005010" u="1"/>
        <s v="K1158009012510" u="1"/>
        <s v="C1400009020010" u="1"/>
        <s v="A1011100001810" u="1"/>
        <s v="K1157003006010" u="1"/>
        <s v="K1082003002010" u="1"/>
        <s v="K1380003009010" u="1"/>
        <s v="C1281004005010" u="1"/>
        <s v="K1170004003010" u="1"/>
        <s v="K1158011000910" u="1"/>
        <s v="K1156004025010" u="1"/>
        <s v="C1080005010010" u="1"/>
        <s v="K1070003005020" u="1"/>
        <s v="K1340006010010" u="1"/>
        <s v="C1360006010010" u="1"/>
        <s v="K1190003005010" u="1"/>
        <s v="K1242005005010" u="1"/>
        <s v="K1251005015010" u="1"/>
        <s v="K1490004025011" u="1"/>
        <s v="K1046004020020" u="1"/>
        <s v="K1330006006010" u="1"/>
        <s v="K1070004020020" u="1"/>
        <s v="K1480003040030" u="1"/>
        <s v="K1253005010010" u="1"/>
        <s v="C1011101020010" u="1"/>
        <s v="C1120007000020" u="1"/>
        <s v="K1100006000110" u="1"/>
        <s v="K1255004005010" u="1"/>
        <s v="K1460003000110" u="1"/>
        <s v="K1047004006010" u="1"/>
        <s v="K1111007005010" u="1"/>
        <s v="K1081003012020" u="1"/>
        <s v="C1417007025010" u="1"/>
        <s v="K1155009004520" u="1"/>
        <s v="K1161001000130" u="1"/>
        <s v="K1180004003010" u="1"/>
        <s v="K1155005020010" u="1"/>
        <s v="K1155014020020" u="1"/>
        <s v="K1161004028020" u="1"/>
        <s v="K1048003005020" u="1"/>
        <s v="K1048004005010" u="1"/>
        <s v="K1045005015010" u="1"/>
        <s v="C1020006005030" u="1"/>
        <s v="C1390004010020" u="1"/>
        <s v="C1380005004010" u="1"/>
        <s v="K1241006015010" u="1"/>
        <s v="K1490003025020" u="1"/>
        <s v="K1490004025010" u="1"/>
        <s v="K1155005050020" u="1"/>
        <s v="K1155005010010" u="1"/>
        <s v="K1155014010020" u="1"/>
        <s v="K1051006010010" u="1"/>
        <s v="C1011502020010" u="1"/>
        <s v="K1030007000010" u="1"/>
        <s v="K1102006000110" u="1"/>
        <s v="K1111008010010" u="1"/>
        <s v="K1046005001010" u="1"/>
        <s v="K1030017000010" u="1"/>
        <s v="K1154005015010" u="1"/>
        <s v="K1153005001810" u="1"/>
        <s v="K1157004006010" u="1"/>
        <s v="K1270005001010" u="1"/>
        <s v="K1082004002010" u="1"/>
        <s v="K1380004009010" u="1"/>
        <s v="C1281005005010" u="1"/>
        <s v="C1400009022020" u="1"/>
        <s v="K1156005025010" u="1"/>
        <s v="C1011001000410" u="1"/>
        <s v="C1080006010010" u="1"/>
        <s v="K1070004005020" u="1"/>
        <s v="K1251006015010" u="1"/>
        <s v="A1022100002821" u="1"/>
        <s v="K1270005005010" u="1"/>
        <s v="K1490005025011" u="1"/>
        <s v="K1100004000140" u="1"/>
        <s v="K1253006010010" u="1"/>
        <s v="C1120008000020" u="1"/>
        <s v="K1100007000110" u="1"/>
        <s v="K1460003000120" u="1"/>
        <s v="K1255005005010" u="1"/>
        <s v="K1460004000110" u="1"/>
        <s v="K1111008005010" u="1"/>
        <s v="C1417008025010" u="1"/>
        <s v="K1155005020020" u="1"/>
        <s v="K1158005010010" u="1"/>
        <s v="K1180005003010" u="1"/>
        <s v="K1155006020010" u="1"/>
        <s v="K1048004005020" u="1"/>
        <s v="K1048005005010" u="1"/>
        <s v="C1380006004010" u="1"/>
        <s v="K1241007015010" u="1"/>
        <s v="K1490004025020" u="1"/>
        <s v="A1011100001511B" u="1"/>
        <s v="C1080006005010" u="1"/>
        <s v="K1490005025010" u="1"/>
        <s v="C1281006001010" u="1"/>
        <s v="C1280006005010" u="1"/>
        <s v="K1155005010020" u="1"/>
        <s v="K1102006000120" u="1"/>
        <s v="K1155006010010" u="1"/>
        <s v="K1046005001020" u="1"/>
        <s v="K1051007010010" u="1"/>
        <s v="K1030008000010" u="1"/>
        <s v="K1102007000110" u="1"/>
        <s v="K1111009010010" u="1"/>
        <s v="K1046006001010" u="1"/>
        <s v="K1153005005020" u="1"/>
        <s v="K1030018000010" u="1"/>
        <s v="K1082001001210" u="1"/>
        <s v="K1157005006010" u="1"/>
        <s v="K1156006025010" u="1"/>
        <s v="C1080007010010" u="1"/>
        <s v="K1270005005020" u="1"/>
        <s v="C1360008010010" u="1"/>
        <s v="K1158005006010" u="1"/>
        <s v="K1251007015010" u="1"/>
        <s v="K1046007020010" u="1"/>
        <s v="C1120007000040" u="1"/>
        <s v="K1460002000140" u="1"/>
        <s v="K1253007010010" u="1"/>
        <s v="K1460003000130" u="1"/>
        <s v="C1120009000020" u="1"/>
        <s v="K1100008000110" u="1"/>
        <s v="K1460004000120" u="1"/>
        <s v="C1417008025020" u="1"/>
        <s v="K1111009005010" u="1"/>
        <s v="C1280007001010" u="1"/>
        <s v="C1390002009510N" u="1"/>
        <s v="K1155006020020" u="1"/>
        <s v="K1180006003010" u="1"/>
        <s v="K1155007020010" u="1"/>
        <s v="K1048005005020" u="1"/>
        <s v="K1048006005010" u="1"/>
        <s v="C1380007004010" u="1"/>
        <s v="K1490005025020" u="1"/>
        <s v="C1080007005010" u="1"/>
        <s v="C1280007005010" u="1"/>
        <s v="K1155006010020" u="1"/>
        <s v="K1102007000120" u="1"/>
        <s v="K1051008010010" u="1"/>
        <s v="K1030009000010" u="1"/>
        <s v="K1102008000110" u="1"/>
        <s v="K1046007001010" u="1"/>
        <s v="K1030019000010" u="1"/>
        <s v="K1157006006010" u="1"/>
        <s v="K1100009000831" u="1"/>
        <s v="K1156007025010" u="1"/>
        <s v="C1360009010010" u="1"/>
        <s v="K1251008015010" u="1"/>
        <s v="F2020010170010" u="1"/>
        <s v="F2020020170010" u="1"/>
        <s v="K1046007020020" u="1"/>
        <s v="K1400001012510" u="1"/>
        <s v="K1046008020010" u="1"/>
        <s v="K1460003000140" u="1"/>
        <s v="K1210001100420" u="1"/>
        <s v="K1506000100420" u="1"/>
        <s v="K1253008010010" u="1"/>
        <s v="K1460004000130" u="1"/>
        <s v="C1390003007510N" u="1"/>
        <s v="K1300001001510" u="1"/>
        <s v="K1155007020020" u="1"/>
        <s v="K1158007010010" u="1"/>
        <s v="K1180007003010" u="1"/>
        <s v="F2020040160010" u="1"/>
        <s v="K1048006005020" u="1"/>
        <s v="K1420010002510" u="1"/>
        <s v="K1048007005010" u="1"/>
        <s v="C1320001004510" u="1"/>
        <s v="C1380008004010" u="1"/>
        <s v="K1301001001510" u="1"/>
        <s v="C1414001012510" u="1"/>
        <s v="K1155009050010" u="1"/>
        <s v="F2020010025011" u="1"/>
        <s v="K1102008000120" u="1"/>
        <s v="K1220001100420" u="1"/>
        <s v="K1300001007510" u="1"/>
        <s v="C1221001003510" u="1"/>
        <s v="K1290001000310" u="1"/>
        <s v="K1157007006010" u="1"/>
        <s v="K1302001001510" u="1"/>
        <s v="F2010010240010" u="1"/>
        <s v="F2010020240010" u="1"/>
        <s v="F2010030020021" u="1"/>
        <s v="F2010030240010" u="1"/>
        <s v="C1221001007510" u="1"/>
        <s v="K1156008025010" u="1"/>
        <s v="K1155008001010" u="1"/>
        <s v="C1200101000210" u="1"/>
        <s v="K1158007006010" u="1"/>
        <s v="A1100003015510" u="1"/>
        <s v="F2030010150010" u="1"/>
        <s v="K1046008020020" u="1"/>
        <s v="K1100007000140" u="1"/>
        <s v="K1400002012510" u="1"/>
        <s v="K1046009020010" u="1"/>
        <s v="F2010020025021" u="1"/>
        <s v="F2020010025010" u="1"/>
        <s v="F2020020025010" u="1"/>
        <s v="F2010010580010" u="1"/>
        <s v="F2010020580010" u="1"/>
        <s v="F2010030580010" u="1"/>
        <s v="K1113001012510" u="1"/>
        <s v="K1300002001510" u="1"/>
        <s v="F2020010240010" u="1"/>
        <s v="K1121001012510" u="1"/>
        <s v="F2020020240010" u="1"/>
        <s v="C1161000012510" u="1"/>
        <s v="F2040010175010" u="1"/>
        <s v="F2020030240010" u="1"/>
        <s v="F2010030020020" u="1"/>
        <s v="K1158008010010" u="1"/>
        <s v="F2040020175010" u="1"/>
        <s v="K1155009020010" u="1"/>
        <s v="K1048007005020" u="1"/>
        <s v="K1420011002510" u="1"/>
        <s v="K1114001010510" u="1"/>
        <s v="C1320002004510" u="1"/>
        <s v="C1400106020010" u="1"/>
        <s v="F2010040022020" u="1"/>
        <s v="K1301002001510" u="1"/>
        <s v="K1155009050020" u="1"/>
        <s v="C1414002012510" u="1"/>
        <s v="K1047009010010" u="1"/>
        <s v="K1300001007520" u="1"/>
        <s v="K1155009010010" u="1"/>
        <s v="F2010020025020" u="1"/>
        <s v="C1221002003510" u="1"/>
        <s v="C1240001007510" u="1"/>
        <s v="K1290001000320" u="1"/>
        <s v="K1290002000310" u="1"/>
        <s v="K1302002001510" u="1"/>
        <s v="F2041010150010" u="1"/>
        <s v="F2020040580010" u="1"/>
        <s v="K1450010002510" u="1"/>
        <s v="C1221002007510" u="1"/>
        <s v="K1155008001020" u="1"/>
        <s v="K1156009025010" u="1"/>
        <s v="K1155009001010" u="1"/>
        <s v="C1200102000210" u="1"/>
        <s v="K1158008006010" u="1"/>
        <s v="K1114001006510" u="1"/>
        <s v="K1046009020020" u="1"/>
        <s v="C1160001012510" u="1"/>
        <s v="K1100008000140" u="1"/>
        <s v="K1400003012510" u="1"/>
        <s v="C1211003003510" u="1"/>
        <s v="F2062010180010" u="1"/>
        <s v="K1113002012510" u="1"/>
        <s v="K1300003001510" u="1"/>
        <s v="K1121002012510" u="1"/>
        <s v="K1155009020020" u="1"/>
        <s v="C1370001022510" u="1"/>
        <s v="K1420002002510" u="1"/>
        <s v="K1420012002510" u="1"/>
        <s v="K1114002010510" u="1"/>
        <s v="C1320003004510" u="1"/>
        <s v="F2040010350010" u="1"/>
        <s v="F2040020350010" u="1"/>
        <s v="K1155009050030" u="1"/>
        <s v="C1414003012510" u="1"/>
        <s v="K1155009010020" u="1"/>
        <s v="K1300003007510" u="1"/>
        <s v="C1221003003510" u="1"/>
        <s v="C1240002007510" u="1"/>
        <s v="K1290002000320" u="1"/>
        <s v="C1240002008510" u="1"/>
        <s v="K1047010012510" u="1"/>
        <s v="K1302003001510" u="1"/>
        <s v="K1435001012510" u="1"/>
        <s v="K1450001002510" u="1"/>
        <s v="K1241001007510" u="1"/>
        <s v="K1450011002510" u="1"/>
        <s v="C1221003007510" u="1"/>
        <s v="K1155009001020" u="1"/>
        <s v="K1436001010510" u="1"/>
        <s v="C1200103000210" u="1"/>
        <s v="C1000000000000" u="1"/>
        <s v="K1114002006510" u="1"/>
        <s v="K1434001006510" u="1"/>
        <s v="C1160002012510" u="1"/>
        <s v="K1400004012510" u="1"/>
        <s v="C1131003003510" u="1"/>
        <s v="K1155010004510" u="1"/>
        <s v="C1250001101520" u="1"/>
        <s v="K1113003012510" u="1"/>
        <s v="K1300004001510" u="1"/>
        <s v="K1121003012510" u="1"/>
        <s v="C1240002006020N" u="1"/>
        <s v="F2080010175010" u="1"/>
        <s v="C1370002022510" u="1"/>
        <s v="K1420003002510" u="1"/>
        <s v="C1270001037520" u="1"/>
        <s v="K1252001017510" u="1"/>
        <s v="C1400011072010" u="1"/>
        <s v="F2080020175010" u="1"/>
        <s v="K1420013002510" u="1"/>
        <s v="K1114003010510" u="1"/>
        <s v="K1100003004520" u="1"/>
        <s v="C1400010040021" u="1"/>
        <s v="C1320004004510" u="1"/>
        <s v="K1158010012510" u="1"/>
        <s v="C1400010020010" u="1"/>
        <s v="K1470001006511" u="1"/>
        <s v="F2050010025020" u="1"/>
        <s v="K1300003007520" u="1"/>
        <s v="K1502000090021" u="1"/>
        <s v="F2051010115010" u="1"/>
        <s v="C1240002007520" u="1"/>
        <s v="F2050020025020" u="1"/>
        <s v="F2051020115010" u="1"/>
        <s v="C1240003007510" u="1"/>
        <s v="K1480001100420" u="1"/>
        <s v="F2051030115010" u="1"/>
        <s v="C1281001004510" u="1"/>
        <s v="K1047001012510" u="1"/>
        <s v="F2062010360010" u="1"/>
        <s v="K1047011012510" u="1"/>
        <s v="K1302004001510" u="1"/>
        <s v="F2030010400010" u="1"/>
        <s v="F2050010320010" u="1"/>
        <s v="C1400010010010" u="1"/>
        <s v="K1435002012510" u="1"/>
        <s v="F2050020320010" u="1"/>
        <s v="K1155008001040" u="1"/>
        <s v="K1241002007510" u="1"/>
        <s v="K1450012002510" u="1"/>
        <s v="K1436002010510" u="1"/>
        <s v="F2020010850010" u="1"/>
        <s v="C1000000000010" u="1"/>
        <s v="F2020020850010" u="1"/>
        <s v="C1400001040010" u="1"/>
        <s v="F2020030850010" u="1"/>
        <s v="F2050010685010" u="1"/>
        <s v="C1400011040010" u="1"/>
        <s v="K1114003006510" u="1"/>
        <s v="F2050020685010" u="1"/>
        <s v="K1434002006510" u="1"/>
        <s v="K1400005012510" u="1"/>
        <s v="C1140000070022" u="1"/>
        <s v="K1254001007510" u="1"/>
        <s v="K1470001006510" u="1"/>
        <s v="K1502000090020" u="1"/>
        <s v="K1155010004520" u="1"/>
        <s v="C1390001007510" u="1"/>
        <s v="K1502000050010" u="1"/>
        <s v="C1140000045012" u="1"/>
        <s v="C1250002101520" u="1"/>
        <s v="K1157001012510" u="1"/>
        <s v="F2020010600010" u="1"/>
        <s v="K1113004012510" u="1"/>
        <s v="F2020020600010" u="1"/>
        <s v="K1121004012510" u="1"/>
        <s v="F2020030600010" u="1"/>
        <s v="F2060010200010" u="1"/>
        <s v="C1400002072010" u="1"/>
        <s v="F2060020200010" u="1"/>
        <s v="C1370003022510" u="1"/>
        <s v="K1420004002510" u="1"/>
        <s v="K1252002017510" u="1"/>
        <s v="F2060030200010" u="1"/>
        <s v="K1420014002510" u="1"/>
        <s v="K1114004010510" u="1"/>
        <s v="C1011201040010" u="1"/>
        <s v="C1284001004510" u="1"/>
        <s v="C1421001070010" u="1"/>
        <s v="C1400011040021" u="1"/>
        <s v="K1158001012510" u="1"/>
        <s v="C1320005004510" u="1"/>
        <s v="C1400001020010" u="1"/>
        <s v="K1502000015012" u="1"/>
        <s v="C1420001075010" u="1"/>
        <s v="C1400011020010" u="1"/>
        <s v="F2061010200010" u="1"/>
        <s v="K1470002006511" u="1"/>
        <s v="C1400011022022" u="1"/>
        <s v="C1400010022020" u="1"/>
        <s v="C1240004007510" u="1"/>
        <s v="C1140000030011" u="1"/>
        <s v="K1480002100420" u="1"/>
        <s v="K1502000045022" u="1"/>
        <s v="C1111000000010" u="1"/>
        <s v="C1281002004510" u="1"/>
        <s v="C1240004008510" u="1"/>
        <s v="K1047002012510" u="1"/>
        <s v="K1047012012510" u="1"/>
        <s v="K1270002001510" u="1"/>
        <s v="K1435003012510" u="1"/>
        <s v="F2070010200010" u="1"/>
        <s v="F2070020200010" u="1"/>
        <s v="K1450003002510" u="1"/>
        <s v="K1155009001040" u="1"/>
        <s v="K1241003007510" u="1"/>
        <s v="K1436003010510" u="1"/>
        <s v="C1390002007010N" u="1"/>
        <s v="C1400002040010" u="1"/>
        <s v="C1400011040020" u="1"/>
        <s v="K1500000000010" u="1"/>
        <s v="K1114004006510" u="1"/>
        <s v="K1400006012510" u="1"/>
        <s v="K1254002007510" u="1"/>
        <s v="K1470002006510" u="1"/>
        <s v="C1140000070020" u="1"/>
        <s v="C1131005003510" u="1"/>
        <s v="K1210001050010" u="1"/>
        <s v="K1506000050010" u="1"/>
        <s v="C1390002007510" u="1"/>
        <s v="C1420001070020" u="1"/>
        <s v="C1140000030010" u="1"/>
        <s v="K1502000045021" u="1"/>
        <s v="C1210001010010" u="1"/>
        <s v="C1011601005010" u="1"/>
        <s v="C1300001018010" u="1"/>
        <s v="K1157002012510" u="1"/>
        <s v="C1140000045010" u="1"/>
        <s v="C1100001005010" u="1"/>
        <s v="F2060010400010" u="1"/>
        <s v="C1200001001810" u="1"/>
        <s v="K1121005012510" u="1"/>
        <s v="C1390002009510" u="1"/>
        <s v="F2060020400010" u="1"/>
        <s v="C1240004006020N" u="1"/>
        <s v="F2060030400010" u="1"/>
        <s v="K1420005002510" u="1"/>
        <s v="C1270003037520" u="1"/>
        <s v="C1400013072010" u="1"/>
        <s v="K1420015002510" u="1"/>
        <s v="C1141001070010" u="1"/>
        <s v="K1501000003010" u="1"/>
        <s v="C1400002040021" u="1"/>
        <s v="C1284002004510" u="1"/>
        <s v="C1211001010010" u="1"/>
        <s v="C1220001020010" u="1"/>
        <s v="C1400012040021" u="1"/>
        <s v="C1140001075010" u="1"/>
        <s v="C1300002020010" u="1"/>
        <s v="C1412001020010" u="1"/>
        <s v="K1158002012510" u="1"/>
        <s v="C1011401005010" u="1"/>
        <s v="C1320006004510" u="1"/>
        <s v="C1310001000010" u="1"/>
        <s v="C1400002020010" u="1"/>
        <s v="C1411001010010" u="1"/>
        <s v="C1390002011520" u="1"/>
        <s v="C1101001005010" u="1"/>
        <s v="C1400012020010" u="1"/>
        <s v="K1502000015010" u="1"/>
        <s v="C1300001009010" u="1"/>
        <s v="K1470003006511" u="1"/>
        <s v="C1400001022020" u="1"/>
        <s v="K1049002004510" u="1"/>
        <s v="C1400011022020" u="1"/>
        <s v="C1240004007520" u="1"/>
        <s v="K1480003100420" u="1"/>
        <s v="K1501000007010" u="1"/>
        <s v="C1221001020010" u="1"/>
        <s v="C1281003004510" u="1"/>
        <s v="F2030010800010" u="1"/>
        <s v="C1220001010010" u="1"/>
        <s v="K1047003012510" u="1"/>
        <s v="K1502000045020" u="1"/>
        <s v="C1300002010010" u="1"/>
        <s v="K1047013012510" u="1"/>
        <s v="K1270003001510" u="1"/>
        <s v="C1221001035010" u="1"/>
        <s v="C1400012010010" u="1"/>
        <s v="C1210001005010" u="1"/>
        <s v="F2070020400010" u="1"/>
        <s v="K1450004002510" u="1"/>
        <s v="K1241004007510" u="1"/>
        <s v="C1170001060012" u="1"/>
        <s v="C1390002007020N" u="1"/>
        <s v="K1436004010510" u="1"/>
        <s v="C1130001020010" u="1"/>
        <s v="C1400002040020" u="1"/>
        <s v="C1210002020010" u="1"/>
        <s v="C1221001010010" u="1"/>
        <s v="C1230001020010" u="1"/>
        <s v="K1504000000010" u="1"/>
        <s v="C1400012040020" u="1"/>
        <s v="C1413001010010" u="1"/>
        <s v="C1250001075010" u="1"/>
        <s v="C1270003005520" u="1"/>
        <s v="C1400013040010" u="1"/>
        <s v="C1211001005010" u="1"/>
        <s v="K1506000090030" u="1"/>
        <s v="K1254003007510" u="1"/>
        <s v="K1470003006510" u="1"/>
        <s v="C1140001070020" u="1"/>
        <s v="C1390002007520" u="1"/>
        <s v="C1022001010010" u="1"/>
        <s v="C1390003007510" u="1"/>
        <s v="K1210001010010" u="1"/>
        <s v="C1130001010010" u="1"/>
        <s v="C1231001020010" u="1"/>
        <s v="C1210002010010" u="1"/>
        <s v="C1230001010010" u="1"/>
        <s v="K1503000008010" u="1"/>
        <s v="C1300002018010" u="1"/>
        <s v="K1157003012510" u="1"/>
        <s v="K1510001010010" u="1"/>
        <s v="C1020001005010" u="1"/>
        <s v="K1200001005010" u="1"/>
        <s v="C1100002005010" u="1"/>
        <s v="C1220001005010" u="1"/>
        <s v="C1330001025010" u="1"/>
        <s v="K1400001005010" u="1"/>
        <s v="C1390003009510" u="1"/>
        <s v="K1420006002510" u="1"/>
        <s v="K1420016002510" u="1"/>
        <s v="K1111001010010" u="1"/>
        <s v="K1506000120010" u="1"/>
        <s v="C1415002050010" u="1"/>
        <s v="K1505001030010" u="1"/>
        <s v="C1284003004510" u="1"/>
        <s v="C1131001010010" u="1"/>
        <s v="K1030010000010" u="1"/>
        <s v="C1220002020010" u="1"/>
        <s v="C1231001010010" u="1"/>
        <s v="C1400013040021" u="1"/>
        <s v="K1310001000010" u="1"/>
        <s v="K1010001015010" u="1"/>
        <s v="C1300003020010" u="1"/>
        <s v="C1412002020010" u="1"/>
        <s v="K1030020000010" u="1"/>
        <s v="K1158003012510" u="1"/>
        <s v="C1310002000010" u="1"/>
        <s v="C1400003020010" u="1"/>
        <s v="C1021001005010" u="1"/>
        <s v="C1220002035010" u="1"/>
        <s v="C1415001025010" u="1"/>
        <s v="C1400013020010" u="1"/>
        <s v="C1221001005010" u="1"/>
        <s v="C1300002009010" u="1"/>
        <s v="C1400002022020" u="1"/>
        <s v="C1400012022020" u="1"/>
        <s v="C1250001070020" u="1"/>
        <s v="K1112001010010" u="1"/>
        <s v="C1340001003011" u="1"/>
        <s v="K1410001003010" u="1"/>
        <s v="C1041001020010" u="1"/>
        <s v="C1140000010020" u="1"/>
        <s v="K1220001010010" u="1"/>
        <s v="C1100003010010" u="1"/>
        <s v="C1221002020010" u="1"/>
        <s v="C1220002010010" u="1"/>
        <s v="C1260000010010" u="1"/>
        <s v="K1047004012510" u="1"/>
        <s v="C1022001005010" u="1"/>
        <s v="C1040001025010" u="1"/>
        <s v="K1047014012510" u="1"/>
        <s v="K1270004001510" u="1"/>
        <s v="C1030001005010" u="1"/>
        <s v="C1221002035010" u="1"/>
        <s v="C1416001025010" u="1"/>
        <s v="K1210001005010" u="1"/>
        <s v="C1360010010010" u="1"/>
        <s v="C1130001005010" u="1"/>
        <s v="C1210002005010" u="1"/>
        <s v="K1010001006010" u="1"/>
        <s v="K1450005002510" u="1"/>
        <s v="K1241005007510" u="1"/>
        <s v="K1502000007020" u="1"/>
        <s v="C1120001000020" u="1"/>
        <s v="C1150001020010" u="1"/>
        <s v="C1400003040020" u="1"/>
        <s v="C1413003050010" u="1"/>
        <s v="K1330001020010" u="1"/>
        <s v="C1221002010010" u="1"/>
        <s v="C1230002020010" u="1"/>
        <s v="K1020001015010" u="1"/>
        <s v="C1350001020010" u="1"/>
        <s v="C1400013040020" u="1"/>
        <s v="C1413002010010" u="1"/>
        <s v="K1111001005010" u="1"/>
        <s v="C1161000025010" u="1"/>
        <s v="C1131001005010" u="1"/>
        <s v="C1231001005010" u="1"/>
        <s v="K1420001001010" u="1"/>
        <s v="K1270003007520" u="1"/>
        <s v="K1320001003010" u="1"/>
        <s v="K1506000045031" u="1"/>
        <s v="K1122001010010" u="1"/>
        <s v="K1434001050010" u="1"/>
        <s v="C1390004007510" u="1"/>
        <s v="C1130002010010" u="1"/>
        <s v="C1150001010010" u="1"/>
        <s v="C1411002020020" u="1"/>
        <s v="K1330001010010" u="1"/>
        <s v="K1021001015010" u="1"/>
        <s v="C1210003010010" u="1"/>
        <s v="C1230002010010" u="1"/>
        <s v="C1042001025010" u="1"/>
        <s v="K1157004012510" u="1"/>
        <s v="K1220001001810" u="1"/>
        <s v="C1020002005010" u="1"/>
        <s v="K1200002005010" u="1"/>
        <s v="C1100003005010" u="1"/>
        <s v="C1261000015010" u="1"/>
        <s v="C1220002005010" u="1"/>
        <s v="C1330002025010" u="1"/>
        <s v="K1020001006010" u="1"/>
        <s v="K1220001006010" u="1"/>
        <s v="K1100009003420" u="1"/>
        <s v="K1420007002510" u="1"/>
        <s v="C1240001006010" u="1"/>
        <s v="C1260000006010" u="1"/>
        <s v="K1101011003020" u="1"/>
        <s v="K1420017002510" u="1"/>
        <s v="K1155010050010" u="1"/>
        <s v="C1040001020020" u="1"/>
        <s v="C1261000003010" u="1"/>
        <s v="C1070001020011" u="1"/>
        <s v="K1030001000010" u="1"/>
        <s v="K1111002010010" u="1"/>
        <s v="C1415003050010" u="1"/>
        <s v="C1284004004510" u="1"/>
        <s v="C1131002010010" u="1"/>
        <s v="C1330001028020" u="1"/>
        <s v="K1030011000010" u="1"/>
        <s v="K1230001000010" u="1"/>
        <s v="C1211003010010" u="1"/>
        <s v="C1231002010010" u="1"/>
        <s v="K1310002000010" u="1"/>
        <s v="K1431001010010" u="1"/>
        <s v="C1280005004510" u="1"/>
        <s v="K1010002015010" u="1"/>
        <s v="C1300004020010" u="1"/>
        <s v="C1412003020010" u="1"/>
        <s v="K1030021000010" u="1"/>
        <s v="K1131001011010" u="1"/>
        <s v="K1158004012510" u="1"/>
        <s v="C1415001025020" u="1"/>
        <s v="C1400004020010" u="1"/>
        <s v="C1417001005010" u="1"/>
        <s v="C1221002005010" u="1"/>
        <s v="C1261000006010" u="1"/>
        <s v="K1113001007010" u="1"/>
        <s v="C1400013022020" u="1"/>
        <s v="C1250002070020" u="1"/>
        <s v="C1020001104020" u="1"/>
        <s v="K1112002010010" u="1"/>
        <s v="C1340002003011" u="1"/>
        <s v="K1410002003010" u="1"/>
        <s v="K1506000045030" u="1"/>
        <s v="C1041002020010" u="1"/>
        <s v="K1140001010010" u="1"/>
        <s v="C1221003020010" u="1"/>
        <s v="K1340001010010" u="1"/>
        <s v="C1300004010010" u="1"/>
        <s v="C1360001010010" u="1"/>
        <s v="C1040002025010" u="1"/>
        <s v="K1047015012510" u="1"/>
        <s v="C1050001005010" u="1"/>
        <s v="C1160001025010" u="1"/>
        <s v="C1221003035010" u="1"/>
        <s v="C1360011010010" u="1"/>
        <s v="C1261000009010" u="1"/>
        <s v="C1210003005010" u="1"/>
        <s v="K1010002006010" u="1"/>
        <s v="K1330001006010" u="1"/>
        <s v="K1450006002510" u="1"/>
        <s v="C1417001050030" u="1"/>
        <s v="C1011301007510" u="1"/>
        <s v="C1120000000040" u="1"/>
        <s v="K1241006007510" u="1"/>
        <s v="C1270001060020" u="1"/>
        <s v="C1071001010011" u="1"/>
        <s v="C1070001020010" u="1"/>
        <s v="K1100001000110" u="1"/>
        <s v="C1060001000010" u="1"/>
        <s v="C1130003020010" u="1"/>
        <s v="C1150002020010" u="1"/>
        <s v="C1170001020010" u="1"/>
        <s v="K1330002020010" u="1"/>
        <s v="K1350001020010" u="1"/>
        <s v="K1361000010010" u="1"/>
        <s v="K1370000020010" u="1"/>
        <s v="K1041001025010" u="1"/>
        <s v="C1221003010010" u="1"/>
        <s v="C1230003020010" u="1"/>
        <s v="C1270001020010" u="1"/>
        <s v="K1020002015010" u="1"/>
        <s v="K1505001025020" u="1"/>
        <s v="C1350002020010" u="1"/>
        <s v="C1413003010010" u="1"/>
        <s v="K1141001011010" u="1"/>
        <s v="K1111002005010" u="1"/>
        <s v="C1051001005010" u="1"/>
        <s v="C1417002025010" u="1"/>
        <s v="K1505002025010" u="1"/>
        <s v="C1131002005010" u="1"/>
        <s v="C1211003005010" u="1"/>
        <s v="C1231002005010" u="1"/>
        <s v="K1505002012010" u="1"/>
        <s v="K1438001050010" u="1"/>
        <s v="C1390004007520" u="1"/>
        <s v="K1041001028010" u="1"/>
        <s v="K1042001010010" u="1"/>
        <s v="K1320002003010" u="1"/>
        <s v="K1122002010010" u="1"/>
        <s v="K1155010020010" u="1"/>
        <s v="K1434002050010" u="1"/>
        <s v="C1042001104010" u="1"/>
        <s v="K1440001003010" u="1"/>
        <s v="K1242001010010" u="1"/>
        <s v="C1070001010010" u="1"/>
        <s v="C1130003010010" u="1"/>
        <s v="C1170001010010" u="1"/>
        <s v="C1220004010011" u="1"/>
        <s v="C1411003020020" u="1"/>
        <s v="K1101011000110" u="1"/>
        <s v="K1330002010010" u="1"/>
        <s v="K1350001010010" u="1"/>
        <s v="C1230003010010" u="1"/>
        <s v="C1042002025010" u="1"/>
        <s v="K1157005012510" u="1"/>
        <s v="K1241001015010" u="1"/>
        <s v="C1020003005010" u="1"/>
        <s v="K1200003005010" u="1"/>
        <s v="K1433001015010" u="1"/>
        <s v="C1100004005010" u="1"/>
        <s v="K1020002006010" u="1"/>
        <s v="K1400003005010" u="1"/>
        <s v="C1160001006010" u="1"/>
        <s v="K1420008002510" u="1"/>
        <s v="C1240002006010" u="1"/>
        <s v="K1155010050020" u="1"/>
        <s v="K1101012003020" u="1"/>
        <s v="C1070001040020" u="1"/>
        <s v="K1043001010010" u="1"/>
        <s v="C1170001040020" u="1"/>
        <s v="K1051001010010" u="1"/>
        <s v="K1152001020010" u="1"/>
        <s v="C1070002020011" u="1"/>
        <s v="C1070002040010" u="1"/>
        <s v="K1030002000010" u="1"/>
        <s v="K1111003010010" u="1"/>
        <s v="K1155010010010" u="1"/>
        <s v="C1071001010010" u="1"/>
        <s v="C1415004050010" u="1"/>
        <s v="C1131003010010" u="1"/>
        <s v="C1171001010010" u="1"/>
        <s v="C1272001020010" u="1"/>
        <s v="C1330002028020" u="1"/>
        <s v="K1030012000010" u="1"/>
        <s v="K1351001010010" u="1"/>
        <s v="C1220004020010" u="1"/>
        <s v="C1231003010010" u="1"/>
        <s v="C1271001010010" u="1"/>
        <s v="K1431002010010" u="1"/>
        <s v="K1010003015010" u="1"/>
        <s v="C1412004020010" u="1"/>
        <s v="K1030022000010" u="1"/>
        <s v="K1131002011010" u="1"/>
        <s v="C1400005020010" u="1"/>
        <s v="C1411004010010" u="1"/>
        <s v="C1220004035010" u="1"/>
        <s v="C1221003005010" u="1"/>
        <s v="C1261000006020" u="1"/>
        <s v="K1113002007010" u="1"/>
        <s v="C1250003070020" u="1"/>
        <s v="K1041002020010" u="1"/>
        <s v="C1041003020010" u="1"/>
        <s v="C1070002010011" u="1"/>
        <s v="C1070002030010" u="1"/>
        <s v="K1432001010020" u="1"/>
        <s v="K1044001025010" u="1"/>
        <s v="C1080001010010" u="1"/>
        <s v="K1260001010010" u="1"/>
        <s v="K1480001050010" u="1"/>
        <s v="C1180001010010" u="1"/>
        <s v="K1340002010010" u="1"/>
        <s v="K1360001010010" u="1"/>
        <s v="C1281006004510" u="1"/>
        <s v="K1156010025010" u="1"/>
        <s v="C1220004010010" u="1"/>
        <s v="K1060001011010" u="1"/>
        <s v="C1360002010010" u="1"/>
        <s v="K1155010001010" u="1"/>
        <s v="C1040003025010" u="1"/>
        <s v="K1242001005010" u="1"/>
        <s v="K1251001015010" u="1"/>
        <s v="C1050002005010" u="1"/>
        <s v="C1160002025010" u="1"/>
        <s v="C1130003005010" u="1"/>
        <s v="K1370000005010" u="1"/>
        <s v="K1010003006010" u="1"/>
        <s v="K1330002006010" u="1"/>
        <s v="K1450007002510" u="1"/>
        <s v="K1046001020010" u="1"/>
        <s v="C1270003060022" u="1"/>
        <s v="K1241007007510" u="1"/>
        <s v="C1120002000030" u="1"/>
        <s v="K1070001020010" u="1"/>
        <s v="K1253001010010" u="1"/>
        <s v="C1070002020010" u="1"/>
        <s v="C1120003000020" u="1"/>
        <s v="K1100002000110" u="1"/>
        <s v="C1130004020010" u="1"/>
        <s v="C1150003020010" u="1"/>
        <s v="C1400005040020" u="1"/>
        <s v="K1330003020010" u="1"/>
        <s v="K1350002020010" u="1"/>
        <s v="K1370001020010" u="1"/>
        <s v="C1221004010010" u="1"/>
        <s v="C1230004020010" u="1"/>
        <s v="C1270002020010" u="1"/>
        <s v="C1417002025020" u="1"/>
        <s v="C1350003020010" u="1"/>
        <s v="C1360004010710" u="1"/>
        <s v="C1413004010010" u="1"/>
        <s v="K1141002011010" u="1"/>
        <s v="K1111003005010" u="1"/>
        <s v="K1151001005010" u="1"/>
        <s v="C1330003035020" u="1"/>
        <s v="C1131003005010" u="1"/>
        <s v="K1470001015011" u="1"/>
        <s v="K1370000009010" u="1"/>
        <s v="A1092001046010" u="1"/>
        <s v="K1046001010010" u="1"/>
        <s v="K1155001020010" u="1"/>
        <s v="K1155010020020" u="1"/>
        <s v="K1438002050010" u="1"/>
        <s v="K1155006004510" u="1"/>
        <s v="C1390005007520" u="1"/>
        <s v="K1041002028010" u="1"/>
        <s v="K1320003003010" u="1"/>
        <s v="K1155011020010" u="1"/>
        <s v="K1161001028010" u="1"/>
        <s v="K1162001010010" u="1"/>
        <s v="K1434003050010" u="1"/>
        <s v="K1440002003010" u="1"/>
        <s v="K1242002010010" u="1"/>
        <s v="K1021002015020" u="1"/>
        <s v="K1045001015010" u="1"/>
        <s v="C1090001010010" u="1"/>
        <s v="C1270203040010" u="1"/>
        <s v="C1130004010010" u="1"/>
        <s v="C1150003010010" u="1"/>
        <s v="C1190001010010" u="1"/>
        <s v="C1411004020020" u="1"/>
        <s v="K1101012000110" u="1"/>
        <s v="K1330003010010" u="1"/>
        <s v="K1350002010010" u="1"/>
        <s v="C1230004010010" u="1"/>
        <s v="C1290001010010" u="1"/>
        <s v="C1300005018010" u="1"/>
        <s v="K1157006012510" u="1"/>
        <s v="C1380001004010" u="1"/>
        <s v="K1241002015010" u="1"/>
        <s v="C1020004005010" u="1"/>
        <s v="C1370001025020" u="1"/>
        <s v="K1433002015010" u="1"/>
        <s v="C1180001005010" u="1"/>
        <s v="C1281001001010" u="1"/>
        <s v="C1220004005010" u="1"/>
        <s v="C1280001005010" u="1"/>
        <s v="C1330004025010" u="1"/>
        <s v="K1400004005010" u="1"/>
        <s v="C1240002006020" u="1"/>
        <s v="K1155010050030" u="1"/>
        <s v="C1160002006010" u="1"/>
        <s v="K1420009002510" u="1"/>
        <s v="K1155002050010" u="1"/>
        <s v="C1415003050030" u="1"/>
        <s v="K1152001020020" u="1"/>
        <s v="C1070002040020" u="1"/>
        <s v="K1155010010020" u="1"/>
        <s v="C1040003020020" u="1"/>
        <s v="K1051002010010" u="1"/>
        <s v="K1152002020010" u="1"/>
        <s v="K1163001010010" u="1"/>
        <s v="C1270002040020" u="1"/>
        <s v="K1030003000010" u="1"/>
        <s v="K1111004010010" u="1"/>
        <s v="C1131004010010" u="1"/>
        <s v="C1270003020011" u="1"/>
        <s v="C1270003040010" u="1"/>
        <s v="C1272002020010" u="1"/>
        <s v="K1030013000010" u="1"/>
        <s v="K1351002010010" u="1"/>
        <s v="K1380001020010" u="1"/>
        <s v="K1154001015010" u="1"/>
        <s v="C1231004010010" u="1"/>
        <s v="K1431003010010" u="1"/>
        <s v="K1153001005010" u="1"/>
        <s v="K1030023000010" u="1"/>
        <s v="K1131003011010" u="1"/>
        <s v="K1158006012510" u="1"/>
        <s v="K1506000002040" u="1"/>
        <s v="K1045001006010" u="1"/>
        <s v="K1270001001010" u="1"/>
        <s v="C1417003005010" u="1"/>
        <s v="K1470001015010" u="1"/>
        <s v="K1450002001010" u="1"/>
        <s v="C1300005009010" u="1"/>
        <s v="C1282001002010" u="1"/>
        <s v="K1113003007010" u="1"/>
        <s v="K1041002020020" u="1"/>
        <s v="K1170001003010" u="1"/>
        <s v="K1161002020010" u="1"/>
        <s v="K1410004003010" u="1"/>
        <s v="K1432002010020" u="1"/>
        <s v="K1044002025010" u="1"/>
        <s v="K1156001025010" u="1"/>
        <s v="C1080002010010" u="1"/>
        <s v="K1280001010010" u="1"/>
        <s v="K1381001020010" u="1"/>
        <s v="K1480002050010" u="1"/>
        <s v="C1100006010010" u="1"/>
        <s v="C1270003030010" u="1"/>
        <s v="K1155010001020" u="1"/>
        <s v="K1340003010010" u="1"/>
        <s v="C1360003010010" u="1"/>
        <s v="C1040004025010" u="1"/>
        <s v="K1242002005010" u="1"/>
        <s v="K1251002015010" u="1"/>
        <s v="C1090001005010" u="1"/>
        <s v="K1490001025011" u="1"/>
        <s v="C1130004005010" u="1"/>
        <s v="K1370001005010" u="1"/>
        <s v="K1046001020020" u="1"/>
        <s v="K1330003006010" u="1"/>
        <s v="K1450008002510" u="1"/>
        <s v="K1046002020010" u="1"/>
        <s v="K1070001020020" u="1"/>
        <s v="C1270003040021" u="1"/>
        <s v="K1070002020010" u="1"/>
        <s v="C1413005050020" u="1"/>
        <s v="K1253002010010" u="1"/>
        <s v="C1120004000020" u="1"/>
        <s v="C1271003010011" u="1"/>
        <s v="K1330004020010" u="1"/>
        <s v="K1390001020010" u="1"/>
        <s v="C1270003020010" u="1"/>
        <s v="K1161002025010" u="1"/>
        <s v="K1255001005010" u="1"/>
        <s v="C1350004020010" u="1"/>
        <s v="C1413005010010" u="1"/>
        <s v="K1141003011010" u="1"/>
        <s v="K1047001006010" u="1"/>
        <s v="K1111004005010" u="1"/>
        <s v="C1417004025010" u="1"/>
        <s v="C1131004005010" u="1"/>
        <s v="C1283001005010" u="1"/>
        <s v="K1470002015011" u="1"/>
        <s v="K1370001009010" u="1"/>
        <s v="C1280002001010" u="1"/>
        <s v="K1046001010020" u="1"/>
        <s v="K1155001020020" u="1"/>
        <s v="K1155006004520" u="1"/>
        <s v="K1046002010010" u="1"/>
        <s v="K1180001003010" u="1"/>
        <s v="K1155011020020" u="1"/>
        <s v="K1162001010020" u="1"/>
        <s v="K1438003050010" u="1"/>
        <s v="K1090001010010" u="1"/>
        <s v="K1155012020010" u="1"/>
        <s v="K1242003010010" u="1"/>
        <s v="K1045002015010" u="1"/>
        <s v="C1090002010010" u="1"/>
        <s v="C1150004010010" u="1"/>
        <s v="C1190002010010" u="1"/>
        <s v="K1330004010010" u="1"/>
        <s v="K1256001005010" u="1"/>
        <s v="C1270003010010" u="1"/>
        <s v="C1290002010010" u="1"/>
        <s v="K1190001005011" u="1"/>
        <s v="C1350004010010" u="1"/>
        <s v="C1390002010010" u="1"/>
        <s v="K1157007012510" u="1"/>
        <s v="C1100005005020" u="1"/>
        <s v="C1380002004010" u="1"/>
        <s v="K1241003015010" u="1"/>
        <s v="C1080002005010" u="1"/>
        <s v="C1370002025020" u="1"/>
        <s v="C1100006005010" u="1"/>
        <s v="K1490001025010" u="1"/>
        <s v="C1280002005010" u="1"/>
        <s v="C1330005025010" u="1"/>
        <s v="K1155002050020" u="1"/>
        <s v="K1280001006010" u="1"/>
        <s v="K1380001006010" u="1"/>
        <s v="C1240004006010" u="1"/>
        <s v="K1152002020020" u="1"/>
        <s v="K1155002010010" u="1"/>
        <s v="C1040004020020" u="1"/>
        <s v="K1051003010010" u="1"/>
        <s v="K1049001005010" u="1"/>
        <s v="K1030004000010" u="1"/>
        <s v="K1111005010010" u="1"/>
        <s v="K1155012010010" u="1"/>
        <s v="K1437002018010" u="1"/>
        <s v="C1350004040020" u="1"/>
        <s v="K1030014000010" u="1"/>
        <s v="K1380002020010" u="1"/>
        <s v="K1154002015010" u="1"/>
        <s v="K1081001001810" u="1"/>
        <s v="K1153002005010" u="1"/>
        <s v="K1131004011010" u="1"/>
        <s v="C1400007020010" u="1"/>
        <s v="K1045002006010" u="1"/>
        <s v="K1157001006010" u="1"/>
        <s v="K1082001002010" u="1"/>
        <s v="K1380001009010" u="1"/>
        <s v="K1470002015010" u="1"/>
        <s v="K1381001006010" u="1"/>
        <s v="C1282002002010" u="1"/>
        <s v="K1113004007010" u="1"/>
        <s v="K1170002003010" u="1"/>
        <s v="K1161002020020" u="1"/>
        <s v="K1044002025020" u="1"/>
        <s v="K1410005003010" u="1"/>
        <s v="K1155010001030" u="1"/>
        <s v="K1156002025010" u="1"/>
        <s v="C1080003010010" u="1"/>
        <s v="K1280002010010" u="1"/>
        <s v="K1381002020010" u="1"/>
        <s v="K1480003050010" u="1"/>
        <s v="K1070001005020" u="1"/>
        <s v="K1340004010010" u="1"/>
        <s v="C1040005025010" u="1"/>
        <s v="K1190001005010" u="1"/>
        <s v="K1242003005010" u="1"/>
        <s v="K1251003015010" u="1"/>
        <s v="C1090002005010" u="1"/>
        <s v="K1381001009010" u="1"/>
        <s v="K1390001005010" u="1"/>
        <s v="C1270003005010" u="1"/>
        <s v="K1046002020020" u="1"/>
        <s v="K1490002032010" u="1"/>
        <s v="K1100001000140" u="1"/>
        <s v="K1330004006010" u="1"/>
        <s v="K1450009002510" u="1"/>
        <s v="K1046003020010" u="1"/>
        <s v="K1070002020020" u="1"/>
        <s v="K1480001040030" u="1"/>
        <s v="K1253003010010" u="1"/>
        <s v="C1120005000020" u="1"/>
        <s v="C1270003020020" u="1"/>
        <s v="C1390002007010" u="1"/>
        <s v="K1100004000110" u="1"/>
        <s v="K1161002025020" u="1"/>
        <s v="K1330005020010" u="1"/>
        <s v="C1120006000010" u="1"/>
        <s v="C1270004020010" u="1"/>
        <s v="C1330004035030" u="1"/>
        <s v="K1255002005010" u="1"/>
        <s v="C1350005020010" u="1"/>
        <s v="K1460001000110" u="1"/>
        <s v="K1047002006010" u="1"/>
        <s v="K1111005005010" u="1"/>
        <s v="K1081001012020" u="1"/>
        <s v="C1417005025010" u="1"/>
        <s v="K1470003015011" u="1"/>
        <s v="K1390001009010" u="1"/>
        <s v="C1280003001010" u="1"/>
        <s v="K1046002010020" u="1"/>
        <s v="K1155002020020" u="1"/>
        <s v="K1046003010010" u="1"/>
        <s v="K1180002003010" u="1"/>
        <s v="K1155003020010" u="1"/>
        <s v="K1155012020020" u="1"/>
      </sharedItems>
    </cacheField>
    <cacheField name="LEN 15" numFmtId="0">
      <sharedItems containsSemiMixedTypes="0" containsString="0" containsNumber="1" containsInteger="1" minValue="14" maxValue="15"/>
    </cacheField>
    <cacheField name="Nama Win" numFmtId="0">
      <sharedItems/>
    </cacheField>
    <cacheField name="LEN 50" numFmtId="0">
      <sharedItems containsSemiMixedTypes="0" containsString="0" containsNumber="1" containsInteger="1" minValue="24" maxValue="51"/>
    </cacheField>
    <cacheField name="Nama Pcpl                   " numFmtId="0">
      <sharedItems/>
    </cacheField>
    <cacheField name="kode  2 Digit                (hrf+No)" numFmtId="0">
      <sharedItems/>
    </cacheField>
    <cacheField name="Nama            KLP" numFmtId="0">
      <sharedItems/>
    </cacheField>
    <cacheField name="kode  2 Digit                (Nomor)" numFmtId="49">
      <sharedItems containsMixedTypes="1" containsNumber="1" containsInteger="1" minValue="10" maxValue="13"/>
    </cacheField>
    <cacheField name="Nama            Sub KLP" numFmtId="0">
      <sharedItems containsBlank="1"/>
    </cacheField>
    <cacheField name="kode  1 Digit                (Nomor)" numFmtId="0">
      <sharedItems containsMixedTypes="1" containsNumber="1" containsInteger="1" minValue="0" maxValue="4"/>
    </cacheField>
    <cacheField name="Nama            Sub KLP2" numFmtId="0">
      <sharedItems containsBlank="1"/>
    </cacheField>
    <cacheField name="kode  1 Digit                (Nomor)5" numFmtId="49">
      <sharedItems containsMixedTypes="1" containsNumber="1" containsInteger="1" minValue="0" maxValue="1"/>
    </cacheField>
    <cacheField name="Nama            Aroma/             Rasa" numFmtId="0">
      <sharedItems containsBlank="1"/>
    </cacheField>
    <cacheField name="kode  2 Digit                (Nomor)2" numFmtId="49">
      <sharedItems containsMixedTypes="1" containsNumber="1" containsInteger="1" minValue="10" maxValue="13"/>
    </cacheField>
    <cacheField name="Nama            Gramasi atau Jumlah Pack per CTN" numFmtId="0">
      <sharedItems containsBlank="1"/>
    </cacheField>
    <cacheField name="kode  4 Digit                (Nomor)" numFmtId="49">
      <sharedItems containsMixedTypes="1" containsNumber="1" containsInteger="1" minValue="1001" maxValue="1025"/>
    </cacheField>
    <cacheField name="Nama Jenis Kemasan" numFmtId="0">
      <sharedItems/>
    </cacheField>
    <cacheField name="kode  1 Digit                (Nomor)3" numFmtId="0">
      <sharedItems containsMixedTypes="1" containsNumber="1" containsInteger="1" minValue="1" maxValue="2"/>
    </cacheField>
    <cacheField name="Nama            Promo" numFmtId="0">
      <sharedItems containsBlank="1"/>
    </cacheField>
    <cacheField name="kode  1 Digit                (Nomor)4" numFmtId="0">
      <sharedItems containsMixedTypes="1" containsNumber="1" containsInteger="1" minValue="0" maxValue="3"/>
    </cacheField>
    <cacheField name="Gunakan ini apabila item tersebut sachet" numFmtId="0">
      <sharedItems containsBlank="1"/>
    </cacheField>
    <cacheField name="kode  1 Digit                (Nomor)32" numFmtId="0">
      <sharedItems containsNonDate="0" containsString="0" containsBlank="1"/>
    </cacheField>
    <cacheField name="KET TAMBAHAN2" numFmtId="0">
      <sharedItems containsNonDate="0" containsString="0" containsBlank="1"/>
    </cacheField>
    <cacheField name="KET. GOLONGAN" numFmtId="0">
      <sharedItems containsBlank="1"/>
    </cacheField>
    <cacheField name="kode  1 Digit_x000a_(Nomor)" numFmtId="0">
      <sharedItems containsString="0" containsBlank="1" containsNumber="1" containsInteger="1" minValue="1" maxValue="3"/>
    </cacheField>
    <cacheField name="Tanda Kode Revisi" numFmtId="0">
      <sharedItems containsNonDate="0" containsString="0" containsBlank="1"/>
    </cacheField>
    <cacheField name="Harga Beli Pcs_x000a_(-PPN)" numFmtId="164">
      <sharedItems containsSemiMixedTypes="0" containsString="0" containsNumber="1" minValue="0" maxValue="478163.5992"/>
    </cacheField>
    <cacheField name="Harga Beli Krt_x000a_(- PPN)" numFmtId="164">
      <sharedItems containsSemiMixedTypes="0" containsString="0" containsNumber="1" minValue="0" maxValue="1031630.1837837838"/>
    </cacheField>
    <cacheField name="Harga Beli Pcs_x000a_(+PPN)" numFmtId="164">
      <sharedItems containsSemiMixedTypes="0" containsString="0" containsNumber="1" minValue="0" maxValue="530761.59511200001"/>
    </cacheField>
    <cacheField name="Harga Beli Krt_x000a_(+PPN)" numFmtId="164">
      <sharedItems containsSemiMixedTypes="0" containsString="0" containsNumber="1" minValue="0" maxValue="1145109.5040000002"/>
    </cacheField>
    <cacheField name="Harga Jual Pcs GT_x000a_(-PPN)" numFmtId="0">
      <sharedItems containsString="0" containsBlank="1" containsNumber="1" minValue="0" maxValue="508684.68"/>
    </cacheField>
    <cacheField name="Harga Jual Krt GT_x000a_(- PPN)" numFmtId="164">
      <sharedItems containsSemiMixedTypes="0" containsString="0" containsNumber="1" minValue="0" maxValue="1097478.9189189188"/>
    </cacheField>
    <cacheField name="Harga Jual Pcs GT_x000a_(+PPN" numFmtId="164">
      <sharedItems containsSemiMixedTypes="0" containsString="0" containsNumber="1" minValue="0" maxValue="564639.99479999999"/>
    </cacheField>
    <cacheField name="Harga Jual Krt GT_x000a_(+PPN)" numFmtId="164">
      <sharedItems containsSemiMixedTypes="0" containsString="0" containsNumber="1" minValue="0" maxValue="1218201.6000000001"/>
    </cacheField>
    <cacheField name="Harga Jual Pcs MT_x000a_(-PPN)" numFmtId="0">
      <sharedItems containsString="0" containsBlank="1" containsNumber="1" minValue="0" maxValue="549379.44999999995"/>
    </cacheField>
    <cacheField name="Harga Jual Krt MT_x000a_(- PPN)" numFmtId="164">
      <sharedItems containsSemiMixedTypes="0" containsString="0" containsNumber="1" minValue="0" maxValue="3487135.1999999997"/>
    </cacheField>
    <cacheField name="Harga Jual Pcs MT_x000a_(+PPN)" numFmtId="164">
      <sharedItems containsSemiMixedTypes="0" containsString="0" containsNumber="1" minValue="0" maxValue="609811.18949999998"/>
    </cacheField>
    <cacheField name="Harga Jual Krt MT_x000a_(+PPN)" numFmtId="164">
      <sharedItems containsSemiMixedTypes="0" containsString="0" containsNumber="1" minValue="0" maxValue="3870720.0719999997"/>
    </cacheField>
    <cacheField name="MARGIN" numFmtId="164">
      <sharedItems containsNonDate="0" containsString="0" containsBlank="1"/>
    </cacheField>
    <cacheField name="Efektif_x000a_Pembuatan" numFmtId="14">
      <sharedItems containsDate="1" containsBlank="1" containsMixedTypes="1" minDate="2024-07-02T00:00:00" maxDate="2026-05-21T00:00:00"/>
    </cacheField>
    <cacheField name="Efektif Naik Harga" numFmtId="0">
      <sharedItems containsNonDate="0" containsDate="1" containsString="0" containsBlank="1" minDate="2024-09-18T00:00:00" maxDate="2026-01-06T00:00:00"/>
    </cacheField>
    <cacheField name="Status_x000a_Pembuatan" numFmtId="0">
      <sharedItems/>
    </cacheField>
    <cacheField name="Status_x000a_Harga" numFmtId="0">
      <sharedItems/>
    </cacheField>
    <cacheField name="Status Barang" numFmtId="0">
      <sharedItems containsBlank="1"/>
    </cacheField>
    <cacheField name="Mata Uang" numFmtId="0">
      <sharedItems/>
    </cacheField>
    <cacheField name="Kode_x000a_Golongan" numFmtId="0">
      <sharedItems/>
    </cacheField>
    <cacheField name="Nama Golongan" numFmtId="0">
      <sharedItems containsMixedTypes="1" containsNumber="1" containsInteger="1" minValue="0" maxValue="0"/>
    </cacheField>
    <cacheField name="Kode PCPL To Win" numFmtId="0">
      <sharedItems containsBlank="1"/>
    </cacheField>
    <cacheField name="Kode Jenis Produk" numFmtId="0">
      <sharedItems containsBlank="1"/>
    </cacheField>
    <cacheField name="SAT BSR" numFmtId="0">
      <sharedItems/>
    </cacheField>
    <cacheField name="GD" numFmtId="0">
      <sharedItems/>
    </cacheField>
    <cacheField name="Kode PRK" numFmtId="0">
      <sharedItems containsSemiMixedTypes="0" containsString="0" containsNumber="1" containsInteger="1" minValue="11611" maxValue="11611"/>
    </cacheField>
    <cacheField name="Kode PRK SJ" numFmtId="0">
      <sharedItems containsSemiMixedTypes="0" containsString="0" containsNumber="1" containsInteger="1" minValue="11612" maxValue="11612"/>
    </cacheField>
    <cacheField name="Kode Job" numFmtId="0">
      <sharedItems containsBlank="1" containsMixedTypes="1" containsNumber="1" containsInteger="1" minValue="123" maxValue="123"/>
    </cacheField>
    <cacheField name="Approval" numFmtId="0">
      <sharedItems containsSemiMixedTypes="0" containsString="0" containsNumber="1" containsInteger="1" minValue="1" maxValue="1"/>
    </cacheField>
    <cacheField name="Nama Principle" numFmtId="0">
      <sharedItems containsBlank="1"/>
    </cacheField>
    <cacheField name="HARGA NAIK GT" numFmtId="0">
      <sharedItems containsSemiMixedTypes="0" containsString="0" containsNumber="1" containsInteger="1" minValue="0" maxValue="0"/>
    </cacheField>
    <cacheField name="CEK" numFmtId="164">
      <sharedItems containsSemiMixedTypes="0" containsString="0" containsNumber="1" minValue="0" maxValue="508684.68"/>
    </cacheField>
    <cacheField name="FIX HARGA" numFmtId="0">
      <sharedItems containsSemiMixedTypes="0" containsString="0" containsNumber="1" minValue="0" maxValue="508684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s v="A10110000062101"/>
    <n v="1"/>
    <n v="1"/>
    <x v="0"/>
    <s v="RASA MANTAP SOY"/>
    <s v="ABC KCP MNS PCH 48X75G 2208"/>
    <x v="0"/>
    <x v="0"/>
    <x v="0"/>
    <s v="KECAP MANIS"/>
    <s v="A1011"/>
    <x v="0"/>
    <n v="14"/>
    <s v="ABC KECAP MANIS 62 GR X 48 PCH"/>
    <n v="30"/>
    <s v="ABC"/>
    <s v="A1"/>
    <s v="KECAP"/>
    <s v="01"/>
    <s v="MANIS"/>
    <n v="1"/>
    <m/>
    <s v="0"/>
    <m/>
    <s v="00"/>
    <s v="62 GR"/>
    <s v="0062"/>
    <s v="PCH"/>
    <s v="1"/>
    <m/>
    <s v="0"/>
    <m/>
    <m/>
    <m/>
    <s v="GRAM"/>
    <n v="1"/>
    <m/>
    <n v="1354.9536000000001"/>
    <n v="65037.772800000006"/>
    <n v="1503.9984960000002"/>
    <n v="72191.927808000008"/>
    <n v="1441.44"/>
    <n v="69189.119999999995"/>
    <n v="1599.9984000000002"/>
    <n v="76799.923200000005"/>
    <n v="1556.76"/>
    <n v="74724.479999999996"/>
    <n v="1728.0036000000002"/>
    <n v="82944.172800000015"/>
    <m/>
    <d v="2024-09-18T00:00:00"/>
    <d v="2024-09-18T00:00:00"/>
    <s v="Lama"/>
    <s v="Sama"/>
    <s v="Aktif"/>
    <s v="IDR"/>
    <s v="10062"/>
    <s v="62 GR"/>
    <s v="S-HNZ"/>
    <s v="48HEINZ"/>
    <s v="KRT"/>
    <s v="GD01"/>
    <n v="11611"/>
    <n v="11612"/>
    <s v="0123"/>
    <n v="1"/>
    <s v="PT. HEINZ ABC INDONESIA"/>
    <n v="0"/>
    <n v="1441.44"/>
    <n v="1441.44"/>
  </r>
  <r>
    <s v="A10110000062102"/>
    <n v="2"/>
    <n v="2"/>
    <x v="1"/>
    <s v="RASA MANTAP SOY"/>
    <s v="ABC KCP MNS PCH 48X62G 2311"/>
    <x v="0"/>
    <x v="1"/>
    <x v="0"/>
    <s v="KECAP MANIS"/>
    <s v="A1011"/>
    <x v="0"/>
    <n v="14"/>
    <s v="ABC KECAP MANIS 62 GR X 48 PCH"/>
    <n v="30"/>
    <s v="ABC"/>
    <s v="A1"/>
    <s v="KECAP"/>
    <s v="01"/>
    <s v="MANIS"/>
    <n v="1"/>
    <m/>
    <s v="0"/>
    <m/>
    <s v="00"/>
    <s v="62 GR"/>
    <s v="0062"/>
    <s v="PCH"/>
    <s v="1"/>
    <m/>
    <s v="0"/>
    <m/>
    <m/>
    <m/>
    <s v="GRAM"/>
    <n v="1"/>
    <m/>
    <n v="1354.9536000000001"/>
    <n v="65037.772800000006"/>
    <n v="1503.9984960000002"/>
    <n v="72191.927808000008"/>
    <n v="1441.44"/>
    <n v="69189.119999999995"/>
    <n v="1599.9984000000002"/>
    <n v="76799.923200000005"/>
    <n v="1556.76"/>
    <n v="74724.479999999996"/>
    <n v="1728.0036000000002"/>
    <n v="82944.172800000015"/>
    <m/>
    <d v="2024-09-18T00:00:00"/>
    <d v="2024-09-18T00:00:00"/>
    <s v="Lama"/>
    <s v="Sama"/>
    <s v="Aktif"/>
    <s v="IDR"/>
    <s v="10062"/>
    <s v="62 GR"/>
    <s v="S-HNZ"/>
    <s v="48HEINZ"/>
    <s v="KRT"/>
    <s v="GD01"/>
    <n v="11611"/>
    <n v="11612"/>
    <s v="0123"/>
    <n v="1"/>
    <s v="PT. HEINZ ABC INDONESIA"/>
    <n v="0"/>
    <n v="1441.44"/>
    <n v="1441.44"/>
  </r>
  <r>
    <s v="A10110000062103"/>
    <n v="3"/>
    <n v="3"/>
    <x v="2"/>
    <s v="RASA MANTAP SOY"/>
    <s v="ABC KCP MNS PCH 48X62G"/>
    <x v="0"/>
    <x v="2"/>
    <x v="0"/>
    <s v="KECAP MANIS"/>
    <s v="A1011"/>
    <x v="0"/>
    <n v="14"/>
    <s v="ABC KECAP MANIS 62 GR X 48 PCH"/>
    <n v="30"/>
    <s v="ABC"/>
    <s v="A1"/>
    <s v="KECAP"/>
    <s v="01"/>
    <s v="MANIS"/>
    <n v="1"/>
    <m/>
    <s v="0"/>
    <m/>
    <s v="00"/>
    <s v="62 GR"/>
    <s v="0062"/>
    <s v="PCH"/>
    <s v="1"/>
    <m/>
    <s v="0"/>
    <m/>
    <m/>
    <m/>
    <s v="GRAM"/>
    <n v="1"/>
    <m/>
    <n v="1354.9536000000001"/>
    <n v="65037.772800000006"/>
    <n v="1503.9984960000002"/>
    <n v="72191.927808000008"/>
    <n v="1441.44"/>
    <n v="69189.119999999995"/>
    <n v="1599.9984000000002"/>
    <n v="76799.923200000005"/>
    <n v="1556.76"/>
    <n v="74724.479999999996"/>
    <n v="1728.0036000000002"/>
    <n v="82944.172800000015"/>
    <m/>
    <d v="2024-11-06T00:00:00"/>
    <d v="2024-09-18T00:00:00"/>
    <s v="Lama"/>
    <s v="Sama"/>
    <s v="Aktif"/>
    <s v="IDR"/>
    <s v="10062"/>
    <s v="62 GR"/>
    <s v="S-HNZ"/>
    <s v="48HEINZ"/>
    <s v="KRT"/>
    <s v="GD01"/>
    <n v="11611"/>
    <n v="11612"/>
    <s v="0123"/>
    <n v="1"/>
    <s v="PT. HEINZ ABC INDONESIA"/>
    <n v="0"/>
    <n v="1441.44"/>
    <n v="1441.44"/>
  </r>
  <r>
    <s v="A10110000062111"/>
    <n v="1"/>
    <n v="4"/>
    <x v="3"/>
    <s v="RASA MANTAP SOY"/>
    <s v="ABC KCPMNS PCH 48X62G B5G12311"/>
    <x v="0"/>
    <x v="3"/>
    <x v="0"/>
    <s v="KECAP MANIS"/>
    <s v="A1011"/>
    <x v="1"/>
    <n v="14"/>
    <s v="ABC KECAP MANIS 62 GR X 48 PCH B5G1"/>
    <n v="35"/>
    <s v="ABC"/>
    <s v="A1"/>
    <s v="KECAP"/>
    <s v="01"/>
    <s v="MANIS"/>
    <n v="1"/>
    <m/>
    <s v="0"/>
    <m/>
    <s v="00"/>
    <s v="62 GR"/>
    <s v="0062"/>
    <s v="PCH"/>
    <s v="1"/>
    <s v="B5G1"/>
    <n v="1"/>
    <m/>
    <m/>
    <m/>
    <s v="GRAM"/>
    <n v="1"/>
    <m/>
    <n v="1129.1280000000002"/>
    <n v="54198.144000000008"/>
    <n v="1253.3320800000004"/>
    <n v="60159.939840000014"/>
    <n v="1201.2"/>
    <n v="57657.600000000006"/>
    <n v="1333.3320000000001"/>
    <n v="63999.936000000009"/>
    <n v="1297.3"/>
    <n v="62270.399999999994"/>
    <n v="1440.0030000000002"/>
    <n v="69120.144"/>
    <m/>
    <d v="2024-09-18T00:00:00"/>
    <d v="2024-09-18T00:00:00"/>
    <s v="Lama"/>
    <s v="Sama"/>
    <s v="Aktif"/>
    <s v="IDR"/>
    <s v="10062"/>
    <s v="62 GR"/>
    <s v="S-HNZ"/>
    <s v="48HEINZ"/>
    <s v="KRT"/>
    <s v="GD01"/>
    <n v="11611"/>
    <n v="11612"/>
    <s v="0123"/>
    <n v="1"/>
    <s v="PT. HEINZ ABC INDONESIA"/>
    <n v="0"/>
    <n v="1201.2"/>
    <n v="1201.2"/>
  </r>
  <r>
    <s v="A10110000080101"/>
    <n v="1"/>
    <n v="5"/>
    <x v="4"/>
    <s v="RASA MANTAP SOY"/>
    <s v="ABC KCP MNS PCH 48X80ML 2007"/>
    <x v="0"/>
    <x v="4"/>
    <x v="0"/>
    <s v="KECAP MANIS"/>
    <s v="A1011"/>
    <x v="2"/>
    <n v="14"/>
    <s v="ABC KECAP MANIS 80 ML X 48 PCH"/>
    <n v="30"/>
    <s v="ABC"/>
    <s v="A1"/>
    <s v="KECAP"/>
    <s v="01"/>
    <s v="MANIS"/>
    <n v="1"/>
    <m/>
    <s v="0"/>
    <m/>
    <s v="00"/>
    <s v="80 ML"/>
    <s v="0080"/>
    <s v="PCH"/>
    <s v="1"/>
    <m/>
    <s v="0"/>
    <m/>
    <m/>
    <m/>
    <s v="LITER"/>
    <n v="2"/>
    <m/>
    <n v="1990.0927999999999"/>
    <n v="95524.454399999988"/>
    <n v="2209.0030080000001"/>
    <n v="106032.144384"/>
    <n v="2117.12"/>
    <n v="101621.75999999999"/>
    <n v="2350.0032000000001"/>
    <n v="112800.15360000001"/>
    <n v="2286.4864864864871"/>
    <n v="109751.35135135139"/>
    <n v="2538.0000000000009"/>
    <n v="121824.00000000004"/>
    <m/>
    <d v="2024-09-18T00:00:00"/>
    <d v="2024-09-18T00:00:00"/>
    <s v="Lama"/>
    <s v="Sama"/>
    <s v="Aktif"/>
    <s v="IDR"/>
    <s v="20080"/>
    <s v="80 ML"/>
    <s v="S-HNZ"/>
    <s v="48HEINZ"/>
    <s v="KRT"/>
    <s v="GD01"/>
    <n v="11611"/>
    <n v="11612"/>
    <s v="0123"/>
    <n v="1"/>
    <s v="PT. HEINZ ABC INDONESIA"/>
    <n v="0"/>
    <n v="2117.12"/>
    <n v="2117.12"/>
  </r>
  <r>
    <s v="A10110000130101"/>
    <n v="1"/>
    <n v="6"/>
    <x v="5"/>
    <s v="RASA MANTAP SOY"/>
    <s v="ABC KCPMNS PET 48X130ML GT2404"/>
    <x v="0"/>
    <x v="5"/>
    <x v="1"/>
    <s v="KECAP MANIS"/>
    <s v="A1011"/>
    <x v="3"/>
    <n v="14"/>
    <s v="ABC KECAP MANIS 135 ML X 48 BTL"/>
    <n v="31"/>
    <s v="ABC"/>
    <s v="A1"/>
    <s v="KECAP"/>
    <s v="01"/>
    <s v="MANIS"/>
    <n v="1"/>
    <m/>
    <s v="0"/>
    <m/>
    <s v="00"/>
    <s v="135 ML"/>
    <s v="0130"/>
    <s v="BTL"/>
    <s v="1"/>
    <m/>
    <n v="0"/>
    <m/>
    <m/>
    <m/>
    <s v="LITER"/>
    <n v="2"/>
    <m/>
    <n v="6382.6"/>
    <n v="306364.80000000005"/>
    <n v="7084.6860000000006"/>
    <n v="340064.92800000007"/>
    <n v="6790"/>
    <n v="325920"/>
    <n v="7536.9000000000005"/>
    <n v="361771.2"/>
    <n v="0"/>
    <n v="0"/>
    <n v="0"/>
    <n v="0"/>
    <m/>
    <d v="2024-09-18T00:00:00"/>
    <d v="2024-09-18T00:00:00"/>
    <s v="Lama"/>
    <s v="Sama"/>
    <s v="Aktif"/>
    <s v="IDR"/>
    <s v="20130"/>
    <s v="135 ML"/>
    <s v="S-HNZ"/>
    <s v="48HEINZ"/>
    <s v="KRT"/>
    <s v="GD01"/>
    <n v="11611"/>
    <n v="11612"/>
    <s v="0123"/>
    <n v="1"/>
    <s v="PT. HEINZ ABC INDONESIA"/>
    <n v="0"/>
    <n v="6790"/>
    <n v="6790"/>
  </r>
  <r>
    <s v="A10110000135101"/>
    <n v="1"/>
    <n v="7"/>
    <x v="6"/>
    <s v="RASA MANTAP SOY"/>
    <s v="ABC KCPMNS PET SB 48X135ML1607"/>
    <x v="0"/>
    <x v="4"/>
    <x v="1"/>
    <s v="KECAP MANIS"/>
    <s v="A1011"/>
    <x v="4"/>
    <n v="14"/>
    <s v="ABC KECAP MANIS 135 ML X 48 BTL"/>
    <n v="31"/>
    <s v="ABC"/>
    <s v="A1"/>
    <s v="KECAP"/>
    <s v="01"/>
    <s v="MANIS"/>
    <n v="1"/>
    <m/>
    <s v="0"/>
    <m/>
    <s v="00"/>
    <s v="135 ML"/>
    <s v="0135"/>
    <s v="BTL"/>
    <s v="1"/>
    <m/>
    <n v="0"/>
    <m/>
    <m/>
    <m/>
    <s v="LITER"/>
    <n v="2"/>
    <m/>
    <n v="7181.2616000000007"/>
    <n v="344700.55680000002"/>
    <n v="7971.2003760000016"/>
    <n v="382617.61804800003"/>
    <n v="7639.64"/>
    <n v="366702.72000000003"/>
    <n v="8480.0004000000008"/>
    <n v="407040.0192000001"/>
    <n v="8250.81"/>
    <n v="396038.88"/>
    <n v="9158.3991000000005"/>
    <n v="439603.1568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7639.64"/>
    <n v="7639.64"/>
  </r>
  <r>
    <s v="A10110000250101"/>
    <n v="1"/>
    <n v="8"/>
    <x v="7"/>
    <s v="RASA MANTAP SOY"/>
    <s v="ABC KCP MNS PCH 24X250G 2311"/>
    <x v="1"/>
    <x v="6"/>
    <x v="0"/>
    <s v="KECAP MANIS"/>
    <s v="A1011"/>
    <x v="5"/>
    <n v="14"/>
    <s v="ABC KECAP MANIS 250 GR X 24 PCH"/>
    <n v="31"/>
    <s v="ABC"/>
    <s v="A1"/>
    <s v="KECAP"/>
    <s v="01"/>
    <s v="MANIS"/>
    <n v="1"/>
    <m/>
    <s v="0"/>
    <m/>
    <s v="00"/>
    <s v="250 GR"/>
    <s v="0250"/>
    <s v="PCH"/>
    <s v="1"/>
    <m/>
    <s v="0"/>
    <m/>
    <m/>
    <m/>
    <s v="GRAM"/>
    <n v="1"/>
    <m/>
    <n v="6117.2849999999999"/>
    <n v="146814.84"/>
    <n v="6790.1863500000009"/>
    <n v="162964.4724"/>
    <n v="6507.75"/>
    <n v="156186"/>
    <n v="7223.6025000000009"/>
    <n v="173366.46000000002"/>
    <n v="7028.37"/>
    <n v="168680.88"/>
    <n v="7801.4907000000003"/>
    <n v="187235.77679999999"/>
    <m/>
    <d v="2024-09-18T00:00:00"/>
    <d v="2025-10-15T00:00:00"/>
    <s v="Lama"/>
    <s v="Sama"/>
    <s v="Aktif"/>
    <s v="IDR"/>
    <s v="10250"/>
    <s v="250 GR"/>
    <s v="S-HNZ"/>
    <s v="48HEINZ"/>
    <s v="KRT"/>
    <s v="GD01"/>
    <n v="11611"/>
    <n v="11612"/>
    <s v="0123"/>
    <n v="1"/>
    <s v="PT. HEINZ ABC INDONESIA"/>
    <n v="0"/>
    <n v="6507.75"/>
    <n v="6507.75"/>
  </r>
  <r>
    <s v="A10110000250102"/>
    <n v="2"/>
    <n v="9"/>
    <x v="8"/>
    <s v="RASA MANTAP SOY"/>
    <s v="ABC KCP MNS PCH 24X250G 2311"/>
    <x v="1"/>
    <x v="7"/>
    <x v="0"/>
    <s v="KECAP MANIS"/>
    <s v="A1011"/>
    <x v="5"/>
    <n v="14"/>
    <s v="ABC KECAP MANIS 250 GR X 24 PCH"/>
    <n v="31"/>
    <s v="ABC"/>
    <s v="A1"/>
    <s v="KECAP"/>
    <s v="01"/>
    <s v="MANIS"/>
    <n v="1"/>
    <m/>
    <s v="0"/>
    <m/>
    <s v="00"/>
    <s v="250 GR"/>
    <s v="0250"/>
    <s v="PCH"/>
    <s v="1"/>
    <m/>
    <s v="0"/>
    <m/>
    <m/>
    <m/>
    <s v="GRAM"/>
    <n v="1"/>
    <m/>
    <n v="6117.2849999999999"/>
    <n v="146814.84"/>
    <n v="6790.1863500000009"/>
    <n v="162964.4724"/>
    <n v="6507.75"/>
    <n v="156186"/>
    <n v="7223.6025000000009"/>
    <n v="173366.46000000002"/>
    <n v="7028.37"/>
    <n v="168680.88"/>
    <n v="7801.4907000000003"/>
    <n v="187235.77679999999"/>
    <m/>
    <m/>
    <d v="2025-10-15T00:00:00"/>
    <s v="Lama"/>
    <s v="Sama"/>
    <s v="Aktif"/>
    <s v="IDR"/>
    <s v="10250"/>
    <s v="250 GR"/>
    <s v="S-HNZ"/>
    <s v="48HEINZ"/>
    <s v="KRT"/>
    <s v="GD01"/>
    <n v="11611"/>
    <n v="11612"/>
    <s v="0123"/>
    <n v="1"/>
    <s v="PT. HEINZ ABC INDONESIA"/>
    <n v="0"/>
    <n v="6507.75"/>
    <n v="6507.75"/>
  </r>
  <r>
    <s v="A10110000250111"/>
    <n v="1"/>
    <n v="10"/>
    <x v="9"/>
    <s v="RASA MANTAP SOY"/>
    <s v="ABC KMNS PCH 250+STRSI 18G2406"/>
    <x v="1"/>
    <x v="8"/>
    <x v="0"/>
    <s v="KECAP MANIS"/>
    <s v="A1011"/>
    <x v="6"/>
    <n v="14"/>
    <s v="ABC KECAP MANIS 250 GR X 24 PCH BANDED"/>
    <n v="38"/>
    <s v="ABC"/>
    <s v="A1"/>
    <s v="KECAP"/>
    <s v="01"/>
    <s v="MANIS"/>
    <n v="1"/>
    <m/>
    <s v="0"/>
    <m/>
    <s v="00"/>
    <s v="250 GR"/>
    <s v="0250"/>
    <s v="PCH"/>
    <s v="1"/>
    <s v="BANDED"/>
    <n v="1"/>
    <m/>
    <m/>
    <m/>
    <s v="GRAM"/>
    <n v="1"/>
    <m/>
    <n v="6117.2849999999999"/>
    <n v="146814.84"/>
    <n v="6790.1863500000009"/>
    <n v="162964.4724"/>
    <n v="6507.75"/>
    <n v="156186"/>
    <n v="7223.6025000000009"/>
    <n v="173366.46000000002"/>
    <n v="7028.37"/>
    <n v="168680.88"/>
    <n v="7801.4907000000003"/>
    <n v="187235.77679999999"/>
    <m/>
    <d v="2025-03-14T00:00:00"/>
    <d v="2025-10-15T00:00:00"/>
    <s v="Lama"/>
    <s v="Sama"/>
    <s v="Aktif"/>
    <s v="IDR"/>
    <s v="10250"/>
    <s v="250 GR"/>
    <s v="S-HNZ"/>
    <s v="48HEINZ"/>
    <s v="KRT"/>
    <s v="GD01"/>
    <n v="11611"/>
    <n v="11612"/>
    <s v="0123"/>
    <n v="1"/>
    <s v="PT. HEINZ ABC INDONESIA"/>
    <n v="0"/>
    <n v="6507.75"/>
    <n v="6507.75"/>
  </r>
  <r>
    <s v="A10110000600111"/>
    <n v="1"/>
    <m/>
    <x v="10"/>
    <m/>
    <m/>
    <x v="2"/>
    <x v="4"/>
    <x v="0"/>
    <s v="KECAP MANIS"/>
    <s v="A1011"/>
    <x v="7"/>
    <n v="14"/>
    <s v="ABC KECAP MANIS 600 GR X PCH BANDED"/>
    <n v="35"/>
    <s v="ABC"/>
    <s v="A1"/>
    <s v="KECAP"/>
    <s v="01"/>
    <s v="MANIS"/>
    <n v="1"/>
    <m/>
    <s v="0"/>
    <m/>
    <s v="00"/>
    <s v="600 GR"/>
    <s v="0600"/>
    <s v="PCH"/>
    <s v="1"/>
    <s v="BANDED"/>
    <n v="1"/>
    <m/>
    <m/>
    <m/>
    <s v="GRAM"/>
    <n v="1"/>
    <m/>
    <n v="16126.64"/>
    <n v="0"/>
    <n v="17900.570400000001"/>
    <n v="0"/>
    <n v="17156"/>
    <n v="0"/>
    <n v="19043.160000000003"/>
    <n v="0"/>
    <n v="18528.48"/>
    <n v="0"/>
    <n v="20566.612800000003"/>
    <n v="0"/>
    <m/>
    <d v="2026-02-06T00:00:00"/>
    <m/>
    <s v="Lama"/>
    <s v="Sama"/>
    <s v="Discontinue"/>
    <s v="IDR"/>
    <s v="10600"/>
    <s v="600 GR"/>
    <s v="S-HNZ"/>
    <s v="48HEINZ"/>
    <s v="KRT"/>
    <s v="GD01"/>
    <n v="11611"/>
    <n v="11612"/>
    <s v="0123"/>
    <n v="1"/>
    <s v="PT. HEINZ ABC INDONESIA"/>
    <n v="0"/>
    <n v="17156"/>
    <n v="17156"/>
  </r>
  <r>
    <s v="A10110000275201"/>
    <n v="1"/>
    <n v="11"/>
    <x v="11"/>
    <s v="RASA MANTAP SOY"/>
    <s v="ABC KCPMNS PET SB 24X275ML1607"/>
    <x v="1"/>
    <x v="4"/>
    <x v="1"/>
    <s v="KECAP MANIS"/>
    <s v="A1011"/>
    <x v="8"/>
    <n v="14"/>
    <s v="ABC KECAP MANIS 275 ML X 24 BTL"/>
    <n v="31"/>
    <s v="ABC"/>
    <s v="A1"/>
    <s v="KECAP"/>
    <s v="01"/>
    <s v="MANIS"/>
    <n v="1"/>
    <m/>
    <s v="0"/>
    <m/>
    <s v="00"/>
    <s v="275 ML"/>
    <s v="0275"/>
    <s v="BTL"/>
    <s v="2"/>
    <m/>
    <n v="0"/>
    <m/>
    <m/>
    <m/>
    <s v="LITER"/>
    <n v="2"/>
    <m/>
    <n v="15649.731000000002"/>
    <n v="375593.54400000005"/>
    <n v="17371.201410000001"/>
    <n v="416908.83384000009"/>
    <n v="16648.650000000001"/>
    <n v="399567.60000000003"/>
    <n v="18480.001500000002"/>
    <n v="443520.03600000008"/>
    <n v="17980.54"/>
    <n v="431532.96"/>
    <n v="19958.399400000002"/>
    <n v="479001.58560000005"/>
    <m/>
    <d v="2024-09-18T00:00:00"/>
    <d v="2024-09-18T00:00:00"/>
    <s v="Lama"/>
    <s v="Sama"/>
    <s v="Aktif"/>
    <s v="IDR"/>
    <s v="20275"/>
    <s v="275 ML"/>
    <s v="S-HNZ"/>
    <s v="48HEINZ"/>
    <s v="KRT"/>
    <s v="GD01"/>
    <n v="11611"/>
    <n v="11612"/>
    <s v="0123"/>
    <n v="1"/>
    <s v="PT. HEINZ ABC INDONESIA"/>
    <n v="0"/>
    <n v="16648.650000000001"/>
    <n v="16648.650000000001"/>
  </r>
  <r>
    <s v="A10110000275202"/>
    <n v="2"/>
    <n v="12"/>
    <x v="12"/>
    <s v="RASA MANTAP SOY"/>
    <s v="ABC KCPMNS PET SB 24X275ML1607"/>
    <x v="1"/>
    <x v="9"/>
    <x v="1"/>
    <s v="KECAP MANIS"/>
    <s v="A1011"/>
    <x v="8"/>
    <n v="14"/>
    <s v="ABC KECAP MANIS 275 ML X 24 BTL"/>
    <n v="31"/>
    <s v="ABC"/>
    <s v="A1"/>
    <s v="KECAP"/>
    <s v="01"/>
    <s v="MANIS"/>
    <n v="1"/>
    <m/>
    <s v="0"/>
    <m/>
    <s v="00"/>
    <s v="275 ML"/>
    <s v="0275"/>
    <s v="BTL"/>
    <s v="2"/>
    <m/>
    <n v="0"/>
    <m/>
    <m/>
    <m/>
    <s v="LITER"/>
    <n v="2"/>
    <m/>
    <n v="15649.731000000002"/>
    <n v="375593.54400000005"/>
    <n v="17371.201410000001"/>
    <n v="416908.83384000009"/>
    <n v="16648.650000000001"/>
    <n v="399567.60000000003"/>
    <n v="18480.001500000002"/>
    <n v="443520.03600000008"/>
    <n v="17980.54"/>
    <n v="431532.96"/>
    <n v="19958.399400000002"/>
    <n v="479001.58560000005"/>
    <m/>
    <d v="2024-09-30T00:00:00"/>
    <d v="2024-09-18T00:00:00"/>
    <s v="Lama"/>
    <s v="Sama"/>
    <s v="Aktif"/>
    <s v="IDR"/>
    <s v="20275"/>
    <s v="275 ML"/>
    <s v="S-HNZ"/>
    <s v="48HEINZ"/>
    <s v="KRT"/>
    <s v="GD01"/>
    <n v="11611"/>
    <n v="11612"/>
    <s v="0123"/>
    <n v="1"/>
    <s v="PT. HEINZ ABC INDONESIA"/>
    <n v="0"/>
    <n v="16648.650000000001"/>
    <n v="16648.650000000001"/>
  </r>
  <r>
    <s v="A10110000300101"/>
    <n v="1"/>
    <n v="13"/>
    <x v="13"/>
    <s v="RASA MANTAP SOY"/>
    <s v="ABC KCPMNS PCH SB 24X225ML1607"/>
    <x v="1"/>
    <x v="10"/>
    <x v="0"/>
    <s v="KECAP MANIS"/>
    <s v="A1011"/>
    <x v="9"/>
    <n v="14"/>
    <s v="ABC KECAP MANIS 300 GR X 24 PCH"/>
    <n v="31"/>
    <s v="ABC"/>
    <s v="A1"/>
    <s v="KECAP"/>
    <s v="01"/>
    <s v="MANIS"/>
    <n v="1"/>
    <m/>
    <s v="0"/>
    <m/>
    <s v="00"/>
    <s v="300 GR"/>
    <s v="0300"/>
    <s v="PCH"/>
    <s v="1"/>
    <m/>
    <s v="0"/>
    <m/>
    <m/>
    <m/>
    <s v="GRAM"/>
    <n v="1"/>
    <m/>
    <n v="8383.7847999999994"/>
    <n v="201210.83519999997"/>
    <n v="9306.0011279999999"/>
    <n v="223344.027072"/>
    <n v="8918.92"/>
    <n v="214054.08000000002"/>
    <n v="9900.0012000000006"/>
    <n v="237600.02880000003"/>
    <n v="9632.43"/>
    <n v="231178.32"/>
    <n v="10691.997300000001"/>
    <n v="256607.93520000001"/>
    <m/>
    <d v="2024-09-18T00:00:00"/>
    <d v="2024-09-18T00:00:00"/>
    <s v="Lama"/>
    <s v="Sama"/>
    <s v="Aktif"/>
    <s v="IDR"/>
    <s v="10300"/>
    <s v="300 GR"/>
    <s v="S-HNZ"/>
    <s v="48HEINZ"/>
    <s v="KRT"/>
    <s v="GD01"/>
    <n v="11611"/>
    <n v="11612"/>
    <s v="0123"/>
    <n v="1"/>
    <s v="PT. HEINZ ABC INDONESIA"/>
    <n v="0"/>
    <n v="8918.92"/>
    <n v="8918.92"/>
  </r>
  <r>
    <s v="A10110000300102"/>
    <n v="2"/>
    <n v="14"/>
    <x v="14"/>
    <s v="RASA MANTAP SOY"/>
    <s v="ABC KCP MNS PCH 24X300G 2208"/>
    <x v="1"/>
    <x v="11"/>
    <x v="0"/>
    <s v="KECAP MANIS"/>
    <s v="A1011"/>
    <x v="9"/>
    <n v="14"/>
    <s v="ABC KECAP MANIS 300 GR X 24 PCH"/>
    <n v="31"/>
    <s v="ABC"/>
    <s v="A1"/>
    <s v="KECAP"/>
    <s v="01"/>
    <s v="MANIS"/>
    <n v="1"/>
    <m/>
    <s v="0"/>
    <m/>
    <s v="00"/>
    <s v="300 GR"/>
    <s v="0300"/>
    <s v="PCH"/>
    <s v="1"/>
    <m/>
    <s v="0"/>
    <m/>
    <m/>
    <m/>
    <s v="GRAM"/>
    <n v="1"/>
    <m/>
    <n v="8383.7847999999994"/>
    <n v="201210.83519999997"/>
    <n v="9306.0011279999999"/>
    <n v="223344.027072"/>
    <n v="8918.92"/>
    <n v="214054.08000000002"/>
    <n v="9900.0012000000006"/>
    <n v="237600.02880000003"/>
    <n v="9632.43"/>
    <n v="231178.32"/>
    <n v="10691.997300000001"/>
    <n v="256607.93520000001"/>
    <m/>
    <d v="2024-09-18T00:00:00"/>
    <d v="2024-09-18T00:00:00"/>
    <s v="Lama"/>
    <s v="Sama"/>
    <s v="Aktif"/>
    <s v="IDR"/>
    <s v="10300"/>
    <s v="300 GR"/>
    <s v="S-HNZ"/>
    <s v="48HEINZ"/>
    <s v="KRT"/>
    <s v="GD01"/>
    <n v="11611"/>
    <n v="11612"/>
    <s v="0123"/>
    <n v="1"/>
    <s v="PT. HEINZ ABC INDONESIA"/>
    <n v="0"/>
    <n v="8918.92"/>
    <n v="8918.92"/>
  </r>
  <r>
    <s v="A10110000300121"/>
    <n v="1"/>
    <n v="15"/>
    <x v="15"/>
    <s v="RASA MANTAP SOY"/>
    <s v="ABC KMNS PCH 12X600G PRBTL2407"/>
    <x v="3"/>
    <x v="12"/>
    <x v="0"/>
    <s v="KECAP MANIS"/>
    <s v="A1011"/>
    <x v="10"/>
    <n v="14"/>
    <s v="ABC KECAP MANIS 600 GR X 12 PCH BANDED"/>
    <n v="38"/>
    <s v="ABC"/>
    <s v="A1"/>
    <s v="KECAP"/>
    <s v="01"/>
    <s v="MANIS"/>
    <n v="1"/>
    <m/>
    <s v="0"/>
    <m/>
    <s v="00"/>
    <s v="600 GR"/>
    <s v="0300"/>
    <s v="PCH"/>
    <s v="1"/>
    <s v="BANDED"/>
    <n v="2"/>
    <m/>
    <m/>
    <m/>
    <s v="GRAM"/>
    <n v="1"/>
    <m/>
    <n v="16126.875"/>
    <n v="193522.5"/>
    <n v="17900.831250000003"/>
    <n v="214809.97500000001"/>
    <n v="17156.25"/>
    <n v="205875"/>
    <n v="19043.4375"/>
    <n v="228521.25000000003"/>
    <n v="0"/>
    <n v="0"/>
    <n v="0"/>
    <n v="0"/>
    <m/>
    <d v="2024-09-18T00:00:00"/>
    <d v="2024-09-18T00:00:00"/>
    <s v="Lama"/>
    <s v="Sama"/>
    <s v="Aktif"/>
    <s v="IDR"/>
    <s v="10300"/>
    <s v="600 GR"/>
    <s v="S-HNZ"/>
    <s v="48HEINZ"/>
    <s v="KRT"/>
    <s v="GD01"/>
    <n v="11611"/>
    <n v="11612"/>
    <s v="0123"/>
    <n v="1"/>
    <s v="PT. HEINZ ABC INDONESIA"/>
    <n v="0"/>
    <n v="17156.25"/>
    <n v="17156.25"/>
  </r>
  <r>
    <s v="A10110000300122"/>
    <n v="2"/>
    <n v="282"/>
    <x v="16"/>
    <m/>
    <s v="ABC KCP MNS 600G+BTL 2506"/>
    <x v="3"/>
    <x v="13"/>
    <x v="0"/>
    <s v="KECAP MANIS"/>
    <s v="A1011"/>
    <x v="10"/>
    <n v="14"/>
    <s v="ABC KECAP MANIS 600 GR X 12 PCH BANDED"/>
    <n v="38"/>
    <s v="ABC"/>
    <s v="A1"/>
    <s v="KECAP"/>
    <s v="01"/>
    <s v="MANIS"/>
    <n v="1"/>
    <m/>
    <s v="0"/>
    <m/>
    <s v="00"/>
    <s v="600 GR"/>
    <s v="0300"/>
    <s v="PCH"/>
    <s v="1"/>
    <s v="BANDED"/>
    <n v="2"/>
    <m/>
    <m/>
    <m/>
    <s v="GRAM"/>
    <n v="1"/>
    <m/>
    <n v="16126.875"/>
    <n v="193522.5"/>
    <n v="17900.831250000003"/>
    <n v="214809.97500000001"/>
    <n v="17156.25"/>
    <n v="205875"/>
    <n v="19043.4375"/>
    <n v="228521.25000000003"/>
    <n v="18528.75"/>
    <n v="222345"/>
    <n v="20566.912500000002"/>
    <n v="246802.95"/>
    <m/>
    <d v="2026-01-05T00:00:00"/>
    <d v="2026-01-05T00:00:00"/>
    <s v="Lama"/>
    <s v="Sama"/>
    <s v="Aktif"/>
    <s v="IDR"/>
    <s v="10300"/>
    <s v="600 GR"/>
    <s v="S-HNZ"/>
    <s v="48HEINZ"/>
    <s v="KRT"/>
    <s v="GD01"/>
    <n v="11611"/>
    <n v="11612"/>
    <s v="0123"/>
    <n v="1"/>
    <s v="PT. HEINZ ABC INDONESIA"/>
    <n v="0"/>
    <n v="17156.25"/>
    <n v="17156.25"/>
  </r>
  <r>
    <s v="A10110000300123"/>
    <n v="3"/>
    <m/>
    <x v="17"/>
    <m/>
    <s v="ABC KMNS 600G+S. TIRAM 18G 250G"/>
    <x v="3"/>
    <x v="14"/>
    <x v="0"/>
    <s v="KECAP MANIS"/>
    <s v="A1011"/>
    <x v="10"/>
    <n v="14"/>
    <s v="ABC KECAP MANIS 600 GR X 12 PCH BANDED"/>
    <n v="38"/>
    <s v="ABC"/>
    <s v="A1"/>
    <s v="KECAP"/>
    <s v="01"/>
    <s v="MANIS"/>
    <n v="1"/>
    <m/>
    <s v="0"/>
    <m/>
    <s v="00"/>
    <s v="600 GR"/>
    <s v="0300"/>
    <s v="PCH"/>
    <s v="1"/>
    <s v="BANDED"/>
    <n v="2"/>
    <m/>
    <m/>
    <m/>
    <m/>
    <m/>
    <m/>
    <n v="16126.875"/>
    <n v="193522.5"/>
    <n v="17900.831250000003"/>
    <n v="214809.97500000001"/>
    <n v="17156.25"/>
    <n v="205875"/>
    <n v="19043.4375"/>
    <n v="228521.25000000003"/>
    <n v="18528.75"/>
    <n v="222345"/>
    <n v="20566.912500000002"/>
    <n v="246802.95"/>
    <m/>
    <m/>
    <m/>
    <s v="Lama"/>
    <s v="Sama"/>
    <s v="Aktif"/>
    <s v="IDR"/>
    <s v="0300"/>
    <s v="600 GR"/>
    <m/>
    <m/>
    <s v="KRT"/>
    <s v="GD01"/>
    <n v="11611"/>
    <n v="11612"/>
    <m/>
    <n v="1"/>
    <m/>
    <n v="0"/>
    <n v="17156.25"/>
    <n v="17156.25"/>
  </r>
  <r>
    <s v="A10110000450101"/>
    <n v="1"/>
    <n v="283"/>
    <x v="18"/>
    <m/>
    <s v="ABC KCP MNS PCH 12 X 450G 2405"/>
    <x v="3"/>
    <x v="15"/>
    <x v="0"/>
    <s v="KECAP MANIS"/>
    <s v="A1011"/>
    <x v="11"/>
    <n v="14"/>
    <s v="ABC KECAP MANIS 450 GR X 12 PCH"/>
    <n v="31"/>
    <s v="ABC"/>
    <s v="A1"/>
    <s v="KECAP"/>
    <s v="01"/>
    <s v="MANIS"/>
    <n v="1"/>
    <m/>
    <s v="0"/>
    <m/>
    <s v="00"/>
    <s v="450 GR"/>
    <s v="0450"/>
    <s v="PCH"/>
    <n v="1"/>
    <m/>
    <n v="0"/>
    <m/>
    <m/>
    <m/>
    <s v="GRAM"/>
    <n v="1"/>
    <m/>
    <n v="10467.0504"/>
    <n v="125604.6048"/>
    <n v="11618.425944000001"/>
    <n v="139421.111328"/>
    <n v="11135.16"/>
    <n v="133621.91999999998"/>
    <n v="12360.027600000001"/>
    <n v="148320.33119999999"/>
    <n v="12025.97"/>
    <n v="144311.63999999998"/>
    <n v="13348.8267"/>
    <n v="160185.9204"/>
    <m/>
    <m/>
    <m/>
    <s v="Lama"/>
    <s v="Sama"/>
    <m/>
    <s v="IDR"/>
    <s v="10450"/>
    <s v="450 GR"/>
    <m/>
    <m/>
    <s v="KRT"/>
    <s v="GD01"/>
    <n v="11611"/>
    <n v="11612"/>
    <m/>
    <n v="1"/>
    <m/>
    <n v="0"/>
    <n v="11135.16"/>
    <n v="11135.16"/>
  </r>
  <r>
    <s v="A10110000600101"/>
    <n v="1"/>
    <n v="16"/>
    <x v="19"/>
    <s v="RASA MANTAP SOY"/>
    <s v="ABC KCP MNS PCH 12X600G 2311"/>
    <x v="3"/>
    <x v="16"/>
    <x v="0"/>
    <s v="KECAP MANIS"/>
    <s v="A1011"/>
    <x v="12"/>
    <n v="14"/>
    <s v="ABC KECAP MANIS 600 GR X 12 PCH"/>
    <n v="31"/>
    <s v="ABC"/>
    <s v="A1"/>
    <s v="KECAP"/>
    <s v="01"/>
    <s v="MANIS"/>
    <n v="1"/>
    <m/>
    <s v="0"/>
    <m/>
    <s v="00"/>
    <s v="600 GR"/>
    <s v="0600"/>
    <s v="PCH"/>
    <s v="1"/>
    <m/>
    <s v="0"/>
    <m/>
    <m/>
    <m/>
    <s v="GRAM"/>
    <n v="1"/>
    <m/>
    <n v="16126.921999999999"/>
    <n v="193523.06399999998"/>
    <n v="17900.883419999998"/>
    <n v="214810.60104000001"/>
    <n v="17156.3"/>
    <n v="205875.59999999998"/>
    <n v="19043.493000000002"/>
    <n v="228521.916"/>
    <n v="18528.804"/>
    <n v="222345.64799999999"/>
    <n v="20566.972440000001"/>
    <n v="246803.66928000003"/>
    <m/>
    <d v="2024-09-18T00:00:00"/>
    <d v="2024-09-18T00:00:00"/>
    <s v="Lama"/>
    <s v="Sama"/>
    <s v="Aktif"/>
    <s v="IDR"/>
    <s v="10600"/>
    <s v="600 GR"/>
    <s v="S-HNZ"/>
    <s v="48HEINZ"/>
    <s v="KRT"/>
    <s v="GD01"/>
    <n v="11611"/>
    <n v="11612"/>
    <s v="0123"/>
    <n v="1"/>
    <s v="PT. HEINZ ABC INDONESIA"/>
    <n v="0"/>
    <n v="17156.3"/>
    <n v="17156.3"/>
  </r>
  <r>
    <s v="A10110000600102"/>
    <n v="2"/>
    <n v="17"/>
    <x v="20"/>
    <s v="RASA MANTAP SOY"/>
    <s v="ABC KCP MNS PCH 12X600G"/>
    <x v="3"/>
    <x v="17"/>
    <x v="0"/>
    <s v="KECAP MANIS"/>
    <s v="A1011"/>
    <x v="12"/>
    <n v="14"/>
    <s v="ABC KECAP MANIS 600 GR X 12 PCH"/>
    <n v="31"/>
    <s v="ABC"/>
    <s v="A1"/>
    <s v="KECAP"/>
    <s v="01"/>
    <s v="MANIS"/>
    <n v="1"/>
    <m/>
    <s v="0"/>
    <m/>
    <s v="00"/>
    <s v="600 GR"/>
    <s v="0600"/>
    <s v="PCH"/>
    <s v="1"/>
    <m/>
    <s v="0"/>
    <m/>
    <m/>
    <m/>
    <s v="GRAM"/>
    <n v="1"/>
    <m/>
    <n v="16126.921999999999"/>
    <n v="193523.06399999998"/>
    <n v="17900.883419999998"/>
    <n v="214810.60104000001"/>
    <n v="17156.3"/>
    <n v="205875.59999999998"/>
    <n v="19043.493000000002"/>
    <n v="228521.916"/>
    <n v="18528.804"/>
    <n v="222345.64799999999"/>
    <n v="20566.972440000001"/>
    <n v="246803.66928000003"/>
    <m/>
    <d v="2024-10-24T00:00:00"/>
    <d v="2024-09-18T00:00:00"/>
    <s v="Lama"/>
    <s v="Sama"/>
    <s v="Aktif"/>
    <s v="IDR"/>
    <s v="10600"/>
    <s v="600 GR"/>
    <s v="S-HNZ"/>
    <s v="48HEINZ"/>
    <s v="KRT"/>
    <s v="GD01"/>
    <n v="11611"/>
    <n v="11612"/>
    <s v="0123"/>
    <n v="1"/>
    <s v="PT. HEINZ ABC INDONESIA"/>
    <n v="0"/>
    <n v="17156.3"/>
    <n v="17156.3"/>
  </r>
  <r>
    <s v="A10110000600201"/>
    <n v="1"/>
    <n v="18"/>
    <x v="21"/>
    <s v="RASA MANTAP SOY"/>
    <s v="ABC KCPMNS PET SB 12X600ML1607"/>
    <x v="3"/>
    <x v="4"/>
    <x v="1"/>
    <s v="KECAP MANIS"/>
    <s v="A1011"/>
    <x v="13"/>
    <n v="14"/>
    <s v="ABC KECAP MANIS 600 ML X 12 BTL"/>
    <n v="31"/>
    <s v="ABC"/>
    <s v="A1"/>
    <s v="KECAP"/>
    <s v="01"/>
    <s v="MANIS"/>
    <n v="1"/>
    <m/>
    <s v="0"/>
    <m/>
    <s v="00"/>
    <s v="600 ML"/>
    <s v="0600"/>
    <s v="BTL"/>
    <s v="2"/>
    <m/>
    <n v="0"/>
    <m/>
    <m/>
    <m/>
    <s v="LITER"/>
    <n v="2"/>
    <m/>
    <n v="23525.408199999998"/>
    <n v="282304.89839999995"/>
    <n v="26113.203101999999"/>
    <n v="313358.43722399999"/>
    <n v="25027.03"/>
    <n v="300324.36"/>
    <n v="27780.0033"/>
    <n v="333360.03960000002"/>
    <n v="27029.19"/>
    <n v="324350.27999999997"/>
    <n v="30002.400900000001"/>
    <n v="360028.81079999998"/>
    <m/>
    <d v="2024-09-18T00:00:00"/>
    <d v="2024-09-18T00:00:00"/>
    <s v="Lama"/>
    <s v="Sama"/>
    <s v="Aktif"/>
    <s v="IDR"/>
    <s v="20600"/>
    <s v="600 ML"/>
    <s v="S-HNZ"/>
    <s v="48HEINZ"/>
    <s v="KRT"/>
    <s v="GD01"/>
    <n v="11611"/>
    <n v="11612"/>
    <s v="0123"/>
    <n v="1"/>
    <s v="PT. HEINZ ABC INDONESIA"/>
    <n v="0"/>
    <n v="25027.03"/>
    <n v="25027.03"/>
  </r>
  <r>
    <s v="A10110000600202"/>
    <n v="2"/>
    <n v="19"/>
    <x v="22"/>
    <s v="RASA MANTAP SOY"/>
    <s v="ABC KCPMNS PET SB 12X600ML"/>
    <x v="3"/>
    <x v="18"/>
    <x v="1"/>
    <s v="KECAP MANIS"/>
    <s v="A1011"/>
    <x v="13"/>
    <n v="14"/>
    <s v="ABC KECAP MANIS 600 ML X 12 BTL"/>
    <n v="31"/>
    <s v="ABC"/>
    <s v="A1"/>
    <s v="KECAP"/>
    <s v="01"/>
    <s v="MANIS"/>
    <n v="1"/>
    <m/>
    <s v="0"/>
    <m/>
    <s v="00"/>
    <s v="600 ML"/>
    <s v="0600"/>
    <s v="BTL"/>
    <s v="2"/>
    <m/>
    <n v="0"/>
    <m/>
    <m/>
    <m/>
    <s v="LITER"/>
    <n v="2"/>
    <m/>
    <n v="23525.408199999998"/>
    <n v="282304.89839999995"/>
    <n v="26113.203101999999"/>
    <n v="313358.43722399999"/>
    <n v="25027.03"/>
    <n v="300324.36"/>
    <n v="27780.0033"/>
    <n v="333360.03960000002"/>
    <n v="27029.19"/>
    <n v="324350.27999999997"/>
    <n v="30002.400900000001"/>
    <n v="360028.81079999998"/>
    <m/>
    <d v="2024-09-30T00:00:00"/>
    <d v="2024-09-18T00:00:00"/>
    <s v="Lama"/>
    <s v="Sama"/>
    <s v="Aktif"/>
    <s v="IDR"/>
    <s v="20600"/>
    <s v="600 ML"/>
    <s v="S-HNZ"/>
    <s v="48HEINZ"/>
    <s v="KRT"/>
    <s v="GD01"/>
    <n v="11611"/>
    <n v="11612"/>
    <s v="0123"/>
    <n v="1"/>
    <s v="PT. HEINZ ABC INDONESIA"/>
    <n v="0"/>
    <n v="25027.03"/>
    <n v="25027.03"/>
  </r>
  <r>
    <s v="A10110000620101"/>
    <n v="1"/>
    <n v="20"/>
    <x v="23"/>
    <s v="RASA MANTAP SOY"/>
    <s v="ABC KCPMNS BTL SB 12X620ML1607"/>
    <x v="3"/>
    <x v="4"/>
    <x v="1"/>
    <s v="KECAP MANIS"/>
    <s v="A1011"/>
    <x v="14"/>
    <n v="14"/>
    <s v="ABC KECAP MANIS 620 ML X 12 BTL"/>
    <n v="31"/>
    <s v="ABC"/>
    <s v="A1"/>
    <s v="KECAP"/>
    <s v="01"/>
    <s v="MANIS"/>
    <n v="1"/>
    <m/>
    <s v="0"/>
    <m/>
    <s v="00"/>
    <s v="620 ML"/>
    <s v="0620"/>
    <s v="BTL"/>
    <s v="1"/>
    <m/>
    <n v="0"/>
    <m/>
    <m/>
    <m/>
    <s v="LITER"/>
    <n v="2"/>
    <m/>
    <n v="28098.3766"/>
    <n v="337180.51919999998"/>
    <n v="31189.198026000002"/>
    <n v="374270.37631200004"/>
    <n v="29891.89"/>
    <n v="358702.68"/>
    <n v="33179.997900000002"/>
    <n v="398159.97480000003"/>
    <n v="32283.24"/>
    <n v="387398.88"/>
    <n v="35834.396400000005"/>
    <n v="430012.75680000009"/>
    <m/>
    <d v="2024-09-18T00:00:00"/>
    <d v="2024-09-18T00:00:00"/>
    <s v="Lama"/>
    <s v="Sama"/>
    <s v="Aktif"/>
    <s v="IDR"/>
    <s v="20620"/>
    <s v="620 ML"/>
    <s v="S-HNZ"/>
    <s v="48HEINZ"/>
    <s v="KRT"/>
    <s v="GD01"/>
    <n v="11611"/>
    <n v="11612"/>
    <s v="0123"/>
    <n v="1"/>
    <s v="PT. HEINZ ABC INDONESIA"/>
    <n v="0"/>
    <n v="29891.89"/>
    <n v="29891.89"/>
  </r>
  <r>
    <s v="A10110000685101"/>
    <n v="1"/>
    <n v="21"/>
    <x v="24"/>
    <s v="RASA MANTAP SOY"/>
    <s v="ABC KCP MNS PCH 12X685G 2208"/>
    <x v="3"/>
    <x v="4"/>
    <x v="0"/>
    <s v="KECAP MANIS"/>
    <s v="A1011"/>
    <x v="15"/>
    <n v="14"/>
    <s v="ABC KECAP MANIS 685 GR X 12 PCH"/>
    <n v="31"/>
    <s v="ABC"/>
    <s v="A1"/>
    <s v="KECAP"/>
    <s v="01"/>
    <s v="MANIS"/>
    <n v="1"/>
    <m/>
    <s v="0"/>
    <m/>
    <s v="00"/>
    <s v="685 GR"/>
    <s v="0685"/>
    <s v="PCH"/>
    <s v="1"/>
    <m/>
    <s v="0"/>
    <m/>
    <m/>
    <m/>
    <s v="GRAM"/>
    <n v="1"/>
    <m/>
    <n v="18545.946199999998"/>
    <n v="222551.35439999998"/>
    <n v="20586.000282000001"/>
    <n v="247032.00338400001"/>
    <n v="19729.73"/>
    <n v="236756.76"/>
    <n v="21900.0003"/>
    <n v="262800.00360000005"/>
    <n v="21308.11"/>
    <n v="255697.32"/>
    <n v="23652.002100000002"/>
    <n v="283824.02520000003"/>
    <m/>
    <d v="2024-09-18T00:00:00"/>
    <d v="2024-09-18T00:00:00"/>
    <s v="Lama"/>
    <s v="Sama"/>
    <s v="Aktif"/>
    <s v="IDR"/>
    <s v="10685"/>
    <s v="685 GR"/>
    <s v="S-HNZ"/>
    <s v="48HEINZ"/>
    <s v="KRT"/>
    <s v="GD01"/>
    <n v="11611"/>
    <n v="11612"/>
    <s v="0123"/>
    <n v="1"/>
    <s v="PT. HEINZ ABC INDONESIA"/>
    <n v="0"/>
    <n v="19729.73"/>
    <n v="19729.73"/>
  </r>
  <r>
    <s v="A10110000685102"/>
    <n v="2"/>
    <n v="22"/>
    <x v="25"/>
    <s v="RASA MANTAP SOY"/>
    <s v="ABC KCPMNS PCH SB 12X520ML1607"/>
    <x v="3"/>
    <x v="19"/>
    <x v="0"/>
    <s v="KECAP MANIS"/>
    <s v="A1011"/>
    <x v="15"/>
    <n v="14"/>
    <s v="ABC KECAP MANIS 685 GR X 12 PCH"/>
    <n v="31"/>
    <s v="ABC"/>
    <s v="A1"/>
    <s v="KECAP"/>
    <s v="01"/>
    <s v="MANIS"/>
    <n v="1"/>
    <m/>
    <s v="0"/>
    <m/>
    <s v="00"/>
    <s v="685 GR"/>
    <s v="0685"/>
    <s v="PCH"/>
    <s v="1"/>
    <m/>
    <s v="0"/>
    <m/>
    <m/>
    <m/>
    <s v="GRAM"/>
    <n v="1"/>
    <m/>
    <n v="18545.946199999998"/>
    <n v="222551.35439999998"/>
    <n v="20586.000282000001"/>
    <n v="247032.00338400001"/>
    <n v="19729.73"/>
    <n v="236756.76"/>
    <n v="21900.0003"/>
    <n v="262800.00360000005"/>
    <n v="21308.11"/>
    <n v="255697.32"/>
    <n v="23652.002100000002"/>
    <n v="283824.02520000003"/>
    <m/>
    <d v="2024-09-18T00:00:00"/>
    <d v="2024-09-18T00:00:00"/>
    <s v="Lama"/>
    <s v="Sama"/>
    <s v="Aktif"/>
    <s v="IDR"/>
    <s v="10685"/>
    <s v="685 GR"/>
    <s v="S-HNZ"/>
    <s v="48HEINZ"/>
    <s v="KRT"/>
    <s v="GD01"/>
    <n v="11611"/>
    <n v="11612"/>
    <s v="0123"/>
    <n v="1"/>
    <s v="PT. HEINZ ABC INDONESIA"/>
    <n v="0"/>
    <n v="19729.73"/>
    <n v="19729.73"/>
  </r>
  <r>
    <s v="A10110000685121"/>
    <n v="1"/>
    <n v="23"/>
    <x v="26"/>
    <s v="RASA MANTAP SOY"/>
    <s v="ABC KMNS 520ML+ SNUS TGT 2209"/>
    <x v="3"/>
    <x v="4"/>
    <x v="0"/>
    <s v="KECAP MANIS"/>
    <s v="A1011"/>
    <x v="16"/>
    <n v="14"/>
    <s v="ABC KECAP MANIS 685 GR X 12 PCH BANDED"/>
    <n v="38"/>
    <s v="ABC"/>
    <s v="A1"/>
    <s v="KECAP"/>
    <s v="01"/>
    <s v="MANIS"/>
    <n v="1"/>
    <m/>
    <s v="0"/>
    <m/>
    <s v="00"/>
    <s v="685 GR"/>
    <s v="0685"/>
    <s v="PCH"/>
    <s v="1"/>
    <s v="BANDED"/>
    <n v="2"/>
    <m/>
    <m/>
    <m/>
    <s v="GRAM"/>
    <n v="1"/>
    <m/>
    <n v="18545.946199999998"/>
    <n v="222551.35439999998"/>
    <n v="20586.000282000001"/>
    <n v="247032.00338400001"/>
    <n v="19729.73"/>
    <n v="236756.76"/>
    <n v="21900.0003"/>
    <n v="262800.00360000005"/>
    <n v="21308.11"/>
    <n v="255697.32"/>
    <n v="23652.002100000002"/>
    <n v="283824.02520000003"/>
    <m/>
    <d v="2024-09-18T00:00:00"/>
    <d v="2024-09-18T00:00:00"/>
    <s v="Lama"/>
    <s v="Sama"/>
    <s v="Aktif"/>
    <s v="IDR"/>
    <s v="10685"/>
    <s v="685 GR"/>
    <s v="S-HNZ"/>
    <s v="48HEINZ"/>
    <s v="KRT"/>
    <s v="GD01"/>
    <n v="11611"/>
    <n v="11612"/>
    <s v="0123"/>
    <n v="1"/>
    <s v="PT. HEINZ ABC INDONESIA"/>
    <n v="0"/>
    <n v="19729.73"/>
    <n v="19729.73"/>
  </r>
  <r>
    <s v="A10110000685122"/>
    <n v="2"/>
    <n v="24"/>
    <x v="27"/>
    <s v="RASA MANTAP SOY"/>
    <s v="ABC KCPMNS 685G+S.AS135ML 2301"/>
    <x v="3"/>
    <x v="4"/>
    <x v="0"/>
    <s v="KECAP MANIS"/>
    <s v="A1011"/>
    <x v="16"/>
    <n v="14"/>
    <s v="ABC KECAP MANIS 685 GR X 12 PCH BANDED"/>
    <n v="38"/>
    <s v="ABC"/>
    <s v="A1"/>
    <s v="KECAP"/>
    <s v="01"/>
    <s v="MANIS"/>
    <n v="1"/>
    <m/>
    <s v="0"/>
    <m/>
    <s v="00"/>
    <s v="685 GR"/>
    <s v="0685"/>
    <s v="PCH"/>
    <s v="1"/>
    <s v="BANDED"/>
    <n v="2"/>
    <m/>
    <m/>
    <m/>
    <s v="GRAM"/>
    <n v="1"/>
    <m/>
    <n v="18545.946199999998"/>
    <n v="222551.35439999998"/>
    <n v="20586.000282000001"/>
    <n v="247032.00338400001"/>
    <n v="19729.73"/>
    <n v="236756.76"/>
    <n v="21900.0003"/>
    <n v="262800.00360000005"/>
    <n v="21308.11"/>
    <n v="255697.32"/>
    <n v="23652.002100000002"/>
    <n v="283824.02520000003"/>
    <m/>
    <d v="2024-09-18T00:00:00"/>
    <d v="2024-09-18T00:00:00"/>
    <s v="Lama"/>
    <s v="Sama"/>
    <s v="Aktif"/>
    <s v="IDR"/>
    <s v="10685"/>
    <s v="685 GR"/>
    <s v="S-HNZ"/>
    <s v="48HEINZ"/>
    <s v="KRT"/>
    <s v="GD01"/>
    <n v="11611"/>
    <n v="11612"/>
    <s v="0123"/>
    <n v="1"/>
    <s v="PT. HEINZ ABC INDONESIA"/>
    <n v="0"/>
    <n v="19729.73"/>
    <n v="19729.73"/>
  </r>
  <r>
    <s v="A10110000825102"/>
    <n v="2"/>
    <n v="25"/>
    <x v="28"/>
    <s v="RASA MANTAP SOY"/>
    <s v="ABC KCP MNS PCH 12X825G 2407"/>
    <x v="3"/>
    <x v="20"/>
    <x v="0"/>
    <s v="KECAP MANIS"/>
    <s v="A1011"/>
    <x v="17"/>
    <n v="14"/>
    <s v="ABC KECAP MANIS 825 GR X 12 PCH"/>
    <n v="31"/>
    <s v="ABC"/>
    <s v="A1"/>
    <s v="KECAP"/>
    <s v="01"/>
    <s v="MANIS"/>
    <n v="1"/>
    <m/>
    <s v="0"/>
    <m/>
    <s v="00"/>
    <s v="825 GR"/>
    <s v="0825"/>
    <s v="PCH"/>
    <s v="1"/>
    <m/>
    <n v="0"/>
    <m/>
    <m/>
    <m/>
    <s v="GRAM"/>
    <n v="1"/>
    <m/>
    <n v="19897.732"/>
    <n v="238772.78399999999"/>
    <n v="22086.482520000001"/>
    <n v="265037.79024"/>
    <n v="21167.8"/>
    <n v="254013.59999999998"/>
    <n v="23496.258000000002"/>
    <n v="281955.09600000002"/>
    <n v="22861.22"/>
    <n v="274334.64"/>
    <n v="25375.954200000004"/>
    <n v="304511.45040000003"/>
    <m/>
    <m/>
    <d v="2024-09-18T00:00:00"/>
    <s v="Lama"/>
    <s v="Sama"/>
    <s v="Aktif"/>
    <s v="IDR"/>
    <s v="10825"/>
    <s v="825 GR"/>
    <s v="S-HNZ"/>
    <s v="48HEINZ"/>
    <s v="KRT"/>
    <s v="GD01"/>
    <n v="11611"/>
    <n v="11612"/>
    <s v="0123"/>
    <n v="1"/>
    <s v="PT. HEINZ ABC INDONESIA"/>
    <n v="0"/>
    <n v="21167.8"/>
    <n v="21167.8"/>
  </r>
  <r>
    <s v="A10110000825101"/>
    <n v="1"/>
    <n v="26"/>
    <x v="29"/>
    <s v="RASA MANTAP SOY"/>
    <s v="ABC KCP MNS PCH 12X825G 2311"/>
    <x v="3"/>
    <x v="4"/>
    <x v="0"/>
    <s v="KECAP MANIS"/>
    <s v="A1011"/>
    <x v="17"/>
    <n v="14"/>
    <s v="ABC KECAP MANIS 825 GR X 12 PCH"/>
    <n v="31"/>
    <s v="ABC"/>
    <s v="A1"/>
    <s v="KECAP"/>
    <s v="01"/>
    <s v="MANIS"/>
    <n v="1"/>
    <m/>
    <s v="0"/>
    <m/>
    <s v="00"/>
    <s v="825 GR"/>
    <s v="0825"/>
    <s v="PCH"/>
    <s v="1"/>
    <m/>
    <n v="0"/>
    <m/>
    <m/>
    <m/>
    <s v="GRAM"/>
    <n v="1"/>
    <m/>
    <n v="19897.732"/>
    <n v="238772.78399999999"/>
    <n v="22086.482520000001"/>
    <n v="265037.79024"/>
    <n v="21167.8"/>
    <n v="254013.59999999998"/>
    <n v="23496.258000000002"/>
    <n v="281955.09600000002"/>
    <n v="22861.22"/>
    <n v="274334.64"/>
    <n v="25375.954200000004"/>
    <n v="304511.45040000003"/>
    <m/>
    <d v="2024-09-18T00:00:00"/>
    <d v="2024-09-18T00:00:00"/>
    <s v="Lama"/>
    <s v="Sama"/>
    <s v="Aktif"/>
    <s v="IDR"/>
    <s v="10825"/>
    <s v="825 GR"/>
    <s v="S-HNZ"/>
    <s v="48HEINZ"/>
    <s v="KRT"/>
    <s v="GD01"/>
    <n v="11611"/>
    <n v="11612"/>
    <s v="0123"/>
    <n v="1"/>
    <s v="PT. HEINZ ABC INDONESIA"/>
    <n v="0"/>
    <n v="21167.8"/>
    <n v="21167.8"/>
  </r>
  <r>
    <s v="A10110000825103"/>
    <n v="3"/>
    <n v="27"/>
    <x v="30"/>
    <s v="RASA MANTAP SOY"/>
    <s v="ABC K.MNS PCHSPOUT 12X825G2405"/>
    <x v="3"/>
    <x v="21"/>
    <x v="0"/>
    <s v="KECAP MANIS"/>
    <s v="A1011"/>
    <x v="17"/>
    <n v="14"/>
    <s v="ABC KECAP MANIS 825 GR X 12 PCH"/>
    <n v="31"/>
    <s v="ABC"/>
    <s v="A1"/>
    <s v="KECAP"/>
    <s v="01"/>
    <s v="MANIS"/>
    <n v="1"/>
    <m/>
    <s v="0"/>
    <m/>
    <s v="00"/>
    <s v="825 GR"/>
    <s v="0825"/>
    <s v="PCH"/>
    <s v="1"/>
    <m/>
    <n v="0"/>
    <m/>
    <m/>
    <m/>
    <s v="GRAM"/>
    <n v="1"/>
    <m/>
    <n v="19897.732"/>
    <n v="238772.78399999999"/>
    <n v="22086.482520000001"/>
    <n v="265037.79024"/>
    <n v="21167.8"/>
    <n v="254013.59999999998"/>
    <n v="23496.258000000002"/>
    <n v="281955.09600000002"/>
    <n v="22861.22"/>
    <n v="274334.64"/>
    <n v="25375.954200000004"/>
    <n v="304511.45040000003"/>
    <m/>
    <d v="2025-03-28T00:00:00"/>
    <d v="2024-09-18T00:00:00"/>
    <s v="Lama"/>
    <s v="Sama"/>
    <s v="Aktif"/>
    <s v="IDR"/>
    <s v="10825"/>
    <s v="825 GR"/>
    <s v="S-HNZ"/>
    <s v="48HEINZ"/>
    <s v="KRT"/>
    <s v="GD01"/>
    <n v="11611"/>
    <n v="11612"/>
    <s v="0123"/>
    <n v="1"/>
    <s v="PT. HEINZ ABC INDONESIA"/>
    <n v="0"/>
    <n v="21167.8"/>
    <n v="21167.8"/>
  </r>
  <r>
    <s v="A10110000825104"/>
    <n v="4"/>
    <n v="28"/>
    <x v="31"/>
    <s v="RASA MANTAP SOY"/>
    <s v="ABC KECAP MNS PCHSPOUT 12X825G"/>
    <x v="3"/>
    <x v="22"/>
    <x v="0"/>
    <s v="KECAP MANIS"/>
    <s v="A1011"/>
    <x v="17"/>
    <n v="14"/>
    <s v="ABC KECAP MANIS 825 GR X 12 PCH"/>
    <n v="31"/>
    <s v="ABC"/>
    <s v="A1"/>
    <s v="KECAP"/>
    <s v="01"/>
    <s v="MANIS"/>
    <n v="1"/>
    <m/>
    <s v="0"/>
    <m/>
    <s v="00"/>
    <s v="825 GR"/>
    <s v="0825"/>
    <s v="PCH"/>
    <s v="1"/>
    <m/>
    <n v="0"/>
    <m/>
    <m/>
    <m/>
    <s v="GRAM"/>
    <n v="1"/>
    <m/>
    <n v="19897.732"/>
    <n v="238772.78399999999"/>
    <n v="22086.482520000001"/>
    <n v="265037.79024"/>
    <n v="21167.8"/>
    <n v="254013.59999999998"/>
    <n v="23496.258000000002"/>
    <n v="281955.09600000002"/>
    <n v="22861.22"/>
    <n v="274334.64"/>
    <n v="25375.954200000004"/>
    <n v="304511.45040000003"/>
    <m/>
    <d v="2025-10-15T00:00:00"/>
    <m/>
    <s v="Lama"/>
    <s v="Sama"/>
    <s v="Aktif"/>
    <s v="IDR"/>
    <s v="10825"/>
    <s v="825 GR"/>
    <s v="S-HNZ"/>
    <s v="48HEINZ"/>
    <s v="KRT"/>
    <s v="GD01"/>
    <n v="11611"/>
    <n v="11612"/>
    <s v="0123"/>
    <n v="1"/>
    <s v="PT. HEINZ ABC INDONESIA"/>
    <n v="0"/>
    <n v="21167.8"/>
    <n v="21167.8"/>
  </r>
  <r>
    <s v="A10110000925101"/>
    <n v="1"/>
    <n v="29"/>
    <x v="32"/>
    <s v="RASA MANTAP SOY"/>
    <s v="ABC KCP MNS PCH 12X700ML 1909"/>
    <x v="3"/>
    <x v="23"/>
    <x v="0"/>
    <s v="KECAP MANIS"/>
    <s v="A1011"/>
    <x v="18"/>
    <n v="14"/>
    <s v="ABC KECAP MANIS 925 GR X 12 PCH"/>
    <n v="31"/>
    <s v="ABC"/>
    <s v="A1"/>
    <s v="KECAP"/>
    <s v="01"/>
    <s v="MANIS"/>
    <n v="1"/>
    <m/>
    <s v="0"/>
    <m/>
    <s v="00"/>
    <s v="925 GR"/>
    <s v="0925"/>
    <s v="PCH"/>
    <s v="1"/>
    <m/>
    <s v="0"/>
    <m/>
    <m/>
    <m/>
    <s v="GRAM"/>
    <n v="1"/>
    <m/>
    <n v="20620.723599999998"/>
    <n v="247448.68319999997"/>
    <n v="22889.003195999998"/>
    <n v="274668.038352"/>
    <n v="21936.94"/>
    <n v="263243.27999999997"/>
    <n v="24350.003400000001"/>
    <n v="292200.04080000002"/>
    <n v="0"/>
    <n v="0"/>
    <n v="0"/>
    <n v="0"/>
    <m/>
    <d v="2024-09-18T00:00:00"/>
    <d v="2024-09-18T00:00:00"/>
    <s v="Lama"/>
    <s v="Sama"/>
    <s v="Aktif"/>
    <s v="IDR"/>
    <s v="10925"/>
    <s v="925 GR"/>
    <s v="S-HNZ"/>
    <s v="48HEINZ"/>
    <s v="KRT"/>
    <s v="GD01"/>
    <n v="11611"/>
    <n v="11612"/>
    <s v="0123"/>
    <n v="1"/>
    <s v="PT. HEINZ ABC INDONESIA"/>
    <n v="0"/>
    <n v="21936.94"/>
    <n v="21936.94"/>
  </r>
  <r>
    <s v="A10110000925102"/>
    <n v="2"/>
    <n v="30"/>
    <x v="33"/>
    <s v="RASA MANTAP SOY"/>
    <s v="ABC KCP MNS PCH 12X925G 2208"/>
    <x v="3"/>
    <x v="24"/>
    <x v="0"/>
    <s v="KECAP MANIS"/>
    <s v="A1011"/>
    <x v="18"/>
    <n v="14"/>
    <s v="ABC KECAP MANIS 925 GR X 12 PCH"/>
    <n v="31"/>
    <s v="ABC"/>
    <s v="A1"/>
    <s v="KECAP"/>
    <s v="01"/>
    <s v="MANIS"/>
    <n v="1"/>
    <m/>
    <s v="0"/>
    <m/>
    <s v="00"/>
    <s v="925 GR"/>
    <s v="0925"/>
    <s v="PCH"/>
    <s v="1"/>
    <m/>
    <s v="0"/>
    <m/>
    <m/>
    <m/>
    <s v="GRAM"/>
    <n v="1"/>
    <m/>
    <n v="20620.723599999998"/>
    <n v="247448.68319999997"/>
    <n v="22889.003195999998"/>
    <n v="274668.038352"/>
    <n v="21936.94"/>
    <n v="263243.27999999997"/>
    <n v="24350.003400000001"/>
    <n v="292200.04080000002"/>
    <n v="0"/>
    <n v="0"/>
    <n v="0"/>
    <n v="0"/>
    <m/>
    <d v="2024-09-18T00:00:00"/>
    <d v="2024-09-18T00:00:00"/>
    <s v="Lama"/>
    <s v="Sama"/>
    <s v="Aktif"/>
    <s v="IDR"/>
    <s v="10925"/>
    <s v="925 GR"/>
    <s v="S-HNZ"/>
    <s v="48HEINZ"/>
    <s v="KRT"/>
    <s v="GD01"/>
    <n v="11611"/>
    <n v="11612"/>
    <s v="0123"/>
    <n v="1"/>
    <s v="PT. HEINZ ABC INDONESIA"/>
    <n v="0"/>
    <n v="21936.94"/>
    <n v="21936.94"/>
  </r>
  <r>
    <s v="A10110001006101"/>
    <n v="1"/>
    <n v="31"/>
    <x v="34"/>
    <s v="RASA MANTAP SOY"/>
    <s v="ABC KCP MNS JRG 6KG 2111"/>
    <x v="4"/>
    <x v="25"/>
    <x v="2"/>
    <s v="KECAP MANIS"/>
    <s v="A1011"/>
    <x v="19"/>
    <n v="14"/>
    <s v="ABC KECAP MANIS 6 KG X 1 JRG"/>
    <n v="28"/>
    <s v="ABC"/>
    <s v="A1"/>
    <s v="KECAP"/>
    <s v="01"/>
    <s v="MANIS"/>
    <n v="1"/>
    <m/>
    <s v="0"/>
    <m/>
    <s v="00"/>
    <s v="6 KG"/>
    <n v="1006"/>
    <s v="JRG"/>
    <s v="1"/>
    <m/>
    <n v="0"/>
    <m/>
    <m/>
    <m/>
    <s v="GRAM"/>
    <n v="1"/>
    <m/>
    <n v="131767.85714285713"/>
    <n v="131767.85714285713"/>
    <n v="146262.32142857142"/>
    <n v="146262.32142857142"/>
    <n v="140178.57142857142"/>
    <n v="140178.57142857142"/>
    <n v="155598.21428571429"/>
    <n v="155598.21428571429"/>
    <n v="151392.85714285713"/>
    <n v="151392.85714285713"/>
    <n v="168046.07142857142"/>
    <n v="168046.07142857142"/>
    <m/>
    <d v="2024-09-18T00:00:00"/>
    <d v="2025-07-01T00:00:00"/>
    <s v="Lama"/>
    <s v="Sama"/>
    <s v="Aktif"/>
    <s v="IDR"/>
    <s v="11006"/>
    <s v="6 KG"/>
    <s v="S-HNZ"/>
    <s v="48HEINZ"/>
    <s v="KRT"/>
    <s v="GD01"/>
    <n v="11611"/>
    <n v="11612"/>
    <s v="0123"/>
    <n v="1"/>
    <s v="PT. HEINZ ABC INDONESIA"/>
    <n v="0"/>
    <n v="140178.57142857142"/>
    <n v="140178.57142857142"/>
  </r>
  <r>
    <s v="A10110001006102"/>
    <n v="2"/>
    <n v="32"/>
    <x v="35"/>
    <s v="RASA MANTAP SOY"/>
    <s v="ABC KECAP MANIS 6 KG X 1 JRG"/>
    <x v="4"/>
    <x v="25"/>
    <x v="2"/>
    <s v="KECAP MANIS"/>
    <s v="A1011"/>
    <x v="19"/>
    <n v="14"/>
    <s v="ABC KECAP MANIS 6 KG X 1 JRG"/>
    <n v="28"/>
    <s v="ABC"/>
    <s v="A1"/>
    <s v="KECAP"/>
    <s v="01"/>
    <s v="MANIS"/>
    <n v="1"/>
    <m/>
    <s v="0"/>
    <m/>
    <s v="00"/>
    <s v="6 KG"/>
    <n v="1006"/>
    <s v="JRG"/>
    <s v="1"/>
    <m/>
    <n v="0"/>
    <m/>
    <m/>
    <m/>
    <s v="GRAM"/>
    <n v="1"/>
    <m/>
    <n v="131767.85714285713"/>
    <n v="131767.85714285713"/>
    <n v="146262.32142857142"/>
    <n v="146262.32142857142"/>
    <n v="140178.57142857142"/>
    <n v="140178.57142857142"/>
    <n v="155598.21428571429"/>
    <n v="155598.21428571429"/>
    <n v="151392.85714285713"/>
    <n v="151392.85714285713"/>
    <n v="168046.07142857142"/>
    <n v="168046.07142857142"/>
    <m/>
    <m/>
    <d v="2025-07-01T00:00:00"/>
    <s v="Lama"/>
    <s v="Sama"/>
    <s v="Aktif"/>
    <s v="IDR"/>
    <s v="11006"/>
    <s v="6 KG"/>
    <s v="S-HNZ"/>
    <s v="48HEINZ"/>
    <s v="KRT"/>
    <s v="GD01"/>
    <n v="11611"/>
    <n v="11612"/>
    <s v="0123"/>
    <n v="1"/>
    <s v="PT. HEINZ ABC INDONESIA"/>
    <n v="0"/>
    <n v="140178.57142857142"/>
    <n v="140178.57142857142"/>
  </r>
  <r>
    <s v="A10110001025101"/>
    <n v="1"/>
    <n v="33"/>
    <x v="36"/>
    <s v="RASA MANTAP SOY"/>
    <s v="ABC KCP MNS JRG 25KG 2006"/>
    <x v="4"/>
    <x v="26"/>
    <x v="2"/>
    <s v="KECAP MANIS"/>
    <s v="A1011"/>
    <x v="20"/>
    <n v="14"/>
    <s v="ABC KECAP MANIS 25 KG X 1 JRG"/>
    <n v="29"/>
    <s v="ABC"/>
    <s v="A1"/>
    <s v="KECAP"/>
    <s v="01"/>
    <s v="MANIS"/>
    <n v="1"/>
    <m/>
    <s v="0"/>
    <m/>
    <s v="00"/>
    <s v="25 KG"/>
    <n v="1025"/>
    <s v="JRG"/>
    <s v="1"/>
    <m/>
    <n v="0"/>
    <m/>
    <m/>
    <m/>
    <s v="GRAM"/>
    <n v="1"/>
    <m/>
    <n v="478163.5992"/>
    <n v="478163.5992"/>
    <n v="530761.59511200001"/>
    <n v="530761.59511200001"/>
    <n v="508684.68"/>
    <n v="508684.68"/>
    <n v="564639.99479999999"/>
    <n v="564639.99479999999"/>
    <n v="549379.44999999995"/>
    <n v="549379.44999999995"/>
    <n v="609811.18949999998"/>
    <n v="609811.18949999998"/>
    <m/>
    <d v="2024-09-18T00:00:00"/>
    <d v="2024-09-18T00:00:00"/>
    <s v="Lama"/>
    <s v="Sama"/>
    <s v="Aktif"/>
    <s v="IDR"/>
    <s v="11025"/>
    <s v="25 KG"/>
    <s v="S-HNZ"/>
    <s v="48HEINZ"/>
    <s v="KRT"/>
    <s v="GD01"/>
    <n v="11611"/>
    <n v="11612"/>
    <s v="0123"/>
    <n v="1"/>
    <s v="PT. HEINZ ABC INDONESIA"/>
    <n v="0"/>
    <n v="508684.68"/>
    <n v="508684.68"/>
  </r>
  <r>
    <s v="A10110001025102"/>
    <n v="2"/>
    <n v="34"/>
    <x v="37"/>
    <s v="RASA MANTAP SOY"/>
    <s v="ABC KCP MNS JRG 25KG 2006"/>
    <x v="4"/>
    <x v="27"/>
    <x v="2"/>
    <s v="KECAP MANIS"/>
    <s v="A1011"/>
    <x v="20"/>
    <n v="14"/>
    <s v="ABC KECAP MANIS 25 KG X 1 JRG"/>
    <n v="29"/>
    <s v="ABC"/>
    <s v="A1"/>
    <s v="KECAP"/>
    <s v="01"/>
    <s v="MANIS"/>
    <n v="1"/>
    <m/>
    <s v="0"/>
    <m/>
    <s v="00"/>
    <s v="25 KG"/>
    <n v="1025"/>
    <s v="JRG"/>
    <s v="1"/>
    <m/>
    <n v="0"/>
    <m/>
    <m/>
    <m/>
    <s v="GRAM"/>
    <n v="1"/>
    <m/>
    <n v="478163.5992"/>
    <n v="478163.5992"/>
    <n v="530761.59511200001"/>
    <n v="530761.59511200001"/>
    <n v="508684.68"/>
    <n v="508684.68"/>
    <n v="564639.99479999999"/>
    <n v="564639.99479999999"/>
    <n v="549379.44999999995"/>
    <n v="549379.44999999995"/>
    <n v="609811.18949999998"/>
    <n v="609811.18949999998"/>
    <m/>
    <m/>
    <d v="2024-09-18T00:00:00"/>
    <s v="Lama"/>
    <s v="Sama"/>
    <s v="Aktif"/>
    <s v="IDR"/>
    <s v="11025"/>
    <s v="25 KG"/>
    <s v="S-HNZ"/>
    <s v="48HEINZ"/>
    <s v="KRT"/>
    <s v="GD01"/>
    <n v="11611"/>
    <n v="11612"/>
    <s v="0123"/>
    <n v="1"/>
    <s v="PT. HEINZ ABC INDONESIA"/>
    <n v="0"/>
    <n v="508684.68"/>
    <n v="508684.68"/>
  </r>
  <r>
    <s v="A10110010520101"/>
    <n v="1"/>
    <n v="35"/>
    <x v="38"/>
    <s v="RASA MANTAP SOY"/>
    <s v="SOTO KCP MNS PCH 12X520ML 1605"/>
    <x v="3"/>
    <x v="28"/>
    <x v="0"/>
    <s v="KECAP MANIS"/>
    <s v="A1011"/>
    <x v="21"/>
    <n v="14"/>
    <s v="ABC KECAP MANIS SOTO 520 ML X 12 PCH"/>
    <n v="36"/>
    <s v="ABC"/>
    <s v="A1"/>
    <s v="KECAP"/>
    <s v="01"/>
    <s v="MANIS"/>
    <n v="1"/>
    <m/>
    <s v="0"/>
    <s v="SOTO"/>
    <s v="01"/>
    <s v="520 ML"/>
    <s v="0520"/>
    <s v="PCH"/>
    <s v="1"/>
    <m/>
    <s v="0"/>
    <m/>
    <m/>
    <m/>
    <s v="LITER"/>
    <n v="2"/>
    <m/>
    <n v="12770.454600000001"/>
    <n v="153245.45520000003"/>
    <n v="14175.204606000003"/>
    <n v="170102.45527200005"/>
    <n v="13585.59"/>
    <n v="163027.08000000002"/>
    <n v="15080.004900000002"/>
    <n v="180960.05880000003"/>
    <n v="14672.44"/>
    <n v="176069.28"/>
    <n v="16286.408400000002"/>
    <n v="195436.90080000003"/>
    <m/>
    <d v="2024-09-18T00:00:00"/>
    <d v="2024-09-18T00:00:00"/>
    <s v="Lama"/>
    <s v="Sama"/>
    <s v="Aktif"/>
    <s v="IDR"/>
    <s v="20520"/>
    <s v="520 ML"/>
    <s v="S-HNZ"/>
    <s v="48HEINZ"/>
    <s v="KRT"/>
    <s v="GD01"/>
    <n v="11611"/>
    <n v="11612"/>
    <s v="0123"/>
    <n v="1"/>
    <s v="PT. HEINZ ABC INDONESIA"/>
    <n v="0"/>
    <n v="13585.59"/>
    <n v="13585.59"/>
  </r>
  <r>
    <s v="A1011001052010"/>
    <m/>
    <m/>
    <x v="10"/>
    <m/>
    <s v="SOTO KCP MNS PCH 12X520ML 1605"/>
    <x v="3"/>
    <x v="29"/>
    <x v="0"/>
    <s v="KECAP MANIS"/>
    <s v="A1011"/>
    <x v="21"/>
    <n v="14"/>
    <s v="ABC KECAP MANIS SOTO 520 ML X 12 PCH"/>
    <n v="36"/>
    <s v="ABC"/>
    <s v="A1"/>
    <s v="KECAP"/>
    <s v="01"/>
    <s v="MANIS"/>
    <n v="1"/>
    <m/>
    <s v="0"/>
    <s v="SOTO"/>
    <s v="01"/>
    <s v="520 ML"/>
    <s v="0520"/>
    <s v="PCH"/>
    <s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520"/>
    <s v="520 ML"/>
    <m/>
    <m/>
    <s v="KRT"/>
    <s v="GD01"/>
    <n v="11611"/>
    <n v="11612"/>
    <m/>
    <n v="1"/>
    <m/>
    <n v="0"/>
    <n v="0"/>
    <n v="0"/>
  </r>
  <r>
    <s v="A10110010620101"/>
    <n v="1"/>
    <n v="36"/>
    <x v="39"/>
    <s v="RASA MANTAP SOY"/>
    <s v="SOTO KCP MNS BTL 12x620ML 2106"/>
    <x v="3"/>
    <x v="30"/>
    <x v="1"/>
    <s v="KECAP MANIS"/>
    <s v="A1011"/>
    <x v="22"/>
    <n v="14"/>
    <s v="ABC KECAP MANIS SOTO 620 ML X 12 BTL"/>
    <n v="36"/>
    <s v="ABC"/>
    <s v="A1"/>
    <s v="KECAP"/>
    <s v="01"/>
    <s v="MANIS"/>
    <n v="1"/>
    <m/>
    <s v="0"/>
    <s v="SOTO"/>
    <s v="01"/>
    <s v="620 ML"/>
    <s v="0620"/>
    <s v="BTL"/>
    <s v="1"/>
    <m/>
    <n v="0"/>
    <m/>
    <m/>
    <m/>
    <s v="LITER"/>
    <n v="2"/>
    <m/>
    <n v="17445.046400000003"/>
    <n v="209340.55680000002"/>
    <n v="19364.001504000003"/>
    <n v="232368.01804800006"/>
    <n v="18558.560000000001"/>
    <n v="222702.72000000003"/>
    <n v="20600.001600000003"/>
    <n v="247200.01920000007"/>
    <n v="20043"/>
    <n v="240516"/>
    <n v="22247.730000000003"/>
    <n v="266972.76"/>
    <m/>
    <d v="2024-09-18T00:00:00"/>
    <d v="2024-09-18T00:00:00"/>
    <s v="Lama"/>
    <s v="Sama"/>
    <s v="Aktif"/>
    <s v="IDR"/>
    <s v="20620"/>
    <s v="620 ML"/>
    <s v="S-HNZ"/>
    <s v="48HEINZ"/>
    <s v="KRT"/>
    <s v="GD01"/>
    <n v="11611"/>
    <n v="11612"/>
    <s v="0123"/>
    <n v="1"/>
    <s v="PT. HEINZ ABC INDONESIA"/>
    <n v="0"/>
    <n v="18558.560000000001"/>
    <n v="18558.560000000001"/>
  </r>
  <r>
    <s v="A10110010620102"/>
    <n v="2"/>
    <n v="293"/>
    <x v="39"/>
    <m/>
    <s v="SOTO KCP MNS BTL 12x620ML 2106"/>
    <x v="3"/>
    <x v="31"/>
    <x v="1"/>
    <s v="KECAP MANIS"/>
    <s v="A1011"/>
    <x v="22"/>
    <n v="14"/>
    <s v="ABC KECAP MANIS SOTO 620 ML X 12 BTL"/>
    <n v="36"/>
    <s v="ABC"/>
    <s v="A1"/>
    <s v="KECAP"/>
    <s v="01"/>
    <s v="MANIS"/>
    <n v="1"/>
    <m/>
    <s v="0"/>
    <s v="SOTO"/>
    <s v="01"/>
    <s v="620 ML"/>
    <s v="0620"/>
    <s v="BTL"/>
    <s v="1"/>
    <m/>
    <n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620"/>
    <s v="620 ML"/>
    <m/>
    <m/>
    <s v="KRT"/>
    <s v="GD01"/>
    <n v="11611"/>
    <n v="11612"/>
    <m/>
    <n v="1"/>
    <m/>
    <n v="0"/>
    <n v="0"/>
    <n v="0"/>
  </r>
  <r>
    <s v="A10110020520101"/>
    <n v="1"/>
    <n v="37"/>
    <x v="40"/>
    <s v="RASA MANTAP SOY"/>
    <s v="HOKI KCP MNS PCH 12X520ML 2008"/>
    <x v="3"/>
    <x v="32"/>
    <x v="0"/>
    <s v="KECAP MANIS"/>
    <s v="A1011"/>
    <x v="23"/>
    <n v="14"/>
    <s v="ABC KECAP MANIS HOKI 520 ML X 12 PCH"/>
    <n v="36"/>
    <s v="ABC"/>
    <s v="A1"/>
    <s v="KECAP"/>
    <s v="01"/>
    <s v="MANIS"/>
    <n v="1"/>
    <m/>
    <s v="0"/>
    <s v="HOKI"/>
    <s v="02"/>
    <s v="520 ML"/>
    <s v="0520"/>
    <s v="PCH"/>
    <s v="1"/>
    <m/>
    <n v="0"/>
    <m/>
    <m/>
    <m/>
    <s v="LITER"/>
    <n v="2"/>
    <m/>
    <n v="13651.168800000001"/>
    <n v="163814.02560000002"/>
    <n v="15152.797368000003"/>
    <n v="181833.56841600005"/>
    <n v="14522.52"/>
    <n v="174270.24"/>
    <n v="16119.997200000002"/>
    <n v="193439.9664"/>
    <n v="15684.32"/>
    <n v="188211.84"/>
    <n v="17409.5952"/>
    <n v="208915.14240000001"/>
    <m/>
    <d v="2024-09-18T00:00:00"/>
    <d v="2024-09-18T00:00:00"/>
    <s v="Lama"/>
    <s v="Sama"/>
    <s v="Aktif"/>
    <s v="IDR"/>
    <s v="20520"/>
    <s v="520 ML"/>
    <s v="S-HNZ"/>
    <s v="48HEINZ"/>
    <s v="KRT"/>
    <s v="GD01"/>
    <n v="11611"/>
    <n v="11612"/>
    <s v="0123"/>
    <n v="1"/>
    <s v="PT. HEINZ ABC INDONESIA"/>
    <n v="0"/>
    <n v="14522.52"/>
    <n v="14522.52"/>
  </r>
  <r>
    <s v="A10110030135101"/>
    <n v="1"/>
    <n v="38"/>
    <x v="41"/>
    <s v="RASA MANTAP SOY"/>
    <s v="ABC K.MNS DG ASAP 48X135ML2111"/>
    <x v="0"/>
    <x v="4"/>
    <x v="1"/>
    <s v="KECAP MANIS"/>
    <s v="A1011"/>
    <x v="24"/>
    <n v="14"/>
    <s v="ABC KECAP MANIS DAGING ASAP 135 ML X 48 BTL"/>
    <n v="43"/>
    <s v="ABC"/>
    <s v="A1"/>
    <s v="KECAP"/>
    <s v="01"/>
    <s v="MANIS"/>
    <n v="1"/>
    <m/>
    <s v="0"/>
    <s v="DAGING ASAP"/>
    <s v="03"/>
    <s v="135 ML"/>
    <s v="0135"/>
    <s v="BTL"/>
    <s v="1"/>
    <m/>
    <s v="0"/>
    <m/>
    <m/>
    <m/>
    <s v="LITER"/>
    <n v="2"/>
    <m/>
    <n v="7282.8850000000002"/>
    <n v="349578.48"/>
    <n v="8084.0023500000007"/>
    <n v="388032.1128"/>
    <n v="7747.75"/>
    <n v="371892"/>
    <n v="8600.0025000000005"/>
    <n v="412800.12000000005"/>
    <n v="8367.57"/>
    <n v="401643.36"/>
    <n v="9288.0027000000009"/>
    <n v="445824.12960000004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7747.75"/>
    <n v="7747.75"/>
  </r>
  <r>
    <s v="A10110030650101"/>
    <n v="1"/>
    <n v="39"/>
    <x v="42"/>
    <s v="RASA MANTAP SOY"/>
    <s v="ABC K.MNS DG ASAP 12X650G 2111"/>
    <x v="3"/>
    <x v="4"/>
    <x v="0"/>
    <s v="KECAP MANIS"/>
    <s v="A1011"/>
    <x v="25"/>
    <n v="14"/>
    <s v="ABC KECAP MANIS DAGING ASAP 650 GR X 12 PCH"/>
    <n v="43"/>
    <s v="ABC"/>
    <s v="A1"/>
    <s v="KECAP"/>
    <s v="01"/>
    <s v="MANIS"/>
    <n v="1"/>
    <m/>
    <s v="0"/>
    <s v="DAGING ASAP"/>
    <s v="03"/>
    <s v="650 GR"/>
    <s v="0650"/>
    <s v="PCH"/>
    <s v="1"/>
    <m/>
    <s v="0"/>
    <m/>
    <m/>
    <m/>
    <s v="GRAM"/>
    <n v="1"/>
    <m/>
    <n v="18800"/>
    <n v="225600"/>
    <n v="20868.000000000004"/>
    <n v="250416.00000000003"/>
    <n v="20000"/>
    <n v="240000"/>
    <n v="22200.000000000004"/>
    <n v="266400"/>
    <n v="21600"/>
    <n v="259200"/>
    <n v="23976.000000000004"/>
    <n v="287712.00000000006"/>
    <m/>
    <d v="2024-09-18T00:00:00"/>
    <d v="2024-09-18T00:00:00"/>
    <s v="Lama"/>
    <s v="Sama"/>
    <s v="Aktif"/>
    <s v="IDR"/>
    <s v="10650"/>
    <s v="650 GR"/>
    <s v="S-HNZ"/>
    <s v="48HEINZ"/>
    <s v="KRT"/>
    <s v="GD01"/>
    <n v="11611"/>
    <n v="11612"/>
    <s v="0123"/>
    <n v="1"/>
    <s v="PT. HEINZ ABC INDONESIA"/>
    <n v="0"/>
    <n v="20000"/>
    <n v="20000"/>
  </r>
  <r>
    <s v="A10110040150201"/>
    <n v="1"/>
    <n v="40"/>
    <x v="43"/>
    <s v="RASA MANTAP SOY"/>
    <s v="ABC K.MNS SEAFOOD 48X135G 2201"/>
    <x v="0"/>
    <x v="4"/>
    <x v="1"/>
    <s v="KECAP MANIS"/>
    <s v="A1011"/>
    <x v="26"/>
    <n v="14"/>
    <s v="ABC KECAP MANIS SEAFOOD 135 GR X 48 BTL"/>
    <n v="39"/>
    <s v="ABC"/>
    <s v="A1"/>
    <s v="KECAP"/>
    <s v="01"/>
    <s v="MANIS"/>
    <n v="1"/>
    <m/>
    <s v="0"/>
    <s v="SEAFOOD"/>
    <s v="04"/>
    <s v="135 GR"/>
    <s v="0150"/>
    <s v="BTL"/>
    <n v="2"/>
    <m/>
    <s v="0"/>
    <m/>
    <m/>
    <m/>
    <s v="GRAM"/>
    <n v="1"/>
    <m/>
    <n v="7282.8850000000002"/>
    <n v="349578.48"/>
    <n v="8084.0023500000007"/>
    <n v="388032.1128"/>
    <n v="7747.75"/>
    <n v="371892"/>
    <n v="8600.0025000000005"/>
    <n v="412800.12000000005"/>
    <n v="8367.57"/>
    <n v="401643.36"/>
    <n v="9288.0027000000009"/>
    <n v="445824.12960000004"/>
    <m/>
    <d v="2024-09-18T00:00:00"/>
    <d v="2024-09-18T00:00:00"/>
    <s v="Lama"/>
    <s v="Sama"/>
    <s v="Aktif"/>
    <s v="IDR"/>
    <s v="10150"/>
    <s v="135 GR"/>
    <s v="S-HNZ"/>
    <s v="48HEINZ"/>
    <s v="KRT"/>
    <s v="GD01"/>
    <n v="11611"/>
    <n v="11612"/>
    <s v="0123"/>
    <n v="1"/>
    <s v="PT. HEINZ ABC INDONESIA"/>
    <n v="0"/>
    <n v="7747.75"/>
    <n v="7747.75"/>
  </r>
  <r>
    <s v="A10110040650101"/>
    <n v="1"/>
    <n v="41"/>
    <x v="44"/>
    <s v="RASA MANTAP SOY"/>
    <s v="ABC K.MNS SEAFOOD 12X650G 2201"/>
    <x v="3"/>
    <x v="4"/>
    <x v="0"/>
    <s v="KECAP MANIS"/>
    <s v="A1011"/>
    <x v="27"/>
    <n v="14"/>
    <s v="ABC KECAP MANIS SEAFODD 650 GR X 12 PCH"/>
    <n v="39"/>
    <s v="ABC"/>
    <s v="A1"/>
    <s v="KECAP"/>
    <s v="01"/>
    <s v="MANIS"/>
    <n v="1"/>
    <m/>
    <s v="0"/>
    <s v="SEAFODD"/>
    <s v="04"/>
    <s v="650 GR"/>
    <s v="0650"/>
    <s v="PCH"/>
    <s v="1"/>
    <m/>
    <s v="0"/>
    <m/>
    <m/>
    <m/>
    <s v="GRAM"/>
    <n v="1"/>
    <m/>
    <n v="18800"/>
    <n v="225600"/>
    <n v="20868.000000000004"/>
    <n v="250416.00000000003"/>
    <n v="20000"/>
    <n v="240000"/>
    <n v="22200.000000000004"/>
    <n v="266400"/>
    <n v="21600"/>
    <n v="259200"/>
    <n v="23976.000000000004"/>
    <n v="287712.00000000006"/>
    <m/>
    <d v="2024-09-18T00:00:00"/>
    <d v="2024-09-18T00:00:00"/>
    <s v="Lama"/>
    <s v="Sama"/>
    <s v="Aktif"/>
    <s v="IDR"/>
    <s v="10650"/>
    <s v="650 GR"/>
    <s v="S-HNZ"/>
    <s v="48HEINZ"/>
    <s v="KRT"/>
    <s v="GD01"/>
    <n v="11611"/>
    <n v="11612"/>
    <s v="0123"/>
    <n v="1"/>
    <s v="PT. HEINZ ABC INDONESIA"/>
    <n v="0"/>
    <n v="20000"/>
    <n v="20000"/>
  </r>
  <r>
    <s v="A10110050135101"/>
    <n v="1"/>
    <n v="42"/>
    <x v="45"/>
    <s v="RASA MANTAP SOY"/>
    <s v="ABC KCP PEDAS PET 48X135ML2106"/>
    <x v="0"/>
    <x v="33"/>
    <x v="1"/>
    <s v="KECAP MANIS"/>
    <s v="A1011"/>
    <x v="28"/>
    <n v="14"/>
    <s v="ABC KECAP MANIS PEDAS 135 ML X 48 BTL"/>
    <n v="37"/>
    <s v="ABC"/>
    <s v="A1"/>
    <s v="KECAP"/>
    <s v="01"/>
    <s v="MANIS"/>
    <n v="1"/>
    <m/>
    <s v="0"/>
    <s v="PEDAS"/>
    <s v="05"/>
    <s v="135 ML"/>
    <s v="0135"/>
    <s v="BTL"/>
    <s v="1"/>
    <m/>
    <n v="0"/>
    <m/>
    <m/>
    <m/>
    <s v="LITER"/>
    <n v="2"/>
    <m/>
    <n v="8807.2078000000001"/>
    <n v="422745.97440000001"/>
    <n v="9776.0006580000008"/>
    <n v="469248.03158400004"/>
    <n v="9369.3700000000008"/>
    <n v="449729.76"/>
    <n v="10400.000700000002"/>
    <n v="499200.03360000008"/>
    <n v="10118.92"/>
    <n v="485708.16000000003"/>
    <n v="11232.001200000001"/>
    <n v="539136.05760000006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9369.3700000000008"/>
    <n v="9369.3700000000008"/>
  </r>
  <r>
    <s v="A10110050135102"/>
    <n v="2"/>
    <n v="43"/>
    <x v="46"/>
    <s v="RASA MANTAP SOY"/>
    <s v="ABC K.MNS PDS PET 48X135ML2201"/>
    <x v="0"/>
    <x v="34"/>
    <x v="1"/>
    <s v="KECAP MANIS"/>
    <s v="A1011"/>
    <x v="28"/>
    <n v="14"/>
    <s v="ABC KECAP MANIS PEDAS 135 ML X 48 BTL"/>
    <n v="37"/>
    <s v="ABC"/>
    <s v="A1"/>
    <s v="KECAP"/>
    <s v="01"/>
    <s v="MANIS"/>
    <n v="1"/>
    <m/>
    <s v="0"/>
    <s v="PEDAS"/>
    <s v="05"/>
    <s v="135 ML"/>
    <s v="0135"/>
    <s v="BTL"/>
    <s v="1"/>
    <m/>
    <n v="0"/>
    <m/>
    <m/>
    <m/>
    <s v="LITER"/>
    <n v="2"/>
    <m/>
    <n v="8807.2078000000001"/>
    <n v="422745.97440000001"/>
    <n v="9776.0006580000008"/>
    <n v="469248.03158400004"/>
    <n v="9369.3700000000008"/>
    <n v="449729.76"/>
    <n v="10400.000700000002"/>
    <n v="499200.03360000008"/>
    <n v="10118.92"/>
    <n v="485708.16000000003"/>
    <n v="11232.001200000001"/>
    <n v="539136.05760000006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9369.3700000000008"/>
    <n v="9369.3700000000008"/>
  </r>
  <r>
    <s v="A10110050275101"/>
    <n v="1"/>
    <n v="44"/>
    <x v="47"/>
    <s v="RASA MANTAP SOY"/>
    <s v="ABC KCP PEDAS PET 24X275ML2106"/>
    <x v="1"/>
    <x v="35"/>
    <x v="1"/>
    <s v="KECAP MANIS"/>
    <s v="A1011"/>
    <x v="29"/>
    <n v="14"/>
    <s v="ABC KECAP MANIS PEDAS 275 ML X 24 BTL"/>
    <n v="37"/>
    <s v="ABC"/>
    <s v="A1"/>
    <s v="KECAP"/>
    <s v="01"/>
    <s v="MANIS"/>
    <n v="1"/>
    <m/>
    <s v="0"/>
    <s v="PEDAS"/>
    <s v="05"/>
    <s v="275 ML"/>
    <s v="0275"/>
    <s v="BTL"/>
    <s v="1"/>
    <m/>
    <s v="0"/>
    <m/>
    <m/>
    <m/>
    <s v="LITER"/>
    <n v="2"/>
    <m/>
    <n v="15649.731000000002"/>
    <n v="375593.54400000005"/>
    <n v="17371.201410000001"/>
    <n v="416908.83384000009"/>
    <n v="16648.650000000001"/>
    <n v="399567.60000000003"/>
    <n v="18480.001500000002"/>
    <n v="443520.03600000008"/>
    <n v="17980.54"/>
    <n v="431532.96"/>
    <n v="19958.399400000002"/>
    <n v="479001.58560000005"/>
    <m/>
    <d v="2024-09-18T00:00:00"/>
    <d v="2024-09-18T00:00:00"/>
    <s v="Lama"/>
    <s v="Sama"/>
    <s v="Aktif"/>
    <s v="IDR"/>
    <s v="20275"/>
    <s v="275 ML"/>
    <s v="S-HNZ"/>
    <s v="48HEINZ"/>
    <s v="KRT"/>
    <s v="GD01"/>
    <n v="11611"/>
    <n v="11612"/>
    <s v="0123"/>
    <n v="1"/>
    <s v="PT. HEINZ ABC INDONESIA"/>
    <n v="0"/>
    <n v="16648.650000000001"/>
    <n v="16648.650000000001"/>
  </r>
  <r>
    <s v="A10110050275102"/>
    <n v="2"/>
    <n v="45"/>
    <x v="48"/>
    <s v="RASA MANTAP SOY"/>
    <s v="ABC K.MNS PDS PET 24X275ML2201"/>
    <x v="1"/>
    <x v="36"/>
    <x v="1"/>
    <s v="KECAP MANIS"/>
    <s v="A1011"/>
    <x v="29"/>
    <n v="14"/>
    <s v="ABC KECAP MANIS PEDAS 275 ML X 24 BTL"/>
    <n v="37"/>
    <s v="ABC"/>
    <s v="A1"/>
    <s v="KECAP"/>
    <s v="01"/>
    <s v="MANIS"/>
    <n v="1"/>
    <m/>
    <s v="0"/>
    <s v="PEDAS"/>
    <s v="05"/>
    <s v="275 ML"/>
    <s v="0275"/>
    <s v="BTL"/>
    <s v="1"/>
    <m/>
    <s v="0"/>
    <m/>
    <m/>
    <m/>
    <s v="LITER"/>
    <n v="2"/>
    <m/>
    <n v="15649.731000000002"/>
    <n v="375593.54400000005"/>
    <n v="17371.201410000001"/>
    <n v="416908.83384000009"/>
    <n v="16648.650000000001"/>
    <n v="399567.60000000003"/>
    <n v="18480.001500000002"/>
    <n v="443520.03600000008"/>
    <n v="17980.54"/>
    <n v="431532.96"/>
    <n v="19958.399400000002"/>
    <n v="479001.58560000005"/>
    <m/>
    <d v="2024-09-18T00:00:00"/>
    <d v="2024-09-18T00:00:00"/>
    <s v="Lama"/>
    <s v="Sama"/>
    <s v="Aktif"/>
    <s v="IDR"/>
    <s v="20275"/>
    <s v="275 ML"/>
    <s v="S-HNZ"/>
    <s v="48HEINZ"/>
    <s v="KRT"/>
    <s v="GD01"/>
    <n v="11611"/>
    <n v="11612"/>
    <s v="0123"/>
    <n v="1"/>
    <s v="PT. HEINZ ABC INDONESIA"/>
    <n v="0"/>
    <n v="16648.650000000001"/>
    <n v="16648.650000000001"/>
  </r>
  <r>
    <s v="A10110050275103"/>
    <n v="3"/>
    <n v="46"/>
    <x v="49"/>
    <s v="RASA MANTAP SOY"/>
    <s v="ABC K MSN PDS PET 24X275ML"/>
    <x v="1"/>
    <x v="37"/>
    <x v="1"/>
    <s v="KECAP MANIS"/>
    <s v="A1011"/>
    <x v="29"/>
    <n v="14"/>
    <s v="ABC KECAP MANIS PEDAS 275 ML X 24 BTL"/>
    <n v="37"/>
    <s v="ABC"/>
    <s v="A1"/>
    <s v="KECAP"/>
    <s v="01"/>
    <s v="MANIS"/>
    <n v="1"/>
    <m/>
    <s v="0"/>
    <s v="PEDAS"/>
    <s v="05"/>
    <s v="275 ML"/>
    <s v="0275"/>
    <s v="BTL"/>
    <s v="1"/>
    <m/>
    <s v="0"/>
    <m/>
    <m/>
    <m/>
    <s v="LITER"/>
    <n v="2"/>
    <m/>
    <n v="15649.731000000002"/>
    <n v="375593.54400000005"/>
    <n v="17371.201410000001"/>
    <n v="416908.83384000009"/>
    <n v="16648.650000000001"/>
    <n v="399567.60000000003"/>
    <n v="18480.001500000002"/>
    <n v="443520.03600000008"/>
    <n v="17980.54"/>
    <n v="431532.96"/>
    <n v="19958.399400000002"/>
    <n v="479001.58560000005"/>
    <m/>
    <d v="2025-08-06T00:00:00"/>
    <m/>
    <s v="Lama"/>
    <s v="Sama"/>
    <s v="Aktif"/>
    <s v="IDR"/>
    <s v="20275"/>
    <s v="275 ML"/>
    <m/>
    <m/>
    <s v="KRT"/>
    <s v="GD01"/>
    <n v="11611"/>
    <n v="11612"/>
    <m/>
    <n v="1"/>
    <m/>
    <n v="0"/>
    <n v="16648.650000000001"/>
    <n v="16648.650000000001"/>
  </r>
  <r>
    <s v="A10110060075101"/>
    <n v="1"/>
    <n v="47"/>
    <x v="50"/>
    <s v="RASA MANTAP SOY"/>
    <s v="ABC K.MNS EP PCH 48X70G 2201"/>
    <x v="0"/>
    <x v="38"/>
    <x v="0"/>
    <s v="KECAP MANIS"/>
    <s v="A1011"/>
    <x v="30"/>
    <n v="14"/>
    <s v="ABC KECAP MANIS EXTRA PEDAS 75 GR X 48 PCH"/>
    <n v="42"/>
    <s v="ABC"/>
    <s v="A1"/>
    <s v="KECAP"/>
    <s v="01"/>
    <s v="MANIS"/>
    <n v="1"/>
    <m/>
    <s v="0"/>
    <s v="EXTRA PEDAS"/>
    <s v="06"/>
    <s v="75 GR"/>
    <s v="0075"/>
    <s v="PCH"/>
    <s v="1"/>
    <m/>
    <s v="0"/>
    <m/>
    <m/>
    <m/>
    <s v="GRAM"/>
    <n v="1"/>
    <m/>
    <n v="1980.0160000000001"/>
    <n v="95040.768000000011"/>
    <n v="2197.8177600000004"/>
    <n v="105495.25248000002"/>
    <n v="2106.4"/>
    <n v="101107.20000000001"/>
    <n v="2338.1040000000003"/>
    <n v="112228.99200000003"/>
    <n v="2274.91"/>
    <n v="109195.68"/>
    <n v="2525.1500999999998"/>
    <n v="121207.20479999999"/>
    <m/>
    <d v="2024-09-18T00:00:00"/>
    <d v="2025-10-15T00:00:00"/>
    <s v="Lama"/>
    <s v="Sama"/>
    <s v="Aktif"/>
    <s v="IDR"/>
    <s v="10075"/>
    <s v="75 GR"/>
    <s v="S-HNZ"/>
    <s v="48HEINZ"/>
    <s v="KRT"/>
    <s v="GD01"/>
    <n v="11611"/>
    <n v="11612"/>
    <s v="0123"/>
    <n v="1"/>
    <s v="PT. HEINZ ABC INDONESIA"/>
    <n v="0"/>
    <n v="2106.4"/>
    <n v="2106.4"/>
  </r>
  <r>
    <s v="A10110060135201"/>
    <n v="1"/>
    <n v="48"/>
    <x v="51"/>
    <s v="RASA MANTAP SOY"/>
    <s v="ABC KCP EXT.PEDAS 48X135ML2106"/>
    <x v="0"/>
    <x v="39"/>
    <x v="1"/>
    <s v="KECAP MANIS"/>
    <s v="A1011"/>
    <x v="31"/>
    <n v="14"/>
    <s v="ABC KECAP MANIS EXTRA PEDAS 135 ML X 48 BTL"/>
    <n v="43"/>
    <s v="ABC"/>
    <s v="A1"/>
    <s v="KECAP"/>
    <s v="01"/>
    <s v="MANIS"/>
    <n v="1"/>
    <m/>
    <s v="0"/>
    <s v="EXTRA PEDAS"/>
    <s v="06"/>
    <s v="135 ML"/>
    <s v="0135"/>
    <s v="BTL"/>
    <s v="2"/>
    <m/>
    <n v="0"/>
    <m/>
    <m/>
    <m/>
    <s v="LITER"/>
    <n v="2"/>
    <m/>
    <n v="8807.2078000000001"/>
    <n v="422745.97440000001"/>
    <n v="9776.0006580000008"/>
    <n v="469248.03158400004"/>
    <n v="9369.3700000000008"/>
    <n v="449729.76"/>
    <n v="10400.000700000002"/>
    <n v="499200.03360000008"/>
    <n v="10118.92"/>
    <n v="485708.16000000003"/>
    <n v="11232.001200000001"/>
    <n v="539136.05760000006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9369.3700000000008"/>
    <n v="9369.3700000000008"/>
  </r>
  <r>
    <s v="A10110060135202"/>
    <n v="2"/>
    <n v="49"/>
    <x v="52"/>
    <s v="RASA MANTAP SOY"/>
    <s v="ABC K.MNS EP PET 48X135ML 2201"/>
    <x v="0"/>
    <x v="40"/>
    <x v="1"/>
    <s v="KECAP MANIS"/>
    <s v="A1011"/>
    <x v="31"/>
    <n v="14"/>
    <s v="ABC KECAP MANIS EXTRA PEDAS 135 ML X 48 BTL"/>
    <n v="43"/>
    <s v="ABC"/>
    <s v="A1"/>
    <s v="KECAP"/>
    <s v="01"/>
    <s v="MANIS"/>
    <n v="1"/>
    <m/>
    <s v="0"/>
    <s v="EXTRA PEDAS"/>
    <s v="06"/>
    <s v="135 ML"/>
    <s v="0135"/>
    <s v="BTL"/>
    <s v="2"/>
    <m/>
    <s v="0"/>
    <m/>
    <m/>
    <m/>
    <s v="LITER"/>
    <n v="2"/>
    <m/>
    <n v="8807.2078000000001"/>
    <n v="422745.97440000001"/>
    <n v="9776.0006580000008"/>
    <n v="469248.03158400004"/>
    <n v="9369.3700000000008"/>
    <n v="449729.76"/>
    <n v="10400.000700000002"/>
    <n v="499200.03360000008"/>
    <n v="10118.92"/>
    <n v="485708.16000000003"/>
    <n v="11232.001200000001"/>
    <n v="539136.05760000006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9369.3700000000008"/>
    <n v="9369.3700000000008"/>
  </r>
  <r>
    <s v="A10110060135203"/>
    <n v="3"/>
    <n v="281"/>
    <x v="53"/>
    <m/>
    <s v="ABC K.MNS EP PET 48X130ML 2407"/>
    <x v="0"/>
    <x v="41"/>
    <x v="1"/>
    <s v="KECAP MANIS"/>
    <s v="A1011"/>
    <x v="31"/>
    <n v="14"/>
    <s v="ABC KECAP MANIS EXTRA PEDAS 135/130 ML X 48 BTL"/>
    <n v="47"/>
    <s v="ABC"/>
    <s v="A1"/>
    <s v="KECAP"/>
    <s v="01"/>
    <s v="MANIS"/>
    <n v="1"/>
    <m/>
    <s v="0"/>
    <s v="EXTRA PEDAS"/>
    <s v="06"/>
    <s v="135/130 ML "/>
    <s v="0135"/>
    <s v="BTL"/>
    <s v="2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135"/>
    <s v="135/130 ML "/>
    <m/>
    <m/>
    <s v="KRT"/>
    <s v="GD01"/>
    <n v="11611"/>
    <n v="11612"/>
    <m/>
    <n v="1"/>
    <m/>
    <n v="0"/>
    <n v="0"/>
    <n v="0"/>
  </r>
  <r>
    <s v="A10111000015101"/>
    <n v="1"/>
    <n v="50"/>
    <x v="54"/>
    <s v="SOY SACHET"/>
    <s v="ABC KCPMNS SCT ND 288X15ML1607"/>
    <x v="1"/>
    <x v="42"/>
    <x v="3"/>
    <s v="KECAP MANIS"/>
    <s v="A1011"/>
    <x v="32"/>
    <n v="14"/>
    <s v="ABC KECAP MANIS SACHET 15/18 GR X 24 RCG PCSX12"/>
    <n v="47"/>
    <s v="ABC"/>
    <s v="A1"/>
    <s v="KECAP"/>
    <s v="01"/>
    <s v="MANIS"/>
    <n v="1"/>
    <s v="SACHET"/>
    <n v="1"/>
    <m/>
    <s v="00"/>
    <s v="15/18 GR"/>
    <s v="0015"/>
    <s v="PCSX12"/>
    <s v="1"/>
    <m/>
    <n v="0"/>
    <s v="RCG"/>
    <m/>
    <m/>
    <s v="GRAM"/>
    <n v="1"/>
    <m/>
    <n v="4234.2299999999996"/>
    <n v="101621.51999999999"/>
    <n v="4699.9952999999996"/>
    <n v="112799.8872"/>
    <n v="4504.5"/>
    <n v="108108"/>
    <n v="4999.9950000000008"/>
    <n v="119999.88"/>
    <n v="4729.7297297297291"/>
    <n v="113513.51351351349"/>
    <n v="5250"/>
    <n v="126000"/>
    <m/>
    <d v="2024-09-18T00:00:00"/>
    <d v="2024-09-18T00:00:00"/>
    <s v="Lama"/>
    <s v="Sama"/>
    <s v="Aktif"/>
    <s v="IDR"/>
    <s v="10015"/>
    <s v="15/18 GR"/>
    <s v="S-HNZ"/>
    <s v="48HEINZ"/>
    <s v="KRT"/>
    <s v="GD01"/>
    <n v="11611"/>
    <n v="11612"/>
    <s v="0123"/>
    <n v="1"/>
    <s v="PT. HEINZ ABC INDONESIA"/>
    <n v="0"/>
    <n v="4504.5"/>
    <n v="4504.5"/>
  </r>
  <r>
    <s v="A10111000015102"/>
    <n v="2"/>
    <n v="51"/>
    <x v="55"/>
    <s v="SOY SACHET"/>
    <s v="ABC KCP MNS SCT 24X12X15G 2208"/>
    <x v="1"/>
    <x v="43"/>
    <x v="3"/>
    <s v="KECAP MANIS"/>
    <s v="A1011"/>
    <x v="32"/>
    <n v="14"/>
    <s v="ABC KECAP MANIS SACHET 15/18 GR X 24 RCG PCSX12"/>
    <n v="47"/>
    <s v="ABC"/>
    <s v="A1"/>
    <s v="KECAP"/>
    <s v="01"/>
    <s v="MANIS"/>
    <n v="1"/>
    <s v="SACHET"/>
    <n v="1"/>
    <m/>
    <s v="00"/>
    <s v="15/18 GR"/>
    <s v="0015"/>
    <s v="PCSX12"/>
    <s v="1"/>
    <m/>
    <n v="0"/>
    <s v="RCG"/>
    <m/>
    <m/>
    <s v="GRAM"/>
    <n v="1"/>
    <m/>
    <n v="4234.2299999999996"/>
    <n v="101621.51999999999"/>
    <n v="4699.9952999999996"/>
    <n v="112799.8872"/>
    <n v="4504.5"/>
    <n v="108108"/>
    <n v="4999.9950000000008"/>
    <n v="119999.88"/>
    <n v="4729.7297297297291"/>
    <n v="113513.51351351349"/>
    <n v="5250"/>
    <n v="126000"/>
    <m/>
    <d v="2024-09-18T00:00:00"/>
    <d v="2024-09-18T00:00:00"/>
    <s v="Lama"/>
    <s v="Sama"/>
    <s v="Aktif"/>
    <s v="IDR"/>
    <s v="10015"/>
    <s v="15/18 GR"/>
    <s v="S-HNZ"/>
    <s v="48HEINZ"/>
    <s v="KRT"/>
    <s v="GD01"/>
    <n v="11611"/>
    <n v="11612"/>
    <s v="0123"/>
    <n v="1"/>
    <s v="PT. HEINZ ABC INDONESIA"/>
    <n v="0"/>
    <n v="4504.5"/>
    <n v="4504.5"/>
  </r>
  <r>
    <s v="A10111000015103"/>
    <n v="3"/>
    <n v="52"/>
    <x v="56"/>
    <s v="SOY SACHET"/>
    <s v="ABC KCP MNS SCT 24X12X15G 2208"/>
    <x v="1"/>
    <x v="44"/>
    <x v="3"/>
    <s v="KECAP MANIS"/>
    <s v="A1011"/>
    <x v="32"/>
    <n v="14"/>
    <s v="ABC KECAP MANIS SACHET 15/18 GR X 24 RCG PCSX12"/>
    <n v="47"/>
    <s v="ABC"/>
    <s v="A1"/>
    <s v="KECAP"/>
    <s v="01"/>
    <s v="MANIS"/>
    <n v="1"/>
    <s v="SACHET"/>
    <n v="1"/>
    <m/>
    <s v="00"/>
    <s v="15/18 GR"/>
    <s v="0015"/>
    <s v="PCSX12"/>
    <s v="1"/>
    <m/>
    <n v="0"/>
    <s v="RCG"/>
    <m/>
    <m/>
    <s v="GRAM"/>
    <n v="1"/>
    <m/>
    <n v="4234.2299999999996"/>
    <n v="101621.51999999999"/>
    <n v="4699.9952999999996"/>
    <n v="112799.8872"/>
    <n v="4504.5"/>
    <n v="108108"/>
    <n v="4999.9950000000008"/>
    <n v="119999.88"/>
    <n v="4729.7297297297291"/>
    <n v="113513.51351351349"/>
    <n v="5250"/>
    <n v="126000"/>
    <m/>
    <m/>
    <d v="2024-09-18T00:00:00"/>
    <s v="Lama"/>
    <s v="Sama"/>
    <s v="Aktif"/>
    <s v="IDR"/>
    <s v="10015"/>
    <s v="15/18 GR"/>
    <s v="S-HNZ"/>
    <s v="48HEINZ"/>
    <s v="KRT"/>
    <s v="GD01"/>
    <n v="11611"/>
    <n v="11612"/>
    <s v="0123"/>
    <n v="1"/>
    <s v="PT. HEINZ ABC INDONESIA"/>
    <n v="0"/>
    <n v="4504.5"/>
    <n v="4504.5"/>
  </r>
  <r>
    <s v="A10111000015104"/>
    <n v="4"/>
    <n v="53"/>
    <x v="57"/>
    <s v="SOY SACHET"/>
    <s v="ABC KCP MNS SCT 24X12X18G 2505"/>
    <x v="1"/>
    <x v="45"/>
    <x v="3"/>
    <s v="KECAP MANIS"/>
    <s v="A1011"/>
    <x v="32"/>
    <n v="14"/>
    <s v="ABC KECAP MANIS SACHET 15/18 GR X 24 RCG PCSX12"/>
    <n v="47"/>
    <s v="ABC"/>
    <s v="A1"/>
    <s v="KECAP"/>
    <s v="01"/>
    <s v="MANIS"/>
    <n v="1"/>
    <s v="SACHET"/>
    <n v="1"/>
    <m/>
    <s v="00"/>
    <s v="15/18 GR"/>
    <s v="0015"/>
    <s v="PCSX12"/>
    <s v="1"/>
    <m/>
    <n v="0"/>
    <s v="RCG"/>
    <m/>
    <m/>
    <s v="GRAM"/>
    <n v="1"/>
    <m/>
    <n v="4234.2299999999996"/>
    <n v="101621.51999999999"/>
    <n v="4699.9952999999996"/>
    <n v="112799.8872"/>
    <n v="4504.5"/>
    <n v="108108"/>
    <n v="4999.9950000000008"/>
    <n v="119999.88"/>
    <n v="4729.7297297297291"/>
    <n v="113513.51351351349"/>
    <n v="5250"/>
    <n v="126000"/>
    <m/>
    <s v=" 26-07-2025"/>
    <m/>
    <e v="#VALUE!"/>
    <s v="Sama"/>
    <s v="Aktif"/>
    <s v="IDR"/>
    <s v="10015"/>
    <s v="15/18 GR"/>
    <m/>
    <m/>
    <s v="KRT"/>
    <s v="GD01"/>
    <n v="11611"/>
    <n v="11612"/>
    <m/>
    <n v="1"/>
    <m/>
    <n v="0"/>
    <n v="4504.5"/>
    <n v="4504.5"/>
  </r>
  <r>
    <s v="A10111000015411"/>
    <n v="1"/>
    <n v="54"/>
    <x v="58"/>
    <s v="SOY SACHET"/>
    <s v="ABC KCPMNS 288X15G B5G1 2311"/>
    <x v="1"/>
    <x v="46"/>
    <x v="3"/>
    <s v="KECAP MANIS"/>
    <s v="A1011"/>
    <x v="33"/>
    <n v="14"/>
    <s v="ABC KECAP MANIS SACHET 15 GR X 24 RCG PCSX12 B5G1"/>
    <n v="49"/>
    <s v="ABC"/>
    <s v="A1"/>
    <s v="KECAP"/>
    <s v="01"/>
    <s v="MANIS"/>
    <n v="1"/>
    <s v="SACHET"/>
    <n v="1"/>
    <m/>
    <s v="00"/>
    <s v="15 GR"/>
    <s v="0015"/>
    <s v="PCSX12"/>
    <s v="4"/>
    <s v="B5G1"/>
    <n v="1"/>
    <s v="RCG"/>
    <m/>
    <m/>
    <s v="GRAM"/>
    <n v="1"/>
    <m/>
    <n v="3528.5720000000001"/>
    <n v="84685.728000000003"/>
    <n v="3916.7149200000003"/>
    <n v="94001.158080000008"/>
    <n v="3753.8"/>
    <n v="90091.200000000012"/>
    <n v="4166.7180000000008"/>
    <n v="100001.23200000002"/>
    <n v="3941.49"/>
    <n v="94595.76"/>
    <n v="4375.0538999999999"/>
    <n v="105001.2936"/>
    <m/>
    <d v="2024-09-18T00:00:00"/>
    <d v="2024-09-18T00:00:00"/>
    <s v="Lama"/>
    <s v="Sama"/>
    <s v="Aktif"/>
    <s v="IDR"/>
    <s v="10015"/>
    <s v="15 GR"/>
    <s v="S-HNZ"/>
    <s v="48HEINZ"/>
    <s v="KRT"/>
    <s v="GD01"/>
    <n v="11611"/>
    <n v="11612"/>
    <s v="0123"/>
    <n v="1"/>
    <s v="PT. HEINZ ABC INDONESIA"/>
    <n v="0"/>
    <n v="3753.8"/>
    <n v="3753.8"/>
  </r>
  <r>
    <s v="A10111000025101"/>
    <n v="1"/>
    <n v="55"/>
    <x v="59"/>
    <s v="SOY SACHET"/>
    <s v="ABC KCP MNS SCT 12X12X25ML2109"/>
    <x v="3"/>
    <x v="4"/>
    <x v="3"/>
    <s v="KECAP MANIS"/>
    <s v="A1011"/>
    <x v="34"/>
    <n v="14"/>
    <s v="ABC KECAP MANIS SACHET 25 GR X 12 RCG PCSX12"/>
    <n v="44"/>
    <s v="ABC"/>
    <s v="A1"/>
    <s v="KECAP"/>
    <s v="01"/>
    <s v="MANIS"/>
    <n v="1"/>
    <s v="SACHET"/>
    <n v="1"/>
    <m/>
    <s v="00"/>
    <s v="25 GR"/>
    <s v="0025"/>
    <s v="PCSX12"/>
    <s v="1"/>
    <m/>
    <n v="0"/>
    <s v="RCG"/>
    <m/>
    <m/>
    <s v="GRAM"/>
    <n v="1"/>
    <m/>
    <n v="8510.8069999999989"/>
    <n v="102129.68399999998"/>
    <n v="9446.9957699999995"/>
    <n v="113363.94923999999"/>
    <n v="9054.0499999999993"/>
    <n v="108648.59999999999"/>
    <n v="10049.995500000001"/>
    <n v="120599.946"/>
    <n v="9506.75"/>
    <n v="114081"/>
    <n v="10552.4925"/>
    <n v="126629.91"/>
    <m/>
    <d v="2024-09-18T00:00:00"/>
    <d v="2024-09-18T00:00:00"/>
    <s v="Lama"/>
    <s v="Sama"/>
    <s v="Aktif"/>
    <s v="IDR"/>
    <s v="10025"/>
    <s v="25 GR"/>
    <s v="S-HNZ"/>
    <s v="48HEINZ"/>
    <s v="KRT"/>
    <s v="GD01"/>
    <n v="11611"/>
    <n v="11612"/>
    <s v="0123"/>
    <n v="1"/>
    <s v="PT. HEINZ ABC INDONESIA"/>
    <n v="0"/>
    <n v="9054.0499999999993"/>
    <n v="9054.0499999999993"/>
  </r>
  <r>
    <s v="A10111000027411"/>
    <n v="1"/>
    <n v="56"/>
    <x v="60"/>
    <s v="SOY SACHET"/>
    <s v="ABC KMNS SCT 12X12X27G PR 2209"/>
    <x v="3"/>
    <x v="4"/>
    <x v="3"/>
    <s v="KECAP MANIS"/>
    <s v="A1011"/>
    <x v="35"/>
    <n v="14"/>
    <s v="ABC KECAP MANIS SACHET 27 GR X 12 RCG PCSX12 PROMO"/>
    <n v="50"/>
    <s v="ABC"/>
    <s v="A1"/>
    <s v="KECAP"/>
    <s v="01"/>
    <s v="MANIS"/>
    <n v="1"/>
    <s v="SACHET"/>
    <n v="1"/>
    <m/>
    <s v="00"/>
    <s v="27 GR"/>
    <s v="0027"/>
    <s v="PCSX12"/>
    <s v="4"/>
    <s v="PROMO"/>
    <n v="1"/>
    <s v="RCG"/>
    <m/>
    <m/>
    <s v="GRAM"/>
    <n v="1"/>
    <m/>
    <n v="6383.07"/>
    <n v="76596.84"/>
    <n v="7085.2076999999999"/>
    <n v="85022.492400000003"/>
    <n v="6790.5"/>
    <n v="81486"/>
    <n v="7537.4550000000008"/>
    <n v="90449.46"/>
    <n v="7130.03"/>
    <n v="85560.36"/>
    <n v="7914.3333000000002"/>
    <n v="94971.99960000001"/>
    <m/>
    <d v="2024-09-18T00:00:00"/>
    <d v="2024-09-18T00:00:00"/>
    <s v="Lama"/>
    <s v="Sama"/>
    <s v="Aktif"/>
    <s v="IDR"/>
    <s v="10027"/>
    <s v="27 GR"/>
    <s v="S-HNZ"/>
    <s v="48HEINZ"/>
    <s v="KRT"/>
    <s v="GD01"/>
    <n v="11611"/>
    <n v="11612"/>
    <s v="0123"/>
    <n v="1"/>
    <s v="PT. HEINZ ABC INDONESIA"/>
    <n v="0"/>
    <n v="6790.5"/>
    <n v="6790.5"/>
  </r>
  <r>
    <s v="A10120000131101"/>
    <n v="1"/>
    <n v="57"/>
    <x v="61"/>
    <s v="RASA MANTAP SOY"/>
    <s v="ABC KCP ASIN 133ML 1110"/>
    <x v="0"/>
    <x v="47"/>
    <x v="1"/>
    <s v="KECAP ASIN"/>
    <s v="A1012"/>
    <x v="36"/>
    <n v="14"/>
    <s v="ABC KECAP ASIN 131 ML X 48 BTL"/>
    <n v="30"/>
    <s v="ABC"/>
    <s v="A1"/>
    <s v="KECAP"/>
    <s v="01"/>
    <s v="ASIN"/>
    <n v="2"/>
    <m/>
    <s v="0"/>
    <m/>
    <s v="00"/>
    <s v="131 ML"/>
    <s v="0131"/>
    <s v="BTL"/>
    <s v="1"/>
    <m/>
    <n v="0"/>
    <m/>
    <m/>
    <m/>
    <s v="LITER"/>
    <n v="2"/>
    <m/>
    <n v="4291.4810810810804"/>
    <n v="205991.09189189185"/>
    <n v="4763.5439999999999"/>
    <n v="228650.11199999996"/>
    <n v="4565.405405405405"/>
    <n v="219139.45945945944"/>
    <n v="5067.6000000000004"/>
    <n v="243244.79999999999"/>
    <n v="4930.6378378378377"/>
    <n v="236670.61621621621"/>
    <n v="5473.0080000000007"/>
    <n v="262704.38400000002"/>
    <m/>
    <d v="2024-09-18T00:00:00"/>
    <d v="2025-07-01T00:00:00"/>
    <s v="Lama"/>
    <s v="Sama"/>
    <s v="Aktif"/>
    <s v="IDR"/>
    <s v="20131"/>
    <s v="131 ML"/>
    <s v="S-HNZ"/>
    <s v="48HEINZ"/>
    <s v="KRT"/>
    <s v="GD01"/>
    <n v="11611"/>
    <n v="11612"/>
    <s v="0123"/>
    <n v="1"/>
    <s v="PT. HEINZ ABC INDONESIA"/>
    <n v="0"/>
    <n v="4565.405405405405"/>
    <n v="4565.405405405405"/>
  </r>
  <r>
    <s v="A10120000131102"/>
    <n v="2"/>
    <n v="58"/>
    <x v="62"/>
    <s v="RASA MANTAP SOY"/>
    <s v="ABC KCP ASIN PET 48X133ML 2106"/>
    <x v="0"/>
    <x v="4"/>
    <x v="1"/>
    <s v="KECAP ASIN"/>
    <s v="A1012"/>
    <x v="36"/>
    <n v="14"/>
    <s v="ABC KECAP ASIN 131 ML X 48 BTL"/>
    <n v="30"/>
    <s v="ABC"/>
    <s v="A1"/>
    <s v="KECAP"/>
    <s v="01"/>
    <s v="ASIN"/>
    <n v="2"/>
    <m/>
    <s v="0"/>
    <m/>
    <s v="00"/>
    <s v="131 ML"/>
    <s v="0131"/>
    <s v="BTL"/>
    <s v="1"/>
    <m/>
    <n v="0"/>
    <m/>
    <m/>
    <m/>
    <s v="LITER"/>
    <n v="2"/>
    <m/>
    <n v="4291.4810810810804"/>
    <n v="205991.09189189185"/>
    <n v="4763.5439999999999"/>
    <n v="228650.11199999996"/>
    <n v="4565.405405405405"/>
    <n v="219139.45945945944"/>
    <n v="5067.6000000000004"/>
    <n v="243244.79999999999"/>
    <n v="4930.6378378378377"/>
    <n v="236670.61621621621"/>
    <n v="5473.0080000000007"/>
    <n v="262704.38400000002"/>
    <m/>
    <d v="2024-09-18T00:00:00"/>
    <d v="2025-07-01T00:00:00"/>
    <s v="Lama"/>
    <s v="Sama"/>
    <s v="Aktif"/>
    <s v="IDR"/>
    <s v="20131"/>
    <s v="131 ML"/>
    <s v="S-HNZ"/>
    <s v="48HEINZ"/>
    <s v="KRT"/>
    <s v="GD01"/>
    <n v="11611"/>
    <n v="11612"/>
    <s v="0123"/>
    <n v="1"/>
    <s v="PT. HEINZ ABC INDONESIA"/>
    <n v="0"/>
    <n v="4565.405405405405"/>
    <n v="4565.405405405405"/>
  </r>
  <r>
    <s v="A10120000131103"/>
    <n v="3"/>
    <n v="59"/>
    <x v="63"/>
    <s v="RASA MANTAP SOY"/>
    <s v="ABC KCP ASIN PET 48X131ML 2403"/>
    <x v="0"/>
    <x v="4"/>
    <x v="1"/>
    <s v="KECAP ASIN"/>
    <s v="A1012"/>
    <x v="36"/>
    <n v="14"/>
    <s v="ABC KECAP ASIN 131 ML X 48 BTL"/>
    <n v="30"/>
    <s v="ABC"/>
    <s v="A1"/>
    <s v="KECAP"/>
    <s v="01"/>
    <s v="ASIN"/>
    <n v="2"/>
    <m/>
    <s v="0"/>
    <m/>
    <s v="00"/>
    <s v="131 ML"/>
    <s v="0131"/>
    <s v="BTL"/>
    <s v="1"/>
    <m/>
    <n v="0"/>
    <m/>
    <m/>
    <m/>
    <s v="LITER"/>
    <n v="2"/>
    <m/>
    <n v="4291.4810810810804"/>
    <n v="205991.09189189185"/>
    <n v="4763.5439999999999"/>
    <n v="228650.11199999996"/>
    <n v="4565.405405405405"/>
    <n v="219139.45945945944"/>
    <n v="5067.6000000000004"/>
    <n v="243244.79999999999"/>
    <n v="4930.6378378378377"/>
    <n v="236670.61621621621"/>
    <n v="5473.0080000000007"/>
    <n v="262704.38400000002"/>
    <m/>
    <d v="2024-09-18T00:00:00"/>
    <d v="2025-07-01T00:00:00"/>
    <s v="Lama"/>
    <s v="Sama"/>
    <s v="Aktif"/>
    <s v="IDR"/>
    <s v="20131"/>
    <s v="131 ML"/>
    <s v="S-HNZ"/>
    <s v="48HEINZ"/>
    <s v="KRT"/>
    <s v="GD01"/>
    <n v="11611"/>
    <n v="11612"/>
    <s v="0123"/>
    <n v="1"/>
    <s v="PT. HEINZ ABC INDONESIA"/>
    <n v="0"/>
    <n v="4565.405405405405"/>
    <n v="4565.405405405405"/>
  </r>
  <r>
    <s v="A10120000131104"/>
    <n v="4"/>
    <n v="60"/>
    <x v="64"/>
    <s v="RASA MANTAP SOY"/>
    <s v="ABC KCP ASIN PET 48X131ML 2405"/>
    <x v="0"/>
    <x v="48"/>
    <x v="1"/>
    <s v="KECAP ASIN"/>
    <s v="A1012"/>
    <x v="36"/>
    <n v="14"/>
    <s v="ABC KECAP ASIN 131 ML X 48 BTL"/>
    <n v="30"/>
    <s v="ABC"/>
    <s v="A1"/>
    <s v="KECAP"/>
    <s v="01"/>
    <s v="ASIN"/>
    <n v="2"/>
    <m/>
    <s v="0"/>
    <m/>
    <s v="00"/>
    <s v="131 ML"/>
    <s v="0131"/>
    <s v="BTL"/>
    <s v="1"/>
    <m/>
    <n v="0"/>
    <m/>
    <m/>
    <m/>
    <s v="LITER"/>
    <n v="2"/>
    <m/>
    <n v="4291.4810810810804"/>
    <n v="205991.09189189185"/>
    <n v="4763.5439999999999"/>
    <n v="228650.11199999996"/>
    <n v="4565.405405405405"/>
    <n v="219139.45945945944"/>
    <n v="5067.6000000000004"/>
    <n v="243244.79999999999"/>
    <n v="4930.6378378378377"/>
    <n v="236670.61621621621"/>
    <n v="5473.0080000000007"/>
    <n v="262704.38400000002"/>
    <m/>
    <m/>
    <d v="2025-07-01T00:00:00"/>
    <s v="Lama"/>
    <s v="Sama"/>
    <m/>
    <s v="IDR"/>
    <s v="20131"/>
    <s v="131 ML"/>
    <s v="S-HNZ"/>
    <s v="48HEINZ"/>
    <s v="KRT"/>
    <s v="GD01"/>
    <n v="11611"/>
    <n v="11612"/>
    <s v="0123"/>
    <n v="1"/>
    <s v="PT. HEINZ ABC INDONESIA"/>
    <n v="0"/>
    <n v="4565.405405405405"/>
    <n v="4565.405405405405"/>
  </r>
  <r>
    <s v="A10120000620101"/>
    <n v="1"/>
    <n v="61"/>
    <x v="65"/>
    <s v="RASA MANTAP SOY"/>
    <s v="ABC KCP ASIN ND 12X620ML 1001"/>
    <x v="3"/>
    <x v="49"/>
    <x v="1"/>
    <s v="KECAP ASIN"/>
    <s v="A1012"/>
    <x v="37"/>
    <n v="14"/>
    <s v="ABC KECAP ASIN 620 ML X 12 BTL"/>
    <n v="30"/>
    <s v="ABC"/>
    <s v="A1"/>
    <s v="KECAP"/>
    <s v="01"/>
    <s v="ASIN"/>
    <n v="2"/>
    <m/>
    <s v="0"/>
    <m/>
    <s v="00"/>
    <s v="620 ML"/>
    <s v="0620"/>
    <s v="BTL"/>
    <s v="1"/>
    <m/>
    <n v="0"/>
    <m/>
    <m/>
    <m/>
    <s v="LITER"/>
    <n v="2"/>
    <m/>
    <n v="13685.046399999999"/>
    <n v="164220.55679999999"/>
    <n v="15190.401504000001"/>
    <n v="182284.81804800002"/>
    <n v="14558.56"/>
    <n v="174702.72"/>
    <n v="16160.001600000001"/>
    <n v="193920.01920000001"/>
    <n v="15723.24"/>
    <n v="188678.88"/>
    <n v="17452.796400000003"/>
    <n v="209433.55680000002"/>
    <m/>
    <d v="2024-09-18T00:00:00"/>
    <d v="2024-09-18T00:00:00"/>
    <s v="Lama"/>
    <s v="Sama"/>
    <s v="Aktif"/>
    <s v="IDR"/>
    <s v="20620"/>
    <s v="620 ML"/>
    <s v="S-HNZ"/>
    <s v="48HEINZ"/>
    <s v="KRT"/>
    <s v="GD01"/>
    <n v="11611"/>
    <n v="11612"/>
    <s v="0123"/>
    <n v="1"/>
    <s v="PT. HEINZ ABC INDONESIA"/>
    <n v="0"/>
    <n v="14558.56"/>
    <n v="14558.56"/>
  </r>
  <r>
    <s v="A10120000620102"/>
    <n v="2"/>
    <n v="62"/>
    <x v="66"/>
    <s v="RASA MANTAP SOY"/>
    <s v="ABC KECAP ASIN BB 12X620ML"/>
    <x v="3"/>
    <x v="50"/>
    <x v="1"/>
    <s v="KECAP ASIN"/>
    <s v="A1012"/>
    <x v="37"/>
    <n v="14"/>
    <s v="ABC KECAP ASIN 620 ML X 12 BTL"/>
    <n v="30"/>
    <s v="ABC"/>
    <s v="A1"/>
    <s v="KECAP"/>
    <s v="01"/>
    <s v="ASIN"/>
    <n v="2"/>
    <m/>
    <s v="0"/>
    <m/>
    <s v="00"/>
    <s v="620 ML"/>
    <s v="0620"/>
    <s v="BTL"/>
    <s v="1"/>
    <m/>
    <n v="0"/>
    <m/>
    <m/>
    <m/>
    <s v="LITER"/>
    <n v="2"/>
    <m/>
    <n v="13685.046399999999"/>
    <n v="164220.55679999999"/>
    <n v="15190.401504000001"/>
    <n v="182284.81804800002"/>
    <n v="14558.56"/>
    <n v="174702.72"/>
    <n v="16160.001600000001"/>
    <n v="193920.01920000001"/>
    <n v="15723.24"/>
    <n v="188678.88"/>
    <n v="17452.796400000003"/>
    <n v="209433.55680000002"/>
    <m/>
    <d v="2025-01-14T00:00:00"/>
    <d v="2024-09-18T00:00:00"/>
    <s v="Lama"/>
    <s v="Sama"/>
    <m/>
    <s v="IDR"/>
    <s v="20620"/>
    <s v="620 ML"/>
    <m/>
    <m/>
    <s v="KRT"/>
    <s v="GD01"/>
    <n v="11611"/>
    <n v="11612"/>
    <m/>
    <n v="1"/>
    <m/>
    <n v="0"/>
    <n v="14558.56"/>
    <n v="14558.56"/>
  </r>
  <r>
    <s v="A10120001006101"/>
    <n v="1"/>
    <n v="63"/>
    <x v="67"/>
    <s v="RASA MANTAP SOY"/>
    <s v="ABC KCP ASIN ND 6KG 1001"/>
    <x v="4"/>
    <x v="4"/>
    <x v="2"/>
    <s v="KECAP ASIN"/>
    <s v="A1012"/>
    <x v="38"/>
    <n v="14"/>
    <s v="ABC KECAP ASIN 6 KG X 1 JRG"/>
    <n v="27"/>
    <s v="ABC"/>
    <s v="A1"/>
    <s v="KECAP"/>
    <s v="01"/>
    <s v="ASIN"/>
    <n v="2"/>
    <m/>
    <s v="0"/>
    <m/>
    <s v="00"/>
    <s v="6 KG"/>
    <n v="1006"/>
    <s v="JRG"/>
    <s v="1"/>
    <m/>
    <n v="0"/>
    <m/>
    <m/>
    <m/>
    <s v="GRAM"/>
    <n v="1"/>
    <m/>
    <n v="67366.669800000003"/>
    <n v="67366.669800000003"/>
    <n v="74777.003478000013"/>
    <n v="74777.003478000013"/>
    <n v="71666.67"/>
    <n v="71666.67"/>
    <n v="79550.003700000001"/>
    <n v="79550.003700000001"/>
    <n v="77400"/>
    <n v="77400"/>
    <n v="85914.000000000015"/>
    <n v="85914.000000000015"/>
    <m/>
    <d v="2024-09-18T00:00:00"/>
    <d v="2024-09-18T00:00:00"/>
    <s v="Lama"/>
    <s v="Sama"/>
    <s v="Aktif"/>
    <s v="IDR"/>
    <s v="11006"/>
    <s v="6 KG"/>
    <s v="S-HNZ"/>
    <s v="48HEINZ"/>
    <s v="KRT"/>
    <s v="GD01"/>
    <n v="11611"/>
    <n v="11612"/>
    <s v="0123"/>
    <n v="1"/>
    <s v="PT. HEINZ ABC INDONESIA"/>
    <n v="0"/>
    <n v="71666.67"/>
    <n v="71666.67"/>
  </r>
  <r>
    <s v="A10120001006102"/>
    <n v="2"/>
    <n v="64"/>
    <x v="68"/>
    <s v="RASA MANTAP SOY"/>
    <s v="ABC KCP ASIN ND 6KG 1001"/>
    <x v="4"/>
    <x v="51"/>
    <x v="2"/>
    <s v="KECAP ASIN"/>
    <s v="A1012"/>
    <x v="38"/>
    <n v="14"/>
    <s v="ABC KECAP ASIN 6 KG X 1 JRG"/>
    <n v="27"/>
    <s v="ABC"/>
    <s v="A1"/>
    <s v="KECAP"/>
    <s v="01"/>
    <s v="ASIN"/>
    <n v="2"/>
    <m/>
    <s v="0"/>
    <m/>
    <s v="00"/>
    <s v="6 KG"/>
    <n v="1006"/>
    <s v="JRG"/>
    <s v="1"/>
    <m/>
    <n v="0"/>
    <m/>
    <m/>
    <m/>
    <s v="GRAM"/>
    <n v="1"/>
    <m/>
    <n v="67366.669800000003"/>
    <n v="67366.669800000003"/>
    <n v="74777.003478000013"/>
    <n v="74777.003478000013"/>
    <n v="71666.67"/>
    <n v="71666.67"/>
    <n v="79550.003700000001"/>
    <n v="79550.003700000001"/>
    <n v="77400"/>
    <n v="77400"/>
    <n v="85914.000000000015"/>
    <n v="85914.000000000015"/>
    <m/>
    <d v="2025-02-28T00:00:00"/>
    <d v="2024-09-18T00:00:00"/>
    <s v="Lama"/>
    <s v="Sama"/>
    <s v="Aktif"/>
    <s v="IDR"/>
    <s v="11006"/>
    <s v="6 KG"/>
    <s v="S-HNZ"/>
    <s v="48HEINZ"/>
    <s v="KRT"/>
    <s v="GD01"/>
    <n v="11611"/>
    <n v="11612"/>
    <s v="0123"/>
    <n v="1"/>
    <s v="PT. HEINZ ABC INDONESIA"/>
    <n v="0"/>
    <n v="71666.67"/>
    <n v="71666.67"/>
  </r>
  <r>
    <s v="A10200010195101"/>
    <n v="1"/>
    <n v="65"/>
    <x v="69"/>
    <s v="SPECIAL SAUCE"/>
    <s v="ABC MINYAK WIJEN NL 195ML 0908"/>
    <x v="1"/>
    <x v="52"/>
    <x v="1"/>
    <s v="SAUCE"/>
    <s v="A1020"/>
    <x v="39"/>
    <n v="14"/>
    <s v="ABC SAUCE MINYAK WIJEN 195 ML X 24 BTL"/>
    <n v="38"/>
    <s v="ABC"/>
    <s v="A1"/>
    <s v="SAUCE"/>
    <s v="02"/>
    <m/>
    <s v="0"/>
    <m/>
    <s v="0"/>
    <s v="MINYAK WIJEN"/>
    <s v="01"/>
    <s v="195 ML"/>
    <s v="0195"/>
    <s v="BTL"/>
    <s v="1"/>
    <m/>
    <s v="0"/>
    <m/>
    <m/>
    <m/>
    <s v="LITER"/>
    <n v="2"/>
    <m/>
    <n v="42984.59099099099"/>
    <n v="1031630.1837837838"/>
    <n v="47712.896000000001"/>
    <n v="1145109.5040000002"/>
    <n v="45728.288288288284"/>
    <n v="1097478.9189189188"/>
    <n v="50758.400000000001"/>
    <n v="1218201.6000000001"/>
    <n v="49386.551351351351"/>
    <n v="1185277.2324324325"/>
    <n v="54819.072000000007"/>
    <n v="1315657.7280000001"/>
    <m/>
    <d v="2024-09-18T00:00:00"/>
    <d v="2025-07-01T00:00:00"/>
    <s v="Lama"/>
    <s v="Sama"/>
    <s v="Aktif"/>
    <s v="IDR"/>
    <s v="20195"/>
    <s v="195 ML"/>
    <s v="S-HNZ"/>
    <s v="48HEINZ"/>
    <s v="KRT"/>
    <s v="GD01"/>
    <n v="11611"/>
    <n v="11612"/>
    <s v="0123"/>
    <n v="1"/>
    <s v="PT. HEINZ ABC INDONESIA"/>
    <n v="0"/>
    <n v="45728.288288288284"/>
    <n v="45728.288288288284"/>
  </r>
  <r>
    <s v="A10200010195102"/>
    <n v="2"/>
    <n v="66"/>
    <x v="70"/>
    <s v="SPECIAL SAUCE"/>
    <s v="ABC MYK WIJEN BB 24X195ML 2106"/>
    <x v="1"/>
    <x v="4"/>
    <x v="1"/>
    <s v="SAUCE"/>
    <s v="A1020"/>
    <x v="39"/>
    <n v="14"/>
    <s v="ABC SAUCE MINYAK WIJEN 195 ML X 24 BTL"/>
    <n v="38"/>
    <s v="ABC"/>
    <s v="A1"/>
    <s v="SAUCE"/>
    <s v="02"/>
    <m/>
    <s v="0"/>
    <m/>
    <s v="0"/>
    <s v="MINYAK WIJEN"/>
    <s v="01"/>
    <s v="195 ML"/>
    <s v="0195"/>
    <s v="BTL"/>
    <s v="1"/>
    <m/>
    <s v="0"/>
    <m/>
    <m/>
    <m/>
    <s v="LITER"/>
    <n v="2"/>
    <m/>
    <n v="42984.59099099099"/>
    <n v="1031630.1837837838"/>
    <n v="47712.896000000001"/>
    <n v="1145109.5040000002"/>
    <n v="45728.288288288284"/>
    <n v="1097478.9189189188"/>
    <n v="50758.400000000001"/>
    <n v="1218201.6000000001"/>
    <n v="49386.551351351351"/>
    <n v="1185277.2324324325"/>
    <n v="54819.072000000007"/>
    <n v="1315657.7280000001"/>
    <m/>
    <d v="2024-09-18T00:00:00"/>
    <d v="2025-07-01T00:00:00"/>
    <s v="Lama"/>
    <s v="Sama"/>
    <s v="Aktif"/>
    <s v="IDR"/>
    <s v="20195"/>
    <s v="195 ML"/>
    <s v="S-HNZ"/>
    <s v="48HEINZ"/>
    <s v="KRT"/>
    <s v="GD01"/>
    <n v="11611"/>
    <n v="11612"/>
    <s v="0123"/>
    <n v="1"/>
    <s v="PT. HEINZ ABC INDONESIA"/>
    <n v="0"/>
    <n v="45728.288288288284"/>
    <n v="45728.288288288284"/>
  </r>
  <r>
    <s v="A10200010195103"/>
    <n v="3"/>
    <n v="67"/>
    <x v="71"/>
    <s v="SPECIAL SAUCE"/>
    <s v="ABC MYK WIJEN BB 24X195ML 2409"/>
    <x v="1"/>
    <x v="53"/>
    <x v="1"/>
    <s v="SAUCE"/>
    <s v="A1020"/>
    <x v="39"/>
    <n v="14"/>
    <s v="ABC SAUCE MINYAK WIJEN 195 ML X 24 BTL"/>
    <n v="38"/>
    <s v="ABC"/>
    <s v="A1"/>
    <s v="SAUCE"/>
    <s v="02"/>
    <m/>
    <s v="0"/>
    <m/>
    <s v="0"/>
    <s v="MINYAK WIJEN"/>
    <s v="01"/>
    <s v="195 ML"/>
    <s v="0195"/>
    <s v="BTL"/>
    <s v="1"/>
    <m/>
    <s v="0"/>
    <m/>
    <m/>
    <m/>
    <s v="LITER"/>
    <n v="2"/>
    <m/>
    <n v="42984.59099099099"/>
    <n v="1031630.1837837838"/>
    <n v="47712.896000000001"/>
    <n v="1145109.5040000002"/>
    <n v="45728.288288288284"/>
    <n v="1097478.9189189188"/>
    <n v="50758.400000000001"/>
    <n v="1218201.6000000001"/>
    <n v="49386.551351351351"/>
    <n v="1185277.2324324325"/>
    <n v="54819.072000000007"/>
    <n v="1315657.7280000001"/>
    <m/>
    <d v="2025-04-22T00:00:00"/>
    <d v="2025-07-01T00:00:00"/>
    <s v="Lama"/>
    <s v="Sama"/>
    <m/>
    <s v="IDR"/>
    <s v="20195"/>
    <s v="195 ML"/>
    <s v="S-HNZ"/>
    <s v="48HEINZ"/>
    <s v="KRT"/>
    <s v="GD01"/>
    <n v="11611"/>
    <n v="11612"/>
    <s v="0123"/>
    <n v="1"/>
    <s v="PT. HEINZ ABC INDONESIA"/>
    <n v="0"/>
    <n v="45728.288288288284"/>
    <n v="45728.288288288284"/>
  </r>
  <r>
    <s v="A10200010195202"/>
    <n v="2"/>
    <n v="68"/>
    <x v="72"/>
    <s v="MINYAK WIJEN"/>
    <s v="ABC MINYAK WIJEN JRG 6X1L 2409"/>
    <x v="5"/>
    <x v="54"/>
    <x v="2"/>
    <s v="MINYAK WIJEN"/>
    <s v="A1020"/>
    <x v="40"/>
    <n v="14"/>
    <s v="ABC MINYAK WIJEN SESAME OIL 1L X 6 JRG"/>
    <n v="38"/>
    <s v="ABC"/>
    <s v="A1"/>
    <s v="MINYAK WIJEN"/>
    <s v="02"/>
    <m/>
    <s v="0"/>
    <m/>
    <s v="0"/>
    <s v="SESAME OIL"/>
    <s v="01"/>
    <s v="1L"/>
    <s v="0195"/>
    <s v="JRG"/>
    <n v="2"/>
    <m/>
    <s v="0"/>
    <m/>
    <m/>
    <m/>
    <s v="LITER"/>
    <n v="2"/>
    <m/>
    <n v="147846.75320000001"/>
    <n v="887080.51919999998"/>
    <n v="164109.89605200003"/>
    <n v="984659.37631200009"/>
    <n v="157283.78"/>
    <n v="943702.67999999993"/>
    <n v="174584.9958"/>
    <n v="1047509.9748"/>
    <n v="169866.48"/>
    <n v="1019198.8800000001"/>
    <n v="188551.79280000002"/>
    <n v="1131310.7568000001"/>
    <m/>
    <d v="2025-10-08T00:00:00"/>
    <m/>
    <s v="Lama"/>
    <s v="Sama"/>
    <m/>
    <s v="IDR"/>
    <s v="20195"/>
    <s v="1L"/>
    <m/>
    <m/>
    <s v="KRT"/>
    <s v="GD01"/>
    <n v="11611"/>
    <n v="11612"/>
    <m/>
    <n v="1"/>
    <m/>
    <n v="0"/>
    <n v="157283.78"/>
    <n v="157283.78"/>
  </r>
  <r>
    <s v="A10200020130103"/>
    <n v="3"/>
    <n v="280"/>
    <x v="73"/>
    <m/>
    <s v="ABC SAUS TIRAM PET 48X130ML2501"/>
    <x v="0"/>
    <x v="55"/>
    <x v="1"/>
    <s v="SAUCE"/>
    <s v="A1020"/>
    <x v="41"/>
    <n v="14"/>
    <s v="ABC SAUCE TIRAM 130 ML X 48 BTL"/>
    <n v="31"/>
    <s v="ABC"/>
    <s v="A1"/>
    <s v="SAUCE"/>
    <s v="02"/>
    <m/>
    <s v="0"/>
    <m/>
    <s v="0"/>
    <s v="TIRAM"/>
    <s v="02"/>
    <s v="130 ML"/>
    <s v="0130"/>
    <s v="BTL"/>
    <s v="1"/>
    <m/>
    <s v="0"/>
    <m/>
    <m/>
    <m/>
    <m/>
    <m/>
    <m/>
    <n v="7953.3023999999996"/>
    <n v="381758.51519999997"/>
    <n v="8828.1656640000001"/>
    <n v="423751.95187200001"/>
    <n v="8460.9599999999991"/>
    <n v="406126.07999999996"/>
    <n v="9391.6656000000003"/>
    <n v="450799.94880000001"/>
    <n v="9137.84"/>
    <n v="438616.32000000001"/>
    <n v="10143.002400000001"/>
    <n v="486864.11520000006"/>
    <m/>
    <d v="2025-11-06T00:00:00"/>
    <d v="2025-11-06T00:00:00"/>
    <s v="Lama"/>
    <s v="Sama"/>
    <m/>
    <s v="IDR"/>
    <s v="0130"/>
    <s v="130 ML"/>
    <m/>
    <m/>
    <s v="KRT"/>
    <s v="GD01"/>
    <n v="11611"/>
    <n v="11612"/>
    <m/>
    <n v="1"/>
    <m/>
    <n v="0"/>
    <n v="8460.9599999999991"/>
    <n v="8460.9599999999991"/>
  </r>
  <r>
    <s v="A10200020135101"/>
    <n v="1"/>
    <n v="69"/>
    <x v="74"/>
    <s v="SPECIAL SAUCE"/>
    <s v="ABC SAUS TIRAM PET48X135ML2106"/>
    <x v="0"/>
    <x v="56"/>
    <x v="1"/>
    <s v="SAUCE"/>
    <s v="A1020"/>
    <x v="42"/>
    <n v="14"/>
    <s v="ABC SAUCE TIRAM 135 ML X 48 BTL"/>
    <n v="31"/>
    <s v="ABC"/>
    <s v="A1"/>
    <s v="SAUCE"/>
    <s v="02"/>
    <m/>
    <s v="0"/>
    <m/>
    <s v="0"/>
    <s v="TIRAM"/>
    <s v="02"/>
    <s v="135 ML"/>
    <s v="0135"/>
    <s v="BTL"/>
    <s v="1"/>
    <m/>
    <s v="0"/>
    <m/>
    <m/>
    <m/>
    <s v="LITER"/>
    <n v="2"/>
    <m/>
    <n v="9830.2828828828806"/>
    <n v="471853.5783783783"/>
    <n v="10911.613999999998"/>
    <n v="523757.47199999995"/>
    <n v="10457.747747747746"/>
    <n v="501971.89189189184"/>
    <n v="11608.099999999999"/>
    <n v="557188.79999999993"/>
    <n v="11294.367567567566"/>
    <n v="542129.64324324322"/>
    <n v="12536.748"/>
    <n v="601763.90399999998"/>
    <m/>
    <d v="2024-09-18T00:00:00"/>
    <d v="2025-07-01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10457.747747747746"/>
    <n v="10457.747747747746"/>
  </r>
  <r>
    <s v="A10200020135102"/>
    <n v="2"/>
    <n v="70"/>
    <x v="75"/>
    <s v="SPECIAL SAUCE"/>
    <s v="ABC SAUS TIRAM PET48X135ML2204"/>
    <x v="0"/>
    <x v="57"/>
    <x v="1"/>
    <s v="SAUCE"/>
    <s v="A1020"/>
    <x v="42"/>
    <n v="14"/>
    <s v="ABC SAUCE TIRAM 135 ML X 48 BTL"/>
    <n v="31"/>
    <s v="ABC"/>
    <s v="A1"/>
    <s v="SAUCE"/>
    <s v="02"/>
    <m/>
    <s v="0"/>
    <m/>
    <s v="0"/>
    <s v="TIRAM"/>
    <s v="02"/>
    <s v="135 ML"/>
    <s v="0135"/>
    <s v="BTL"/>
    <s v="1"/>
    <m/>
    <s v="0"/>
    <m/>
    <m/>
    <m/>
    <s v="LITER"/>
    <n v="2"/>
    <m/>
    <n v="9830.2828828828806"/>
    <n v="471853.5783783783"/>
    <n v="10911.613999999998"/>
    <n v="523757.47199999995"/>
    <n v="10457.747747747746"/>
    <n v="501971.89189189184"/>
    <n v="11608.099999999999"/>
    <n v="557188.79999999993"/>
    <n v="11294.367567567566"/>
    <n v="542129.64324324322"/>
    <n v="12536.748"/>
    <n v="601763.90399999998"/>
    <m/>
    <d v="2024-09-18T00:00:00"/>
    <d v="2025-07-01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10457.747747747746"/>
    <n v="10457.747747747746"/>
  </r>
  <r>
    <s v="A10200020195101"/>
    <n v="1"/>
    <n v="71"/>
    <x v="76"/>
    <s v="SPECIAL SAUCE"/>
    <s v="ABC SAUS TIRAM BB 24X195ML2204"/>
    <x v="1"/>
    <x v="4"/>
    <x v="1"/>
    <s v="SAUCE"/>
    <s v="A1020"/>
    <x v="43"/>
    <n v="14"/>
    <s v="ABC SAUCE TIRAM 195 ML X 24 BTL"/>
    <n v="31"/>
    <s v="ABC"/>
    <s v="A1"/>
    <s v="SAUCE"/>
    <s v="02"/>
    <m/>
    <s v="0"/>
    <m/>
    <s v="0"/>
    <s v="TIRAM"/>
    <s v="02"/>
    <s v="195 ML"/>
    <s v="0195"/>
    <s v="BTL"/>
    <s v="1"/>
    <m/>
    <s v="0"/>
    <m/>
    <m/>
    <m/>
    <s v="LITER"/>
    <n v="2"/>
    <m/>
    <n v="14540.445045045042"/>
    <n v="348970.68108108104"/>
    <n v="16139.893999999998"/>
    <n v="387357.45600000001"/>
    <n v="15468.558558558556"/>
    <n v="371245.40540540533"/>
    <n v="17170.099999999999"/>
    <n v="412082.39999999997"/>
    <n v="16706.043243243243"/>
    <n v="400945.03783783782"/>
    <n v="18543.708000000002"/>
    <n v="445048.99200000009"/>
    <m/>
    <d v="2024-09-18T00:00:00"/>
    <d v="2025-07-01T00:00:00"/>
    <s v="Lama"/>
    <s v="Sama"/>
    <s v="Aktif"/>
    <s v="IDR"/>
    <s v="20195"/>
    <s v="195 ML"/>
    <s v="S-HNZ"/>
    <s v="48HEINZ"/>
    <s v="KRT"/>
    <s v="GD01"/>
    <n v="11611"/>
    <n v="11612"/>
    <s v="0123"/>
    <n v="1"/>
    <s v="PT. HEINZ ABC INDONESIA"/>
    <n v="0"/>
    <n v="15468.558558558556"/>
    <n v="15468.558558558556"/>
  </r>
  <r>
    <s v="A10200020195102"/>
    <n v="2"/>
    <n v="72"/>
    <x v="77"/>
    <s v="SPECIAL SAUCE"/>
    <s v="ABC SAUS TIRAM BB 24X195ML2204"/>
    <x v="1"/>
    <x v="58"/>
    <x v="1"/>
    <s v="SAUCE"/>
    <s v="A1020"/>
    <x v="43"/>
    <n v="14"/>
    <s v="ABC SAUCE TIRAM 195 ML X 24 BTL"/>
    <n v="31"/>
    <s v="ABC"/>
    <s v="A1"/>
    <s v="SAUCE"/>
    <s v="02"/>
    <m/>
    <s v="0"/>
    <m/>
    <s v="0"/>
    <s v="TIRAM"/>
    <s v="02"/>
    <s v="195 ML"/>
    <s v="0195"/>
    <s v="BTL"/>
    <s v="1"/>
    <m/>
    <s v="0"/>
    <m/>
    <m/>
    <m/>
    <s v="LITER"/>
    <n v="2"/>
    <m/>
    <n v="14540.445045045042"/>
    <n v="348970.68108108104"/>
    <n v="16139.893999999998"/>
    <n v="387357.45600000001"/>
    <n v="15468.558558558556"/>
    <n v="371245.40540540533"/>
    <n v="17170.099999999999"/>
    <n v="412082.39999999997"/>
    <n v="16706.043243243243"/>
    <n v="400945.03783783782"/>
    <n v="18543.708000000002"/>
    <n v="445048.99200000009"/>
    <m/>
    <d v="2025-02-28T00:00:00"/>
    <d v="2025-07-01T00:00:00"/>
    <s v="Lama"/>
    <s v="Sama"/>
    <s v="Aktif"/>
    <s v="IDR"/>
    <s v="20195"/>
    <s v="195 ML"/>
    <s v="S-HNZ"/>
    <s v="48HEINZ"/>
    <s v="KRT"/>
    <s v="GD01"/>
    <n v="11611"/>
    <n v="11612"/>
    <s v="0123"/>
    <n v="1"/>
    <s v="PT. HEINZ ABC INDONESIA"/>
    <n v="0"/>
    <n v="15468.558558558556"/>
    <n v="15468.558558558556"/>
  </r>
  <r>
    <s v="A10200020420101"/>
    <n v="1"/>
    <n v="73"/>
    <x v="78"/>
    <s v="SPECIAL SAUCE"/>
    <s v="ABC SAUS TIRAM BB 24X420ML2110"/>
    <x v="1"/>
    <x v="59"/>
    <x v="1"/>
    <s v="SAUCE"/>
    <s v="A1020"/>
    <x v="44"/>
    <n v="14"/>
    <s v="ABC SAUCE TIRAM 420 ML X 24 BTL"/>
    <n v="31"/>
    <s v="ABC"/>
    <s v="A1"/>
    <s v="SAUCE"/>
    <s v="02"/>
    <m/>
    <s v="0"/>
    <m/>
    <s v="0"/>
    <s v="TIRAM"/>
    <s v="02"/>
    <s v="420 ML"/>
    <s v="0420"/>
    <s v="BTL"/>
    <s v="1"/>
    <m/>
    <s v="0"/>
    <m/>
    <m/>
    <m/>
    <s v="LITER"/>
    <n v="2"/>
    <m/>
    <n v="30275.875675675674"/>
    <n v="726621.01621621614"/>
    <n v="33606.222000000002"/>
    <n v="806549.32799999998"/>
    <n v="32208.378378378377"/>
    <n v="773001.08108108107"/>
    <n v="35751.300000000003"/>
    <n v="858031.20000000007"/>
    <n v="34785.048648648648"/>
    <n v="834841.16756756755"/>
    <n v="38611.404000000002"/>
    <n v="926673.696"/>
    <m/>
    <d v="2024-09-18T00:00:00"/>
    <d v="2025-07-01T00:00:00"/>
    <s v="Lama"/>
    <s v="Sama"/>
    <s v="Aktif"/>
    <s v="IDR"/>
    <s v="20420"/>
    <s v="420 ML"/>
    <s v="S-HNZ"/>
    <s v="48HEINZ"/>
    <s v="KRT"/>
    <s v="GD01"/>
    <n v="11611"/>
    <n v="11612"/>
    <s v="0123"/>
    <n v="1"/>
    <s v="PT. HEINZ ABC INDONESIA"/>
    <n v="0"/>
    <n v="32208.378378378377"/>
    <n v="32208.378378378377"/>
  </r>
  <r>
    <s v="A10200020420102"/>
    <n v="2"/>
    <n v="74"/>
    <x v="79"/>
    <s v="SPECIAL SAUCE"/>
    <s v="ABC SAUS TIRAM BB 24X420ML2204"/>
    <x v="1"/>
    <x v="4"/>
    <x v="1"/>
    <s v="SAUCE"/>
    <s v="A1020"/>
    <x v="44"/>
    <n v="14"/>
    <s v="ABC SAUCE TIRAM 420 ML X 24 BTL"/>
    <n v="31"/>
    <s v="ABC"/>
    <s v="A1"/>
    <s v="SAUCE"/>
    <s v="02"/>
    <m/>
    <s v="0"/>
    <m/>
    <s v="0"/>
    <s v="TIRAM"/>
    <s v="02"/>
    <s v="420 ML"/>
    <s v="0420"/>
    <s v="BTL"/>
    <s v="1"/>
    <m/>
    <s v="0"/>
    <m/>
    <m/>
    <m/>
    <s v="LITER"/>
    <n v="2"/>
    <m/>
    <n v="30275.875675675674"/>
    <n v="726621.01621621614"/>
    <n v="33606.222000000002"/>
    <n v="806549.32799999998"/>
    <n v="32208.378378378377"/>
    <n v="773001.08108108107"/>
    <n v="35751.300000000003"/>
    <n v="858031.20000000007"/>
    <n v="34785.048648648648"/>
    <n v="834841.16756756755"/>
    <n v="38611.404000000002"/>
    <n v="926673.696"/>
    <m/>
    <d v="2024-09-18T00:00:00"/>
    <d v="2025-07-01T00:00:00"/>
    <s v="Lama"/>
    <s v="Sama"/>
    <s v="Aktif"/>
    <s v="IDR"/>
    <s v="20420"/>
    <s v="420 ML"/>
    <s v="S-HNZ"/>
    <s v="48HEINZ"/>
    <s v="KRT"/>
    <s v="GD01"/>
    <n v="11611"/>
    <n v="11612"/>
    <s v="0123"/>
    <n v="1"/>
    <s v="PT. HEINZ ABC INDONESIA"/>
    <n v="0"/>
    <n v="32208.378378378377"/>
    <n v="32208.378378378377"/>
  </r>
  <r>
    <s v="A10200020420103"/>
    <n v="3"/>
    <n v="75"/>
    <x v="80"/>
    <s v="SPECIAL SAUCE"/>
    <s v="ABC SAUS TIRAM BB 24X420ML2204"/>
    <x v="1"/>
    <x v="60"/>
    <x v="1"/>
    <s v="SAUCE"/>
    <s v="A1020"/>
    <x v="44"/>
    <n v="14"/>
    <s v="ABC SAUCE TIRAM 420 ML X 24 BTL"/>
    <n v="31"/>
    <s v="ABC"/>
    <s v="A1"/>
    <s v="SAUCE"/>
    <s v="02"/>
    <m/>
    <s v="0"/>
    <m/>
    <s v="0"/>
    <s v="TIRAM"/>
    <s v="02"/>
    <s v="420 ML"/>
    <s v="0420"/>
    <s v="BTL"/>
    <s v="1"/>
    <m/>
    <s v="0"/>
    <m/>
    <m/>
    <m/>
    <s v="LITER"/>
    <n v="2"/>
    <m/>
    <n v="30275.875675675674"/>
    <n v="726621.01621621614"/>
    <n v="33606.222000000002"/>
    <n v="806549.32799999998"/>
    <n v="32208.378378378377"/>
    <n v="773001.08108108107"/>
    <n v="35751.300000000003"/>
    <n v="858031.20000000007"/>
    <n v="34785.048648648648"/>
    <n v="834841.16756756755"/>
    <n v="38611.404000000002"/>
    <n v="926673.696"/>
    <m/>
    <d v="2025-03-08T00:00:00"/>
    <d v="2025-07-01T00:00:00"/>
    <s v="Lama"/>
    <s v="Sama"/>
    <s v="Aktif"/>
    <s v="IDR"/>
    <s v="20420"/>
    <s v="420 ML"/>
    <s v="S-HNZ"/>
    <s v="48HEINZ"/>
    <s v="KRT"/>
    <s v="GD01"/>
    <n v="11611"/>
    <n v="11612"/>
    <s v="0123"/>
    <n v="1"/>
    <s v="PT. HEINZ ABC INDONESIA"/>
    <n v="0"/>
    <n v="32208.378378378377"/>
    <n v="32208.378378378377"/>
  </r>
  <r>
    <s v="A10200030195101"/>
    <n v="1"/>
    <n v="76"/>
    <x v="81"/>
    <s v="SPECIAL SAUCE"/>
    <s v="ABC S.ASAM MNS BB 24X195ML2204"/>
    <x v="1"/>
    <x v="61"/>
    <x v="1"/>
    <s v="SAUCE"/>
    <s v="A1020"/>
    <x v="45"/>
    <n v="14"/>
    <s v="ABC SAUCE ASAM MANIS 195 ML X 24 BTL"/>
    <n v="36"/>
    <s v="ABC"/>
    <s v="A1"/>
    <s v="SAUCE"/>
    <s v="02"/>
    <m/>
    <s v="0"/>
    <m/>
    <s v="0"/>
    <s v="ASAM MANIS"/>
    <s v="03"/>
    <s v="195 ML"/>
    <s v="0195"/>
    <s v="BTL"/>
    <s v="1"/>
    <m/>
    <s v="0"/>
    <m/>
    <m/>
    <m/>
    <s v="LITER"/>
    <n v="2"/>
    <m/>
    <n v="16023.273873873874"/>
    <n v="384558.57297297299"/>
    <n v="17785.834000000003"/>
    <n v="426860.01600000006"/>
    <n v="17046.036036036036"/>
    <n v="409104.86486486485"/>
    <n v="18921.100000000002"/>
    <n v="454106.4"/>
    <n v="18409.718918918919"/>
    <n v="441833.25405405404"/>
    <n v="20434.788000000004"/>
    <n v="490434.91200000013"/>
    <m/>
    <d v="2024-09-18T00:00:00"/>
    <d v="2025-07-01T00:00:00"/>
    <s v="Lama"/>
    <s v="Sama"/>
    <s v="Aktif"/>
    <s v="IDR"/>
    <s v="20195"/>
    <s v="195 ML"/>
    <s v="S-HNZ"/>
    <s v="48HEINZ"/>
    <s v="KRT"/>
    <s v="GD01"/>
    <n v="11611"/>
    <n v="11612"/>
    <s v="0123"/>
    <n v="1"/>
    <s v="PT. HEINZ ABC INDONESIA"/>
    <n v="0"/>
    <n v="17046.036036036036"/>
    <n v="17046.036036036036"/>
  </r>
  <r>
    <s v="A10200030195102"/>
    <n v="2"/>
    <n v="77"/>
    <x v="82"/>
    <s v="SPECIAL SAUCE"/>
    <s v="ABC S.ASAM MNS BB 24X195ML2409"/>
    <x v="1"/>
    <x v="62"/>
    <x v="1"/>
    <s v="SAUCE"/>
    <s v="A1020"/>
    <x v="45"/>
    <n v="14"/>
    <s v="ABC SAUCE ASAM MANIS 195 ML X 24 BTL"/>
    <n v="36"/>
    <s v="ABC"/>
    <s v="A1"/>
    <s v="SAUCE"/>
    <s v="02"/>
    <m/>
    <s v="0"/>
    <m/>
    <s v="0"/>
    <s v="ASAM MANIS"/>
    <s v="03"/>
    <s v="195 ML"/>
    <s v="0195"/>
    <s v="BTL"/>
    <s v="1"/>
    <m/>
    <s v="0"/>
    <m/>
    <m/>
    <m/>
    <s v="LITER"/>
    <n v="2"/>
    <m/>
    <n v="16023.273873873874"/>
    <n v="384558.57297297299"/>
    <n v="17785.834000000003"/>
    <n v="426860.01600000006"/>
    <n v="17046.036036036036"/>
    <n v="409104.86486486485"/>
    <n v="18921.100000000002"/>
    <n v="454106.4"/>
    <n v="18409.718918918919"/>
    <n v="441833.25405405404"/>
    <n v="20434.788000000004"/>
    <n v="490434.91200000013"/>
    <m/>
    <d v="2025-03-28T00:00:00"/>
    <d v="2025-07-01T00:00:00"/>
    <s v="Lama"/>
    <s v="Sama"/>
    <s v="Aktif"/>
    <s v="IDR"/>
    <s v="20195"/>
    <s v="195 ML"/>
    <s v="S-HNZ"/>
    <s v="48HEINZ"/>
    <s v="KRT"/>
    <s v="GD01"/>
    <n v="11611"/>
    <n v="11612"/>
    <s v="0123"/>
    <n v="1"/>
    <s v="PT. HEINZ ABC INDONESIA"/>
    <n v="0"/>
    <n v="17046.036036036036"/>
    <n v="17046.036036036036"/>
  </r>
  <r>
    <s v="A10200040195101"/>
    <n v="1"/>
    <n v="78"/>
    <x v="83"/>
    <s v="SPECIAL SAUCE"/>
    <s v="ABC KCP INGGRIS BB24X195ML2106"/>
    <x v="1"/>
    <x v="4"/>
    <x v="1"/>
    <s v="SAUCE"/>
    <s v="A1020"/>
    <x v="46"/>
    <n v="14"/>
    <s v="ABC SAUCE KCP INGGRIS 195 ML X 24 BTL"/>
    <n v="37"/>
    <s v="ABC"/>
    <s v="A1"/>
    <s v="SAUCE"/>
    <s v="02"/>
    <m/>
    <s v="0"/>
    <m/>
    <s v="0"/>
    <s v="KCP INGGRIS"/>
    <s v="04"/>
    <s v="195 ML"/>
    <s v="0195"/>
    <s v="BTL"/>
    <s v="1"/>
    <m/>
    <s v="0"/>
    <m/>
    <m/>
    <m/>
    <s v="LITER"/>
    <n v="2"/>
    <m/>
    <n v="10990.378378378375"/>
    <n v="263769.08108108101"/>
    <n v="12199.319999999998"/>
    <n v="292783.67999999993"/>
    <n v="11691.891891891888"/>
    <n v="280605.40540540533"/>
    <n v="12977.999999999996"/>
    <n v="311471.99999999994"/>
    <n v="12627.24324324324"/>
    <n v="303053.83783783775"/>
    <n v="14016.239999999998"/>
    <n v="336389.75999999995"/>
    <m/>
    <d v="2024-09-18T00:00:00"/>
    <d v="2025-07-01T00:00:00"/>
    <s v="Lama"/>
    <s v="Sama"/>
    <s v="Aktif"/>
    <s v="IDR"/>
    <s v="20195"/>
    <s v="195 ML"/>
    <s v="S-HNZ"/>
    <s v="48HEINZ"/>
    <s v="KRT"/>
    <s v="GD01"/>
    <n v="11611"/>
    <n v="11612"/>
    <s v="0123"/>
    <n v="1"/>
    <s v="PT. HEINZ ABC INDONESIA"/>
    <n v="0"/>
    <n v="11691.891891891888"/>
    <n v="11691.891891891888"/>
  </r>
  <r>
    <s v="A10200040195102"/>
    <n v="2"/>
    <n v="79"/>
    <x v="84"/>
    <s v="SPECIAL SAUCE"/>
    <s v="ABC KCP INGGRIS BB24X195ML2106"/>
    <x v="1"/>
    <x v="63"/>
    <x v="1"/>
    <s v="SAUCE"/>
    <s v="A1020"/>
    <x v="46"/>
    <n v="14"/>
    <s v="ABC SAUCE KCP INGGRIS 195 ML X 24 BTL"/>
    <n v="37"/>
    <s v="ABC"/>
    <s v="A1"/>
    <s v="SAUCE"/>
    <s v="02"/>
    <m/>
    <s v="0"/>
    <m/>
    <s v="0"/>
    <s v="KCP INGGRIS"/>
    <s v="04"/>
    <s v="195 ML"/>
    <s v="0195"/>
    <s v="BTL"/>
    <s v="1"/>
    <m/>
    <s v="0"/>
    <m/>
    <m/>
    <m/>
    <s v="LITER"/>
    <n v="2"/>
    <m/>
    <n v="10990.378378378375"/>
    <n v="263769.08108108101"/>
    <n v="12199.319999999998"/>
    <n v="292783.67999999993"/>
    <n v="11691.891891891888"/>
    <n v="280605.40540540533"/>
    <n v="12977.999999999996"/>
    <n v="311471.99999999994"/>
    <n v="12627.24324324324"/>
    <n v="303053.83783783775"/>
    <n v="14016.239999999998"/>
    <n v="336389.75999999995"/>
    <m/>
    <d v="2025-03-08T00:00:00"/>
    <d v="2025-07-01T00:00:00"/>
    <s v="Lama"/>
    <s v="Sama"/>
    <s v="Aktif"/>
    <s v="IDR"/>
    <s v="20195"/>
    <s v="195 ML"/>
    <s v="S-HNZ"/>
    <s v="48HEINZ"/>
    <s v="KRT"/>
    <s v="GD01"/>
    <n v="11611"/>
    <n v="11612"/>
    <s v="0123"/>
    <n v="1"/>
    <s v="PT. HEINZ ABC INDONESIA"/>
    <n v="0"/>
    <n v="11691.891891891888"/>
    <n v="11691.891891891888"/>
  </r>
  <r>
    <s v="A10201020018201"/>
    <n v="1"/>
    <n v="80"/>
    <x v="85"/>
    <s v="SPECIAL SAUCE"/>
    <s v="ABC SAUS TIRAM SCT 12X10X18G"/>
    <x v="3"/>
    <x v="64"/>
    <x v="4"/>
    <s v="SAUCE"/>
    <s v="A1020"/>
    <x v="47"/>
    <n v="14"/>
    <s v="ABC SAUCE SACHET TIRAM 18GR X 12 PCSX10"/>
    <n v="39"/>
    <s v="ABC"/>
    <s v="A1"/>
    <s v="SAUCE"/>
    <s v="02"/>
    <m/>
    <n v="0"/>
    <s v="SACHET"/>
    <s v="1"/>
    <s v="TIRAM"/>
    <s v="02"/>
    <s v="18GR"/>
    <s v="0018"/>
    <s v="PCSX10"/>
    <n v="2"/>
    <m/>
    <n v="0"/>
    <m/>
    <m/>
    <m/>
    <s v="GRAM"/>
    <n v="1"/>
    <m/>
    <n v="10824.57"/>
    <n v="129894.84"/>
    <n v="12015.272700000001"/>
    <n v="144183.27240000002"/>
    <n v="11515.5"/>
    <n v="138186"/>
    <n v="12782.205000000002"/>
    <n v="153386.46000000002"/>
    <n v="11515.5"/>
    <n v="138186"/>
    <n v="12782.205000000002"/>
    <n v="153386.46000000002"/>
    <m/>
    <d v="2025-07-17T00:00:00"/>
    <m/>
    <s v="Lama"/>
    <s v="Sama"/>
    <s v="Aktif"/>
    <s v="IDR"/>
    <s v="10018"/>
    <s v="18GR"/>
    <m/>
    <m/>
    <s v="KRT"/>
    <s v="GD01"/>
    <n v="11611"/>
    <n v="11612"/>
    <m/>
    <n v="1"/>
    <m/>
    <n v="0"/>
    <n v="11515.5"/>
    <n v="11515.5"/>
  </r>
  <r>
    <s v="A10221000062211"/>
    <n v="1"/>
    <n v="81"/>
    <x v="86"/>
    <s v="SOY SACHET"/>
    <s v="ABC KMNS PCH 60X62G B3G1"/>
    <x v="6"/>
    <x v="65"/>
    <x v="0"/>
    <s v="KECAP MANIS"/>
    <s v="A1022"/>
    <x v="48"/>
    <n v="14"/>
    <s v="ABC KECAP MANIS SACHET 62 GR X 60 RCG PCH PROMO"/>
    <n v="47"/>
    <s v="ABC"/>
    <s v="A1"/>
    <s v="KECAP"/>
    <s v="02"/>
    <s v="MANIS"/>
    <n v="2"/>
    <s v="SACHET"/>
    <s v="1"/>
    <m/>
    <s v="00"/>
    <s v="62 GR"/>
    <s v="0062"/>
    <s v="PCH"/>
    <n v="2"/>
    <s v="PROMO"/>
    <n v="1"/>
    <s v="RCG"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062"/>
    <s v="62 GR"/>
    <m/>
    <m/>
    <s v="KRT"/>
    <s v="GD01"/>
    <n v="11611"/>
    <n v="11612"/>
    <m/>
    <n v="1"/>
    <m/>
    <n v="0"/>
    <n v="0"/>
    <n v="0"/>
  </r>
  <r>
    <s v="A10301000003101"/>
    <n v="1"/>
    <n v="82"/>
    <x v="87"/>
    <s v="SHRIMP PASTE"/>
    <s v="ABC TRS SCT NEW 36X20X4.2G2203"/>
    <x v="7"/>
    <x v="66"/>
    <x v="5"/>
    <s v="TERASI"/>
    <s v="A1030"/>
    <x v="49"/>
    <n v="14"/>
    <s v="ABC TERASI SACHET 3,8 GR X 36 PACK PCSX20"/>
    <n v="41"/>
    <s v="ABC"/>
    <s v="A1"/>
    <s v="TERASI"/>
    <s v="03"/>
    <m/>
    <s v="0"/>
    <s v="SACHET"/>
    <n v="1"/>
    <m/>
    <s v="00"/>
    <s v="3,8 GR"/>
    <s v="0003"/>
    <s v="PCSX20"/>
    <s v="1"/>
    <m/>
    <s v="0"/>
    <s v="PACK"/>
    <m/>
    <m/>
    <s v="GRAM"/>
    <n v="1"/>
    <m/>
    <n v="5922.5927927927914"/>
    <n v="213213.34054054049"/>
    <n v="6574.0779999999995"/>
    <n v="236666.80799999996"/>
    <n v="6300.6306306306296"/>
    <n v="226822.70270270266"/>
    <n v="6993.7"/>
    <n v="251773.19999999998"/>
    <n v="6615.6621621621616"/>
    <n v="238163.83783783781"/>
    <n v="7343.3850000000002"/>
    <n v="264361.86"/>
    <m/>
    <d v="2024-09-18T00:00:00"/>
    <d v="2025-07-01T00:00:00"/>
    <s v="Lama"/>
    <s v="Sama"/>
    <s v="Aktif"/>
    <s v="IDR"/>
    <s v="10003"/>
    <s v="3,8 GR"/>
    <s v="S-HNZ"/>
    <s v="48HEINZ"/>
    <s v="KRT"/>
    <s v="GD01"/>
    <n v="11611"/>
    <n v="11612"/>
    <s v="0123"/>
    <n v="1"/>
    <s v="PT. HEINZ ABC INDONESIA"/>
    <n v="0"/>
    <n v="6300.6306306306296"/>
    <n v="6300.6306306306296"/>
  </r>
  <r>
    <s v="A10301000003102"/>
    <n v="2"/>
    <n v="83"/>
    <x v="88"/>
    <s v="SHRIMP PASTE"/>
    <s v="ABC TRS SCT NEW 36X20X3.8G2211"/>
    <x v="7"/>
    <x v="67"/>
    <x v="5"/>
    <s v="TERASI"/>
    <s v="A1030"/>
    <x v="49"/>
    <n v="14"/>
    <s v="ABC TERASI SACHET 3,8 GR X 36 PACK PCSX20"/>
    <n v="41"/>
    <s v="ABC"/>
    <s v="A1"/>
    <s v="TERASI"/>
    <s v="03"/>
    <m/>
    <s v="0"/>
    <s v="SACHET"/>
    <n v="1"/>
    <m/>
    <s v="00"/>
    <s v="3,8 GR"/>
    <s v="0003"/>
    <s v="PCSX20"/>
    <s v="1"/>
    <m/>
    <s v="0"/>
    <s v="PACK"/>
    <m/>
    <m/>
    <s v="GRAM"/>
    <n v="1"/>
    <m/>
    <n v="5922.5927927927914"/>
    <n v="213213.34054054049"/>
    <n v="6574.0779999999995"/>
    <n v="236666.80799999996"/>
    <n v="6300.6306306306296"/>
    <n v="226822.70270270266"/>
    <n v="6993.7"/>
    <n v="251773.19999999998"/>
    <n v="6615.6621621621616"/>
    <n v="238163.83783783781"/>
    <n v="7343.3850000000002"/>
    <n v="264361.86"/>
    <m/>
    <d v="2024-09-18T00:00:00"/>
    <d v="2025-07-01T00:00:00"/>
    <s v="Lama"/>
    <s v="Sama"/>
    <s v="Aktif"/>
    <s v="IDR"/>
    <s v="10003"/>
    <s v="3,8 GR"/>
    <s v="S-HNZ"/>
    <s v="48HEINZ"/>
    <s v="KRT"/>
    <s v="GD01"/>
    <n v="11611"/>
    <n v="11612"/>
    <s v="0123"/>
    <n v="1"/>
    <s v="PT. HEINZ ABC INDONESIA"/>
    <n v="0"/>
    <n v="6300.6306306306296"/>
    <n v="6300.6306306306296"/>
  </r>
  <r>
    <s v="A10301000003103"/>
    <n v="3"/>
    <n v="84"/>
    <x v="89"/>
    <s v="SHRIMP PASTE"/>
    <s v="ABC TRSI SCT NEW 36X20X3.8G"/>
    <x v="7"/>
    <x v="68"/>
    <x v="5"/>
    <s v="TERASI"/>
    <s v="A1030"/>
    <x v="49"/>
    <n v="14"/>
    <s v="ABC TERASI SACHET 3,8 GR X 36 PACK PCSX20"/>
    <n v="41"/>
    <s v="ABC"/>
    <s v="A1"/>
    <s v="TERASI"/>
    <s v="03"/>
    <m/>
    <s v="0"/>
    <s v="SACHET"/>
    <n v="1"/>
    <m/>
    <s v="00"/>
    <s v="3,8 GR"/>
    <s v="0003"/>
    <s v="PCSX20"/>
    <s v="1"/>
    <m/>
    <s v="0"/>
    <s v="PACK"/>
    <m/>
    <m/>
    <s v="GRAM"/>
    <n v="1"/>
    <m/>
    <n v="5922.5927927927914"/>
    <n v="213213.34054054049"/>
    <n v="6574.0779999999995"/>
    <n v="236666.80799999996"/>
    <n v="6300.6306306306296"/>
    <n v="226822.70270270266"/>
    <n v="6993.7"/>
    <n v="251773.19999999998"/>
    <n v="6615.6621621621616"/>
    <n v="238163.83783783781"/>
    <n v="7343.3850000000002"/>
    <n v="264361.86"/>
    <m/>
    <m/>
    <d v="2025-07-01T00:00:00"/>
    <s v="Lama"/>
    <s v="Sama"/>
    <m/>
    <s v="IDR"/>
    <s v="10003"/>
    <s v="3,8 GR"/>
    <m/>
    <m/>
    <s v="KRT"/>
    <s v="GD01"/>
    <n v="11611"/>
    <n v="11612"/>
    <s v="0123"/>
    <n v="1"/>
    <s v="PT. HEINZ ABC INDONESIA"/>
    <n v="0"/>
    <n v="6300.6306306306296"/>
    <n v="6300.6306306306296"/>
  </r>
  <r>
    <s v="A10410010090101"/>
    <n v="1"/>
    <n v="85"/>
    <x v="90"/>
    <s v="KIDS PRODUCT"/>
    <s v="ABC MRJ MILKYGRP TWA 90ML 1809"/>
    <x v="0"/>
    <x v="69"/>
    <x v="6"/>
    <s v="MR JUSSIE MILKY"/>
    <s v="A1041"/>
    <x v="50"/>
    <n v="14"/>
    <s v="ABC MR JUSSIE MILKY GRAPE 90 ML X 48 PCS"/>
    <n v="40"/>
    <s v="ABC"/>
    <s v="A1"/>
    <s v="MR JUSSIE"/>
    <s v="04"/>
    <s v="MILKY"/>
    <n v="1"/>
    <m/>
    <s v="0"/>
    <s v="GRAPE"/>
    <s v="01"/>
    <s v="90 ML"/>
    <s v="0090"/>
    <s v="PCS"/>
    <s v="1"/>
    <m/>
    <s v="0"/>
    <m/>
    <m/>
    <m/>
    <s v="LITER"/>
    <n v="2"/>
    <m/>
    <n v="1351.9926"/>
    <n v="64895.644800000002"/>
    <n v="1500.7117860000001"/>
    <n v="72034.165728000007"/>
    <n v="1438.29"/>
    <n v="69037.919999999998"/>
    <n v="1596.5019000000002"/>
    <n v="76632.09120000001"/>
    <n v="1510.2"/>
    <n v="72489.600000000006"/>
    <n v="1676.3220000000001"/>
    <n v="80463.456000000006"/>
    <m/>
    <d v="2024-09-18T00:00:00"/>
    <d v="2025-10-15T00:00:00"/>
    <s v="Lama"/>
    <s v="Sama"/>
    <s v="Aktif"/>
    <s v="IDR"/>
    <s v="20090"/>
    <s v="90 ML"/>
    <s v="S-HNZ"/>
    <s v="48HEINZ"/>
    <s v="KRT"/>
    <s v="GD01"/>
    <n v="11611"/>
    <n v="11612"/>
    <s v="0123"/>
    <n v="1"/>
    <s v="PT. HEINZ ABC INDONESIA"/>
    <n v="0"/>
    <n v="1438.29"/>
    <n v="1438.29"/>
  </r>
  <r>
    <s v="A10410020090101"/>
    <n v="1"/>
    <n v="86"/>
    <x v="91"/>
    <s v="KIDS PRODUCT"/>
    <s v="ABC MRJ MLKYSTBRY TWA90ML 1809"/>
    <x v="0"/>
    <x v="70"/>
    <x v="6"/>
    <s v="MR JUSSIE MILKY"/>
    <s v="A1041"/>
    <x v="51"/>
    <n v="14"/>
    <s v="ABC MR JUSSIE MILKY STRAWBERRY 90 ML X 48 PCS"/>
    <n v="45"/>
    <s v="ABC"/>
    <s v="A1"/>
    <s v="MR JUSSIE"/>
    <s v="04"/>
    <s v="MILKY"/>
    <n v="1"/>
    <m/>
    <s v="0"/>
    <s v="STRAWBERRY"/>
    <s v="02"/>
    <s v="90 ML"/>
    <s v="0090"/>
    <s v="PCS"/>
    <s v="1"/>
    <m/>
    <s v="0"/>
    <m/>
    <m/>
    <m/>
    <s v="LITER"/>
    <n v="2"/>
    <m/>
    <n v="1351.9926"/>
    <n v="64895.644800000002"/>
    <n v="1500.7117860000001"/>
    <n v="72034.165728000007"/>
    <n v="1438.29"/>
    <n v="69037.919999999998"/>
    <n v="1596.5019000000002"/>
    <n v="76632.09120000001"/>
    <n v="1510.2"/>
    <n v="72489.600000000006"/>
    <n v="1676.3220000000001"/>
    <n v="80463.456000000006"/>
    <m/>
    <d v="2024-09-18T00:00:00"/>
    <d v="2024-09-18T00:00:00"/>
    <s v="Lama"/>
    <s v="Sama"/>
    <s v="Aktif"/>
    <s v="IDR"/>
    <s v="20090"/>
    <s v="90 ML"/>
    <s v="S-HNZ"/>
    <s v="48HEINZ"/>
    <s v="KRT"/>
    <s v="GD01"/>
    <n v="11611"/>
    <n v="11612"/>
    <s v="0123"/>
    <n v="1"/>
    <s v="PT. HEINZ ABC INDONESIA"/>
    <n v="0"/>
    <n v="1438.29"/>
    <n v="1438.29"/>
  </r>
  <r>
    <s v="A10410030090101"/>
    <n v="1"/>
    <n v="87"/>
    <x v="92"/>
    <s v="KIDS PRODUCT"/>
    <s v="ABC MRJ MILKYMNG TWA 90ML 1809"/>
    <x v="0"/>
    <x v="71"/>
    <x v="6"/>
    <s v="MR JUSSIE MILKY"/>
    <s v="A1041"/>
    <x v="52"/>
    <n v="14"/>
    <s v="ABC MR JUSSIE MILKY MANGO 90 ML X 48 PCS"/>
    <n v="40"/>
    <s v="ABC"/>
    <s v="A1"/>
    <s v="MR JUSSIE"/>
    <s v="04"/>
    <s v="MILKY"/>
    <n v="1"/>
    <m/>
    <s v="0"/>
    <s v="MANGO"/>
    <s v="03"/>
    <s v="90 ML"/>
    <s v="0090"/>
    <s v="PCS"/>
    <s v="1"/>
    <m/>
    <s v="0"/>
    <m/>
    <m/>
    <m/>
    <s v="LITER"/>
    <n v="2"/>
    <m/>
    <n v="1351.9926"/>
    <n v="64895.644800000002"/>
    <n v="1500.7117860000001"/>
    <n v="72034.165728000007"/>
    <n v="1438.29"/>
    <n v="69037.919999999998"/>
    <n v="1596.5019000000002"/>
    <n v="76632.09120000001"/>
    <n v="1510.2"/>
    <n v="72489.600000000006"/>
    <n v="1676.3220000000001"/>
    <n v="80463.456000000006"/>
    <m/>
    <d v="2024-09-18T00:00:00"/>
    <d v="2025-10-15T00:00:00"/>
    <s v="Lama"/>
    <s v="Sama"/>
    <s v="Aktif"/>
    <s v="IDR"/>
    <s v="20090"/>
    <s v="90 ML"/>
    <s v="S-HNZ"/>
    <s v="48HEINZ"/>
    <s v="KRT"/>
    <s v="GD01"/>
    <n v="11611"/>
    <n v="11612"/>
    <s v="0123"/>
    <n v="1"/>
    <s v="PT. HEINZ ABC INDONESIA"/>
    <n v="0"/>
    <n v="1438.29"/>
    <n v="1438.29"/>
  </r>
  <r>
    <s v="A10410040090101"/>
    <n v="1"/>
    <n v="88"/>
    <x v="93"/>
    <s v="KIDS PRODUCT"/>
    <s v="ABC MRJ MILKYORG TWA 90ML 1809"/>
    <x v="0"/>
    <x v="72"/>
    <x v="6"/>
    <s v="MR JUSSIE MILKY"/>
    <s v="A1041"/>
    <x v="53"/>
    <n v="14"/>
    <s v="ABC MR JUSSIE MILKY ORANGE 90 ML X 48 PCS"/>
    <n v="41"/>
    <s v="ABC"/>
    <s v="A1"/>
    <s v="MR JUSSIE"/>
    <s v="04"/>
    <s v="MILKY"/>
    <n v="1"/>
    <m/>
    <s v="0"/>
    <s v="ORANGE"/>
    <s v="04"/>
    <s v="90 ML"/>
    <s v="0090"/>
    <s v="PCS"/>
    <s v="1"/>
    <m/>
    <s v="0"/>
    <m/>
    <m/>
    <m/>
    <s v="LITER"/>
    <n v="2"/>
    <m/>
    <n v="1351.9926"/>
    <n v="64895.644800000002"/>
    <n v="1500.7117860000001"/>
    <n v="72034.165728000007"/>
    <n v="1438.29"/>
    <n v="69037.919999999998"/>
    <n v="1596.5019000000002"/>
    <n v="76632.09120000001"/>
    <n v="1510.2"/>
    <n v="72489.600000000006"/>
    <n v="1676.3220000000001"/>
    <n v="80463.456000000006"/>
    <m/>
    <d v="2024-09-18T00:00:00"/>
    <d v="2025-10-15T00:00:00"/>
    <s v="Lama"/>
    <s v="Sama"/>
    <s v="Aktif"/>
    <s v="IDR"/>
    <s v="20090"/>
    <s v="90 ML"/>
    <s v="S-HNZ"/>
    <s v="48HEINZ"/>
    <s v="KRT"/>
    <s v="GD01"/>
    <n v="11611"/>
    <n v="11612"/>
    <s v="0123"/>
    <n v="1"/>
    <s v="PT. HEINZ ABC INDONESIA"/>
    <n v="0"/>
    <n v="1438.29"/>
    <n v="1438.29"/>
  </r>
  <r>
    <s v="A10410050090101"/>
    <n v="1"/>
    <n v="89"/>
    <x v="94"/>
    <s v="KIDS PRODUCT"/>
    <s v="ABC MRJ CHOCO TWA 90ML 1809"/>
    <x v="0"/>
    <x v="73"/>
    <x v="6"/>
    <s v="MR JUSSIE MILKY"/>
    <s v="A1041"/>
    <x v="54"/>
    <n v="14"/>
    <s v="ABC MR JUSSIE MILKY COKLAT 90 ML X 48 PCS"/>
    <n v="41"/>
    <s v="ABC"/>
    <s v="A1"/>
    <s v="MR JUSSIE"/>
    <s v="04"/>
    <s v="MILKY"/>
    <n v="1"/>
    <m/>
    <s v="0"/>
    <s v="COKLAT"/>
    <s v="05"/>
    <s v="90 ML"/>
    <s v="0090"/>
    <s v="PCS"/>
    <s v="1"/>
    <m/>
    <s v="0"/>
    <m/>
    <m/>
    <m/>
    <s v="LITER"/>
    <n v="2"/>
    <m/>
    <n v="1351.9926"/>
    <n v="64895.644800000002"/>
    <n v="1500.7117860000001"/>
    <n v="72034.165728000007"/>
    <n v="1438.29"/>
    <n v="69037.919999999998"/>
    <n v="1596.5019000000002"/>
    <n v="76632.09120000001"/>
    <n v="1510.2"/>
    <n v="72489.600000000006"/>
    <n v="1676.3220000000001"/>
    <n v="80463.456000000006"/>
    <m/>
    <d v="2024-09-18T00:00:00"/>
    <d v="2025-10-15T00:00:00"/>
    <s v="Lama"/>
    <s v="Sama"/>
    <s v="Aktif"/>
    <s v="IDR"/>
    <s v="20090"/>
    <s v="90 ML"/>
    <s v="S-HNZ"/>
    <s v="48HEINZ"/>
    <s v="KRT"/>
    <s v="GD01"/>
    <n v="11611"/>
    <n v="11612"/>
    <s v="0123"/>
    <n v="1"/>
    <s v="PT. HEINZ ABC INDONESIA"/>
    <n v="0"/>
    <n v="1438.29"/>
    <n v="1438.29"/>
  </r>
  <r>
    <s v="A10420010090101"/>
    <n v="1"/>
    <n v="90"/>
    <x v="95"/>
    <s v="KIDS PRODUCT"/>
    <s v="ABC MRJ FRUITYGVA TWA90ML 1809"/>
    <x v="0"/>
    <x v="74"/>
    <x v="6"/>
    <s v="MR JUSSIE FRUITY"/>
    <s v="A1042"/>
    <x v="55"/>
    <n v="14"/>
    <s v="ABC MR JUSSIE FRUITY GUAVA 90 ML X 48 PCS"/>
    <n v="41"/>
    <s v="ABC"/>
    <s v="A1"/>
    <s v="MR JUSSIE"/>
    <s v="04"/>
    <s v="FRUITY"/>
    <n v="2"/>
    <m/>
    <s v="0"/>
    <s v="GUAVA"/>
    <s v="01"/>
    <s v="90 ML"/>
    <s v="0090"/>
    <s v="PCS"/>
    <s v="1"/>
    <m/>
    <s v="0"/>
    <m/>
    <m/>
    <m/>
    <s v="LITER"/>
    <n v="2"/>
    <m/>
    <n v="1351.9926"/>
    <n v="64895.644800000002"/>
    <n v="1500.7117860000001"/>
    <n v="72034.165728000007"/>
    <n v="1438.29"/>
    <n v="69037.919999999998"/>
    <n v="1596.5019000000002"/>
    <n v="76632.09120000001"/>
    <n v="1510.2"/>
    <n v="72489.600000000006"/>
    <n v="1676.3220000000001"/>
    <n v="80463.456000000006"/>
    <m/>
    <d v="2024-09-18T00:00:00"/>
    <d v="2025-10-15T00:00:00"/>
    <s v="Lama"/>
    <s v="Sama"/>
    <s v="Aktif"/>
    <s v="IDR"/>
    <s v="20090"/>
    <s v="90 ML"/>
    <s v="S-HNZ"/>
    <s v="48HEINZ"/>
    <s v="KRT"/>
    <s v="GD01"/>
    <n v="11611"/>
    <n v="11612"/>
    <s v="0123"/>
    <n v="1"/>
    <s v="PT. HEINZ ABC INDONESIA"/>
    <n v="0"/>
    <n v="1438.29"/>
    <n v="1438.29"/>
  </r>
  <r>
    <s v="A10420040090101"/>
    <n v="1"/>
    <n v="91"/>
    <x v="96"/>
    <s v="KIDS PRODUCT"/>
    <s v="ABC MRJ FRUITYORG TWA90ML 1809"/>
    <x v="0"/>
    <x v="75"/>
    <x v="6"/>
    <s v="MR JUSSIE FRUITY"/>
    <s v="A1042"/>
    <x v="56"/>
    <n v="14"/>
    <s v="ABC MR JUSSIE FRUITY ORANGE 90 ML X 48 PCS"/>
    <n v="42"/>
    <s v="ABC"/>
    <s v="A1"/>
    <s v="MR JUSSIE"/>
    <s v="04"/>
    <s v="FRUITY"/>
    <n v="2"/>
    <m/>
    <s v="0"/>
    <s v="ORANGE"/>
    <s v="04"/>
    <s v="90 ML"/>
    <s v="0090"/>
    <s v="PCS"/>
    <s v="1"/>
    <m/>
    <s v="0"/>
    <m/>
    <m/>
    <m/>
    <s v="LITER"/>
    <n v="2"/>
    <m/>
    <n v="1351.9926"/>
    <n v="64895.644800000002"/>
    <n v="1500.7117860000001"/>
    <n v="72034.165728000007"/>
    <n v="1438.29"/>
    <n v="69037.919999999998"/>
    <n v="1596.5019000000002"/>
    <n v="76632.09120000001"/>
    <n v="1510.2"/>
    <n v="72489.600000000006"/>
    <n v="1676.3220000000001"/>
    <n v="80463.456000000006"/>
    <m/>
    <d v="2024-09-18T00:00:00"/>
    <d v="2025-10-15T00:00:00"/>
    <s v="Lama"/>
    <s v="Sama"/>
    <s v="Aktif"/>
    <s v="IDR"/>
    <s v="20090"/>
    <s v="90 ML"/>
    <s v="S-HNZ"/>
    <s v="48HEINZ"/>
    <s v="KRT"/>
    <s v="GD01"/>
    <n v="11611"/>
    <n v="11612"/>
    <s v="0123"/>
    <n v="1"/>
    <s v="PT. HEINZ ABC INDONESIA"/>
    <n v="0"/>
    <n v="1438.29"/>
    <n v="1438.29"/>
  </r>
  <r>
    <s v="A10500000100101"/>
    <n v="1"/>
    <n v="92"/>
    <x v="97"/>
    <s v="KACANG HIJAU"/>
    <s v="ABC MUG BEAN DRNK 48 X 100ML "/>
    <x v="0"/>
    <x v="76"/>
    <x v="6"/>
    <s v="KACANG HIJAU"/>
    <s v="A1050"/>
    <x v="57"/>
    <n v="14"/>
    <s v="ABC KACANG HIJAU 100 ML X 48 PCS"/>
    <n v="32"/>
    <s v="ABC"/>
    <s v="A1"/>
    <s v="KACANG HIJAU"/>
    <s v="05"/>
    <m/>
    <s v="0"/>
    <m/>
    <s v="0"/>
    <m/>
    <s v="00"/>
    <s v="100 ML"/>
    <s v="0100"/>
    <s v="PCS"/>
    <n v="1"/>
    <m/>
    <n v="0"/>
    <m/>
    <m/>
    <m/>
    <s v="LITER"/>
    <n v="2"/>
    <m/>
    <n v="1422.7027291666666"/>
    <n v="68289.731"/>
    <n v="1579.200029375"/>
    <n v="75801.601410000003"/>
    <n v="1513.5135416666665"/>
    <n v="72648.649999999994"/>
    <n v="1680.0000312499999"/>
    <n v="80640.001499999998"/>
    <n v="72648.649999999994"/>
    <n v="3487135.1999999997"/>
    <n v="80640.001499999998"/>
    <n v="3870720.0719999997"/>
    <m/>
    <d v="2025-07-17T00:00:00"/>
    <m/>
    <s v="Lama"/>
    <s v="Sama"/>
    <s v="Aktif"/>
    <s v="IDR"/>
    <s v="20100"/>
    <s v="100 ML"/>
    <m/>
    <m/>
    <s v="KRT"/>
    <s v="GD01"/>
    <n v="11611"/>
    <n v="11612"/>
    <m/>
    <n v="1"/>
    <m/>
    <n v="0"/>
    <n v="1513.5135416666665"/>
    <n v="1513.5135416666665"/>
  </r>
  <r>
    <s v="A10500000200101"/>
    <n v="1"/>
    <n v="93"/>
    <x v="98"/>
    <s v="KACANG HIJAU"/>
    <s v="ABC MUNG BEAN DRINK 200ML 0912"/>
    <x v="1"/>
    <x v="4"/>
    <x v="6"/>
    <s v="KACANG HIJAU"/>
    <s v="A1050"/>
    <x v="58"/>
    <n v="14"/>
    <s v="ABC KACANG HIJAU 200 ML X 24 PCS"/>
    <n v="32"/>
    <s v="ABC"/>
    <s v="A1"/>
    <s v="KACANG HIJAU"/>
    <s v="05"/>
    <m/>
    <s v="0"/>
    <m/>
    <s v="0"/>
    <m/>
    <s v="00"/>
    <s v="200 ML"/>
    <s v="0200"/>
    <s v="PCS"/>
    <s v="1"/>
    <m/>
    <s v="0"/>
    <m/>
    <m/>
    <m/>
    <s v="LITER"/>
    <n v="2"/>
    <m/>
    <n v="2930.7696000000001"/>
    <n v="70338.470400000006"/>
    <n v="3253.1542560000003"/>
    <n v="78075.70214400001"/>
    <n v="3117.84"/>
    <n v="74828.160000000003"/>
    <n v="3460.8024000000005"/>
    <n v="83059.257600000012"/>
    <n v="3273.7297297297323"/>
    <n v="78569.513513513579"/>
    <n v="3633.8400000000033"/>
    <n v="87212.160000000076"/>
    <m/>
    <d v="2024-09-18T00:00:00"/>
    <d v="2025-10-15T00:00:00"/>
    <s v="Lama"/>
    <s v="Sama"/>
    <s v="Aktif"/>
    <s v="IDR"/>
    <s v="20200"/>
    <s v="200 ML"/>
    <s v="S-HNZ"/>
    <s v="48HEINZ"/>
    <s v="KRT"/>
    <s v="GD01"/>
    <n v="11611"/>
    <n v="11612"/>
    <s v="0123"/>
    <n v="1"/>
    <s v="PT. HEINZ ABC INDONESIA"/>
    <n v="0"/>
    <n v="3117.84"/>
    <n v="3117.84"/>
  </r>
  <r>
    <s v="A10500000200102"/>
    <n v="2"/>
    <n v="94"/>
    <x v="99"/>
    <s v="KACANG HIJAU"/>
    <s v="ABC MUNGBEAN DRNK 24X200ML2103"/>
    <x v="1"/>
    <x v="77"/>
    <x v="6"/>
    <s v="KACANG HIJAU"/>
    <s v="A1050"/>
    <x v="58"/>
    <n v="14"/>
    <s v="ABC KACANG HIJAU 200 ML X 24 PCS"/>
    <n v="32"/>
    <s v="ABC"/>
    <s v="A1"/>
    <s v="KACANG HIJAU"/>
    <s v="05"/>
    <m/>
    <s v="0"/>
    <m/>
    <s v="0"/>
    <m/>
    <s v="00"/>
    <s v="200 ML"/>
    <s v="0200"/>
    <s v="PCS"/>
    <s v="1"/>
    <m/>
    <s v="0"/>
    <m/>
    <m/>
    <m/>
    <s v="LITER"/>
    <n v="2"/>
    <m/>
    <n v="2930.7696000000001"/>
    <n v="70338.470400000006"/>
    <n v="3253.1542560000003"/>
    <n v="78075.70214400001"/>
    <n v="3117.84"/>
    <n v="74828.160000000003"/>
    <n v="3460.8024000000005"/>
    <n v="83059.257600000012"/>
    <n v="3273.7297297297323"/>
    <n v="78569.513513513579"/>
    <n v="3633.8400000000033"/>
    <n v="87212.160000000076"/>
    <m/>
    <d v="2024-09-18T00:00:00"/>
    <d v="2025-10-15T00:00:00"/>
    <s v="Lama"/>
    <s v="Sama"/>
    <s v="Aktif"/>
    <s v="IDR"/>
    <s v="20200"/>
    <s v="200 ML"/>
    <s v="S-HNZ"/>
    <s v="48HEINZ"/>
    <s v="KRT"/>
    <s v="GD01"/>
    <n v="11611"/>
    <n v="11612"/>
    <s v="0123"/>
    <n v="1"/>
    <s v="PT. HEINZ ABC INDONESIA"/>
    <n v="0"/>
    <n v="3117.84"/>
    <n v="3117.84"/>
  </r>
  <r>
    <s v="A10500000250101"/>
    <n v="1"/>
    <n v="95"/>
    <x v="100"/>
    <s v="KACANG HIJAU"/>
    <s v="ABC MUNGBEAN DRNK 24X250ML2103"/>
    <x v="1"/>
    <x v="78"/>
    <x v="6"/>
    <s v="KACANG HIJAU"/>
    <s v="A1050"/>
    <x v="59"/>
    <n v="14"/>
    <s v="ABC KACANG HIJAU 250 ML X 24 PCS"/>
    <n v="32"/>
    <s v="ABC"/>
    <s v="A1"/>
    <s v="KACANG HIJAU"/>
    <s v="05"/>
    <m/>
    <s v="0"/>
    <m/>
    <s v="0"/>
    <m/>
    <s v="00"/>
    <s v="250 ML"/>
    <s v="0250"/>
    <s v="PCS"/>
    <s v="1"/>
    <m/>
    <s v="0"/>
    <m/>
    <m/>
    <m/>
    <s v="LITER"/>
    <n v="2"/>
    <m/>
    <n v="3446.6698000000001"/>
    <n v="82720.075200000007"/>
    <n v="3825.8034780000003"/>
    <n v="91819.28347200001"/>
    <n v="3666.67"/>
    <n v="88000.08"/>
    <n v="4070.0037000000007"/>
    <n v="97680.088800000012"/>
    <n v="3850"/>
    <n v="92400"/>
    <n v="4273.5"/>
    <n v="102564"/>
    <m/>
    <d v="2024-09-18T00:00:00"/>
    <d v="2024-09-18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3666.67"/>
    <n v="3666.67"/>
  </r>
  <r>
    <s v="A10500000250111"/>
    <n v="1"/>
    <n v="96"/>
    <x v="101"/>
    <s v="KACANG HIJAU"/>
    <s v="ABC M.BEAN 24X(200+50)ML 2305"/>
    <x v="1"/>
    <x v="79"/>
    <x v="6"/>
    <s v="KACANG HIJAU"/>
    <s v="A1050"/>
    <x v="60"/>
    <n v="14"/>
    <s v="ABC KACANG HIJAU 250 ML X 24 PCS EXTRA 50 ML"/>
    <n v="44"/>
    <s v="ABC"/>
    <s v="A1"/>
    <s v="KACANG HIJAU"/>
    <s v="05"/>
    <m/>
    <s v="0"/>
    <m/>
    <s v="0"/>
    <m/>
    <s v="00"/>
    <s v="250 ML"/>
    <s v="0250"/>
    <s v="PCS"/>
    <s v="1"/>
    <s v="EXTRA 50 ML"/>
    <n v="1"/>
    <m/>
    <m/>
    <m/>
    <s v="LITER"/>
    <n v="2"/>
    <m/>
    <n v="2930.7696000000001"/>
    <n v="70338.470400000006"/>
    <n v="3253.1542560000003"/>
    <n v="78075.70214400001"/>
    <n v="3117.84"/>
    <n v="74828.160000000003"/>
    <n v="3460.8024000000005"/>
    <n v="83059.257600000012"/>
    <n v="3117.84"/>
    <n v="74828.160000000003"/>
    <n v="3460.8024000000005"/>
    <n v="83059.257600000012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3117.84"/>
    <n v="3117.84"/>
  </r>
  <r>
    <s v="A10500000250201"/>
    <n v="1"/>
    <n v="97"/>
    <x v="102"/>
    <s v="KACANG HIJAU"/>
    <s v="ABC MUNG BEAN 8X3X250ML 2211"/>
    <x v="8"/>
    <x v="4"/>
    <x v="7"/>
    <s v="KACANG HIJAU"/>
    <s v="A1050"/>
    <x v="61"/>
    <n v="14"/>
    <s v="ABC KACANG HIJAU 250 ML X 8 PACK PCSX3"/>
    <n v="38"/>
    <s v="ABC"/>
    <s v="A1"/>
    <s v="KACANG HIJAU"/>
    <s v="05"/>
    <m/>
    <s v="0"/>
    <m/>
    <s v="0"/>
    <m/>
    <s v="00"/>
    <s v="250 ML"/>
    <s v="0250"/>
    <s v="PCSX3"/>
    <s v="2"/>
    <m/>
    <s v="0"/>
    <s v="PACK"/>
    <m/>
    <m/>
    <s v="LITER"/>
    <n v="2"/>
    <m/>
    <n v="6893.3302000000003"/>
    <n v="55146.641600000003"/>
    <n v="7651.5965220000007"/>
    <n v="61212.772176000006"/>
    <n v="7333.33"/>
    <n v="58666.64"/>
    <n v="8139.9963000000007"/>
    <n v="65119.970400000006"/>
    <n v="7700"/>
    <n v="61600"/>
    <n v="8547"/>
    <n v="68376"/>
    <m/>
    <d v="2024-09-18T00:00:00"/>
    <d v="2024-09-18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7333.33"/>
    <n v="7333.33"/>
  </r>
  <r>
    <s v="A10500000250202"/>
    <n v="2"/>
    <n v="98"/>
    <x v="103"/>
    <s v="KACANG HIJAU"/>
    <s v="ABC MUNG BEAN 8X3X250ML 2309"/>
    <x v="8"/>
    <x v="80"/>
    <x v="7"/>
    <s v="KACANG HIJAU"/>
    <s v="A1050"/>
    <x v="61"/>
    <n v="14"/>
    <s v="ABC KACANG HIJAU 250 ML X 8 PACK PCSX3"/>
    <n v="38"/>
    <s v="ABC"/>
    <s v="A1"/>
    <s v="KACANG HIJAU"/>
    <s v="05"/>
    <m/>
    <s v="0"/>
    <m/>
    <s v="0"/>
    <m/>
    <s v="00"/>
    <s v="250 ML"/>
    <s v="0250"/>
    <s v="PCSX3"/>
    <s v="2"/>
    <m/>
    <s v="0"/>
    <s v="PACK"/>
    <m/>
    <m/>
    <s v="LITER"/>
    <n v="2"/>
    <m/>
    <n v="6893.3302000000003"/>
    <n v="55146.641600000003"/>
    <n v="7651.5965220000007"/>
    <n v="61212.772176000006"/>
    <n v="7333.33"/>
    <n v="58666.64"/>
    <n v="8139.9963000000007"/>
    <n v="65119.970400000006"/>
    <n v="7700"/>
    <n v="61600"/>
    <n v="8547"/>
    <n v="68376"/>
    <m/>
    <d v="2024-09-18T00:00:00"/>
    <d v="2024-09-18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7333.33"/>
    <n v="7333.33"/>
  </r>
  <r>
    <s v="A10610000200102"/>
    <n v="2"/>
    <n v="99"/>
    <x v="104"/>
    <s v="KACANG HIJAU"/>
    <s v="ABC SOYBEAN DRNK TFA 200ML1909"/>
    <x v="1"/>
    <x v="4"/>
    <x v="6"/>
    <s v="SARI KEDELAI MILK"/>
    <s v="A1061"/>
    <x v="62"/>
    <n v="14"/>
    <s v="ABC SARI KEDELAI MILK 200 ML X 24 PCS"/>
    <n v="37"/>
    <s v="ABC"/>
    <s v="A1"/>
    <s v="SARI KEDELAI"/>
    <s v="06"/>
    <s v="MILK"/>
    <n v="1"/>
    <m/>
    <s v="0"/>
    <m/>
    <s v="00"/>
    <s v="200 ML"/>
    <s v="0200"/>
    <s v="PCS"/>
    <s v="1"/>
    <m/>
    <s v="0"/>
    <m/>
    <m/>
    <m/>
    <s v="LITER"/>
    <n v="2"/>
    <m/>
    <n v="2752.2541999999999"/>
    <n v="66054.1008"/>
    <n v="3055.0021620000002"/>
    <n v="73320.051888000002"/>
    <n v="2927.93"/>
    <n v="70270.319999999992"/>
    <n v="3250.0023000000001"/>
    <n v="78000.055200000003"/>
    <n v="1859.1173054999997"/>
    <n v="44618.815331999991"/>
    <n v="2063.620209105"/>
    <n v="49526.885018519999"/>
    <m/>
    <d v="2024-09-18T00:00:00"/>
    <d v="2024-09-18T00:00:00"/>
    <s v="Lama"/>
    <s v="Sama"/>
    <s v="Aktif"/>
    <s v="IDR"/>
    <s v="20200"/>
    <s v="200 ML"/>
    <s v="S-HNZ"/>
    <s v="48HEINZ"/>
    <s v="KRT"/>
    <s v="GD01"/>
    <n v="11611"/>
    <n v="11612"/>
    <s v="0123"/>
    <n v="1"/>
    <s v="PT. HEINZ ABC INDONESIA"/>
    <n v="0"/>
    <n v="2927.93"/>
    <n v="2927.93"/>
  </r>
  <r>
    <s v="A10610000200101"/>
    <n v="1"/>
    <n v="100"/>
    <x v="105"/>
    <s v="SARI KEDELAI"/>
    <s v="ABC SOY MILK TBA 24X200ML 2108"/>
    <x v="1"/>
    <x v="81"/>
    <x v="6"/>
    <s v="SARI KEDELAI MILK"/>
    <s v="A1061"/>
    <x v="62"/>
    <n v="14"/>
    <s v="ABC SARI KEDELAI MILK 200 ML X 24 PCS"/>
    <n v="37"/>
    <s v="ABC"/>
    <s v="A1"/>
    <s v="SARI KEDELAI"/>
    <s v="06"/>
    <s v="MILK"/>
    <n v="1"/>
    <m/>
    <s v="0"/>
    <m/>
    <s v="00"/>
    <s v="200 ML"/>
    <s v="0200"/>
    <s v="PCS"/>
    <s v="1"/>
    <m/>
    <s v="0"/>
    <m/>
    <m/>
    <m/>
    <s v="LITER"/>
    <n v="2"/>
    <m/>
    <n v="2834.8238000000001"/>
    <n v="68035.771200000003"/>
    <n v="3146.6544180000005"/>
    <n v="75519.706032000016"/>
    <n v="3015.77"/>
    <n v="72378.48"/>
    <n v="3347.5047000000004"/>
    <n v="80340.112800000003"/>
    <n v="3257.0270270270321"/>
    <n v="78168.64864864877"/>
    <n v="3615.3000000000061"/>
    <n v="86767.200000000143"/>
    <m/>
    <d v="2024-09-18T00:00:00"/>
    <d v="2025-10-15T00:00:00"/>
    <s v="Lama"/>
    <s v="Sama"/>
    <s v="Aktif"/>
    <s v="IDR"/>
    <s v="20200"/>
    <s v="200 ML"/>
    <s v="S-HNZ"/>
    <s v="48HEINZ"/>
    <s v="KRT"/>
    <s v="GD01"/>
    <n v="11611"/>
    <n v="11612"/>
    <s v="0123"/>
    <n v="1"/>
    <s v="PT. HEINZ ABC INDONESIA"/>
    <n v="0"/>
    <n v="3015.77"/>
    <n v="3015.77"/>
  </r>
  <r>
    <s v="A10610010200101"/>
    <n v="1"/>
    <n v="101"/>
    <x v="106"/>
    <s v="SARI KEDELAI"/>
    <s v="ABC SOYMLK CHOCO 24X200ML 2304"/>
    <x v="1"/>
    <x v="4"/>
    <x v="6"/>
    <s v="SARI KEDELAI MILK"/>
    <s v="A1061"/>
    <x v="63"/>
    <n v="14"/>
    <s v="ABC SARI KEDELAI MILK COKLAT 200 ML X 24 PCS"/>
    <n v="44"/>
    <s v="ABC"/>
    <s v="A1"/>
    <s v="SARI KEDELAI"/>
    <s v="06"/>
    <s v="MILK"/>
    <n v="1"/>
    <m/>
    <s v="0"/>
    <s v="COKLAT"/>
    <s v="01"/>
    <s v="200 ML"/>
    <s v="0200"/>
    <s v="PCS"/>
    <s v="1"/>
    <m/>
    <s v="0"/>
    <m/>
    <m/>
    <m/>
    <s v="LITER"/>
    <n v="2"/>
    <m/>
    <n v="3556.7720000000004"/>
    <n v="85362.528000000006"/>
    <n v="3948.0169200000009"/>
    <n v="94752.406080000015"/>
    <n v="3783.8"/>
    <n v="90811.200000000012"/>
    <n v="4200.0180000000009"/>
    <n v="100800.43200000002"/>
    <n v="4086.5"/>
    <n v="98076"/>
    <n v="4536.0150000000003"/>
    <n v="108864.36000000002"/>
    <m/>
    <d v="2024-09-18T00:00:00"/>
    <d v="2024-09-18T00:00:00"/>
    <s v="Lama"/>
    <s v="Sama"/>
    <s v="Aktif"/>
    <s v="IDR"/>
    <s v="20200"/>
    <s v="200 ML"/>
    <s v="S-HNZ"/>
    <s v="48HEINZ"/>
    <s v="KRT"/>
    <s v="GD01"/>
    <n v="11611"/>
    <n v="11612"/>
    <s v="0123"/>
    <n v="1"/>
    <s v="PT. HEINZ ABC INDONESIA"/>
    <n v="0"/>
    <n v="3783.8"/>
    <n v="3783.8"/>
  </r>
  <r>
    <s v="A10610020200101"/>
    <n v="1"/>
    <n v="102"/>
    <x v="107"/>
    <s v="SARI KEDELAI"/>
    <s v="ABC SOYMLK STRAW 24X200ML 2304"/>
    <x v="1"/>
    <x v="4"/>
    <x v="6"/>
    <s v="SARI KEDELAI MILK"/>
    <s v="A1061"/>
    <x v="64"/>
    <n v="14"/>
    <s v="ABC SARI KEDELAI MILK STRAWBERRY 200 ML X 24 PCS"/>
    <n v="48"/>
    <s v="ABC"/>
    <s v="A1"/>
    <s v="SARI KEDELAI"/>
    <s v="06"/>
    <s v="MILK"/>
    <n v="1"/>
    <m/>
    <s v="0"/>
    <s v="STRAWBERRY"/>
    <s v="02"/>
    <s v="200 ML"/>
    <s v="0200"/>
    <s v="PCS"/>
    <s v="1"/>
    <m/>
    <s v="0"/>
    <m/>
    <m/>
    <m/>
    <s v="LITER"/>
    <n v="2"/>
    <m/>
    <n v="3556.7720000000004"/>
    <n v="85362.528000000006"/>
    <n v="3948.0169200000009"/>
    <n v="94752.406080000015"/>
    <n v="3783.8"/>
    <n v="90811.200000000012"/>
    <n v="4200.0180000000009"/>
    <n v="100800.43200000002"/>
    <n v="4086.5"/>
    <n v="98076"/>
    <n v="4536.0150000000003"/>
    <n v="108864.36000000002"/>
    <m/>
    <d v="2024-09-18T00:00:00"/>
    <d v="2024-09-18T00:00:00"/>
    <s v="Lama"/>
    <s v="Sama"/>
    <s v="Aktif"/>
    <s v="IDR"/>
    <s v="20200"/>
    <s v="200 ML"/>
    <s v="S-HNZ"/>
    <s v="48HEINZ"/>
    <s v="KRT"/>
    <s v="GD01"/>
    <n v="11611"/>
    <n v="11612"/>
    <s v="0123"/>
    <n v="1"/>
    <s v="PT. HEINZ ABC INDONESIA"/>
    <n v="0"/>
    <n v="3783.8"/>
    <n v="3783.8"/>
  </r>
  <r>
    <s v="A10700010250101"/>
    <n v="1"/>
    <n v="103"/>
    <x v="108"/>
    <s v="ADULT JUICE"/>
    <s v="ABC GUAVA JUICE QI24X250ML1808"/>
    <x v="1"/>
    <x v="4"/>
    <x v="6"/>
    <s v="JUICE"/>
    <s v="A1070"/>
    <x v="65"/>
    <n v="14"/>
    <s v="ABC JUICE GUAVA 250 ML X 24 PCS"/>
    <n v="31"/>
    <s v="ABC"/>
    <s v="A1"/>
    <s v="JUICE"/>
    <s v="07"/>
    <m/>
    <s v="0"/>
    <m/>
    <s v="0"/>
    <s v="GUAVA"/>
    <s v="01"/>
    <s v="250 ML"/>
    <s v="0250"/>
    <s v="PCS"/>
    <s v="1"/>
    <m/>
    <s v="0"/>
    <m/>
    <m/>
    <m/>
    <s v="LITER"/>
    <n v="2"/>
    <m/>
    <n v="6140.6533999999992"/>
    <n v="147375.68159999998"/>
    <n v="6816.125274"/>
    <n v="163587.00657599999"/>
    <n v="6532.61"/>
    <n v="156782.63999999998"/>
    <n v="7251.1971000000003"/>
    <n v="174028.7304"/>
    <n v="7055.2216216216193"/>
    <n v="169325.31891891887"/>
    <n v="7831.2959999999985"/>
    <n v="187951.10399999996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6532.61"/>
    <n v="6532.61"/>
  </r>
  <r>
    <s v="A10700010250102"/>
    <n v="2"/>
    <n v="104"/>
    <x v="109"/>
    <s v="ADULT JUICE"/>
    <s v="ABC GUAVA JC TBA 24X250ML 2210"/>
    <x v="1"/>
    <x v="82"/>
    <x v="6"/>
    <s v="JUICE"/>
    <s v="A1070"/>
    <x v="65"/>
    <n v="14"/>
    <s v="ABC JUICE GUAVA 250 ML X 24 PCS"/>
    <n v="31"/>
    <s v="ABC"/>
    <s v="A1"/>
    <s v="JUICE"/>
    <s v="07"/>
    <m/>
    <s v="0"/>
    <m/>
    <s v="0"/>
    <s v="GUAVA"/>
    <s v="01"/>
    <s v="250 ML"/>
    <s v="0250"/>
    <s v="PCS"/>
    <s v="1"/>
    <m/>
    <s v="0"/>
    <m/>
    <m/>
    <m/>
    <s v="LITER"/>
    <n v="2"/>
    <m/>
    <n v="6140.6533999999992"/>
    <n v="147375.68159999998"/>
    <n v="6816.125274"/>
    <n v="163587.00657599999"/>
    <n v="6532.61"/>
    <n v="156782.63999999998"/>
    <n v="7251.1971000000003"/>
    <n v="174028.7304"/>
    <n v="7055.2216216216193"/>
    <n v="169325.31891891887"/>
    <n v="7831.2959999999985"/>
    <n v="187951.10399999996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6532.61"/>
    <n v="6532.61"/>
  </r>
  <r>
    <s v="A10700011001101"/>
    <n v="1"/>
    <n v="105"/>
    <x v="110"/>
    <s v="ADULT JUICE"/>
    <s v="ABC GUAVA JUICE Q1 12X1L 1808"/>
    <x v="3"/>
    <x v="4"/>
    <x v="6"/>
    <s v="JUICE"/>
    <s v="A1070"/>
    <x v="66"/>
    <n v="14"/>
    <s v="ABC JUICE GUAVA 1 L X 12 PCS"/>
    <n v="28"/>
    <s v="ABC"/>
    <s v="A1"/>
    <s v="JUICE"/>
    <s v="07"/>
    <m/>
    <s v="0"/>
    <m/>
    <s v="0"/>
    <s v="GUAVA"/>
    <s v="01"/>
    <s v="1 L"/>
    <n v="1001"/>
    <s v="PCS"/>
    <s v="1"/>
    <m/>
    <s v="0"/>
    <m/>
    <m/>
    <m/>
    <s v="LITER"/>
    <n v="2"/>
    <m/>
    <n v="20629.192999999999"/>
    <n v="247550.31599999999"/>
    <n v="22898.40423"/>
    <n v="274780.85076"/>
    <n v="21945.95"/>
    <n v="263351.40000000002"/>
    <n v="24360.004500000003"/>
    <n v="292320.05400000006"/>
    <n v="23701.63"/>
    <n v="284419.56"/>
    <n v="26308.809300000004"/>
    <n v="315705.71160000004"/>
    <m/>
    <d v="2024-09-18T00:00:00"/>
    <d v="2024-09-18T00:00:00"/>
    <s v="Lama"/>
    <s v="Sama"/>
    <s v="Aktif"/>
    <s v="IDR"/>
    <s v="21001"/>
    <s v="1 L"/>
    <s v="S-HNZ"/>
    <s v="48HEINZ"/>
    <s v="KRT"/>
    <s v="GD01"/>
    <n v="11611"/>
    <n v="11612"/>
    <s v="0123"/>
    <n v="1"/>
    <s v="PT. HEINZ ABC INDONESIA"/>
    <n v="0"/>
    <n v="21945.95"/>
    <n v="21945.95"/>
  </r>
  <r>
    <s v="A10700011001102"/>
    <n v="2"/>
    <n v="106"/>
    <x v="111"/>
    <s v="ADULT JUICE"/>
    <s v="ABC GUAVA JC TPA 12X1L 2210"/>
    <x v="3"/>
    <x v="4"/>
    <x v="6"/>
    <s v="JUICE"/>
    <s v="A1070"/>
    <x v="66"/>
    <n v="14"/>
    <s v="ABC JUICE GUAVA 1 L X 12 PCS"/>
    <n v="28"/>
    <s v="ABC"/>
    <s v="A1"/>
    <s v="JUICE"/>
    <s v="07"/>
    <m/>
    <s v="0"/>
    <m/>
    <s v="0"/>
    <s v="GUAVA"/>
    <s v="01"/>
    <s v="1 L"/>
    <n v="1001"/>
    <s v="PCS"/>
    <s v="1"/>
    <m/>
    <s v="0"/>
    <m/>
    <m/>
    <m/>
    <s v="LITER"/>
    <n v="2"/>
    <m/>
    <n v="20629.192999999999"/>
    <n v="247550.31599999999"/>
    <n v="22898.40423"/>
    <n v="274780.85076"/>
    <n v="21945.95"/>
    <n v="263351.40000000002"/>
    <n v="24360.004500000003"/>
    <n v="292320.05400000006"/>
    <n v="23701.63"/>
    <n v="284419.56"/>
    <n v="26308.809300000004"/>
    <n v="315705.71160000004"/>
    <m/>
    <d v="2024-09-18T00:00:00"/>
    <d v="2024-09-18T00:00:00"/>
    <s v="Lama"/>
    <s v="Sama"/>
    <s v="Aktif"/>
    <s v="IDR"/>
    <s v="21001"/>
    <s v="1 L"/>
    <s v="S-HNZ"/>
    <s v="48HEINZ"/>
    <s v="KRT"/>
    <s v="GD01"/>
    <n v="11611"/>
    <n v="11612"/>
    <s v="0123"/>
    <n v="1"/>
    <s v="PT. HEINZ ABC INDONESIA"/>
    <n v="0"/>
    <n v="21945.95"/>
    <n v="21945.95"/>
  </r>
  <r>
    <s v="A10700020250101"/>
    <n v="1"/>
    <n v="107"/>
    <x v="112"/>
    <s v="ADULT JUICE"/>
    <s v="ABC ORANGE JUICE 250ML 0912"/>
    <x v="1"/>
    <x v="4"/>
    <x v="6"/>
    <s v="JUICE"/>
    <s v="A1070"/>
    <x v="67"/>
    <n v="14"/>
    <s v="ABC JUICE ORANGE 250 ML X 24 PCS"/>
    <n v="32"/>
    <s v="ABC"/>
    <s v="A1"/>
    <s v="JUICE"/>
    <s v="07"/>
    <m/>
    <s v="0"/>
    <m/>
    <s v="0"/>
    <s v="ORANGE"/>
    <s v="02"/>
    <s v="250 ML"/>
    <s v="0250"/>
    <s v="PCS"/>
    <s v="1"/>
    <m/>
    <s v="0"/>
    <m/>
    <m/>
    <m/>
    <s v="LITER"/>
    <n v="2"/>
    <m/>
    <n v="6140.6533999999992"/>
    <n v="147375.68159999998"/>
    <n v="6816.125274"/>
    <n v="163587.00657599999"/>
    <n v="6532.61"/>
    <n v="156782.63999999998"/>
    <n v="7251.1971000000003"/>
    <n v="174028.7304"/>
    <n v="7055.2216216216193"/>
    <n v="169325.31891891887"/>
    <n v="7831.2959999999985"/>
    <n v="187951.10399999996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6532.61"/>
    <n v="6532.61"/>
  </r>
  <r>
    <s v="A10700020250102"/>
    <n v="2"/>
    <n v="108"/>
    <x v="113"/>
    <s v="ADULT JUICE"/>
    <s v="ABC ORANGE JC TBA 24X250ML2210"/>
    <x v="1"/>
    <x v="83"/>
    <x v="6"/>
    <s v="JUICE"/>
    <s v="A1070"/>
    <x v="67"/>
    <n v="14"/>
    <s v="ABC JUICE ORANGE 250 ML X 24 PCS"/>
    <n v="32"/>
    <s v="ABC"/>
    <s v="A1"/>
    <s v="JUICE"/>
    <s v="07"/>
    <m/>
    <s v="0"/>
    <m/>
    <s v="0"/>
    <s v="ORANGE"/>
    <s v="02"/>
    <s v="250 ML"/>
    <s v="0250"/>
    <s v="PCS"/>
    <s v="1"/>
    <m/>
    <s v="0"/>
    <m/>
    <m/>
    <m/>
    <s v="LITER"/>
    <n v="2"/>
    <m/>
    <n v="6140.6533999999992"/>
    <n v="147375.68159999998"/>
    <n v="6816.125274"/>
    <n v="163587.00657599999"/>
    <n v="6532.61"/>
    <n v="156782.63999999998"/>
    <n v="7251.1971000000003"/>
    <n v="174028.7304"/>
    <n v="7055.2216216216193"/>
    <n v="169325.31891891887"/>
    <n v="7831.2959999999985"/>
    <n v="187951.10399999996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6532.61"/>
    <n v="6532.61"/>
  </r>
  <r>
    <s v="A10700021001101"/>
    <n v="1"/>
    <n v="109"/>
    <x v="114"/>
    <s v="ADULT JUICE"/>
    <s v="ABC ORANGE JC TPA 12X1L 2210"/>
    <x v="3"/>
    <x v="4"/>
    <x v="6"/>
    <s v="JUICE"/>
    <s v="A1070"/>
    <x v="68"/>
    <n v="14"/>
    <s v="ABC JUICE ORANGE 1 L X 12 PCS"/>
    <n v="29"/>
    <s v="ABC"/>
    <s v="A1"/>
    <s v="JUICE"/>
    <s v="07"/>
    <m/>
    <s v="0"/>
    <m/>
    <s v="0"/>
    <s v="ORANGE"/>
    <s v="02"/>
    <s v="1 L"/>
    <n v="1001"/>
    <s v="PCS"/>
    <s v="1"/>
    <m/>
    <s v="0"/>
    <m/>
    <m/>
    <m/>
    <s v="LITER"/>
    <n v="2"/>
    <m/>
    <n v="20629.192999999999"/>
    <n v="247550.31599999999"/>
    <n v="22898.40423"/>
    <n v="274780.85076"/>
    <n v="21945.95"/>
    <n v="263351.40000000002"/>
    <n v="24360.004500000003"/>
    <n v="292320.05400000006"/>
    <n v="23701.63"/>
    <n v="284419.56"/>
    <n v="26308.809300000004"/>
    <n v="315705.71160000004"/>
    <m/>
    <d v="2024-09-18T00:00:00"/>
    <d v="2024-09-18T00:00:00"/>
    <s v="Lama"/>
    <s v="Sama"/>
    <s v="Aktif"/>
    <s v="IDR"/>
    <s v="21001"/>
    <s v="1 L"/>
    <s v="S-HNZ"/>
    <s v="48HEINZ"/>
    <s v="KRT"/>
    <s v="GD01"/>
    <n v="11611"/>
    <n v="11612"/>
    <s v="0123"/>
    <n v="1"/>
    <s v="PT. HEINZ ABC INDONESIA"/>
    <n v="0"/>
    <n v="21945.95"/>
    <n v="21945.95"/>
  </r>
  <r>
    <s v="A10700030250101"/>
    <n v="1"/>
    <n v="110"/>
    <x v="115"/>
    <s v="ADULT JUICE"/>
    <s v="ABC APPLE JC TBA 24X250ML 2210"/>
    <x v="1"/>
    <x v="84"/>
    <x v="6"/>
    <s v="JUICE"/>
    <s v="A1070"/>
    <x v="69"/>
    <n v="14"/>
    <s v="ABC JUICE APPLE 250 ML X 24 PCS"/>
    <n v="31"/>
    <s v="ABC"/>
    <s v="A1"/>
    <s v="JUICE"/>
    <s v="07"/>
    <m/>
    <s v="0"/>
    <m/>
    <s v="0"/>
    <s v="APPLE"/>
    <s v="03"/>
    <s v="250 ML"/>
    <s v="0250"/>
    <s v="PCS"/>
    <s v="1"/>
    <m/>
    <s v="0"/>
    <m/>
    <m/>
    <m/>
    <s v="LITER"/>
    <n v="2"/>
    <m/>
    <n v="6140.6533999999992"/>
    <n v="147375.68159999998"/>
    <n v="6816.125274"/>
    <n v="163587.00657599999"/>
    <n v="6532.61"/>
    <n v="156782.63999999998"/>
    <n v="7251.1971000000003"/>
    <n v="174028.7304"/>
    <n v="7055.2216216216193"/>
    <n v="169325.31891891887"/>
    <n v="7831.2959999999985"/>
    <n v="187951.10399999996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6532.61"/>
    <n v="6532.61"/>
  </r>
  <r>
    <s v="A10700031001101"/>
    <n v="1"/>
    <n v="111"/>
    <x v="116"/>
    <s v="ADULT JUICE"/>
    <s v="ABC APPLE JC TPA 12X1L 2210"/>
    <x v="3"/>
    <x v="4"/>
    <x v="6"/>
    <s v="JUICE"/>
    <s v="A1070"/>
    <x v="70"/>
    <n v="14"/>
    <s v="ABC JUICE APPLE 1 L X 12 PCS"/>
    <n v="28"/>
    <s v="ABC"/>
    <s v="A1"/>
    <s v="JUICE"/>
    <s v="07"/>
    <m/>
    <s v="0"/>
    <m/>
    <s v="0"/>
    <s v="APPLE"/>
    <s v="03"/>
    <s v="1 L"/>
    <n v="1001"/>
    <s v="PCS"/>
    <s v="1"/>
    <m/>
    <s v="0"/>
    <m/>
    <m/>
    <m/>
    <s v="LITER"/>
    <n v="2"/>
    <m/>
    <n v="20629.192999999999"/>
    <n v="247550.31599999999"/>
    <n v="22898.40423"/>
    <n v="274780.85076"/>
    <n v="21945.95"/>
    <n v="263351.40000000002"/>
    <n v="24360.004500000003"/>
    <n v="292320.05400000006"/>
    <n v="23701.63"/>
    <n v="284419.56"/>
    <n v="26308.809300000004"/>
    <n v="315705.71160000004"/>
    <m/>
    <d v="2024-09-18T00:00:00"/>
    <d v="2024-09-18T00:00:00"/>
    <s v="Lama"/>
    <s v="Sama"/>
    <s v="Aktif"/>
    <s v="IDR"/>
    <s v="21001"/>
    <s v="1 L"/>
    <s v="S-HNZ"/>
    <s v="48HEINZ"/>
    <s v="KRT"/>
    <s v="GD01"/>
    <n v="11611"/>
    <n v="11612"/>
    <s v="0123"/>
    <n v="1"/>
    <s v="PT. HEINZ ABC INDONESIA"/>
    <n v="0"/>
    <n v="21945.95"/>
    <n v="21945.95"/>
  </r>
  <r>
    <s v="A10700040250101"/>
    <n v="1"/>
    <n v="112"/>
    <x v="117"/>
    <s v="ADULT JUICE"/>
    <s v="ABC MANGO JUICE 250ML 0912"/>
    <x v="1"/>
    <x v="4"/>
    <x v="6"/>
    <s v="JUICE"/>
    <s v="A1070"/>
    <x v="71"/>
    <n v="14"/>
    <s v="ABC JUICE MANGO 250 ML X 24 PCS"/>
    <n v="31"/>
    <s v="ABC"/>
    <s v="A1"/>
    <s v="JUICE"/>
    <s v="07"/>
    <m/>
    <s v="0"/>
    <m/>
    <s v="0"/>
    <s v="MANGO"/>
    <s v="04"/>
    <s v="250 ML"/>
    <s v="0250"/>
    <s v="PCS"/>
    <s v="1"/>
    <m/>
    <s v="0"/>
    <m/>
    <m/>
    <m/>
    <s v="LITER"/>
    <n v="2"/>
    <m/>
    <n v="6140.6533999999992"/>
    <n v="147375.68159999998"/>
    <n v="6816.125274"/>
    <n v="163587.00657599999"/>
    <n v="6532.61"/>
    <n v="156782.63999999998"/>
    <n v="7251.1971000000003"/>
    <n v="174028.7304"/>
    <n v="7055.2216216216193"/>
    <n v="169325.31891891887"/>
    <n v="7831.2959999999985"/>
    <n v="187951.10399999996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6532.61"/>
    <n v="6532.61"/>
  </r>
  <r>
    <s v="A10700040250102"/>
    <n v="2"/>
    <n v="113"/>
    <x v="118"/>
    <s v="ADULT JUICE"/>
    <s v="ABC MANGO JC TBA 24x250ML 2210"/>
    <x v="1"/>
    <x v="85"/>
    <x v="6"/>
    <s v="JUICE"/>
    <s v="A1070"/>
    <x v="71"/>
    <n v="14"/>
    <s v="ABC JUICE MANGO 250 ML X 24 PCS"/>
    <n v="31"/>
    <s v="ABC"/>
    <s v="A1"/>
    <s v="JUICE"/>
    <s v="07"/>
    <m/>
    <s v="0"/>
    <m/>
    <s v="0"/>
    <s v="MANGO"/>
    <s v="04"/>
    <s v="250 ML"/>
    <s v="0250"/>
    <s v="PCS"/>
    <s v="1"/>
    <m/>
    <s v="0"/>
    <m/>
    <m/>
    <m/>
    <s v="LITER"/>
    <n v="2"/>
    <m/>
    <n v="6140.6533999999992"/>
    <n v="147375.68159999998"/>
    <n v="6816.125274"/>
    <n v="163587.00657599999"/>
    <n v="6532.61"/>
    <n v="156782.63999999998"/>
    <n v="7251.1971000000003"/>
    <n v="174028.7304"/>
    <n v="7055.2216216216193"/>
    <n v="169325.31891891887"/>
    <n v="7831.2959999999985"/>
    <n v="187951.10399999996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6532.61"/>
    <n v="6532.61"/>
  </r>
  <r>
    <s v="A10700050250101"/>
    <n v="1"/>
    <n v="114"/>
    <x v="119"/>
    <s v="ADULT JUICE"/>
    <s v="ABC LYCHEE JUICE TBA 250ML0912"/>
    <x v="1"/>
    <x v="4"/>
    <x v="6"/>
    <s v="JUICE"/>
    <s v="A1070"/>
    <x v="72"/>
    <n v="14"/>
    <s v="ABC JUICE LECI 250 ML X 24 PCS"/>
    <n v="30"/>
    <s v="ABC"/>
    <s v="A1"/>
    <s v="JUICE"/>
    <s v="07"/>
    <m/>
    <s v="0"/>
    <m/>
    <s v="0"/>
    <s v="LECI"/>
    <s v="05"/>
    <s v="250 ML"/>
    <s v="0250"/>
    <s v="PCS"/>
    <s v="1"/>
    <m/>
    <s v="0"/>
    <m/>
    <m/>
    <m/>
    <s v="LITER"/>
    <n v="2"/>
    <m/>
    <n v="6140.6533999999992"/>
    <n v="147375.68159999998"/>
    <n v="6816.125274"/>
    <n v="163587.00657599999"/>
    <n v="6532.61"/>
    <n v="156782.63999999998"/>
    <n v="7251.1971000000003"/>
    <n v="174028.7304"/>
    <n v="7055.2216216216193"/>
    <n v="169325.31891891887"/>
    <n v="7831.2959999999985"/>
    <n v="187951.10399999996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6532.61"/>
    <n v="6532.61"/>
  </r>
  <r>
    <s v="A10700050250102"/>
    <n v="2"/>
    <n v="115"/>
    <x v="120"/>
    <s v="ADULT JUICE"/>
    <s v="ABC LYCHEE JUICE TBA 250ML2209"/>
    <x v="1"/>
    <x v="86"/>
    <x v="6"/>
    <s v="JUICE"/>
    <s v="A1070"/>
    <x v="72"/>
    <n v="14"/>
    <s v="ABC JUICE LECI 250 ML X 24 PCS"/>
    <n v="30"/>
    <s v="ABC"/>
    <s v="A1"/>
    <s v="JUICE"/>
    <s v="07"/>
    <m/>
    <s v="0"/>
    <m/>
    <s v="0"/>
    <s v="LECI"/>
    <s v="05"/>
    <s v="250 ML"/>
    <s v="0250"/>
    <s v="PCS"/>
    <s v="1"/>
    <m/>
    <s v="0"/>
    <m/>
    <m/>
    <m/>
    <s v="LITER"/>
    <n v="2"/>
    <m/>
    <n v="6140.6533999999992"/>
    <n v="147375.68159999998"/>
    <n v="6816.125274"/>
    <n v="163587.00657599999"/>
    <n v="6532.61"/>
    <n v="156782.63999999998"/>
    <n v="7251.1971000000003"/>
    <n v="174028.7304"/>
    <n v="7055.2216216216193"/>
    <n v="169325.31891891887"/>
    <n v="7831.2959999999985"/>
    <n v="187951.10399999996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6532.61"/>
    <n v="6532.61"/>
  </r>
  <r>
    <s v="A10700060250101"/>
    <n v="1"/>
    <n v="116"/>
    <x v="121"/>
    <s v="ADULT JUICE"/>
    <s v="ABC SOURSOP JUICE TBA250ML0912"/>
    <x v="1"/>
    <x v="4"/>
    <x v="6"/>
    <s v="JUICE"/>
    <s v="A1070"/>
    <x v="73"/>
    <n v="14"/>
    <s v="ABC JUICE SIRSAK 250 ML X 24 PCS"/>
    <n v="32"/>
    <s v="ABC"/>
    <s v="A1"/>
    <s v="JUICE"/>
    <s v="07"/>
    <m/>
    <s v="0"/>
    <m/>
    <s v="0"/>
    <s v="SIRSAK"/>
    <s v="06"/>
    <s v="250 ML"/>
    <s v="0250"/>
    <s v="PCS"/>
    <s v="1"/>
    <m/>
    <s v="0"/>
    <m/>
    <m/>
    <m/>
    <s v="LITER"/>
    <n v="2"/>
    <m/>
    <n v="6140.6533999999992"/>
    <n v="147375.68159999998"/>
    <n v="6816.125274"/>
    <n v="163587.00657599999"/>
    <n v="6532.61"/>
    <n v="156782.63999999998"/>
    <n v="7251.1971000000003"/>
    <n v="174028.7304"/>
    <n v="7055.2216216216193"/>
    <n v="169325.31891891887"/>
    <n v="7831.2959999999985"/>
    <n v="187951.10399999996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6532.61"/>
    <n v="6532.61"/>
  </r>
  <r>
    <s v="A10700060250102"/>
    <n v="2"/>
    <n v="117"/>
    <x v="122"/>
    <s v="ADULT JUICE"/>
    <s v="ABC SOURSOPJC TBA 24x250ML2210"/>
    <x v="1"/>
    <x v="87"/>
    <x v="6"/>
    <s v="JUICE"/>
    <s v="A1070"/>
    <x v="73"/>
    <n v="14"/>
    <s v="ABC JUICE SIRSAK 250 ML X 24 PCS"/>
    <n v="32"/>
    <s v="ABC"/>
    <s v="A1"/>
    <s v="JUICE"/>
    <s v="07"/>
    <m/>
    <s v="0"/>
    <m/>
    <s v="0"/>
    <s v="SIRSAK"/>
    <s v="06"/>
    <s v="250 ML"/>
    <s v="0250"/>
    <s v="PCS"/>
    <s v="1"/>
    <m/>
    <s v="0"/>
    <m/>
    <m/>
    <m/>
    <s v="LITER"/>
    <n v="2"/>
    <m/>
    <n v="6140.6533999999992"/>
    <n v="147375.68159999998"/>
    <n v="6816.125274"/>
    <n v="163587.00657599999"/>
    <n v="6532.61"/>
    <n v="156782.63999999998"/>
    <n v="7251.1971000000003"/>
    <n v="174028.7304"/>
    <n v="7055.2216216216193"/>
    <n v="169325.31891891887"/>
    <n v="7831.2959999999985"/>
    <n v="187951.10399999996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6532.61"/>
    <n v="6532.61"/>
  </r>
  <r>
    <s v="A10800000250101"/>
    <n v="1"/>
    <n v="118"/>
    <x v="123"/>
    <s v="SARI ASAM"/>
    <s v="ABC TMRIND DR TBA 24X250ML2208"/>
    <x v="1"/>
    <x v="88"/>
    <x v="6"/>
    <s v="SARI ASAM"/>
    <s v="A1080"/>
    <x v="74"/>
    <n v="14"/>
    <s v="ABC SARI ASAM 250 ML X 24 PCS"/>
    <n v="29"/>
    <s v="ABC"/>
    <s v="A1"/>
    <s v="SARI ASAM"/>
    <s v="08"/>
    <m/>
    <s v="0"/>
    <m/>
    <s v="0"/>
    <m/>
    <s v="00"/>
    <s v="250 ML"/>
    <s v="0250"/>
    <s v="PCS"/>
    <s v="1"/>
    <m/>
    <s v="0"/>
    <m/>
    <m/>
    <m/>
    <s v="LITER"/>
    <n v="2"/>
    <m/>
    <n v="3707.0686000000001"/>
    <n v="88969.646399999998"/>
    <n v="4114.8461460000008"/>
    <n v="98756.307504000011"/>
    <n v="3943.69"/>
    <n v="94648.56"/>
    <n v="4377.4959000000008"/>
    <n v="105059.90160000001"/>
    <n v="4259.1891891891855"/>
    <n v="102220.54054054045"/>
    <n v="4727.6999999999962"/>
    <n v="113464.7999999999"/>
    <m/>
    <d v="2024-09-18T00:00:00"/>
    <d v="2025-10-15T00:00:00"/>
    <s v="Lama"/>
    <s v="Sama"/>
    <s v="Aktif"/>
    <s v="IDR"/>
    <s v="20250"/>
    <s v="250 ML"/>
    <s v="S-HNZ"/>
    <s v="48HEINZ"/>
    <s v="KRT"/>
    <s v="GD01"/>
    <n v="11611"/>
    <n v="11612"/>
    <s v="0123"/>
    <n v="1"/>
    <s v="PT. HEINZ ABC INDONESIA"/>
    <n v="0"/>
    <n v="3943.69"/>
    <n v="3943.69"/>
  </r>
  <r>
    <s v="A10910010028201"/>
    <n v="1"/>
    <n v="284"/>
    <x v="124"/>
    <m/>
    <s v="ABC SG COCOPANDAN 6X20x28ML2510"/>
    <x v="5"/>
    <x v="89"/>
    <x v="5"/>
    <s v="SIRUP SPECIAL GRADE"/>
    <s v="A1091"/>
    <x v="75"/>
    <n v="14"/>
    <s v="ABC SIRUP SPECIAL GRADE C.PANDAN 28 ML X 6 PCSX20"/>
    <n v="49"/>
    <s v="ABC"/>
    <s v="A1"/>
    <s v="SIRUP"/>
    <s v="09"/>
    <s v="SPECIAL GRADE"/>
    <n v="1"/>
    <m/>
    <s v="0"/>
    <s v="C.PANDAN"/>
    <s v="01"/>
    <s v="28 ML"/>
    <s v="0028"/>
    <s v="PCSX20"/>
    <n v="2"/>
    <m/>
    <s v="0"/>
    <m/>
    <m/>
    <m/>
    <s v="LITER"/>
    <n v="2"/>
    <m/>
    <n v="25405.38"/>
    <n v="152432.28"/>
    <n v="28199.971800000003"/>
    <n v="169199.83080000003"/>
    <n v="27027"/>
    <n v="162162"/>
    <n v="29999.97"/>
    <n v="179999.82"/>
    <n v="29189.16"/>
    <n v="175134.96"/>
    <n v="32399.967600000004"/>
    <n v="194399.80560000002"/>
    <m/>
    <d v="2025-01-23T00:00:00"/>
    <m/>
    <s v="Lama"/>
    <s v="Sama"/>
    <m/>
    <s v="IDR"/>
    <s v="20028"/>
    <s v="28 ML"/>
    <m/>
    <m/>
    <s v="KRT"/>
    <s v="GD01"/>
    <n v="11611"/>
    <n v="11612"/>
    <m/>
    <n v="1"/>
    <m/>
    <n v="0"/>
    <n v="27027"/>
    <n v="27027"/>
  </r>
  <r>
    <s v="A10910010460101"/>
    <n v="1"/>
    <n v="119"/>
    <x v="125"/>
    <s v="THICK SYRUP"/>
    <s v="ABC SG C'PANDAN BTL 485ML 1609"/>
    <x v="3"/>
    <x v="90"/>
    <x v="1"/>
    <s v="SIRUP SPECIAL GRADE"/>
    <s v="A1091"/>
    <x v="76"/>
    <n v="14"/>
    <s v="ABC SIRUP SPECIAL GRADE C.PANDAN 460 ML X 12 BTL"/>
    <n v="48"/>
    <s v="ABC"/>
    <s v="A1"/>
    <s v="SIRUP"/>
    <s v="09"/>
    <s v="SPECIAL GRADE"/>
    <n v="1"/>
    <m/>
    <s v="0"/>
    <s v="C.PANDAN"/>
    <s v="01"/>
    <s v="460 ML"/>
    <s v="0460"/>
    <s v="BTL"/>
    <s v="1"/>
    <m/>
    <s v="0"/>
    <m/>
    <m/>
    <m/>
    <s v="LITER"/>
    <n v="2"/>
    <m/>
    <n v="21918.515800000001"/>
    <n v="263022.18960000004"/>
    <n v="24329.552538000004"/>
    <n v="291954.6304560001"/>
    <n v="23317.57"/>
    <n v="279810.83999999997"/>
    <n v="25882.502700000001"/>
    <n v="310590.03239999997"/>
    <n v="25183.224975324312"/>
    <n v="302198.69970389176"/>
    <n v="27953.379722609989"/>
    <n v="335440.55667131988"/>
    <m/>
    <d v="2024-09-18T00:00:00"/>
    <d v="2024-09-18T00:00:00"/>
    <s v="Lama"/>
    <s v="Sama"/>
    <s v="Aktif"/>
    <s v="IDR"/>
    <s v="20460"/>
    <s v="460 ML"/>
    <s v="S-HNZ"/>
    <s v="48HEINZ"/>
    <s v="KRT"/>
    <s v="GD01"/>
    <n v="11611"/>
    <n v="11612"/>
    <s v="0123"/>
    <n v="1"/>
    <s v="PT. HEINZ ABC INDONESIA"/>
    <n v="0"/>
    <n v="23317.57"/>
    <n v="23317.57"/>
  </r>
  <r>
    <s v="A10910010460102"/>
    <n v="2"/>
    <n v="120"/>
    <x v="126"/>
    <s v="THICK SYRUP"/>
    <s v="ABC SG COCOPANDAN 12X460ML2308"/>
    <x v="3"/>
    <x v="91"/>
    <x v="1"/>
    <s v="SIRUP SPECIAL GRADE"/>
    <s v="A1091"/>
    <x v="76"/>
    <n v="14"/>
    <s v="ABC SIRUP SPECIAL GRADE C.PANDAN 460 ML X 12 BTL"/>
    <n v="48"/>
    <s v="ABC"/>
    <s v="A1"/>
    <s v="SIRUP"/>
    <s v="09"/>
    <s v="SPECIAL GRADE"/>
    <n v="1"/>
    <m/>
    <s v="0"/>
    <s v="C.PANDAN"/>
    <s v="01"/>
    <s v="460 ML"/>
    <s v="0460"/>
    <s v="BTL"/>
    <s v="1"/>
    <m/>
    <s v="0"/>
    <m/>
    <m/>
    <m/>
    <s v="LITER"/>
    <n v="2"/>
    <m/>
    <n v="21918.515800000001"/>
    <n v="263022.18960000004"/>
    <n v="24329.552538000004"/>
    <n v="291954.6304560001"/>
    <n v="23317.57"/>
    <n v="279810.83999999997"/>
    <n v="25882.502700000001"/>
    <n v="310590.03239999997"/>
    <n v="25183.224975324312"/>
    <n v="302198.69970389176"/>
    <n v="27953.379722609989"/>
    <n v="335440.55667131988"/>
    <m/>
    <d v="2024-09-18T00:00:00"/>
    <d v="2024-09-18T00:00:00"/>
    <s v="Lama"/>
    <s v="Sama"/>
    <s v="Aktif"/>
    <s v="IDR"/>
    <s v="20460"/>
    <s v="460 ML"/>
    <s v="S-HNZ"/>
    <s v="48HEINZ"/>
    <s v="KRT"/>
    <s v="GD01"/>
    <n v="11611"/>
    <n v="11612"/>
    <s v="0123"/>
    <n v="1"/>
    <s v="PT. HEINZ ABC INDONESIA"/>
    <n v="0"/>
    <n v="23317.57"/>
    <n v="23317.57"/>
  </r>
  <r>
    <s v="A10910010460102"/>
    <n v="2"/>
    <m/>
    <x v="127"/>
    <s v="THICK SYRUP"/>
    <s v="ABC SG COCOPANDAN 12X460ML2410"/>
    <x v="3"/>
    <x v="92"/>
    <x v="1"/>
    <s v="SIRUP SPECIAL GRADE"/>
    <s v="A1091"/>
    <x v="76"/>
    <n v="14"/>
    <s v="ABC SIRUP SPECIAL GRADE C.PANDAN 460 ML X 12 BTL"/>
    <n v="48"/>
    <s v="ABC"/>
    <s v="A1"/>
    <s v="SIRUP"/>
    <s v="09"/>
    <s v="SPECIAL GRADE"/>
    <n v="1"/>
    <m/>
    <s v="0"/>
    <s v="C.PANDAN"/>
    <s v="01"/>
    <s v="460 ML"/>
    <s v="0460"/>
    <s v="BTL"/>
    <s v="1"/>
    <m/>
    <s v="0"/>
    <m/>
    <m/>
    <m/>
    <s v="LITER"/>
    <n v="2"/>
    <m/>
    <n v="21918.5252"/>
    <n v="263022.30239999999"/>
    <n v="24329.562972000003"/>
    <n v="291954.755664"/>
    <n v="23317.58"/>
    <n v="279810.96000000002"/>
    <n v="25882.513800000004"/>
    <n v="310590.16560000007"/>
    <m/>
    <n v="0"/>
    <n v="0"/>
    <n v="0"/>
    <m/>
    <m/>
    <m/>
    <s v="Lama"/>
    <s v="Sama"/>
    <m/>
    <s v="IDR"/>
    <s v="20460"/>
    <s v="460 ML"/>
    <m/>
    <m/>
    <s v="KRT"/>
    <s v="GD01"/>
    <n v="11611"/>
    <n v="11612"/>
    <m/>
    <n v="1"/>
    <m/>
    <n v="0"/>
    <n v="23317.58"/>
    <n v="23317.58"/>
  </r>
  <r>
    <s v="A10910020460101"/>
    <n v="1"/>
    <n v="121"/>
    <x v="128"/>
    <s v="THICK SYRUP"/>
    <s v="ABC SG MELON BTL 485ML 1908"/>
    <x v="3"/>
    <x v="93"/>
    <x v="1"/>
    <s v="SIRUP SPECIAL GRADE"/>
    <s v="A1091"/>
    <x v="77"/>
    <n v="14"/>
    <s v="ABC SIRUP SPECIAL GRADE MELON 460 ML X 12 BTL"/>
    <n v="45"/>
    <s v="ABC"/>
    <s v="A1"/>
    <s v="SIRUP"/>
    <s v="09"/>
    <s v="SPECIAL GRADE"/>
    <n v="1"/>
    <m/>
    <s v="0"/>
    <s v="MELON"/>
    <s v="02"/>
    <s v="460 ML"/>
    <s v="0460"/>
    <s v="BTL"/>
    <s v="1"/>
    <m/>
    <s v="0"/>
    <m/>
    <m/>
    <m/>
    <s v="LITER"/>
    <n v="2"/>
    <m/>
    <n v="21918.515800000001"/>
    <n v="263022.18960000004"/>
    <n v="24329.552538000004"/>
    <n v="291954.6304560001"/>
    <n v="23317.57"/>
    <n v="279810.83999999997"/>
    <n v="25882.502700000001"/>
    <n v="310590.03239999997"/>
    <n v="25183.224975324312"/>
    <n v="302198.69970389176"/>
    <n v="27953.379722609989"/>
    <n v="335440.55667131988"/>
    <m/>
    <d v="2024-09-18T00:00:00"/>
    <d v="2024-09-18T00:00:00"/>
    <s v="Lama"/>
    <s v="Sama"/>
    <s v="Aktif"/>
    <s v="IDR"/>
    <s v="20460"/>
    <s v="460 ML"/>
    <s v="S-HNZ"/>
    <s v="48HEINZ"/>
    <s v="KRT"/>
    <s v="GD01"/>
    <n v="11611"/>
    <n v="11612"/>
    <s v="0123"/>
    <n v="1"/>
    <s v="PT. HEINZ ABC INDONESIA"/>
    <n v="0"/>
    <n v="23317.57"/>
    <n v="23317.57"/>
  </r>
  <r>
    <s v="A10910020460102"/>
    <n v="2"/>
    <n v="122"/>
    <x v="129"/>
    <s v="THICK SYRUP"/>
    <s v="ABC SG MELON 12X460ML 2308"/>
    <x v="3"/>
    <x v="94"/>
    <x v="1"/>
    <s v="SIRUP SPECIAL GRADE"/>
    <s v="A1091"/>
    <x v="77"/>
    <n v="14"/>
    <s v="ABC SIRUP SPECIAL GRADE MELON 460 ML X 12 BTL"/>
    <n v="45"/>
    <s v="ABC"/>
    <s v="A1"/>
    <s v="SIRUP"/>
    <s v="09"/>
    <s v="SPECIAL GRADE"/>
    <n v="1"/>
    <m/>
    <s v="0"/>
    <s v="MELON"/>
    <s v="02"/>
    <s v="460 ML"/>
    <s v="0460"/>
    <s v="BTL"/>
    <s v="1"/>
    <m/>
    <s v="0"/>
    <m/>
    <m/>
    <m/>
    <s v="LITER"/>
    <n v="2"/>
    <m/>
    <n v="21918.515800000001"/>
    <n v="263022.18960000004"/>
    <n v="24329.552538000004"/>
    <n v="291954.6304560001"/>
    <n v="23317.57"/>
    <n v="279810.83999999997"/>
    <n v="25882.502700000001"/>
    <n v="310590.03239999997"/>
    <n v="25183.224975324312"/>
    <n v="302198.69970389176"/>
    <n v="27953.379722609989"/>
    <n v="335440.55667131988"/>
    <m/>
    <d v="2024-09-18T00:00:00"/>
    <d v="2024-09-18T00:00:00"/>
    <s v="Lama"/>
    <s v="Sama"/>
    <s v="Aktif"/>
    <s v="IDR"/>
    <s v="20460"/>
    <s v="460 ML"/>
    <s v="S-HNZ"/>
    <s v="48HEINZ"/>
    <s v="KRT"/>
    <s v="GD01"/>
    <n v="11611"/>
    <n v="11612"/>
    <s v="0123"/>
    <n v="1"/>
    <s v="PT. HEINZ ABC INDONESIA"/>
    <n v="0"/>
    <n v="23317.57"/>
    <n v="23317.57"/>
  </r>
  <r>
    <s v="A10920010450101"/>
    <n v="1"/>
    <n v="123"/>
    <x v="130"/>
    <s v="SQUASH"/>
    <s v="ABC SQ ORANGE 12X450ML 2207"/>
    <x v="3"/>
    <x v="95"/>
    <x v="1"/>
    <s v="SIRUP SQUASH"/>
    <s v="A1092"/>
    <x v="78"/>
    <n v="14"/>
    <s v="ABC SIRUP SQUASH ORANGE 450 ML X 12 BTL"/>
    <n v="39"/>
    <s v="ABC"/>
    <s v="A1"/>
    <s v="SIRUP"/>
    <s v="09"/>
    <s v="SQUASH"/>
    <n v="2"/>
    <m/>
    <s v="0"/>
    <s v="ORANGE"/>
    <s v="01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0920010450102"/>
    <n v="2"/>
    <n v="124"/>
    <x v="131"/>
    <s v="SQUASH"/>
    <s v="ABC SQ ORANGE 12X450ML 2307"/>
    <x v="3"/>
    <x v="96"/>
    <x v="1"/>
    <s v="SIRUP SQUASH"/>
    <s v="A1092"/>
    <x v="78"/>
    <n v="14"/>
    <s v="ABC SIRUP SQUASH ORANGE 450 ML X 12 BTL"/>
    <n v="39"/>
    <s v="ABC"/>
    <s v="A1"/>
    <s v="SIRUP"/>
    <s v="09"/>
    <s v="SQUASH"/>
    <n v="2"/>
    <m/>
    <s v="0"/>
    <s v="ORANGE"/>
    <s v="01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0920070425103"/>
    <n v="3"/>
    <n v="284"/>
    <x v="132"/>
    <m/>
    <s v="ABC SQ CCPANDN 12X425ML GT2509"/>
    <x v="3"/>
    <x v="97"/>
    <x v="1"/>
    <s v="SIRUP SQUASH"/>
    <s v="A1092"/>
    <x v="79"/>
    <n v="14"/>
    <s v="ABC SIRUP SQUASH C.PANDAN 425 ML X 12 BTL"/>
    <n v="41"/>
    <s v="ABC"/>
    <s v="A1"/>
    <s v="SIRUP"/>
    <s v="09"/>
    <s v="SQUASH"/>
    <n v="2"/>
    <m/>
    <s v="0"/>
    <s v="C.PANDAN"/>
    <s v="07"/>
    <s v="425 ML"/>
    <s v="0425"/>
    <s v="BTL"/>
    <s v="1"/>
    <m/>
    <s v="0"/>
    <m/>
    <m/>
    <m/>
    <s v="LITER"/>
    <n v="2"/>
    <m/>
    <n v="12759.870199999999"/>
    <n v="153118.4424"/>
    <n v="14163.455922000001"/>
    <n v="169961.47106400001"/>
    <n v="13574.33"/>
    <n v="162891.96"/>
    <n v="15067.506300000001"/>
    <n v="180810.07560000001"/>
    <n v="13574.33"/>
    <n v="162891.96"/>
    <n v="15067.506300000001"/>
    <n v="180810.07560000001"/>
    <m/>
    <d v="2025-01-28T00:00:00"/>
    <m/>
    <s v="Lama"/>
    <s v="Sama"/>
    <m/>
    <s v="IDR"/>
    <s v="20425"/>
    <s v="425 ML"/>
    <m/>
    <m/>
    <s v="KRT"/>
    <s v="GD01"/>
    <n v="11611"/>
    <n v="11612"/>
    <m/>
    <n v="1"/>
    <m/>
    <n v="0"/>
    <n v="13574.33"/>
    <n v="13574.33"/>
  </r>
  <r>
    <s v="A10920020450101"/>
    <n v="1"/>
    <n v="125"/>
    <x v="133"/>
    <s v="SQUASH"/>
    <s v="ABC SQ PINEAPPLE 12X450ML 2207"/>
    <x v="3"/>
    <x v="98"/>
    <x v="1"/>
    <s v="SIRUP SQUASH"/>
    <s v="A1092"/>
    <x v="80"/>
    <n v="14"/>
    <s v="ABC SIRUP SQUASH NANAS 450 ML X 12 BTL"/>
    <n v="38"/>
    <s v="ABC"/>
    <s v="A1"/>
    <s v="SIRUP"/>
    <s v="09"/>
    <s v="SQUASH"/>
    <n v="2"/>
    <m/>
    <s v="0"/>
    <s v="NANAS"/>
    <s v="02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0920020450102"/>
    <n v="2"/>
    <n v="126"/>
    <x v="134"/>
    <s v="SQUASH"/>
    <s v="ABC SQ PINEAPPLE 12X450ML 2307"/>
    <x v="3"/>
    <x v="99"/>
    <x v="1"/>
    <s v="SIRUP SQUASH"/>
    <s v="A1092"/>
    <x v="80"/>
    <n v="14"/>
    <s v="ABC SIRUP SQUASH NANAS 450 ML X 12 BTL"/>
    <n v="38"/>
    <s v="ABC"/>
    <s v="A1"/>
    <s v="SIRUP"/>
    <s v="09"/>
    <s v="SQUASH"/>
    <n v="2"/>
    <m/>
    <s v="0"/>
    <s v="NANAS"/>
    <s v="02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0920030450101"/>
    <n v="1"/>
    <n v="127"/>
    <x v="135"/>
    <s v="SQUASH"/>
    <s v="ABC SQ LYCHEE 12X450ML 2207"/>
    <x v="3"/>
    <x v="100"/>
    <x v="1"/>
    <s v="SIRUP SQUASH"/>
    <s v="A1092"/>
    <x v="81"/>
    <n v="14"/>
    <s v="ABC SIRUP SQUASH LECI 450 ML X 12 BTL"/>
    <n v="37"/>
    <s v="ABC"/>
    <s v="A1"/>
    <s v="SIRUP"/>
    <s v="09"/>
    <s v="SQUASH"/>
    <n v="2"/>
    <m/>
    <s v="0"/>
    <s v="LECI"/>
    <s v="03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0920030450102"/>
    <n v="2"/>
    <n v="128"/>
    <x v="136"/>
    <s v="SQUASH"/>
    <s v="ABC SQ LYCHEE 12X450ML 2307"/>
    <x v="3"/>
    <x v="101"/>
    <x v="1"/>
    <s v="SIRUP SQUASH"/>
    <s v="A1092"/>
    <x v="81"/>
    <n v="14"/>
    <s v="ABC SIRUP SQUASH LECI 450 ML X 12 BTL"/>
    <n v="37"/>
    <s v="ABC"/>
    <s v="A1"/>
    <s v="SIRUP"/>
    <s v="09"/>
    <s v="SQUASH"/>
    <n v="2"/>
    <m/>
    <s v="0"/>
    <s v="LECI"/>
    <s v="03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0920040450101"/>
    <n v="1"/>
    <n v="129"/>
    <x v="137"/>
    <s v="SQUASH"/>
    <s v="ABC SQ SOURSOP 12X450ML 2207"/>
    <x v="3"/>
    <x v="4"/>
    <x v="1"/>
    <s v="SIRUP SQUASH"/>
    <s v="A1092"/>
    <x v="82"/>
    <n v="14"/>
    <s v="ABC SIRUP SQUASH SIRSAK 450 ML X 12 BTL"/>
    <n v="39"/>
    <s v="ABC"/>
    <s v="A1"/>
    <s v="SIRUP"/>
    <s v="09"/>
    <s v="SQUASH"/>
    <n v="2"/>
    <m/>
    <s v="0"/>
    <s v="SIRSAK"/>
    <s v="04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0920040450102"/>
    <n v="2"/>
    <n v="130"/>
    <x v="138"/>
    <s v="SQUASH"/>
    <s v="ABC SQ SOURSOP 12X450ML 2307"/>
    <x v="3"/>
    <x v="102"/>
    <x v="1"/>
    <s v="SIRUP SQUASH"/>
    <s v="A1092"/>
    <x v="82"/>
    <n v="14"/>
    <s v="ABC SIRUP SQUASH SIRSAK 450 ML X 12 BTL"/>
    <n v="39"/>
    <s v="ABC"/>
    <s v="A1"/>
    <s v="SIRUP"/>
    <s v="09"/>
    <s v="SQUASH"/>
    <n v="2"/>
    <m/>
    <s v="0"/>
    <s v="SIRSAK"/>
    <s v="04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0920050450101"/>
    <n v="1"/>
    <n v="131"/>
    <x v="139"/>
    <s v="SQUASH"/>
    <s v="ABC SQ GRAPE 12X450ML 2207"/>
    <x v="3"/>
    <x v="4"/>
    <x v="1"/>
    <s v="SIRUP SQUASH"/>
    <s v="A1092"/>
    <x v="83"/>
    <n v="14"/>
    <s v="ABC SIRUP SQUASH ANGGUR 450 ML X 12 BTL"/>
    <n v="39"/>
    <s v="ABC"/>
    <s v="A1"/>
    <s v="SIRUP"/>
    <s v="09"/>
    <s v="SQUASH"/>
    <n v="2"/>
    <m/>
    <s v="0"/>
    <s v="ANGGUR"/>
    <s v="05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0920050450102"/>
    <n v="2"/>
    <n v="132"/>
    <x v="140"/>
    <s v="SQUASH"/>
    <s v="ABC SQ GRAPE 12X450ML 2307"/>
    <x v="3"/>
    <x v="103"/>
    <x v="1"/>
    <s v="SIRUP SQUASH"/>
    <s v="A1092"/>
    <x v="83"/>
    <n v="14"/>
    <s v="ABC SIRUP SQUASH ANGGUR 450 ML X 12 BTL"/>
    <n v="39"/>
    <s v="ABC"/>
    <s v="A1"/>
    <s v="SIRUP"/>
    <s v="09"/>
    <s v="SQUASH"/>
    <n v="2"/>
    <m/>
    <s v="0"/>
    <s v="ANGGUR"/>
    <s v="05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0920060450101"/>
    <n v="1"/>
    <n v="133"/>
    <x v="141"/>
    <s v="SQUASH"/>
    <s v="ABC SQ MANGO 12X450ML 2207"/>
    <x v="3"/>
    <x v="104"/>
    <x v="1"/>
    <s v="SIRUP SQUASH"/>
    <s v="A1092"/>
    <x v="84"/>
    <n v="14"/>
    <s v="ABC SIRUP SQUASH MANGGA 450 ML X 12 BTL"/>
    <n v="39"/>
    <s v="ABC"/>
    <s v="A1"/>
    <s v="SIRUP"/>
    <s v="09"/>
    <s v="SQUASH"/>
    <n v="2"/>
    <m/>
    <s v="0"/>
    <s v="MANGGA"/>
    <s v="06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0920060450102"/>
    <n v="2"/>
    <n v="134"/>
    <x v="142"/>
    <s v="SQUASH"/>
    <s v="ABC SQ MANGO 12X450ML 2307"/>
    <x v="3"/>
    <x v="105"/>
    <x v="1"/>
    <s v="SIRUP SQUASH"/>
    <s v="A1092"/>
    <x v="84"/>
    <n v="14"/>
    <s v="ABC SIRUP SQUASH MANGGA 450 ML X 12 BTL"/>
    <n v="39"/>
    <s v="ABC"/>
    <s v="A1"/>
    <s v="SIRUP"/>
    <s v="09"/>
    <s v="SQUASH"/>
    <n v="2"/>
    <m/>
    <s v="0"/>
    <s v="MANGGA"/>
    <s v="06"/>
    <s v="450 ML"/>
    <s v="0450"/>
    <s v="BTL"/>
    <s v="1"/>
    <m/>
    <s v="0"/>
    <m/>
    <m/>
    <m/>
    <s v="LITER"/>
    <n v="2"/>
    <m/>
    <n v="12759.8608"/>
    <n v="153118.3296"/>
    <n v="14163.445488000001"/>
    <n v="169961.345856"/>
    <n v="13574.32"/>
    <n v="162891.84"/>
    <n v="15067.495200000001"/>
    <n v="180809.9424"/>
    <n v="13574.32"/>
    <n v="162891.84"/>
    <n v="15067.495200000001"/>
    <n v="180809.9424"/>
    <m/>
    <d v="2024-09-18T00:00:00"/>
    <d v="2024-09-18T00:00:00"/>
    <s v="Lama"/>
    <s v="Sama"/>
    <s v="Aktif"/>
    <s v="IDR"/>
    <s v="20450"/>
    <s v="450 ML"/>
    <s v="S-HNZ"/>
    <s v="48HEINZ"/>
    <s v="KRT"/>
    <s v="GD01"/>
    <n v="11611"/>
    <n v="11612"/>
    <s v="0123"/>
    <n v="1"/>
    <s v="PT. HEINZ ABC INDONESIA"/>
    <n v="0"/>
    <n v="13574.32"/>
    <n v="13574.32"/>
  </r>
  <r>
    <s v="A11000010155101"/>
    <n v="1"/>
    <n v="136"/>
    <x v="143"/>
    <s v="CANNED FISH SARDINES"/>
    <s v="ABC SARDINES TOMAT 155 GR X 60 KLG"/>
    <x v="6"/>
    <x v="106"/>
    <x v="8"/>
    <s v="SARDINES"/>
    <s v="A1100"/>
    <x v="85"/>
    <n v="14"/>
    <s v="ABC SARDINES TOMAT 155 GR X 60 KLG"/>
    <n v="34"/>
    <s v="ABC"/>
    <s v="A1"/>
    <s v="SARDINES"/>
    <n v="10"/>
    <m/>
    <s v="0"/>
    <m/>
    <s v="0"/>
    <s v="TOMAT "/>
    <s v="01"/>
    <s v="155 GR"/>
    <s v="0155"/>
    <s v="KLG"/>
    <s v="1"/>
    <m/>
    <n v="0"/>
    <m/>
    <m/>
    <m/>
    <s v="GRAM"/>
    <n v="1"/>
    <m/>
    <n v="9145.9462000000003"/>
    <n v="548756.772"/>
    <n v="10152.000282000001"/>
    <n v="609120.01692000008"/>
    <n v="9729.73"/>
    <n v="583783.79999999993"/>
    <n v="10800.0003"/>
    <n v="648000.01799999992"/>
    <n v="10216.219999999999"/>
    <n v="612973.19999999995"/>
    <n v="11340.004199999999"/>
    <n v="680400.25199999998"/>
    <m/>
    <d v="2024-09-18T00:00:00"/>
    <d v="2024-09-18T00:00:00"/>
    <s v="Lama"/>
    <s v="Sama"/>
    <s v="Aktif"/>
    <s v="IDR"/>
    <s v="10155"/>
    <s v="155 GR"/>
    <s v="S-HNZ"/>
    <s v="48HEINZ"/>
    <s v="KRT"/>
    <s v="GD01"/>
    <n v="11611"/>
    <n v="11612"/>
    <s v="0123"/>
    <n v="1"/>
    <s v="PT. HEINZ ABC INDONESIA"/>
    <n v="0"/>
    <n v="9729.73"/>
    <n v="9729.73"/>
  </r>
  <r>
    <s v="A11000010155111"/>
    <n v="1"/>
    <n v="135"/>
    <x v="144"/>
    <s v="CANNED FISH SARDINES"/>
    <s v="ABC SRDN TOM 155G+KCP 60ML2203"/>
    <x v="9"/>
    <x v="4"/>
    <x v="8"/>
    <s v="SARDINES"/>
    <s v="A1100"/>
    <x v="86"/>
    <n v="14"/>
    <s v="ABC SARDINES TOMAT 155 GR X 30 KLG BANDED"/>
    <n v="41"/>
    <s v="ABC"/>
    <s v="A1"/>
    <s v="SARDINES"/>
    <n v="10"/>
    <m/>
    <s v="0"/>
    <m/>
    <s v="0"/>
    <s v="TOMAT"/>
    <s v="01"/>
    <s v="155 GR"/>
    <s v="0155"/>
    <s v="KLG"/>
    <s v="1"/>
    <s v="BANDED"/>
    <n v="1"/>
    <m/>
    <m/>
    <m/>
    <s v="GRAM"/>
    <n v="1"/>
    <m/>
    <n v="18291.892400000001"/>
    <n v="548756.772"/>
    <n v="20304.000564000002"/>
    <n v="609120.01692000008"/>
    <n v="19459.46"/>
    <n v="583783.79999999993"/>
    <n v="21600.000599999999"/>
    <n v="648000.01799999992"/>
    <n v="20432.43"/>
    <n v="612972.9"/>
    <n v="22679.997300000003"/>
    <n v="680399.91900000011"/>
    <m/>
    <d v="2024-09-18T00:00:00"/>
    <d v="2024-09-18T00:00:00"/>
    <s v="Lama"/>
    <s v="Sama"/>
    <s v="Aktif"/>
    <s v="IDR"/>
    <s v="10155"/>
    <s v="155 GR"/>
    <s v="S-HNZ"/>
    <s v="48HEINZ"/>
    <s v="KRT"/>
    <s v="GD01"/>
    <n v="11611"/>
    <n v="11612"/>
    <s v="0123"/>
    <n v="1"/>
    <s v="PT. HEINZ ABC INDONESIA"/>
    <n v="0"/>
    <n v="19459.46"/>
    <n v="19459.46"/>
  </r>
  <r>
    <s v="A11000010155121"/>
    <n v="1"/>
    <n v="137"/>
    <x v="145"/>
    <s v="CANNED FISH SARDINES"/>
    <s v="ABC SARDINES TOMAT POP 155 GR X 60 KLG"/>
    <x v="6"/>
    <x v="107"/>
    <x v="8"/>
    <s v="SARDINES"/>
    <s v="A1100"/>
    <x v="87"/>
    <n v="14"/>
    <s v="ABC SARDINES TOMAT 155 GR X 60 KLG PROMO"/>
    <n v="40"/>
    <s v="ABC"/>
    <s v="A1"/>
    <s v="SARDINES"/>
    <n v="10"/>
    <m/>
    <s v="0"/>
    <m/>
    <s v="0"/>
    <s v="TOMAT"/>
    <s v="01"/>
    <s v="155 GR"/>
    <s v="0155"/>
    <s v="KLG"/>
    <s v="1"/>
    <s v="PROMO"/>
    <n v="2"/>
    <m/>
    <m/>
    <m/>
    <s v="GRAM"/>
    <n v="1"/>
    <m/>
    <n v="7775.7477476800004"/>
    <n v="466544.86486080004"/>
    <n v="8631.0799999248011"/>
    <n v="517864.79999548808"/>
    <n v="8272.0720720000008"/>
    <n v="496324.32432000007"/>
    <n v="9181.9999999200008"/>
    <n v="550919.99999520008"/>
    <n v="0"/>
    <n v="0"/>
    <n v="0"/>
    <n v="0"/>
    <m/>
    <d v="2025-01-17T00:00:00"/>
    <d v="2024-09-18T00:00:00"/>
    <s v="Lama"/>
    <s v="Sama"/>
    <s v="Aktif"/>
    <s v="IDR"/>
    <s v="10155"/>
    <s v="155 GR"/>
    <m/>
    <m/>
    <s v="KRT"/>
    <s v="GD01"/>
    <n v="11611"/>
    <n v="11612"/>
    <m/>
    <n v="1"/>
    <m/>
    <n v="0"/>
    <n v="8272.0720720000008"/>
    <n v="8272.0720720000008"/>
  </r>
  <r>
    <s v="A11000010155122"/>
    <n v="2"/>
    <m/>
    <x v="146"/>
    <s v="CANNED FISH SARDINES"/>
    <s v="ABC SRDN TOM 60X155GR"/>
    <x v="6"/>
    <x v="108"/>
    <x v="8"/>
    <s v="SARDINES"/>
    <s v="A1100"/>
    <x v="87"/>
    <n v="14"/>
    <s v="ABC SARDINES TOMAT 155 GR X 60 KLG PROMO"/>
    <n v="40"/>
    <s v="ABC"/>
    <s v="A1"/>
    <s v="SARDINES"/>
    <n v="10"/>
    <m/>
    <s v="0"/>
    <m/>
    <s v="0"/>
    <s v="TOMAT"/>
    <s v="01"/>
    <s v="155 GR"/>
    <s v="0155"/>
    <s v="KLG"/>
    <s v="1"/>
    <s v="PROMO"/>
    <n v="2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155"/>
    <s v="155 GR"/>
    <m/>
    <m/>
    <s v="KRT"/>
    <s v="GD01"/>
    <n v="11611"/>
    <n v="11612"/>
    <m/>
    <n v="1"/>
    <m/>
    <n v="0"/>
    <n v="0"/>
    <n v="0"/>
  </r>
  <r>
    <s v="A11000010425101"/>
    <n v="1"/>
    <n v="138"/>
    <x v="147"/>
    <s v="CANNED FISH SARDINES"/>
    <s v="ABC SRDNS TOMAT DW 425G 1107"/>
    <x v="1"/>
    <x v="109"/>
    <x v="8"/>
    <s v="SARDINES"/>
    <s v="A1100"/>
    <x v="88"/>
    <n v="14"/>
    <s v="ABC SARDINES TOMAT 425 GR X 24 KLG"/>
    <n v="34"/>
    <s v="ABC"/>
    <s v="A1"/>
    <s v="SARDINES"/>
    <n v="10"/>
    <m/>
    <s v="0"/>
    <m/>
    <s v="0"/>
    <s v="TOMAT"/>
    <s v="01"/>
    <s v="425 GR"/>
    <s v="0425"/>
    <s v="KLG"/>
    <s v="1"/>
    <m/>
    <s v="0"/>
    <m/>
    <m/>
    <m/>
    <s v="GRAM"/>
    <n v="1"/>
    <m/>
    <n v="20705.408199999998"/>
    <n v="496929.79679999995"/>
    <n v="22983.003101999999"/>
    <n v="551592.07444799994"/>
    <n v="22027.03"/>
    <n v="528648.72"/>
    <n v="24450.0033"/>
    <n v="586800.07920000004"/>
    <n v="23128.38"/>
    <n v="555081.12"/>
    <n v="25672.501800000002"/>
    <n v="616140.04320000007"/>
    <m/>
    <d v="2024-09-18T00:00:00"/>
    <d v="2024-09-18T00:00:00"/>
    <s v="Lama"/>
    <s v="Sama"/>
    <s v="Aktif"/>
    <s v="IDR"/>
    <s v="10425"/>
    <s v="425 GR"/>
    <s v="S-HNZ"/>
    <s v="48HEINZ"/>
    <s v="KRT"/>
    <s v="GD01"/>
    <n v="11611"/>
    <n v="11612"/>
    <s v="0123"/>
    <n v="1"/>
    <s v="PT. HEINZ ABC INDONESIA"/>
    <n v="0"/>
    <n v="22027.03"/>
    <n v="22027.03"/>
  </r>
  <r>
    <s v="A1100001042510"/>
    <m/>
    <m/>
    <x v="148"/>
    <m/>
    <s v="ABC SARDINES TOMAT 425 GR X 24 KLG"/>
    <x v="1"/>
    <x v="110"/>
    <x v="8"/>
    <s v="SARDINES"/>
    <s v="A1100"/>
    <x v="88"/>
    <n v="14"/>
    <s v="ABC SARDINES TOMAT 425 GR X 24 KLG"/>
    <n v="34"/>
    <s v="ABC"/>
    <s v="A1"/>
    <s v="SARDINES"/>
    <n v="10"/>
    <m/>
    <s v="0"/>
    <m/>
    <s v="0"/>
    <s v="TOMAT"/>
    <s v="01"/>
    <s v="425 GR"/>
    <s v="0425"/>
    <s v="KLG"/>
    <s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425"/>
    <s v="425 GR"/>
    <m/>
    <m/>
    <s v="KRT"/>
    <s v="GD01"/>
    <n v="11611"/>
    <n v="11612"/>
    <m/>
    <n v="1"/>
    <m/>
    <n v="0"/>
    <n v="0"/>
    <n v="0"/>
  </r>
  <r>
    <s v="A11000020155101"/>
    <n v="1"/>
    <n v="139"/>
    <x v="149"/>
    <s v="CANNED FISH SARDINES"/>
    <s v="ABC SRDNS CHILI DW 155G 1107"/>
    <x v="6"/>
    <x v="111"/>
    <x v="8"/>
    <s v="SARDINES"/>
    <s v="A1100"/>
    <x v="89"/>
    <n v="14"/>
    <s v="ABC SARDINES CHILI DW 155 GR X 60 KLG"/>
    <n v="37"/>
    <s v="ABC"/>
    <s v="A1"/>
    <s v="SARDINES"/>
    <n v="10"/>
    <m/>
    <s v="0"/>
    <m/>
    <s v="0"/>
    <s v="CHILI DW"/>
    <s v="02"/>
    <s v="155 GR"/>
    <s v="0155"/>
    <s v="KLG"/>
    <s v="1"/>
    <m/>
    <n v="0"/>
    <m/>
    <m/>
    <m/>
    <s v="GRAM"/>
    <n v="1"/>
    <m/>
    <n v="9145.9462000000003"/>
    <n v="548756.772"/>
    <n v="10152.000282000001"/>
    <n v="609120.01692000008"/>
    <n v="9729.73"/>
    <n v="583783.79999999993"/>
    <n v="10800.0003"/>
    <n v="648000.01799999992"/>
    <n v="10216.219999999999"/>
    <n v="612973.19999999995"/>
    <n v="11340.004199999999"/>
    <n v="680400.25199999998"/>
    <m/>
    <d v="2024-09-18T00:00:00"/>
    <d v="2024-09-18T00:00:00"/>
    <s v="Lama"/>
    <s v="Sama"/>
    <s v="Aktif"/>
    <s v="IDR"/>
    <s v="10155"/>
    <s v="155 GR"/>
    <s v="S-HNZ"/>
    <s v="48HEINZ"/>
    <s v="KRT"/>
    <s v="GD01"/>
    <n v="11611"/>
    <n v="11612"/>
    <s v="0123"/>
    <n v="1"/>
    <s v="PT. HEINZ ABC INDONESIA"/>
    <n v="0"/>
    <n v="9729.73"/>
    <n v="9729.73"/>
  </r>
  <r>
    <s v="A11000020155121"/>
    <n v="1"/>
    <n v="140"/>
    <x v="150"/>
    <s v="CANNED FISH SARDINES"/>
    <s v="ABC SRDN CHILI 60X155G PR 2411"/>
    <x v="6"/>
    <x v="112"/>
    <x v="8"/>
    <s v="SARDINES"/>
    <s v="A1100"/>
    <x v="90"/>
    <n v="14"/>
    <s v="ABC SARDINES CHILI DW 155 GR X 60 KLG PROMO"/>
    <n v="43"/>
    <s v="ABC"/>
    <s v="A1"/>
    <s v="SARDINES"/>
    <n v="10"/>
    <m/>
    <s v="0"/>
    <m/>
    <s v="0"/>
    <s v="CHILI DW"/>
    <s v="02"/>
    <s v="155 GR"/>
    <s v="0155"/>
    <s v="KLG"/>
    <s v="1"/>
    <s v="PROMO"/>
    <n v="2"/>
    <m/>
    <m/>
    <m/>
    <s v="GRAM"/>
    <n v="1"/>
    <m/>
    <n v="7775.7477476800004"/>
    <n v="466544.86486080004"/>
    <n v="8631.0799999248011"/>
    <n v="517864.79999548808"/>
    <n v="8272.0720720000008"/>
    <n v="496324.32432000007"/>
    <n v="9181.9999999200008"/>
    <n v="550919.99999520008"/>
    <n v="0"/>
    <n v="0"/>
    <n v="0"/>
    <n v="0"/>
    <m/>
    <d v="2025-01-17T00:00:00"/>
    <d v="2024-09-18T00:00:00"/>
    <s v="Lama"/>
    <s v="Sama"/>
    <s v="Aktif"/>
    <s v="IDR"/>
    <s v="10155"/>
    <s v="155 GR"/>
    <m/>
    <m/>
    <s v="KRT"/>
    <s v="GD01"/>
    <n v="11611"/>
    <n v="11612"/>
    <m/>
    <n v="1"/>
    <m/>
    <n v="0"/>
    <n v="8272.0720720000008"/>
    <n v="8272.0720720000008"/>
  </r>
  <r>
    <s v="A11000020155121"/>
    <n v="1"/>
    <n v="287"/>
    <x v="151"/>
    <m/>
    <s v="ABC SRDN CHILI 60X155G IJP 2509"/>
    <x v="6"/>
    <x v="113"/>
    <x v="8"/>
    <s v="SARDINES"/>
    <s v="A1100"/>
    <x v="90"/>
    <n v="14"/>
    <s v="ABC SARDINES CHILI DW 155 GR X 60 KLG PROMO"/>
    <n v="43"/>
    <s v="ABC"/>
    <s v="A1"/>
    <s v="SARDINES"/>
    <n v="10"/>
    <m/>
    <s v="0"/>
    <m/>
    <s v="0"/>
    <s v="CHILI DW"/>
    <s v="02"/>
    <s v="155 GR"/>
    <s v="0155"/>
    <s v="KLG"/>
    <s v="1"/>
    <s v="PROMO"/>
    <n v="2"/>
    <m/>
    <m/>
    <m/>
    <s v="GRAM"/>
    <n v="1"/>
    <m/>
    <n v="7775.7457999999997"/>
    <n v="466544.74799999996"/>
    <n v="8631.0778380000011"/>
    <n v="517864.67028000002"/>
    <n v="8272.07"/>
    <n v="496324.19999999995"/>
    <n v="9181.9976999999999"/>
    <n v="550919.86199999996"/>
    <n v="8685.67"/>
    <n v="521140.2"/>
    <n v="9641.0937000000013"/>
    <n v="578465.62200000009"/>
    <m/>
    <d v="2026-03-10T00:00:00"/>
    <m/>
    <s v="Lama"/>
    <s v="Sama"/>
    <s v="Aktif"/>
    <s v="IDR"/>
    <s v="10155"/>
    <s v="155 GR"/>
    <m/>
    <m/>
    <s v="KRT"/>
    <s v="GD01"/>
    <n v="11611"/>
    <n v="11612"/>
    <m/>
    <n v="1"/>
    <m/>
    <n v="0"/>
    <n v="8272.07"/>
    <n v="8272.07"/>
  </r>
  <r>
    <s v="A11000020425101"/>
    <n v="1"/>
    <n v="141"/>
    <x v="152"/>
    <s v="CANNED FISH SARDINES"/>
    <s v="ABC SRDNS CHILI DW 425G 1107"/>
    <x v="1"/>
    <x v="114"/>
    <x v="8"/>
    <s v="SARDINES"/>
    <s v="A1100"/>
    <x v="91"/>
    <n v="14"/>
    <s v="ABC SARDINES CHILI DW 425 GR X 24 KLG"/>
    <n v="37"/>
    <s v="ABC"/>
    <s v="A1"/>
    <s v="SARDINES"/>
    <n v="10"/>
    <m/>
    <s v="0"/>
    <m/>
    <s v="0"/>
    <s v="CHILI DW"/>
    <s v="02"/>
    <s v="425 GR"/>
    <s v="0425"/>
    <s v="KLG"/>
    <s v="1"/>
    <m/>
    <s v="0"/>
    <m/>
    <m/>
    <m/>
    <s v="GRAM"/>
    <n v="1"/>
    <m/>
    <n v="20705.408199999998"/>
    <n v="496929.79679999995"/>
    <n v="22983.003101999999"/>
    <n v="551592.07444799994"/>
    <n v="22027.03"/>
    <n v="528648.72"/>
    <n v="24450.0033"/>
    <n v="586800.07920000004"/>
    <n v="23128.38"/>
    <n v="555081.12"/>
    <n v="25672.501800000002"/>
    <n v="616140.04320000007"/>
    <m/>
    <d v="2024-09-18T00:00:00"/>
    <d v="2024-09-18T00:00:00"/>
    <s v="Lama"/>
    <s v="Sama"/>
    <s v="Aktif"/>
    <s v="IDR"/>
    <s v="10425"/>
    <s v="425 GR"/>
    <s v="S-HNZ"/>
    <s v="48HEINZ"/>
    <s v="KRT"/>
    <s v="GD01"/>
    <n v="11611"/>
    <n v="11612"/>
    <s v="0123"/>
    <n v="1"/>
    <s v="PT. HEINZ ABC INDONESIA"/>
    <n v="0"/>
    <n v="22027.03"/>
    <n v="22027.03"/>
  </r>
  <r>
    <s v="A11000020425101"/>
    <n v="1"/>
    <m/>
    <x v="153"/>
    <m/>
    <s v="ABC SRDNS CHILI DW 425G 1107"/>
    <x v="1"/>
    <x v="115"/>
    <x v="8"/>
    <s v="SARDINES"/>
    <s v="A1100"/>
    <x v="91"/>
    <n v="14"/>
    <s v="ABC SARDINES CHILI DW 425 GR X 24 KLG"/>
    <n v="37"/>
    <s v="ABC"/>
    <s v="A1"/>
    <s v="SARDINES"/>
    <n v="10"/>
    <m/>
    <s v="0"/>
    <m/>
    <s v="0"/>
    <s v="CHILI DW"/>
    <s v="02"/>
    <s v="425 GR"/>
    <s v="0425"/>
    <s v="KLG"/>
    <s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425"/>
    <s v="425 GR"/>
    <m/>
    <m/>
    <s v="KRT"/>
    <s v="GD01"/>
    <n v="11611"/>
    <n v="11612"/>
    <m/>
    <n v="1"/>
    <m/>
    <n v="0"/>
    <n v="0"/>
    <n v="0"/>
  </r>
  <r>
    <s v="A11000030300101"/>
    <n v="1"/>
    <n v="142"/>
    <x v="154"/>
    <s v="CANNED FISH SARDINES"/>
    <s v="ABC SRDNS CHILI 24X300G 2401"/>
    <x v="1"/>
    <x v="116"/>
    <x v="8"/>
    <s v="SARDINES"/>
    <s v="A1100"/>
    <x v="92"/>
    <n v="14"/>
    <s v="ABC SARDINES CHILI 300 GR X 24 KLG"/>
    <n v="34"/>
    <s v="ABC"/>
    <s v="A1"/>
    <s v="SARDINES"/>
    <n v="10"/>
    <m/>
    <s v="0"/>
    <m/>
    <s v="0"/>
    <s v="CHILI"/>
    <s v="03"/>
    <s v="300 GR"/>
    <s v="0300"/>
    <s v="KLG"/>
    <s v="1"/>
    <m/>
    <s v="0"/>
    <m/>
    <m/>
    <m/>
    <s v="GRAM"/>
    <n v="1"/>
    <m/>
    <n v="14386.3992"/>
    <n v="345273.5808"/>
    <n v="15968.903112000002"/>
    <n v="383253.67468800006"/>
    <n v="15304.68"/>
    <n v="367312.32"/>
    <n v="16988.194800000001"/>
    <n v="407716.67520000006"/>
    <n v="16069.910902427868"/>
    <n v="385677.86165826884"/>
    <n v="17837.601101694934"/>
    <n v="428102.42644067842"/>
    <m/>
    <d v="2024-09-18T00:00:00"/>
    <d v="2025-10-15T00:00:00"/>
    <s v="Lama"/>
    <s v="Sama"/>
    <s v="Aktif"/>
    <s v="IDR"/>
    <s v="10300"/>
    <s v="300 GR"/>
    <s v="S-HNZ"/>
    <s v="48HEINZ"/>
    <s v="KRT"/>
    <s v="GD01"/>
    <n v="11611"/>
    <n v="11612"/>
    <s v="0123"/>
    <n v="1"/>
    <s v="PT. HEINZ ABC INDONESIA"/>
    <n v="0"/>
    <n v="15304.68"/>
    <n v="15304.68"/>
  </r>
  <r>
    <s v="A11000030300102"/>
    <n v="2"/>
    <n v="143"/>
    <x v="155"/>
    <s v="CANNED FISH SARDINES"/>
    <s v="ABC SRDNS CHILI 24X300G 2401"/>
    <x v="1"/>
    <x v="117"/>
    <x v="8"/>
    <s v="SARDINES"/>
    <s v="A1100"/>
    <x v="92"/>
    <n v="14"/>
    <s v="ABC SARDINES CHILI 300 GR X 24 KLG"/>
    <n v="34"/>
    <s v="ABC"/>
    <s v="A1"/>
    <s v="SARDINES"/>
    <n v="10"/>
    <m/>
    <s v="0"/>
    <m/>
    <s v="0"/>
    <s v="CHILI"/>
    <s v="03"/>
    <s v="300 GR"/>
    <s v="0300"/>
    <s v="KLG"/>
    <s v="1"/>
    <m/>
    <s v="0"/>
    <m/>
    <m/>
    <m/>
    <s v="GRAM"/>
    <n v="1"/>
    <m/>
    <n v="14386.3992"/>
    <n v="345273.5808"/>
    <n v="15968.903112000002"/>
    <n v="383253.67468800006"/>
    <n v="15304.68"/>
    <n v="367312.32"/>
    <n v="16988.194800000001"/>
    <n v="407716.67520000006"/>
    <n v="16069.910902427868"/>
    <n v="385677.86165826884"/>
    <n v="17837.601101694934"/>
    <n v="428102.42644067842"/>
    <m/>
    <d v="2025-03-08T00:00:00"/>
    <d v="2025-10-15T00:00:00"/>
    <s v="Lama"/>
    <s v="Sama"/>
    <m/>
    <s v="IDR"/>
    <s v="10300"/>
    <s v="300 GR"/>
    <m/>
    <m/>
    <s v="KRT"/>
    <s v="GD01"/>
    <n v="11611"/>
    <n v="11612"/>
    <m/>
    <n v="1"/>
    <m/>
    <n v="0"/>
    <n v="15304.68"/>
    <n v="15304.68"/>
  </r>
  <r>
    <s v="A11000030300103"/>
    <n v="3"/>
    <n v="290"/>
    <x v="156"/>
    <m/>
    <s v="ABC SRDNS CHILI 24X300G 2401/2508"/>
    <x v="1"/>
    <x v="118"/>
    <x v="8"/>
    <s v="SARDINES"/>
    <s v="A1100"/>
    <x v="92"/>
    <n v="14"/>
    <s v="ABC SARDINES CHILI 300 GR X 24 KLG"/>
    <n v="34"/>
    <s v="ABC"/>
    <s v="A1"/>
    <s v="SARDINES"/>
    <n v="10"/>
    <m/>
    <s v="0"/>
    <m/>
    <s v="0"/>
    <s v="CHILI"/>
    <s v="03"/>
    <s v="300 GR"/>
    <s v="0300"/>
    <s v="KLG"/>
    <s v="1"/>
    <m/>
    <s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300"/>
    <s v="300 GR"/>
    <m/>
    <m/>
    <s v="KRT"/>
    <s v="GD01"/>
    <n v="11611"/>
    <n v="11612"/>
    <m/>
    <n v="1"/>
    <m/>
    <n v="0"/>
    <n v="0"/>
    <n v="0"/>
  </r>
  <r>
    <s v="A11000040155101"/>
    <n v="1"/>
    <n v="144"/>
    <x v="157"/>
    <s v="CANNED FISH SARDINES"/>
    <s v="ABC SRDNS EP-EOE DW 155G 1107"/>
    <x v="6"/>
    <x v="119"/>
    <x v="8"/>
    <s v="SARDINES"/>
    <s v="A1100"/>
    <x v="93"/>
    <n v="14"/>
    <s v="ABC SARDINES EXTRA PEDAS DW 155 GR X 60 KLG"/>
    <n v="43"/>
    <s v="ABC"/>
    <s v="A1"/>
    <s v="SARDINES"/>
    <n v="10"/>
    <m/>
    <s v="0"/>
    <m/>
    <s v="0"/>
    <s v="EXTRA PEDAS DW"/>
    <s v="04"/>
    <s v="155 GR"/>
    <s v="0155"/>
    <s v="KLG"/>
    <s v="1"/>
    <m/>
    <n v="0"/>
    <m/>
    <m/>
    <m/>
    <s v="GRAM"/>
    <n v="1"/>
    <m/>
    <n v="9145.9462000000003"/>
    <n v="548756.772"/>
    <n v="10152.000282000001"/>
    <n v="609120.01692000008"/>
    <n v="9729.73"/>
    <n v="583783.79999999993"/>
    <n v="10800.0003"/>
    <n v="648000.01799999992"/>
    <n v="10216.219999999999"/>
    <n v="612973.19999999995"/>
    <n v="11340.004199999999"/>
    <n v="680400.25199999998"/>
    <m/>
    <d v="2024-09-18T00:00:00"/>
    <d v="2024-09-18T00:00:00"/>
    <s v="Lama"/>
    <s v="Sama"/>
    <s v="Aktif"/>
    <s v="IDR"/>
    <s v="10155"/>
    <s v="155 GR"/>
    <s v="S-HNZ"/>
    <s v="48HEINZ"/>
    <s v="KRT"/>
    <s v="GD01"/>
    <n v="11611"/>
    <n v="11612"/>
    <s v="0123"/>
    <n v="1"/>
    <s v="PT. HEINZ ABC INDONESIA"/>
    <n v="0"/>
    <n v="9729.73"/>
    <n v="9729.73"/>
  </r>
  <r>
    <s v="A11000040155102"/>
    <n v="2"/>
    <n v="291"/>
    <x v="158"/>
    <m/>
    <s v="ABC SRDNS EP 60 X 155G 2508"/>
    <x v="6"/>
    <x v="120"/>
    <x v="8"/>
    <s v="SARDINES"/>
    <s v="A1100"/>
    <x v="93"/>
    <n v="14"/>
    <s v="ABC SARDINES EXTRA PEDAS DW 155 GR X 60 KLG"/>
    <n v="43"/>
    <s v="ABC"/>
    <s v="A1"/>
    <s v="SARDINES"/>
    <n v="10"/>
    <m/>
    <s v="0"/>
    <m/>
    <s v="0"/>
    <s v="EXTRA PEDAS DW"/>
    <s v="04"/>
    <s v="155 GR"/>
    <s v="0155"/>
    <s v="KLG"/>
    <s v="1"/>
    <m/>
    <n v="0"/>
    <m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155"/>
    <s v="155 GR"/>
    <m/>
    <m/>
    <s v="KRT"/>
    <s v="GD01"/>
    <n v="11611"/>
    <n v="11612"/>
    <m/>
    <n v="1"/>
    <m/>
    <n v="0"/>
    <n v="0"/>
    <n v="0"/>
  </r>
  <r>
    <s v="A11000040155122"/>
    <n v="2"/>
    <n v="145"/>
    <x v="159"/>
    <s v="CANNED FISH SARDINES"/>
    <s v="ABC SRDN EP 60X155G PR 2501"/>
    <x v="6"/>
    <x v="121"/>
    <x v="8"/>
    <s v="SARDINES"/>
    <s v="A1100"/>
    <x v="94"/>
    <n v="14"/>
    <s v="ABC SARDINES EXTRA PEDAS DW 155 GR X 60 KLG PROMO"/>
    <n v="49"/>
    <s v="ABC"/>
    <s v="A1"/>
    <s v="SARDINES"/>
    <n v="10"/>
    <m/>
    <s v="0"/>
    <m/>
    <s v="0"/>
    <s v="EXTRA PEDAS DW"/>
    <s v="04"/>
    <s v="155 GR"/>
    <s v="0155"/>
    <s v="KLG"/>
    <s v="1"/>
    <s v="PROMO"/>
    <n v="2"/>
    <m/>
    <m/>
    <m/>
    <s v="GRAM"/>
    <n v="1"/>
    <m/>
    <n v="7775.7740000000003"/>
    <n v="466546.44"/>
    <n v="8631.1091400000005"/>
    <n v="517866.54840000003"/>
    <n v="8272.1"/>
    <n v="496326"/>
    <n v="9182.0310000000009"/>
    <n v="550921.8600000001"/>
    <n v="0"/>
    <n v="0"/>
    <n v="0"/>
    <n v="0"/>
    <m/>
    <d v="2025-01-17T00:00:00"/>
    <d v="2024-09-18T00:00:00"/>
    <s v="Lama"/>
    <s v="Sama"/>
    <s v="Aktif"/>
    <s v="IDR"/>
    <s v="10155"/>
    <s v="155 GR"/>
    <m/>
    <m/>
    <s v="KRT"/>
    <s v="GD01"/>
    <n v="11611"/>
    <n v="11612"/>
    <m/>
    <n v="1"/>
    <m/>
    <n v="0"/>
    <n v="8272.1"/>
    <n v="8272.1"/>
  </r>
  <r>
    <s v="A11000040155121"/>
    <n v="1"/>
    <m/>
    <x v="160"/>
    <s v="CANNED FISH SARDINES"/>
    <s v="ABC SRDN EP 60X155G PR 2501"/>
    <x v="6"/>
    <x v="122"/>
    <x v="8"/>
    <s v="SARDINES"/>
    <s v="A1100"/>
    <x v="94"/>
    <n v="14"/>
    <s v="ABC SARDINES EXTRA PEDAS DW 155 GR X 60 KLG PROMO"/>
    <n v="49"/>
    <s v="ABC"/>
    <s v="A1"/>
    <s v="SARDINES"/>
    <n v="10"/>
    <m/>
    <s v="0"/>
    <m/>
    <s v="0"/>
    <s v="EXTRA PEDAS DW"/>
    <s v="04"/>
    <s v="155 GR"/>
    <s v="0155"/>
    <s v="KLG"/>
    <s v="1"/>
    <s v="PROMO"/>
    <n v="2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155"/>
    <s v="155 GR"/>
    <m/>
    <m/>
    <s v="KRT"/>
    <s v="GD01"/>
    <n v="11611"/>
    <n v="11612"/>
    <m/>
    <n v="1"/>
    <m/>
    <n v="0"/>
    <n v="0"/>
    <n v="0"/>
  </r>
  <r>
    <s v="A11000040425101"/>
    <n v="1"/>
    <n v="146"/>
    <x v="161"/>
    <s v="CANNED FISH SARDINES"/>
    <s v="ABC SRDNS EP-EOE DW 425G 1107"/>
    <x v="1"/>
    <x v="123"/>
    <x v="8"/>
    <s v="SARDINES"/>
    <s v="A1100"/>
    <x v="95"/>
    <n v="14"/>
    <s v="ABC SARDINES EXTRA PEDAS DW 425 GR X 24 KLG"/>
    <n v="43"/>
    <s v="ABC"/>
    <s v="A1"/>
    <s v="SARDINES"/>
    <n v="10"/>
    <m/>
    <s v="0"/>
    <m/>
    <s v="0"/>
    <s v="EXTRA PEDAS DW"/>
    <s v="04"/>
    <s v="425 GR"/>
    <s v="0425"/>
    <s v="KLG"/>
    <s v="1"/>
    <m/>
    <s v="0"/>
    <m/>
    <m/>
    <m/>
    <s v="GRAM"/>
    <n v="1"/>
    <m/>
    <n v="20705.408199999998"/>
    <n v="496929.79679999995"/>
    <n v="22983.003101999999"/>
    <n v="551592.07444799994"/>
    <n v="22027.03"/>
    <n v="528648.72"/>
    <n v="24450.0033"/>
    <n v="586800.07920000004"/>
    <n v="23128.38"/>
    <n v="555081.12"/>
    <n v="25672.501800000002"/>
    <n v="616140.04320000007"/>
    <m/>
    <d v="2024-09-18T00:00:00"/>
    <d v="2024-09-18T00:00:00"/>
    <s v="Lama"/>
    <s v="Sama"/>
    <s v="Aktif"/>
    <s v="IDR"/>
    <s v="10425"/>
    <s v="425 GR"/>
    <s v="S-HNZ"/>
    <s v="48HEINZ"/>
    <s v="KRT"/>
    <s v="GD01"/>
    <n v="11611"/>
    <n v="11612"/>
    <s v="0123"/>
    <n v="1"/>
    <s v="PT. HEINZ ABC INDONESIA"/>
    <n v="0"/>
    <n v="22027.03"/>
    <n v="22027.03"/>
  </r>
  <r>
    <s v="A11000040425102"/>
    <n v="2"/>
    <m/>
    <x v="162"/>
    <m/>
    <s v="ABC SRDNS EP 24X425G 2508"/>
    <x v="1"/>
    <x v="123"/>
    <x v="8"/>
    <s v="SARDINES"/>
    <s v="A1100"/>
    <x v="95"/>
    <n v="14"/>
    <s v="ABC SARDINES EXTRA PEDAS DW 425 GR X 24 KLG"/>
    <n v="43"/>
    <s v="ABC"/>
    <s v="A1"/>
    <s v="SARDINES"/>
    <n v="10"/>
    <m/>
    <s v="0"/>
    <m/>
    <s v="0"/>
    <s v="EXTRA PEDAS DW"/>
    <s v="04"/>
    <s v="425 GR"/>
    <s v="0425"/>
    <s v="KLG"/>
    <s v="1"/>
    <m/>
    <s v="0"/>
    <m/>
    <m/>
    <m/>
    <m/>
    <m/>
    <m/>
    <n v="20705.408199999998"/>
    <n v="496929.79679999995"/>
    <n v="22983.003101999999"/>
    <n v="551592.07444799994"/>
    <n v="22027.03"/>
    <n v="528648.72"/>
    <n v="24450.0033"/>
    <n v="586800.07920000004"/>
    <n v="23128.38"/>
    <n v="555081.12"/>
    <n v="25672.501800000002"/>
    <n v="616140.04320000007"/>
    <m/>
    <d v="2026-05-20T00:00:00"/>
    <m/>
    <s v="Baru"/>
    <s v="Sama"/>
    <m/>
    <s v="IDR"/>
    <s v="0425"/>
    <s v="425 GR"/>
    <m/>
    <m/>
    <s v="KRT"/>
    <s v="GD01"/>
    <n v="11611"/>
    <n v="11612"/>
    <m/>
    <n v="1"/>
    <m/>
    <n v="0"/>
    <n v="22027.03"/>
    <n v="22027.03"/>
  </r>
  <r>
    <s v="A11000050155101"/>
    <n v="1"/>
    <n v="147"/>
    <x v="163"/>
    <s v="CANNED FISH SARDINES"/>
    <s v="ABC SRDNS SERUNDNG 60X155G2210"/>
    <x v="6"/>
    <x v="4"/>
    <x v="8"/>
    <s v="SARDINES"/>
    <s v="A1100"/>
    <x v="96"/>
    <n v="14"/>
    <s v="ABC SARDINES SARUNDENG 155 GR X 60 KLG"/>
    <n v="38"/>
    <s v="ABC"/>
    <s v="A1"/>
    <s v="SARDINES"/>
    <n v="10"/>
    <m/>
    <s v="0"/>
    <m/>
    <s v="0"/>
    <s v="SARUNDENG"/>
    <s v="05"/>
    <s v="155 GR"/>
    <s v="0155"/>
    <s v="KLG"/>
    <s v="1"/>
    <m/>
    <s v="0"/>
    <m/>
    <m/>
    <m/>
    <s v="GRAM"/>
    <n v="1"/>
    <m/>
    <n v="9145.9462000000003"/>
    <n v="548756.772"/>
    <n v="10152.000282000001"/>
    <n v="609120.01692000008"/>
    <n v="9729.73"/>
    <n v="583783.79999999993"/>
    <n v="10800.0003"/>
    <n v="648000.01799999992"/>
    <n v="10216.219999999999"/>
    <n v="612973.19999999995"/>
    <n v="11340.004199999999"/>
    <n v="680400.25199999998"/>
    <m/>
    <d v="2024-09-18T00:00:00"/>
    <d v="2024-09-18T00:00:00"/>
    <s v="Lama"/>
    <s v="Sama"/>
    <s v="Aktif"/>
    <s v="IDR"/>
    <s v="10155"/>
    <s v="155 GR"/>
    <s v="S-HNZ"/>
    <s v="48HEINZ"/>
    <s v="KRT"/>
    <s v="GD01"/>
    <n v="11611"/>
    <n v="11612"/>
    <s v="0123"/>
    <n v="1"/>
    <s v="PT. HEINZ ABC INDONESIA"/>
    <n v="0"/>
    <n v="9729.73"/>
    <n v="9729.73"/>
  </r>
  <r>
    <s v="A11000050155111"/>
    <n v="1"/>
    <n v="148"/>
    <x v="164"/>
    <s v="CANNED FISH SARDINES"/>
    <s v="ABC SRDN SRNDG155+SNUS 18G2301"/>
    <x v="6"/>
    <x v="4"/>
    <x v="8"/>
    <s v="SARDINES"/>
    <s v="A1100"/>
    <x v="97"/>
    <n v="14"/>
    <s v="ABC SARDINES SARUNDENG 155 GR X 60 KLG BANDED"/>
    <n v="45"/>
    <s v="ABC"/>
    <s v="A1"/>
    <s v="SARDINES"/>
    <n v="10"/>
    <m/>
    <s v="0"/>
    <m/>
    <s v="0"/>
    <s v="SARUNDENG"/>
    <s v="05"/>
    <s v="155 GR"/>
    <s v="0155"/>
    <s v="KLG"/>
    <s v="1"/>
    <s v="BANDED"/>
    <n v="1"/>
    <m/>
    <m/>
    <m/>
    <s v="GRAM"/>
    <n v="1"/>
    <m/>
    <n v="9145.9462000000003"/>
    <n v="548756.772"/>
    <n v="10152.000282000001"/>
    <n v="609120.01692000008"/>
    <n v="9729.73"/>
    <n v="583783.79999999993"/>
    <n v="10800.0003"/>
    <n v="648000.01799999992"/>
    <n v="10216.219999999999"/>
    <n v="612973.19999999995"/>
    <n v="11340.004199999999"/>
    <n v="680400.25199999998"/>
    <m/>
    <d v="2024-09-18T00:00:00"/>
    <d v="2024-09-18T00:00:00"/>
    <s v="Lama"/>
    <s v="Sama"/>
    <s v="Aktif"/>
    <s v="IDR"/>
    <s v="10155"/>
    <s v="155 GR"/>
    <s v="S-HNZ"/>
    <s v="48HEINZ"/>
    <s v="KRT"/>
    <s v="GD01"/>
    <n v="11611"/>
    <n v="11612"/>
    <s v="0123"/>
    <n v="1"/>
    <s v="PT. HEINZ ABC INDONESIA"/>
    <n v="0"/>
    <n v="9729.73"/>
    <n v="9729.73"/>
  </r>
  <r>
    <s v="A11000050400101"/>
    <n v="1"/>
    <n v="149"/>
    <x v="165"/>
    <s v="CANNED FISH SARDINES"/>
    <s v="ABC SRDNS SERUNDNG 24X400G2210"/>
    <x v="1"/>
    <x v="4"/>
    <x v="8"/>
    <s v="SARDINES"/>
    <s v="A1100"/>
    <x v="98"/>
    <n v="14"/>
    <s v="ABC SARDINES SARUNDENG 400 GR X 24 KLG"/>
    <n v="38"/>
    <s v="ABC"/>
    <s v="A1"/>
    <s v="SARDINES"/>
    <n v="10"/>
    <m/>
    <s v="0"/>
    <m/>
    <s v="0"/>
    <s v="SARUNDENG"/>
    <s v="05"/>
    <s v="400 GR"/>
    <s v="0400"/>
    <s v="KLG"/>
    <s v="1"/>
    <m/>
    <s v="0"/>
    <m/>
    <m/>
    <m/>
    <s v="GRAM"/>
    <n v="1"/>
    <m/>
    <n v="20705.408199999998"/>
    <n v="496929.79679999995"/>
    <n v="22983.003101999999"/>
    <n v="551592.07444799994"/>
    <n v="22027.03"/>
    <n v="528648.72"/>
    <n v="24450.0033"/>
    <n v="586800.07920000004"/>
    <n v="23128.38"/>
    <n v="555081.12"/>
    <n v="25672.501800000002"/>
    <n v="616140.04320000007"/>
    <m/>
    <d v="2024-09-18T00:00:00"/>
    <d v="2024-09-18T00:00:00"/>
    <s v="Lama"/>
    <s v="Sama"/>
    <s v="Aktif"/>
    <s v="IDR"/>
    <s v="10400"/>
    <s v="400 GR"/>
    <s v="S-HNZ"/>
    <s v="48HEINZ"/>
    <s v="KRT"/>
    <s v="GD01"/>
    <n v="11611"/>
    <n v="11612"/>
    <s v="0123"/>
    <n v="1"/>
    <s v="PT. HEINZ ABC INDONESIA"/>
    <n v="0"/>
    <n v="22027.03"/>
    <n v="22027.03"/>
  </r>
  <r>
    <s v="A11100000008101"/>
    <n v="1"/>
    <n v="150"/>
    <x v="166"/>
    <s v="TOMATO KETCHUP"/>
    <s v="ABC SAUS TOMAT SCT21X22X8G1909"/>
    <x v="10"/>
    <x v="124"/>
    <x v="9"/>
    <s v="TOMAT"/>
    <s v="A1110"/>
    <x v="99"/>
    <n v="14"/>
    <s v="ABC TOMAT 8 GR X 21 PACK PCSX22"/>
    <n v="31"/>
    <s v="ABC"/>
    <s v="A1"/>
    <s v="TOMAT"/>
    <n v="11"/>
    <m/>
    <s v="0"/>
    <m/>
    <s v="0"/>
    <m/>
    <s v="00"/>
    <s v="8 GR"/>
    <s v="0008"/>
    <s v="PCSX22"/>
    <s v="1"/>
    <m/>
    <s v="0"/>
    <s v="PACK"/>
    <m/>
    <m/>
    <s v="GRAM"/>
    <n v="1"/>
    <m/>
    <n v="5137.5657657657639"/>
    <n v="107888.88108108104"/>
    <n v="5702.6979999999985"/>
    <n v="119756.65799999997"/>
    <n v="5465.4954954954937"/>
    <n v="114775.40540540537"/>
    <n v="6066.6999999999989"/>
    <n v="127400.69999999997"/>
    <n v="5902.7351351351335"/>
    <n v="123957.4378378378"/>
    <n v="6552.0359999999991"/>
    <n v="137592.75599999999"/>
    <m/>
    <d v="2024-09-18T00:00:00"/>
    <d v="2025-07-01T00:00:00"/>
    <s v="Lama"/>
    <s v="Sama"/>
    <s v="Aktif"/>
    <s v="IDR"/>
    <s v="10008"/>
    <s v="8 GR"/>
    <s v="S-HNZ"/>
    <s v="48HEINZ"/>
    <s v="KRT"/>
    <s v="GD01"/>
    <n v="11611"/>
    <n v="11612"/>
    <s v="0123"/>
    <n v="1"/>
    <s v="PT. HEINZ ABC INDONESIA"/>
    <n v="0"/>
    <n v="5465.4954954954937"/>
    <n v="5465.4954954954937"/>
  </r>
  <r>
    <s v="A11100000008102"/>
    <n v="2"/>
    <n v="151"/>
    <x v="167"/>
    <s v="TOMATO KETCHUP"/>
    <s v="ABC SAUS TOMAT SCT21X22X8G2211"/>
    <x v="10"/>
    <x v="125"/>
    <x v="9"/>
    <s v="TOMAT"/>
    <s v="A1110"/>
    <x v="99"/>
    <n v="14"/>
    <s v="ABC TOMAT 8 GR X 21 PACK PCSX22"/>
    <n v="31"/>
    <s v="ABC"/>
    <s v="A1"/>
    <s v="TOMAT"/>
    <n v="11"/>
    <m/>
    <s v="0"/>
    <m/>
    <s v="0"/>
    <m/>
    <s v="00"/>
    <s v="8 GR"/>
    <s v="0008"/>
    <s v="PCSX22"/>
    <s v="1"/>
    <m/>
    <s v="0"/>
    <s v="PACK"/>
    <m/>
    <m/>
    <s v="GRAM"/>
    <n v="1"/>
    <m/>
    <n v="5137.5657657657639"/>
    <n v="107888.88108108104"/>
    <n v="5702.6979999999985"/>
    <n v="119756.65799999997"/>
    <n v="5465.4954954954937"/>
    <n v="114775.40540540537"/>
    <n v="6066.6999999999989"/>
    <n v="127400.69999999997"/>
    <n v="5902.7351351351335"/>
    <n v="123957.4378378378"/>
    <n v="6552.0359999999991"/>
    <n v="137592.75599999999"/>
    <m/>
    <d v="2024-09-18T00:00:00"/>
    <d v="2025-07-01T00:00:00"/>
    <s v="Lama"/>
    <s v="Sama"/>
    <s v="Aktif"/>
    <s v="IDR"/>
    <s v="10008"/>
    <s v="8 GR"/>
    <s v="S-HNZ"/>
    <s v="48HEINZ"/>
    <s v="KRT"/>
    <s v="GD01"/>
    <n v="11611"/>
    <n v="11612"/>
    <s v="0123"/>
    <n v="1"/>
    <s v="PT. HEINZ ABC INDONESIA"/>
    <n v="0"/>
    <n v="5465.4954954954937"/>
    <n v="5465.4954954954937"/>
  </r>
  <r>
    <s v="A11100000008103"/>
    <n v="3"/>
    <n v="152"/>
    <x v="168"/>
    <s v="TOMATO KETCHUP"/>
    <s v="ABC TOMAT SCT 21X22X8G 2409"/>
    <x v="10"/>
    <x v="126"/>
    <x v="9"/>
    <s v="TOMAT"/>
    <s v="A1110"/>
    <x v="99"/>
    <n v="14"/>
    <s v="ABC TOMAT 8 GR X 21 PACK PCSX22"/>
    <n v="31"/>
    <s v="ABC"/>
    <s v="A1"/>
    <s v="TOMAT"/>
    <n v="11"/>
    <m/>
    <s v="0"/>
    <m/>
    <s v="0"/>
    <m/>
    <s v="00"/>
    <s v="8 GR"/>
    <s v="0008"/>
    <s v="PCSX22"/>
    <s v="1"/>
    <m/>
    <s v="0"/>
    <s v="PACK"/>
    <m/>
    <m/>
    <s v="GRAM"/>
    <n v="1"/>
    <m/>
    <n v="5137.5657657657639"/>
    <n v="107888.88108108104"/>
    <n v="5702.6979999999985"/>
    <n v="119756.65799999997"/>
    <n v="5465.4954954954937"/>
    <n v="114775.40540540537"/>
    <n v="6066.6999999999989"/>
    <n v="127400.69999999997"/>
    <n v="5902.7351351351335"/>
    <n v="123957.4378378378"/>
    <n v="6552.0359999999991"/>
    <n v="137592.75599999999"/>
    <m/>
    <d v="2024-07-02T00:00:00"/>
    <d v="2025-07-01T00:00:00"/>
    <s v="Lama"/>
    <s v="Sama"/>
    <s v="Aktif"/>
    <s v="IDR"/>
    <s v="10008"/>
    <s v="8 GR"/>
    <s v="S-HNZ"/>
    <s v="48HEINZ"/>
    <s v="KRT"/>
    <s v="GD01"/>
    <n v="11611"/>
    <n v="11612"/>
    <m/>
    <n v="1"/>
    <s v="PT. HEINZ ABC INDONESIA"/>
    <n v="0"/>
    <n v="5465.4954954954937"/>
    <n v="5465.4954954954937"/>
  </r>
  <r>
    <s v="A11100000135101"/>
    <n v="1"/>
    <n v="153"/>
    <x v="169"/>
    <s v="TOMATO KETCHUP"/>
    <s v="ABC SAUS TOMAT 48X130ML 2105"/>
    <x v="0"/>
    <x v="127"/>
    <x v="1"/>
    <s v="TOMAT"/>
    <s v="A1110"/>
    <x v="100"/>
    <n v="14"/>
    <s v="ABC TOMAT 135 ML X 48 BTL"/>
    <n v="25"/>
    <s v="ABC"/>
    <s v="A1"/>
    <s v="TOMAT"/>
    <n v="11"/>
    <m/>
    <s v="0"/>
    <m/>
    <s v="0"/>
    <m/>
    <s v="00"/>
    <s v="135 ML"/>
    <s v="0135"/>
    <s v="BTL"/>
    <s v="1"/>
    <m/>
    <s v="0"/>
    <m/>
    <m/>
    <m/>
    <s v="LITER"/>
    <n v="2"/>
    <m/>
    <n v="6428.4990990990991"/>
    <n v="308567.95675675676"/>
    <n v="7135.6340000000009"/>
    <n v="342510.43200000003"/>
    <n v="6838.8288288288286"/>
    <n v="328263.78378378379"/>
    <n v="7591.1"/>
    <n v="364372.80000000005"/>
    <n v="7385.9351351351352"/>
    <n v="354524.88648648647"/>
    <n v="8198.3880000000008"/>
    <n v="393522.62400000007"/>
    <m/>
    <d v="2024-09-18T00:00:00"/>
    <d v="2025-07-01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6838.8288288288286"/>
    <n v="6838.8288288288286"/>
  </r>
  <r>
    <s v="A11100000135102"/>
    <n v="2"/>
    <n v="154"/>
    <x v="170"/>
    <s v="TOMATO KETCHUP"/>
    <s v="ABC SAUS TOMAT 48X130ML"/>
    <x v="0"/>
    <x v="128"/>
    <x v="1"/>
    <s v="TOMAT"/>
    <s v="A1110"/>
    <x v="100"/>
    <n v="14"/>
    <s v="ABC TOMAT 135/130 ML X 48 BTL"/>
    <n v="29"/>
    <s v="ABC"/>
    <s v="A1"/>
    <s v="TOMAT"/>
    <n v="11"/>
    <m/>
    <s v="0"/>
    <m/>
    <s v="0"/>
    <m/>
    <s v="00"/>
    <s v="135/130 ML"/>
    <s v="0135"/>
    <s v="BTL"/>
    <s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35"/>
    <s v="135/130 ML"/>
    <m/>
    <m/>
    <s v="KRT"/>
    <s v="GD01"/>
    <n v="11611"/>
    <n v="11612"/>
    <m/>
    <n v="1"/>
    <m/>
    <n v="0"/>
    <n v="0"/>
    <n v="0"/>
  </r>
  <r>
    <s v="A11100000275101"/>
    <n v="1"/>
    <n v="155"/>
    <x v="171"/>
    <s v="TOMATO KETCHUP"/>
    <s v="ABC SAUS TOMAT 24X275ML 2105"/>
    <x v="1"/>
    <x v="129"/>
    <x v="1"/>
    <s v="TOMAT"/>
    <s v="A1110"/>
    <x v="101"/>
    <n v="14"/>
    <s v="ABC TOMAT 275 ML X 24 BTL"/>
    <n v="25"/>
    <s v="ABC"/>
    <s v="A1"/>
    <s v="TOMAT"/>
    <n v="11"/>
    <m/>
    <s v="0"/>
    <m/>
    <s v="0"/>
    <m/>
    <s v="00"/>
    <s v="275 ML"/>
    <s v="0275"/>
    <s v="BTL"/>
    <s v="1"/>
    <m/>
    <s v="0"/>
    <m/>
    <m/>
    <m/>
    <s v="LITER"/>
    <n v="2"/>
    <m/>
    <n v="11278.221621621626"/>
    <n v="270677.31891891902"/>
    <n v="12518.826000000006"/>
    <n v="300451.82400000014"/>
    <n v="11998.108108108112"/>
    <n v="287954.59459459467"/>
    <n v="13317.900000000005"/>
    <n v="319629.60000000009"/>
    <n v="12957.956756756761"/>
    <n v="310990.96216216229"/>
    <n v="14383.332000000006"/>
    <n v="345199.96800000011"/>
    <m/>
    <d v="2024-09-18T00:00:00"/>
    <d v="2025-07-01T00:00:00"/>
    <s v="Lama"/>
    <s v="Sama"/>
    <s v="Aktif"/>
    <s v="IDR"/>
    <s v="20275"/>
    <s v="275 ML"/>
    <s v="S-HNZ"/>
    <s v="48HEINZ"/>
    <s v="KRT"/>
    <s v="GD01"/>
    <n v="11611"/>
    <n v="11612"/>
    <s v="0123"/>
    <n v="1"/>
    <s v="PT. HEINZ ABC INDONESIA"/>
    <n v="0"/>
    <n v="11998.108108108112"/>
    <n v="11998.108108108112"/>
  </r>
  <r>
    <s v="A11100000275102"/>
    <n v="2"/>
    <n v="156"/>
    <x v="172"/>
    <s v="TOMATO KETCHUP"/>
    <s v="ABC SAUS TOMAT 24X270ML 2408"/>
    <x v="1"/>
    <x v="130"/>
    <x v="1"/>
    <s v="TOMAT"/>
    <s v="A1110"/>
    <x v="101"/>
    <n v="14"/>
    <s v="ABC TOMAT 270 ML X 24 BTL"/>
    <n v="25"/>
    <s v="ABC"/>
    <s v="A1"/>
    <s v="TOMAT"/>
    <n v="11"/>
    <m/>
    <s v="0"/>
    <m/>
    <s v="0"/>
    <m/>
    <s v="00"/>
    <s v="270 ML"/>
    <s v="0275"/>
    <s v="BTL"/>
    <s v="1"/>
    <m/>
    <s v="0"/>
    <m/>
    <m/>
    <m/>
    <s v="LITER"/>
    <n v="2"/>
    <m/>
    <n v="11278.221621621626"/>
    <n v="270677.31891891902"/>
    <n v="12518.826000000006"/>
    <n v="300451.82400000014"/>
    <n v="11998.108108108112"/>
    <n v="287954.59459459467"/>
    <n v="13317.900000000005"/>
    <n v="319629.60000000009"/>
    <n v="12957.956756756761"/>
    <n v="310990.96216216229"/>
    <n v="14383.332000000006"/>
    <n v="345199.96800000011"/>
    <m/>
    <m/>
    <m/>
    <s v="Lama"/>
    <s v="Sama"/>
    <m/>
    <s v="IDR"/>
    <s v="20275"/>
    <s v="270 ML"/>
    <m/>
    <m/>
    <s v="KRT"/>
    <s v="GD01"/>
    <n v="11611"/>
    <n v="11612"/>
    <m/>
    <n v="1"/>
    <m/>
    <n v="0"/>
    <n v="11998.108108108112"/>
    <n v="11998.108108108112"/>
  </r>
  <r>
    <s v="A11100000335101"/>
    <n v="1"/>
    <n v="157"/>
    <x v="173"/>
    <s v="TOMATO KETCHUP"/>
    <s v="ABC TOMAT 335ML 1311"/>
    <x v="1"/>
    <x v="131"/>
    <x v="1"/>
    <s v="TOMAT"/>
    <s v="A1110"/>
    <x v="102"/>
    <n v="14"/>
    <s v="ABC TOMAT 335 ML X 24 BTL"/>
    <n v="25"/>
    <s v="ABC"/>
    <s v="A1"/>
    <s v="TOMAT"/>
    <n v="11"/>
    <m/>
    <s v="0"/>
    <m/>
    <s v="0"/>
    <m/>
    <s v="00"/>
    <s v="335 ML"/>
    <s v="0335"/>
    <s v="BTL"/>
    <s v="1"/>
    <m/>
    <s v="0"/>
    <m/>
    <m/>
    <m/>
    <s v="LITER"/>
    <n v="2"/>
    <m/>
    <n v="14540.445045045046"/>
    <n v="348970.6810810811"/>
    <n v="16139.894000000002"/>
    <n v="387357.45600000006"/>
    <n v="15468.55855855856"/>
    <n v="371245.40540540544"/>
    <n v="17170.100000000002"/>
    <n v="412082.40000000008"/>
    <n v="16706.043243243246"/>
    <n v="400945.03783783794"/>
    <n v="18543.708000000006"/>
    <n v="445048.99200000014"/>
    <m/>
    <d v="2024-09-18T00:00:00"/>
    <d v="2025-07-01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5468.55855855856"/>
    <n v="15468.55855855856"/>
  </r>
  <r>
    <s v="A11100000335102"/>
    <n v="2"/>
    <n v="158"/>
    <x v="174"/>
    <s v="TOMATO KETCHUP"/>
    <s v="ABC SAUS TOMAT 24X335ML"/>
    <x v="1"/>
    <x v="132"/>
    <x v="1"/>
    <s v="TOMAT"/>
    <s v="A1110"/>
    <x v="102"/>
    <n v="14"/>
    <s v="ABC TOMAT 335 ML X 24 BTL"/>
    <n v="25"/>
    <s v="ABC"/>
    <s v="A1"/>
    <s v="TOMAT"/>
    <n v="11"/>
    <m/>
    <s v="0"/>
    <m/>
    <s v="0"/>
    <m/>
    <s v="00"/>
    <s v="335 ML"/>
    <s v="0335"/>
    <s v="BTL"/>
    <s v="1"/>
    <m/>
    <s v="0"/>
    <m/>
    <m/>
    <m/>
    <s v="LITER"/>
    <n v="2"/>
    <m/>
    <n v="14540.445045045046"/>
    <n v="348970.6810810811"/>
    <n v="16139.894000000002"/>
    <n v="387357.45600000006"/>
    <n v="15468.55855855856"/>
    <n v="371245.40540540544"/>
    <n v="17170.100000000002"/>
    <n v="412082.40000000008"/>
    <n v="16706.043243243246"/>
    <n v="400945.03783783794"/>
    <n v="18543.708000000006"/>
    <n v="445048.99200000014"/>
    <m/>
    <m/>
    <d v="2025-07-11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5468.55855855856"/>
    <n v="15468.55855855856"/>
  </r>
  <r>
    <s v="A11100001005101"/>
    <n v="1"/>
    <n v="159"/>
    <x v="175"/>
    <s v="TOMATO KETCHUP"/>
    <s v="ABC SAUS TOMAT JRG 5.7KG 2004"/>
    <x v="4"/>
    <x v="133"/>
    <x v="2"/>
    <s v="TOMAT"/>
    <s v="A1110"/>
    <x v="103"/>
    <n v="14"/>
    <s v="ABC TOMAT 5,7 KG X 1 JRG"/>
    <n v="24"/>
    <s v="ABC"/>
    <s v="A1"/>
    <s v="TOMAT"/>
    <n v="11"/>
    <m/>
    <s v="0"/>
    <m/>
    <s v="0"/>
    <m/>
    <s v="00"/>
    <s v="5,7 KG"/>
    <n v="1005"/>
    <s v="JRG"/>
    <s v="1"/>
    <m/>
    <s v="0"/>
    <m/>
    <m/>
    <m/>
    <s v="GRAM"/>
    <n v="1"/>
    <m/>
    <n v="91787.104504504488"/>
    <n v="91787.104504504488"/>
    <n v="101883.68599999999"/>
    <n v="101883.68599999999"/>
    <n v="97645.855855855843"/>
    <n v="97645.855855855843"/>
    <n v="108386.9"/>
    <n v="108386.9"/>
    <n v="105457.52432432432"/>
    <n v="105457.52432432432"/>
    <n v="117057.852"/>
    <n v="117057.852"/>
    <m/>
    <d v="2024-09-18T00:00:00"/>
    <d v="2025-07-01T00:00:00"/>
    <s v="Lama"/>
    <s v="Sama"/>
    <s v="Aktif"/>
    <s v="IDR"/>
    <s v="11005"/>
    <s v="5,7 KG"/>
    <s v="S-HNZ"/>
    <s v="48HEINZ"/>
    <s v="KRT"/>
    <s v="GD01"/>
    <n v="11611"/>
    <n v="11612"/>
    <s v="0123"/>
    <n v="1"/>
    <s v="PT. HEINZ ABC INDONESIA"/>
    <n v="0"/>
    <n v="97645.855855855843"/>
    <n v="97645.855855855843"/>
  </r>
  <r>
    <s v="A11100001005102"/>
    <n v="2"/>
    <n v="160"/>
    <x v="176"/>
    <s v="TOMATO KETCHUP"/>
    <s v="ABC SAUS TOMAT JRG 5.7KG 2211"/>
    <x v="4"/>
    <x v="134"/>
    <x v="2"/>
    <s v="TOMAT"/>
    <s v="A1110"/>
    <x v="103"/>
    <n v="14"/>
    <s v="ABC TOMAT 5,7 KG X 1 JRG"/>
    <n v="24"/>
    <s v="ABC"/>
    <s v="A1"/>
    <s v="TOMAT"/>
    <n v="11"/>
    <m/>
    <s v="0"/>
    <m/>
    <s v="0"/>
    <m/>
    <s v="00"/>
    <s v="5,7 KG"/>
    <n v="1005"/>
    <s v="JRG"/>
    <s v="1"/>
    <m/>
    <s v="0"/>
    <m/>
    <m/>
    <m/>
    <s v="GRAM"/>
    <n v="1"/>
    <m/>
    <n v="91787.104504504488"/>
    <n v="91787.104504504488"/>
    <n v="101883.68599999999"/>
    <n v="101883.68599999999"/>
    <n v="97645.855855855843"/>
    <n v="97645.855855855843"/>
    <n v="108386.9"/>
    <n v="108386.9"/>
    <n v="105457.52432432432"/>
    <n v="105457.52432432432"/>
    <n v="117057.852"/>
    <n v="117057.852"/>
    <m/>
    <d v="2024-09-18T00:00:00"/>
    <d v="2025-07-01T00:00:00"/>
    <s v="Lama"/>
    <s v="Sama"/>
    <s v="Aktif"/>
    <s v="IDR"/>
    <s v="11005"/>
    <s v="5,7 KG"/>
    <s v="S-HNZ"/>
    <s v="48HEINZ"/>
    <s v="KRT"/>
    <s v="GD01"/>
    <n v="11611"/>
    <n v="11612"/>
    <s v="0123"/>
    <n v="1"/>
    <s v="PT. HEINZ ABC INDONESIA"/>
    <n v="0"/>
    <n v="97645.855855855843"/>
    <n v="97645.855855855843"/>
  </r>
  <r>
    <s v="A11100001005103"/>
    <n v="3"/>
    <n v="161"/>
    <x v="177"/>
    <s v="TOMATO KETCHUP"/>
    <s v="ABC SAUS TOMAT JRG 5.7KG 2211"/>
    <x v="4"/>
    <x v="135"/>
    <x v="2"/>
    <s v="TOMAT"/>
    <s v="A1110"/>
    <x v="103"/>
    <n v="14"/>
    <s v="ABC TOMAT 5,7 KG X 1 JRG"/>
    <n v="24"/>
    <s v="ABC"/>
    <s v="A1"/>
    <s v="TOMAT"/>
    <n v="11"/>
    <m/>
    <s v="0"/>
    <m/>
    <s v="0"/>
    <m/>
    <s v="00"/>
    <s v="5,7 KG"/>
    <n v="1005"/>
    <s v="JRG"/>
    <s v="1"/>
    <m/>
    <s v="0"/>
    <m/>
    <m/>
    <m/>
    <s v="GRAM"/>
    <n v="1"/>
    <m/>
    <n v="91787.104504504488"/>
    <n v="91787.104504504488"/>
    <n v="101883.68599999999"/>
    <n v="101883.68599999999"/>
    <n v="97645.855855855843"/>
    <n v="97645.855855855843"/>
    <n v="108386.9"/>
    <n v="108386.9"/>
    <n v="105457.52432432432"/>
    <n v="105457.52432432432"/>
    <n v="117057.852"/>
    <n v="117057.852"/>
    <m/>
    <d v="2025-01-23T00:00:00"/>
    <d v="2025-07-01T00:00:00"/>
    <s v="Lama"/>
    <s v="Sama"/>
    <s v="Aktif"/>
    <s v="IDR"/>
    <s v="11005"/>
    <s v="5,7 KG"/>
    <s v="S-HNZ"/>
    <s v="48HEINZ"/>
    <s v="KRT"/>
    <s v="GD01"/>
    <n v="11611"/>
    <n v="11612"/>
    <s v="0123"/>
    <n v="1"/>
    <s v="PT. HEINZ ABC INDONESIA"/>
    <n v="0"/>
    <n v="97645.855855855843"/>
    <n v="97645.855855855843"/>
  </r>
  <r>
    <s v="A11100011001101"/>
    <n v="1"/>
    <n v="162"/>
    <x v="178"/>
    <s v="TOMATO KETCHUP"/>
    <s v="ABC SAUS TOMAT PLW 6X1KG 2004"/>
    <x v="5"/>
    <x v="136"/>
    <x v="6"/>
    <s v="TOMAT"/>
    <s v="A1110"/>
    <x v="104"/>
    <n v="14"/>
    <s v="ABC TOMAT PILLOW 1 KG X 6 PCS"/>
    <n v="29"/>
    <s v="ABC"/>
    <s v="A1"/>
    <s v="TOMAT"/>
    <n v="11"/>
    <m/>
    <n v="0"/>
    <m/>
    <s v="0"/>
    <s v="PILLOW"/>
    <s v="01"/>
    <s v="1 KG"/>
    <n v="1001"/>
    <s v="PCS"/>
    <s v="1"/>
    <m/>
    <s v="0"/>
    <m/>
    <m/>
    <m/>
    <s v="GRAM"/>
    <n v="1"/>
    <m/>
    <n v="16241.336936936937"/>
    <n v="97448.021621621621"/>
    <n v="18027.884000000002"/>
    <n v="108167.304"/>
    <n v="17278.018018018018"/>
    <n v="103668.10810810811"/>
    <n v="19178.600000000002"/>
    <n v="115071.6"/>
    <n v="18660.259459459459"/>
    <n v="111961.55675675676"/>
    <n v="20712.888000000003"/>
    <n v="124277.32800000001"/>
    <m/>
    <d v="2024-09-18T00:00:00"/>
    <d v="2025-07-01T00:00:00"/>
    <s v="Lama"/>
    <s v="Sama"/>
    <s v="Aktif"/>
    <s v="IDR"/>
    <s v="11001"/>
    <s v="1 KG"/>
    <s v="S-HNZ"/>
    <s v="48HEINZ"/>
    <s v="KRT"/>
    <s v="GD01"/>
    <n v="11611"/>
    <n v="11612"/>
    <s v="0123"/>
    <n v="1"/>
    <s v="PT. HEINZ ABC INDONESIA"/>
    <n v="0"/>
    <n v="17278.018018018018"/>
    <n v="17278.018018018018"/>
  </r>
  <r>
    <s v="A11100011001102"/>
    <n v="2"/>
    <n v="163"/>
    <x v="179"/>
    <s v="TOMATO KETCHUP"/>
    <s v="ABC SAUS TOMAT PLW 6X1KG 2211"/>
    <x v="5"/>
    <x v="137"/>
    <x v="6"/>
    <s v="TOMAT"/>
    <s v="A1110"/>
    <x v="104"/>
    <n v="14"/>
    <s v="ABC TOMAT PILLOW 1 KG X 6 PCS"/>
    <n v="29"/>
    <s v="ABC"/>
    <s v="A1"/>
    <s v="TOMAT"/>
    <n v="11"/>
    <m/>
    <n v="0"/>
    <m/>
    <s v="0"/>
    <s v="PILLOW"/>
    <s v="01"/>
    <s v="1 KG"/>
    <n v="1001"/>
    <s v="PCS"/>
    <s v="1"/>
    <m/>
    <s v="0"/>
    <m/>
    <m/>
    <m/>
    <s v="GRAM"/>
    <n v="1"/>
    <m/>
    <n v="16241.336936936937"/>
    <n v="97448.021621621621"/>
    <n v="18027.884000000002"/>
    <n v="108167.304"/>
    <n v="17278.018018018018"/>
    <n v="103668.10810810811"/>
    <n v="19178.600000000002"/>
    <n v="115071.6"/>
    <n v="18660.259459459459"/>
    <n v="111961.55675675676"/>
    <n v="20712.888000000003"/>
    <n v="124277.32800000001"/>
    <m/>
    <d v="2024-09-18T00:00:00"/>
    <d v="2025-07-01T00:00:00"/>
    <s v="Lama"/>
    <s v="Sama"/>
    <s v="Aktif"/>
    <s v="IDR"/>
    <s v="11001"/>
    <s v="1 KG"/>
    <s v="S-HNZ"/>
    <s v="48HEINZ"/>
    <s v="KRT"/>
    <s v="GD01"/>
    <n v="11611"/>
    <n v="11612"/>
    <s v="0123"/>
    <n v="1"/>
    <s v="PT. HEINZ ABC INDONESIA"/>
    <n v="0"/>
    <n v="17278.018018018018"/>
    <n v="17278.018018018018"/>
  </r>
  <r>
    <s v="A11100011001103"/>
    <n v="3"/>
    <n v="164"/>
    <x v="180"/>
    <s v="TOMATO KETCHUP"/>
    <s v="ABC SAUS TOMAT PLW 6X1KG"/>
    <x v="5"/>
    <x v="138"/>
    <x v="6"/>
    <s v="TOMAT"/>
    <s v="A1110"/>
    <x v="104"/>
    <n v="14"/>
    <s v="ABC TOMAT PILLOW 1 KG X 6 PCS"/>
    <n v="29"/>
    <s v="ABC"/>
    <s v="A1"/>
    <s v="TOMAT"/>
    <n v="11"/>
    <m/>
    <n v="0"/>
    <m/>
    <s v="0"/>
    <s v="PILLOW"/>
    <s v="01"/>
    <s v="1 KG"/>
    <n v="1001"/>
    <s v="PCS"/>
    <s v="1"/>
    <m/>
    <s v="0"/>
    <m/>
    <m/>
    <m/>
    <s v="GRAM"/>
    <n v="1"/>
    <m/>
    <n v="16241.336936936937"/>
    <n v="97448.021621621621"/>
    <n v="18027.884000000002"/>
    <n v="108167.304"/>
    <n v="17278.018018018018"/>
    <n v="103668.10810810811"/>
    <n v="19178.600000000002"/>
    <n v="115071.6"/>
    <n v="18660.259459459459"/>
    <n v="111961.55675675676"/>
    <n v="20712.888000000003"/>
    <n v="124277.32800000001"/>
    <m/>
    <m/>
    <d v="2025-07-01T00:00:00"/>
    <s v="Lama"/>
    <s v="Sama"/>
    <m/>
    <s v="IDR"/>
    <s v="11001"/>
    <s v="1 KG"/>
    <m/>
    <m/>
    <s v="KRT"/>
    <s v="GD01"/>
    <n v="11611"/>
    <n v="11612"/>
    <s v="0123"/>
    <n v="1"/>
    <s v="PT. HEINZ ABC INDONESIA"/>
    <n v="0"/>
    <n v="17278.018018018018"/>
    <n v="17278.018018018018"/>
  </r>
  <r>
    <s v="A11110010125101"/>
    <n v="1"/>
    <n v="165"/>
    <x v="181"/>
    <s v="TOMATO KETCHUP"/>
    <s v="HEINZ TOM KC PCH 48X125G 2105"/>
    <x v="0"/>
    <x v="4"/>
    <x v="0"/>
    <s v="TOMAT HEINZ"/>
    <s v="A1111"/>
    <x v="105"/>
    <n v="14"/>
    <s v="ABC TOMAT HEINZ KETCHUP 125 GR X 48 PCH"/>
    <n v="39"/>
    <s v="ABC"/>
    <s v="A1"/>
    <s v="TOMAT"/>
    <n v="11"/>
    <s v="HEINZ"/>
    <n v="1"/>
    <m/>
    <s v="0"/>
    <s v="KETCHUP"/>
    <s v="01"/>
    <s v="125 GR"/>
    <s v="0125"/>
    <s v="PCH"/>
    <s v="1"/>
    <m/>
    <s v="0"/>
    <m/>
    <m/>
    <m/>
    <s v="GRAM"/>
    <n v="1"/>
    <m/>
    <n v="6234.623045833333"/>
    <n v="299261.90619999997"/>
    <n v="6920.4315808749998"/>
    <n v="332180.71588199999"/>
    <n v="6632.5777083333332"/>
    <n v="318363.73"/>
    <n v="7362.1612562500004"/>
    <n v="353383.7403"/>
    <n v="7163.1839250000003"/>
    <n v="343832.8284"/>
    <n v="7951.1341567500012"/>
    <n v="381654.43952400004"/>
    <m/>
    <d v="2024-09-18T00:00:00"/>
    <d v="2025-07-01T00:00:00"/>
    <s v="Lama"/>
    <s v="Sama"/>
    <s v="Aktif"/>
    <s v="IDR"/>
    <s v="10125"/>
    <s v="125 GR"/>
    <s v="S-HNZ"/>
    <s v="48HEINZ"/>
    <s v="KRT"/>
    <s v="GD01"/>
    <n v="11611"/>
    <n v="11612"/>
    <s v="0123"/>
    <n v="1"/>
    <s v="PT. HEINZ ABC INDONESIA"/>
    <n v="0"/>
    <n v="6632.5777083333332"/>
    <n v="6632.5777083333332"/>
  </r>
  <r>
    <s v="A11110010325101"/>
    <n v="1"/>
    <n v="166"/>
    <x v="182"/>
    <s v="TOMATO KETCHUP"/>
    <s v="HEINZ TOM KCP USD 24X325G 2207"/>
    <x v="1"/>
    <x v="4"/>
    <x v="1"/>
    <s v="TOMAT HEINZ"/>
    <s v="A1111"/>
    <x v="106"/>
    <n v="14"/>
    <s v="ABC TOMAT HEINZ KETCHUP 325 GR X 24 BTL"/>
    <n v="39"/>
    <s v="ABC"/>
    <s v="A1"/>
    <s v="TOMAT"/>
    <n v="11"/>
    <s v="HEINZ"/>
    <n v="1"/>
    <m/>
    <s v="0"/>
    <s v="KETCHUP"/>
    <s v="01"/>
    <s v="325 GR"/>
    <s v="0325"/>
    <s v="BTL"/>
    <s v="1"/>
    <m/>
    <s v="0"/>
    <m/>
    <m/>
    <m/>
    <s v="GRAM"/>
    <n v="1"/>
    <m/>
    <n v="14596.341149999998"/>
    <n v="350312.18759999995"/>
    <n v="16201.9386765"/>
    <n v="388846.52823599998"/>
    <n v="15528.022499999999"/>
    <n v="372672.54"/>
    <n v="17236.104975000002"/>
    <n v="413666.51939999999"/>
    <n v="16770.264299999999"/>
    <n v="402486.3432"/>
    <n v="18614.993373000001"/>
    <n v="446759.840952"/>
    <m/>
    <d v="2024-09-18T00:00:00"/>
    <d v="2025-07-01T00:00:00"/>
    <s v="Lama"/>
    <s v="Sama"/>
    <s v="Aktif"/>
    <s v="IDR"/>
    <s v="10325"/>
    <s v="325 GR"/>
    <s v="S-HNZ"/>
    <s v="48HEINZ"/>
    <s v="KRT"/>
    <s v="GD01"/>
    <n v="11611"/>
    <n v="11612"/>
    <s v="0123"/>
    <n v="1"/>
    <s v="PT. HEINZ ABC INDONESIA"/>
    <n v="0"/>
    <n v="15528.022499999999"/>
    <n v="15528.022499999999"/>
  </r>
  <r>
    <s v="A11110010325102"/>
    <n v="2"/>
    <n v="167"/>
    <x v="183"/>
    <s v="TOMATO KETCHUP"/>
    <s v="HEINZ TOM KCP USD 24X325G 2308"/>
    <x v="1"/>
    <x v="139"/>
    <x v="1"/>
    <s v="TOMAT HEINZ"/>
    <s v="A1111"/>
    <x v="106"/>
    <n v="14"/>
    <s v="ABC TOMAT HEINZ KETCHUP 325 GR X 24 BTL"/>
    <n v="39"/>
    <s v="ABC"/>
    <s v="A1"/>
    <s v="TOMAT"/>
    <n v="11"/>
    <s v="HEINZ"/>
    <n v="1"/>
    <m/>
    <s v="0"/>
    <s v="KETCHUP"/>
    <s v="01"/>
    <s v="325 GR"/>
    <s v="0325"/>
    <s v="BTL"/>
    <s v="1"/>
    <m/>
    <s v="0"/>
    <m/>
    <m/>
    <m/>
    <s v="GRAM"/>
    <n v="1"/>
    <m/>
    <n v="14596.341149999998"/>
    <n v="350312.18759999995"/>
    <n v="16201.9386765"/>
    <n v="388846.52823599998"/>
    <n v="15528.022499999999"/>
    <n v="372672.54"/>
    <n v="17236.104975000002"/>
    <n v="413666.51939999999"/>
    <n v="16770.264299999999"/>
    <n v="402486.3432"/>
    <n v="18614.993373000001"/>
    <n v="446759.840952"/>
    <m/>
    <d v="2024-09-18T00:00:00"/>
    <d v="2025-07-01T00:00:00"/>
    <s v="Lama"/>
    <s v="Sama"/>
    <s v="Aktif"/>
    <s v="IDR"/>
    <s v="10325"/>
    <s v="325 GR"/>
    <s v="S-HNZ"/>
    <s v="48HEINZ"/>
    <s v="KRT"/>
    <s v="GD01"/>
    <n v="11611"/>
    <n v="11612"/>
    <s v="0123"/>
    <n v="1"/>
    <s v="PT. HEINZ ABC INDONESIA"/>
    <n v="0"/>
    <n v="15528.022499999999"/>
    <n v="15528.022499999999"/>
  </r>
  <r>
    <s v="A11200060008101"/>
    <n v="1"/>
    <n v="168"/>
    <x v="184"/>
    <s v="CHILI"/>
    <s v="ABC SAM ASLI SCT 21X22X8G 1909"/>
    <x v="10"/>
    <x v="140"/>
    <x v="9"/>
    <s v="SAMBAL"/>
    <s v="A1120"/>
    <x v="107"/>
    <n v="14"/>
    <s v="ABC SAMBAL ASLI 8 GR X 21 PACK PCSX22"/>
    <n v="37"/>
    <s v="ABC"/>
    <s v="A1"/>
    <s v="SAMBAL"/>
    <n v="12"/>
    <m/>
    <n v="0"/>
    <m/>
    <s v="0"/>
    <s v="ASLI"/>
    <s v="06"/>
    <s v="8 GR"/>
    <s v="0008"/>
    <s v="PCSX22"/>
    <s v="1"/>
    <m/>
    <s v="0"/>
    <s v="PACK"/>
    <m/>
    <m/>
    <s v="GRAM"/>
    <n v="1"/>
    <m/>
    <n v="5669.6381999999994"/>
    <n v="119062.40219999998"/>
    <n v="6293.2984020000004"/>
    <n v="132159.26644199999"/>
    <n v="6031.53"/>
    <n v="126662.12999999999"/>
    <n v="6694.9983000000002"/>
    <n v="140594.96429999999"/>
    <n v="6514.0538965714341"/>
    <n v="136795.13182800013"/>
    <n v="7230.5998251942929"/>
    <n v="151842.59632908014"/>
    <m/>
    <d v="2024-09-18T00:00:00"/>
    <d v="2025-10-15T00:00:00"/>
    <s v="Lama"/>
    <s v="Sama"/>
    <s v="Aktif"/>
    <s v="IDR"/>
    <s v="10008"/>
    <s v="8 GR"/>
    <s v="S-HNZ"/>
    <s v="48HEINZ"/>
    <s v="KRT"/>
    <s v="GD01"/>
    <n v="11611"/>
    <n v="11612"/>
    <s v="0123"/>
    <n v="1"/>
    <s v="PT. HEINZ ABC INDONESIA"/>
    <n v="0"/>
    <n v="6031.53"/>
    <n v="6031.53"/>
  </r>
  <r>
    <s v="A1120006000810N2"/>
    <n v="2"/>
    <n v="169"/>
    <x v="185"/>
    <s v="CHILI"/>
    <s v="ABC SAM ASLI SCT 21X22X8G 2203"/>
    <x v="10"/>
    <x v="141"/>
    <x v="9"/>
    <s v="SAMBAL"/>
    <s v="A1120"/>
    <x v="108"/>
    <n v="15"/>
    <s v="ABC SAMBAL ASLI 8 GR X 21 PACK PCSX22 NEW"/>
    <n v="41"/>
    <s v="ABC"/>
    <s v="A1"/>
    <s v="SAMBAL"/>
    <n v="12"/>
    <m/>
    <n v="0"/>
    <m/>
    <s v="0"/>
    <s v="ASLI"/>
    <s v="06"/>
    <s v="8 GR"/>
    <s v="0008"/>
    <s v="PCSX22"/>
    <n v="1"/>
    <s v="NEW"/>
    <s v="0N"/>
    <s v="PACK"/>
    <m/>
    <m/>
    <s v="GRAM"/>
    <n v="1"/>
    <m/>
    <n v="5669.6381999999994"/>
    <n v="119062.40219999998"/>
    <n v="6293.2984020000004"/>
    <n v="132159.26644199999"/>
    <n v="6031.53"/>
    <n v="126662.12999999999"/>
    <n v="6694.9983000000002"/>
    <n v="140594.96429999999"/>
    <n v="6514.0538965714341"/>
    <n v="136795.13182800013"/>
    <n v="7230.5998251942929"/>
    <n v="151842.59632908014"/>
    <m/>
    <d v="2024-09-18T00:00:00"/>
    <d v="2025-10-15T00:00:00"/>
    <s v="Lama"/>
    <s v="Sama"/>
    <s v="Aktif"/>
    <s v="IDR"/>
    <s v="10008"/>
    <s v="8 GR"/>
    <s v="S-HNZ"/>
    <s v="48HEINZ"/>
    <s v="KRT"/>
    <s v="GD01"/>
    <n v="11611"/>
    <n v="11612"/>
    <s v="0123"/>
    <n v="1"/>
    <s v="PT. HEINZ ABC INDONESIA"/>
    <n v="0"/>
    <n v="6031.53"/>
    <n v="6031.53"/>
  </r>
  <r>
    <s v="A1120006000810N3"/>
    <n v="3"/>
    <n v="170"/>
    <x v="186"/>
    <s v="CHILI"/>
    <s v="ABC SAM ASLI SCT 21X22X8G 2406"/>
    <x v="10"/>
    <x v="142"/>
    <x v="9"/>
    <s v="SAMBAL"/>
    <s v="A1120"/>
    <x v="108"/>
    <n v="15"/>
    <s v="ABC SAMBAL ASLI 8 GR X 21 PACK PCSX22 NEW"/>
    <n v="41"/>
    <s v="ABC"/>
    <s v="A1"/>
    <s v="SAMBAL"/>
    <n v="12"/>
    <m/>
    <n v="0"/>
    <m/>
    <s v="0"/>
    <s v="ASLI"/>
    <s v="06"/>
    <s v="8 GR"/>
    <s v="0008"/>
    <s v="PCSX22"/>
    <n v="1"/>
    <s v="NEW"/>
    <s v="0N"/>
    <s v="PACK"/>
    <m/>
    <m/>
    <s v="GRAM"/>
    <n v="1"/>
    <m/>
    <n v="5669.6381999999994"/>
    <n v="119062.40219999998"/>
    <n v="6293.2984020000004"/>
    <n v="132159.26644199999"/>
    <n v="6031.53"/>
    <n v="126662.12999999999"/>
    <n v="6694.9983000000002"/>
    <n v="140594.96429999999"/>
    <n v="6514.0538965714341"/>
    <n v="136795.13182800013"/>
    <n v="7230.5998251942929"/>
    <n v="151842.59632908014"/>
    <m/>
    <m/>
    <d v="2025-10-15T00:00:00"/>
    <s v="Lama"/>
    <s v="Sama"/>
    <s v="Aktif"/>
    <s v="IDR"/>
    <s v="10008"/>
    <s v="8 GR"/>
    <s v="S-HNZ"/>
    <s v="48HEINZ"/>
    <s v="KRT"/>
    <s v="GD01"/>
    <n v="11611"/>
    <n v="11612"/>
    <s v="0123"/>
    <n v="1"/>
    <s v="PT. HEINZ ABC INDONESIA"/>
    <n v="0"/>
    <n v="6031.53"/>
    <n v="6031.53"/>
  </r>
  <r>
    <s v="A1120006000810N1"/>
    <n v="1"/>
    <n v="292"/>
    <x v="187"/>
    <m/>
    <s v="ABC SAM AS SCT 21X22X8GNEW2602"/>
    <x v="10"/>
    <x v="143"/>
    <x v="9"/>
    <s v="SAMBAL"/>
    <s v="A1120"/>
    <x v="108"/>
    <n v="15"/>
    <s v="ABC SAMBAL ASLI 8 GR X 21 PACK PCSX22 NEW"/>
    <n v="41"/>
    <s v="ABC"/>
    <s v="A1"/>
    <s v="SAMBAL"/>
    <n v="12"/>
    <m/>
    <n v="0"/>
    <m/>
    <s v="0"/>
    <s v="ASLI"/>
    <s v="06"/>
    <s v="8 GR"/>
    <s v="0008"/>
    <s v="PCSX22"/>
    <n v="1"/>
    <s v="NEW"/>
    <s v="0N"/>
    <s v="PACK"/>
    <m/>
    <m/>
    <s v="GRAM"/>
    <n v="1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10008"/>
    <s v="8 GR"/>
    <m/>
    <m/>
    <s v="KRT"/>
    <s v="GD01"/>
    <n v="11611"/>
    <n v="11612"/>
    <m/>
    <n v="1"/>
    <m/>
    <n v="0"/>
    <n v="0"/>
    <n v="0"/>
  </r>
  <r>
    <s v="A11200060015101"/>
    <n v="1"/>
    <n v="171"/>
    <x v="188"/>
    <s v="CHILI"/>
    <s v="ABC SAM AS SCT 30X10X18G 2002"/>
    <x v="9"/>
    <x v="4"/>
    <x v="4"/>
    <s v="SAMBAL"/>
    <s v="A1120"/>
    <x v="109"/>
    <n v="14"/>
    <s v="ABC SAMBAL ASLI 15 GR X 30 PACK PCSX10"/>
    <n v="38"/>
    <s v="ABC"/>
    <s v="A1"/>
    <s v="SAMBAL"/>
    <n v="12"/>
    <m/>
    <n v="0"/>
    <m/>
    <s v="0"/>
    <s v="ASLI"/>
    <s v="06"/>
    <s v="15 GR"/>
    <s v="0015"/>
    <s v="PCSX10"/>
    <s v="1"/>
    <m/>
    <s v="0"/>
    <s v="PACK"/>
    <m/>
    <m/>
    <s v="GRAM"/>
    <n v="1"/>
    <m/>
    <n v="5538.7996000000003"/>
    <n v="166163.98800000001"/>
    <n v="6148.0675560000009"/>
    <n v="184442.02668000004"/>
    <n v="5892.34"/>
    <n v="176770.2"/>
    <n v="6540.4974000000011"/>
    <n v="196214.92200000002"/>
    <n v="6363.7296696000039"/>
    <n v="190911.89008800013"/>
    <n v="7063.7399332560053"/>
    <n v="211912.19799768017"/>
    <m/>
    <d v="2024-09-18T00:00:00"/>
    <d v="2025-10-15T00:00:00"/>
    <s v="Lama"/>
    <s v="Sama"/>
    <s v="Aktif"/>
    <s v="IDR"/>
    <s v="10015"/>
    <s v="15 GR"/>
    <s v="S-HNZ"/>
    <s v="48HEINZ"/>
    <s v="KRT"/>
    <s v="GD01"/>
    <n v="11611"/>
    <n v="11612"/>
    <s v="0123"/>
    <n v="1"/>
    <s v="PT. HEINZ ABC INDONESIA"/>
    <n v="0"/>
    <n v="5892.34"/>
    <n v="5892.34"/>
  </r>
  <r>
    <s v="A11200060015102"/>
    <n v="2"/>
    <n v="172"/>
    <x v="189"/>
    <s v="CHILI"/>
    <s v="ABC SAM AS SCT 30X10X18G 2203"/>
    <x v="9"/>
    <x v="144"/>
    <x v="4"/>
    <s v="SAMBAL"/>
    <s v="A1120"/>
    <x v="109"/>
    <n v="14"/>
    <s v="ABC SAMBAL ASLI 15 GR X 30 PACK PCSX10"/>
    <n v="38"/>
    <s v="ABC"/>
    <s v="A1"/>
    <s v="SAMBAL"/>
    <n v="12"/>
    <m/>
    <n v="0"/>
    <m/>
    <s v="0"/>
    <s v="ASLI"/>
    <s v="06"/>
    <s v="15 GR"/>
    <s v="0015"/>
    <s v="PCSX10"/>
    <s v="1"/>
    <m/>
    <s v="0"/>
    <s v="PACK"/>
    <m/>
    <m/>
    <s v="GRAM"/>
    <n v="1"/>
    <m/>
    <n v="5538.7996000000003"/>
    <n v="166163.98800000001"/>
    <n v="6148.0675560000009"/>
    <n v="184442.02668000004"/>
    <n v="5892.34"/>
    <n v="176770.2"/>
    <n v="6540.4974000000011"/>
    <n v="196214.92200000002"/>
    <n v="6363.7296696000039"/>
    <n v="190911.89008800013"/>
    <n v="7063.7399332560053"/>
    <n v="211912.19799768017"/>
    <m/>
    <d v="2024-09-18T00:00:00"/>
    <d v="2025-10-15T00:00:00"/>
    <s v="Lama"/>
    <s v="Sama"/>
    <s v="Aktif"/>
    <s v="IDR"/>
    <s v="10015"/>
    <s v="15 GR"/>
    <s v="S-HNZ"/>
    <s v="48HEINZ"/>
    <s v="KRT"/>
    <s v="GD01"/>
    <n v="11611"/>
    <n v="11612"/>
    <s v="0123"/>
    <n v="1"/>
    <s v="PT. HEINZ ABC INDONESIA"/>
    <n v="0"/>
    <n v="5892.34"/>
    <n v="5892.34"/>
  </r>
  <r>
    <s v="A11200060015103"/>
    <n v="3"/>
    <n v="173"/>
    <x v="190"/>
    <s v="CHILI"/>
    <s v="ABC SAM AS SCT 30X10X15G 2206"/>
    <x v="9"/>
    <x v="145"/>
    <x v="4"/>
    <s v="SAMBAL"/>
    <s v="A1120"/>
    <x v="109"/>
    <n v="14"/>
    <s v="ABC SAMBAL ASLI 15 GR X 30 PACK PCSX10"/>
    <n v="38"/>
    <s v="ABC"/>
    <s v="A1"/>
    <s v="SAMBAL"/>
    <n v="12"/>
    <m/>
    <n v="0"/>
    <m/>
    <s v="0"/>
    <s v="ASLI"/>
    <s v="06"/>
    <s v="15 GR"/>
    <s v="0015"/>
    <s v="PCSX10"/>
    <s v="1"/>
    <m/>
    <s v="0"/>
    <s v="PACK"/>
    <m/>
    <m/>
    <s v="GRAM"/>
    <n v="1"/>
    <m/>
    <n v="5538.7996000000003"/>
    <n v="166163.98800000001"/>
    <n v="6148.0675560000009"/>
    <n v="184442.02668000004"/>
    <n v="5892.34"/>
    <n v="176770.2"/>
    <n v="6540.4974000000011"/>
    <n v="196214.92200000002"/>
    <n v="6363.7296696000039"/>
    <n v="190911.89008800013"/>
    <n v="7063.7399332560053"/>
    <n v="211912.19799768017"/>
    <m/>
    <d v="2024-09-18T00:00:00"/>
    <d v="2025-10-15T00:00:00"/>
    <s v="Lama"/>
    <s v="Sama"/>
    <s v="Aktif"/>
    <s v="IDR"/>
    <s v="10015"/>
    <s v="15 GR"/>
    <s v="S-HNZ"/>
    <s v="48HEINZ"/>
    <s v="KRT"/>
    <s v="GD01"/>
    <n v="11611"/>
    <n v="11612"/>
    <s v="0123"/>
    <n v="1"/>
    <s v="PT. HEINZ ABC INDONESIA"/>
    <n v="0"/>
    <n v="5892.34"/>
    <n v="5892.34"/>
  </r>
  <r>
    <s v="A11200060015104"/>
    <n v="4"/>
    <n v="174"/>
    <x v="191"/>
    <s v="CHILI"/>
    <s v="ABC SAM AS SCT 30X10X15GHY2210"/>
    <x v="9"/>
    <x v="146"/>
    <x v="4"/>
    <s v="SAMBAL"/>
    <s v="A1120"/>
    <x v="109"/>
    <n v="14"/>
    <s v="ABC SAMBAL ASLI 15 GR X 30 PACK PCSX10"/>
    <n v="38"/>
    <s v="ABC"/>
    <s v="A1"/>
    <s v="SAMBAL"/>
    <n v="12"/>
    <m/>
    <n v="0"/>
    <m/>
    <s v="0"/>
    <s v="ASLI"/>
    <s v="06"/>
    <s v="15 GR"/>
    <s v="0015"/>
    <s v="PCSX10"/>
    <s v="1"/>
    <m/>
    <s v="0"/>
    <s v="PACK"/>
    <m/>
    <m/>
    <s v="GRAM"/>
    <n v="1"/>
    <m/>
    <n v="5538.7996000000003"/>
    <n v="166163.98800000001"/>
    <n v="6148.0675560000009"/>
    <n v="184442.02668000004"/>
    <n v="5892.34"/>
    <n v="176770.2"/>
    <n v="6540.4974000000011"/>
    <n v="196214.92200000002"/>
    <n v="6363.7296696000039"/>
    <n v="190911.89008800013"/>
    <n v="7063.7399332560053"/>
    <n v="211912.19799768017"/>
    <m/>
    <d v="2024-09-18T00:00:00"/>
    <d v="2025-10-15T00:00:00"/>
    <s v="Lama"/>
    <s v="Sama"/>
    <s v="Aktif"/>
    <s v="IDR"/>
    <s v="10015"/>
    <s v="15 GR"/>
    <s v="S-HNZ"/>
    <s v="48HEINZ"/>
    <s v="KRT"/>
    <s v="GD01"/>
    <n v="11611"/>
    <n v="11612"/>
    <s v="0123"/>
    <n v="1"/>
    <s v="PT. HEINZ ABC INDONESIA"/>
    <n v="0"/>
    <n v="5892.34"/>
    <n v="5892.34"/>
  </r>
  <r>
    <s v="A11200060015105"/>
    <n v="5"/>
    <n v="175"/>
    <x v="192"/>
    <s v="CHILI"/>
    <s v="ABC SAM AS SCT 30X10X15G"/>
    <x v="9"/>
    <x v="147"/>
    <x v="4"/>
    <s v="SAMBAL"/>
    <s v="A1120"/>
    <x v="109"/>
    <n v="14"/>
    <s v="ABC SAMBAL ASLI 15 GR X 30 PACK PCSX10"/>
    <n v="38"/>
    <s v="ABC"/>
    <s v="A1"/>
    <s v="SAMBAL"/>
    <n v="12"/>
    <m/>
    <n v="0"/>
    <m/>
    <s v="0"/>
    <s v="ASLI"/>
    <s v="06"/>
    <s v="15 GR"/>
    <s v="0015"/>
    <s v="PCSX10"/>
    <s v="1"/>
    <m/>
    <s v="0"/>
    <s v="PACK"/>
    <m/>
    <m/>
    <s v="GRAM"/>
    <n v="1"/>
    <m/>
    <n v="5538.7996000000003"/>
    <n v="166163.98800000001"/>
    <n v="6148.0675560000009"/>
    <n v="184442.02668000004"/>
    <n v="5892.34"/>
    <n v="176770.2"/>
    <n v="6540.4974000000011"/>
    <n v="196214.92200000002"/>
    <n v="6363.7296696000039"/>
    <n v="190911.89008800013"/>
    <n v="7063.7399332560053"/>
    <n v="211912.19799768017"/>
    <m/>
    <m/>
    <d v="2025-10-15T00:00:00"/>
    <s v="Lama"/>
    <s v="Sama"/>
    <m/>
    <s v="IDR"/>
    <s v="10015"/>
    <s v="15 GR"/>
    <m/>
    <m/>
    <s v="KRT"/>
    <s v="GD01"/>
    <n v="11611"/>
    <n v="11612"/>
    <m/>
    <n v="1"/>
    <m/>
    <n v="0"/>
    <n v="5892.34"/>
    <n v="5892.34"/>
  </r>
  <r>
    <s v="A11200060075101"/>
    <n v="1"/>
    <n v="176"/>
    <x v="193"/>
    <s v="CHILI"/>
    <s v="ABC SAM ASLI PCH 48X75G 2108"/>
    <x v="0"/>
    <x v="148"/>
    <x v="0"/>
    <s v="SAMBAL"/>
    <s v="A1120"/>
    <x v="110"/>
    <n v="14"/>
    <s v="ABC SAMBAL ASLI 65 GR X 48 PCH"/>
    <n v="30"/>
    <s v="ABC"/>
    <s v="A1"/>
    <s v="SAMBAL"/>
    <n v="12"/>
    <m/>
    <n v="0"/>
    <m/>
    <s v="0"/>
    <s v="ASLI"/>
    <s v="06"/>
    <s v="65 GR"/>
    <s v="0075"/>
    <s v="PCH"/>
    <s v="1"/>
    <m/>
    <s v="0"/>
    <m/>
    <m/>
    <m/>
    <s v="GRAM"/>
    <n v="1"/>
    <m/>
    <n v="2224.2467999999999"/>
    <n v="106763.84639999999"/>
    <n v="2468.9139479999999"/>
    <n v="118507.869504"/>
    <n v="2366.2199999999998"/>
    <n v="113578.56"/>
    <n v="2626.5041999999999"/>
    <n v="126072.20160000001"/>
    <n v="2555.5135135135179"/>
    <n v="122664.64864864886"/>
    <n v="2836.6200000000049"/>
    <n v="136157.76000000024"/>
    <m/>
    <d v="2024-09-18T00:00:00"/>
    <d v="2025-10-15T00:00:00"/>
    <s v="Lama"/>
    <s v="Sama"/>
    <s v="Aktif"/>
    <s v="IDR"/>
    <s v="10075"/>
    <s v="65 GR"/>
    <s v="S-HNZ"/>
    <s v="48HEINZ"/>
    <s v="KRT"/>
    <s v="GD01"/>
    <n v="11611"/>
    <n v="11612"/>
    <s v="0123"/>
    <n v="1"/>
    <s v="PT. HEINZ ABC INDONESIA"/>
    <n v="0"/>
    <n v="2366.2199999999998"/>
    <n v="2366.2199999999998"/>
  </r>
  <r>
    <s v="A11200060075102"/>
    <n v="2"/>
    <n v="177"/>
    <x v="194"/>
    <s v="CHILI"/>
    <s v="ABC SAM ASLI PCH 48X65G 2109"/>
    <x v="0"/>
    <x v="149"/>
    <x v="0"/>
    <s v="SAMBAL"/>
    <s v="A1120"/>
    <x v="110"/>
    <n v="14"/>
    <s v="ABC SAMBAL ASLI 65 GR X 48 PCH"/>
    <n v="30"/>
    <s v="ABC"/>
    <s v="A1"/>
    <s v="SAMBAL"/>
    <n v="12"/>
    <m/>
    <n v="0"/>
    <m/>
    <s v="0"/>
    <s v="ASLI"/>
    <s v="06"/>
    <s v="65 GR"/>
    <s v="0075"/>
    <s v="PCH"/>
    <s v="1"/>
    <m/>
    <s v="0"/>
    <m/>
    <m/>
    <m/>
    <s v="GRAM"/>
    <n v="1"/>
    <m/>
    <n v="2224.2467999999999"/>
    <n v="106763.84639999999"/>
    <n v="2468.9139479999999"/>
    <n v="118507.869504"/>
    <n v="2366.2199999999998"/>
    <n v="113578.56"/>
    <n v="2626.5041999999999"/>
    <n v="126072.20160000001"/>
    <n v="2555.5135135135179"/>
    <n v="122664.64864864886"/>
    <n v="2836.6200000000049"/>
    <n v="136157.76000000024"/>
    <m/>
    <d v="2024-10-24T00:00:00"/>
    <d v="2025-10-15T00:00:00"/>
    <s v="Lama"/>
    <s v="Sama"/>
    <s v="Aktif"/>
    <s v="IDR"/>
    <s v="10075"/>
    <s v="65 GR"/>
    <s v="S-HNZ"/>
    <s v="48HEINZ"/>
    <s v="KRT"/>
    <s v="GD01"/>
    <n v="11611"/>
    <n v="11612"/>
    <s v="0123"/>
    <n v="1"/>
    <s v="PT. HEINZ ABC INDONESIA"/>
    <n v="0"/>
    <n v="2366.2199999999998"/>
    <n v="2366.2199999999998"/>
  </r>
  <r>
    <s v="A11200060130101"/>
    <n v="1"/>
    <n v="178"/>
    <x v="195"/>
    <s v="CHILI"/>
    <s v="ABC SAM AS PET 48X130ML 2401"/>
    <x v="0"/>
    <x v="150"/>
    <x v="1"/>
    <s v="SAMBAL"/>
    <s v="A1120"/>
    <x v="111"/>
    <n v="14"/>
    <s v="ABC SAMBAL ASLI 130 ML X 48 BTL"/>
    <n v="31"/>
    <s v="ABC"/>
    <s v="A1"/>
    <s v="SAMBAL"/>
    <n v="12"/>
    <m/>
    <n v="0"/>
    <m/>
    <s v="0"/>
    <s v="ASLI"/>
    <s v="06"/>
    <s v="130 ML"/>
    <s v="0130"/>
    <s v="BTL"/>
    <s v="1"/>
    <m/>
    <s v="0"/>
    <m/>
    <m/>
    <m/>
    <s v="LITER"/>
    <n v="2"/>
    <m/>
    <n v="5504.5459999999994"/>
    <n v="264218.20799999998"/>
    <n v="6110.0460599999997"/>
    <n v="293282.21088000003"/>
    <n v="5855.9"/>
    <n v="281083.19999999995"/>
    <n v="6500.049"/>
    <n v="312002.35199999996"/>
    <n v="0"/>
    <n v="0"/>
    <n v="0"/>
    <n v="0"/>
    <m/>
    <d v="2024-09-18T00:00:00"/>
    <d v="2024-09-18T00:00:00"/>
    <s v="Lama"/>
    <s v="Sama"/>
    <s v="Aktif"/>
    <s v="IDR"/>
    <s v="20130"/>
    <s v="130 ML"/>
    <s v="S-HNZ"/>
    <s v="48HEINZ"/>
    <s v="KRT"/>
    <s v="GD01"/>
    <n v="11611"/>
    <n v="11612"/>
    <s v="0123"/>
    <n v="1"/>
    <s v="PT. HEINZ ABC INDONESIA"/>
    <n v="0"/>
    <n v="5855.9"/>
    <n v="5855.9"/>
  </r>
  <r>
    <s v="A11200060130102"/>
    <n v="2"/>
    <n v="179"/>
    <x v="196"/>
    <s v="CHILI"/>
    <s v="ABC SAM AS PET 48X130ML GT2406"/>
    <x v="0"/>
    <x v="151"/>
    <x v="1"/>
    <s v="SAMBAL"/>
    <s v="A1120"/>
    <x v="111"/>
    <n v="14"/>
    <s v="ABC SAMBAL ASLI 130 ML X 48 BTL"/>
    <n v="31"/>
    <s v="ABC"/>
    <s v="A1"/>
    <s v="SAMBAL"/>
    <n v="12"/>
    <m/>
    <n v="0"/>
    <m/>
    <s v="0"/>
    <s v="ASLI"/>
    <s v="06"/>
    <s v="130 ML"/>
    <s v="0130"/>
    <s v="BTL"/>
    <s v="1"/>
    <m/>
    <s v="0"/>
    <m/>
    <m/>
    <m/>
    <s v="LITER"/>
    <n v="2"/>
    <m/>
    <n v="5504.5459999999994"/>
    <n v="264218.20799999998"/>
    <n v="6110.0460599999997"/>
    <n v="293282.21088000003"/>
    <n v="5855.9"/>
    <n v="281083.19999999995"/>
    <n v="6500.049"/>
    <n v="312002.35199999996"/>
    <n v="0"/>
    <n v="0"/>
    <n v="0"/>
    <n v="0"/>
    <m/>
    <m/>
    <d v="2024-09-18T00:00:00"/>
    <s v="Lama"/>
    <s v="Sama"/>
    <s v="Aktif"/>
    <s v="IDR"/>
    <s v="20130"/>
    <s v="130 ML"/>
    <s v="S-HNZ"/>
    <s v="48HEINZ"/>
    <s v="KRT"/>
    <s v="GD01"/>
    <n v="11611"/>
    <n v="11612"/>
    <s v="0123"/>
    <n v="1"/>
    <s v="PT. HEINZ ABC INDONESIA"/>
    <n v="0"/>
    <n v="5855.9"/>
    <n v="5855.9"/>
  </r>
  <r>
    <s v="A11200060130101"/>
    <n v="1"/>
    <n v="288"/>
    <x v="197"/>
    <m/>
    <s v="ABC SAM AS PET 48 X 130ML GT2509"/>
    <x v="0"/>
    <x v="152"/>
    <x v="1"/>
    <s v="SAMBAL"/>
    <s v="A1120"/>
    <x v="111"/>
    <n v="14"/>
    <s v="ABC SAMBAL ASLI 130 ML X 48 BTL"/>
    <n v="31"/>
    <s v="ABC"/>
    <s v="A1"/>
    <s v="SAMBAL"/>
    <n v="12"/>
    <m/>
    <n v="0"/>
    <m/>
    <s v="0"/>
    <s v="ASLI"/>
    <s v="06"/>
    <s v="130 ML"/>
    <s v="0130"/>
    <s v="BTL"/>
    <s v="1"/>
    <m/>
    <s v="0"/>
    <m/>
    <m/>
    <m/>
    <s v="LITER"/>
    <n v="2"/>
    <m/>
    <n v="5504.4990000000007"/>
    <n v="264215.95200000005"/>
    <n v="6109.9938900000016"/>
    <n v="293279.70672000007"/>
    <n v="5855.85"/>
    <n v="281080.80000000005"/>
    <n v="6499.9935000000014"/>
    <n v="311999.68800000008"/>
    <n v="6324.32"/>
    <n v="303567.35999999999"/>
    <n v="7019.9952000000003"/>
    <n v="336959.7696"/>
    <m/>
    <d v="2026-03-10T00:00:00"/>
    <m/>
    <s v="Lama"/>
    <s v="Sama"/>
    <s v="Aktif"/>
    <s v="IDR"/>
    <s v="20130"/>
    <s v="130 ML"/>
    <s v="S-HNZ"/>
    <s v="48HEINZ"/>
    <s v="KRT"/>
    <s v="GD01"/>
    <n v="11611"/>
    <n v="11612"/>
    <s v="0123"/>
    <n v="1"/>
    <s v="PT. HEINZ ABC INDONESIA"/>
    <n v="0"/>
    <n v="5855.85"/>
    <n v="5855.85"/>
  </r>
  <r>
    <s v="A1120008013010"/>
    <m/>
    <m/>
    <x v="198"/>
    <m/>
    <s v="ABC SAM AS PET 48 X 130ML GT2509"/>
    <x v="0"/>
    <x v="153"/>
    <x v="1"/>
    <s v="SAMBAL"/>
    <s v="A1120"/>
    <x v="112"/>
    <n v="14"/>
    <s v="ABC SAMBAL EXTRA PEDAS 130 ML X 48 BTL"/>
    <n v="38"/>
    <s v="ABC"/>
    <s v="A1"/>
    <s v="SAMBAL"/>
    <n v="12"/>
    <m/>
    <n v="0"/>
    <m/>
    <s v="0"/>
    <s v="EXTRA PEDAS"/>
    <s v="08"/>
    <s v="130 ML"/>
    <s v="0130"/>
    <s v="BTL"/>
    <s v="1"/>
    <m/>
    <s v="0"/>
    <m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130"/>
    <s v="130 ML"/>
    <m/>
    <m/>
    <s v="KRT"/>
    <s v="GD01"/>
    <n v="11611"/>
    <n v="11612"/>
    <m/>
    <n v="1"/>
    <m/>
    <n v="0"/>
    <n v="0"/>
    <n v="0"/>
  </r>
  <r>
    <s v="A11200060130101"/>
    <n v="1"/>
    <n v="289"/>
    <x v="199"/>
    <m/>
    <s v="ABC SAM AS PET 48 X 130ML MT2406"/>
    <x v="0"/>
    <x v="154"/>
    <x v="1"/>
    <s v="SAMBAL"/>
    <s v="A1120"/>
    <x v="111"/>
    <n v="14"/>
    <s v="ABC SAMBAL ASLI 130 ML X 48 BTL"/>
    <n v="31"/>
    <s v="ABC"/>
    <s v="A1"/>
    <s v="SAMBAL"/>
    <n v="12"/>
    <m/>
    <n v="0"/>
    <m/>
    <s v="0"/>
    <s v="ASLI"/>
    <s v="06"/>
    <s v="130 ML"/>
    <s v="0130"/>
    <s v="BTL"/>
    <s v="1"/>
    <m/>
    <s v="0"/>
    <m/>
    <m/>
    <m/>
    <s v="LITER"/>
    <n v="2"/>
    <m/>
    <n v="0"/>
    <n v="0"/>
    <n v="0"/>
    <n v="0"/>
    <m/>
    <n v="0"/>
    <n v="0"/>
    <n v="0"/>
    <m/>
    <n v="0"/>
    <n v="0"/>
    <n v="0"/>
    <m/>
    <m/>
    <m/>
    <s v="Lama"/>
    <s v="Sama"/>
    <m/>
    <s v="IDR"/>
    <s v="20130"/>
    <s v="130 ML"/>
    <m/>
    <m/>
    <s v="KRT"/>
    <s v="GD01"/>
    <n v="11611"/>
    <n v="11612"/>
    <s v="0123"/>
    <n v="1"/>
    <s v="PT. HEINZ ABC INDONESIA"/>
    <n v="0"/>
    <n v="0"/>
    <n v="0"/>
  </r>
  <r>
    <s v="A11200060130111"/>
    <n v="1"/>
    <n v="180"/>
    <x v="200"/>
    <s v="CHILI"/>
    <s v="ABC SAM AS 48X130ML PR TMB2403"/>
    <x v="0"/>
    <x v="155"/>
    <x v="1"/>
    <s v="SAMBAL"/>
    <s v="A1120"/>
    <x v="113"/>
    <n v="14"/>
    <s v="ABC SAMBAL ASLI 130 ML X 48 BTL BANDED"/>
    <n v="38"/>
    <s v="ABC"/>
    <s v="A1"/>
    <s v="SAMBAL"/>
    <n v="12"/>
    <m/>
    <n v="0"/>
    <m/>
    <s v="0"/>
    <s v="ASLI"/>
    <s v="06"/>
    <s v="130 ML"/>
    <s v="0130"/>
    <s v="BTL"/>
    <s v="1"/>
    <s v="BANDED"/>
    <n v="1"/>
    <m/>
    <m/>
    <m/>
    <s v="LITER"/>
    <n v="2"/>
    <m/>
    <n v="5504.5459999999994"/>
    <n v="264218.20799999998"/>
    <n v="6110.0460599999997"/>
    <n v="293282.21088000003"/>
    <n v="5855.9"/>
    <n v="281083.19999999995"/>
    <n v="6500.049"/>
    <n v="312002.35199999996"/>
    <n v="6148.7"/>
    <n v="295137.59999999998"/>
    <n v="6825.0570000000007"/>
    <n v="327602.73600000003"/>
    <m/>
    <d v="2024-09-18T00:00:00"/>
    <d v="2024-09-18T00:00:00"/>
    <s v="Lama"/>
    <s v="Sama"/>
    <s v="Aktif"/>
    <s v="IDR"/>
    <s v="20130"/>
    <s v="130 ML"/>
    <s v="S-HNZ"/>
    <s v="48HEINZ"/>
    <s v="KRT"/>
    <s v="GD01"/>
    <n v="11611"/>
    <n v="11612"/>
    <s v="0123"/>
    <n v="1"/>
    <s v="PT. HEINZ ABC INDONESIA"/>
    <n v="0"/>
    <n v="5855.9"/>
    <n v="5855.9"/>
  </r>
  <r>
    <s v="A11200060135101"/>
    <n v="1"/>
    <n v="181"/>
    <x v="201"/>
    <s v="CHILI"/>
    <s v="ABC SAM ASLI PET 48X135ML 2105"/>
    <x v="0"/>
    <x v="156"/>
    <x v="1"/>
    <s v="SAMBAL"/>
    <s v="A1120"/>
    <x v="114"/>
    <n v="14"/>
    <s v="ABC SAMBAL ASLI 135 ML X 48 BTL"/>
    <n v="31"/>
    <s v="ABC"/>
    <s v="A1"/>
    <s v="SAMBAL"/>
    <n v="12"/>
    <m/>
    <n v="0"/>
    <m/>
    <s v="0"/>
    <s v="ASLI"/>
    <s v="06"/>
    <s v="135 ML"/>
    <s v="0135"/>
    <s v="BTL"/>
    <s v="1"/>
    <m/>
    <s v="0"/>
    <m/>
    <m/>
    <m/>
    <s v="LITER"/>
    <n v="2"/>
    <m/>
    <n v="6097.3005999999996"/>
    <n v="292670.42879999999"/>
    <n v="6768.0036660000005"/>
    <n v="324864.17596800003"/>
    <n v="6486.49"/>
    <n v="311351.52"/>
    <n v="7200.0039000000006"/>
    <n v="345600.18720000004"/>
    <n v="6810.8108108108099"/>
    <n v="326918.91891891888"/>
    <n v="7560"/>
    <n v="362880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6486.49"/>
    <n v="6486.49"/>
  </r>
  <r>
    <s v="A11200060135102"/>
    <n v="2"/>
    <n v="182"/>
    <x v="202"/>
    <s v="CHILI"/>
    <s v="ABC SAM ASLI PET 48X135ML 2111"/>
    <x v="0"/>
    <x v="157"/>
    <x v="1"/>
    <s v="SAMBAL"/>
    <s v="A1120"/>
    <x v="114"/>
    <n v="14"/>
    <s v="ABC SAMBAL ASLI 135 ML X 48 BTL"/>
    <n v="31"/>
    <s v="ABC"/>
    <s v="A1"/>
    <s v="SAMBAL"/>
    <n v="12"/>
    <m/>
    <n v="0"/>
    <m/>
    <s v="0"/>
    <s v="ASLI"/>
    <s v="06"/>
    <s v="135 ML"/>
    <s v="0135"/>
    <s v="BTL"/>
    <s v="1"/>
    <m/>
    <s v="0"/>
    <m/>
    <m/>
    <m/>
    <s v="LITER"/>
    <n v="2"/>
    <m/>
    <n v="6097.3005999999996"/>
    <n v="292670.42879999999"/>
    <n v="6768.0036660000005"/>
    <n v="324864.17596800003"/>
    <n v="6486.49"/>
    <n v="311351.52"/>
    <n v="7200.0039000000006"/>
    <n v="345600.18720000004"/>
    <n v="6810.8108108108099"/>
    <n v="326918.91891891888"/>
    <n v="7560"/>
    <n v="362880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6486.49"/>
    <n v="6486.49"/>
  </r>
  <r>
    <s v="A11200060270101"/>
    <n v="1"/>
    <n v="183"/>
    <x v="203"/>
    <s v="CHILI"/>
    <s v="ABC SAM ASLI PET 24X275ML 2105"/>
    <x v="1"/>
    <x v="158"/>
    <x v="1"/>
    <s v="SAMBAL"/>
    <s v="A1120"/>
    <x v="115"/>
    <n v="14"/>
    <s v="ABC SAMBAL ASLI 270 ML X 24 BTL"/>
    <n v="31"/>
    <s v="ABC"/>
    <s v="A1"/>
    <s v="SAMBAL"/>
    <n v="12"/>
    <m/>
    <n v="0"/>
    <m/>
    <s v="0"/>
    <s v="ASLI"/>
    <s v="06"/>
    <s v="270 ML"/>
    <s v="0270"/>
    <s v="BTL"/>
    <s v="1"/>
    <m/>
    <s v="0"/>
    <m/>
    <m/>
    <m/>
    <s v="LITER"/>
    <n v="2"/>
    <m/>
    <n v="11271.5306"/>
    <n v="270516.73440000002"/>
    <n v="12511.398966000001"/>
    <n v="300273.57518400002"/>
    <n v="11990.99"/>
    <n v="287783.76"/>
    <n v="13309.998900000001"/>
    <n v="319439.97360000003"/>
    <n v="12950.28"/>
    <n v="310806.72000000003"/>
    <n v="14374.810800000001"/>
    <n v="344995.45920000004"/>
    <m/>
    <d v="2024-09-18T00:00:00"/>
    <d v="2024-09-18T00:00:00"/>
    <s v="Lama"/>
    <s v="Sama"/>
    <s v="Aktif"/>
    <s v="IDR"/>
    <s v="20270"/>
    <s v="270 ML"/>
    <s v="S-HNZ"/>
    <s v="48HEINZ"/>
    <s v="KRT"/>
    <s v="GD01"/>
    <n v="11611"/>
    <n v="11612"/>
    <s v="0123"/>
    <n v="1"/>
    <s v="PT. HEINZ ABC INDONESIA"/>
    <n v="0"/>
    <n v="11990.99"/>
    <n v="11990.99"/>
  </r>
  <r>
    <s v="A11200060270102"/>
    <n v="2"/>
    <n v="184"/>
    <x v="204"/>
    <s v="CHILI"/>
    <s v="ABC SAM ASLI PET 24X275ML 2111"/>
    <x v="1"/>
    <x v="159"/>
    <x v="1"/>
    <s v="SAMBAL"/>
    <s v="A1120"/>
    <x v="115"/>
    <n v="14"/>
    <s v="ABC SAMBAL ASLI 270 ML X 24 BTL"/>
    <n v="31"/>
    <s v="ABC"/>
    <s v="A1"/>
    <s v="SAMBAL"/>
    <n v="12"/>
    <m/>
    <n v="0"/>
    <m/>
    <s v="0"/>
    <s v="ASLI"/>
    <s v="06"/>
    <s v="270 ML"/>
    <s v="0270"/>
    <s v="BTL"/>
    <s v="1"/>
    <m/>
    <s v="0"/>
    <m/>
    <m/>
    <m/>
    <s v="LITER"/>
    <n v="2"/>
    <m/>
    <n v="11271.5306"/>
    <n v="270516.73440000002"/>
    <n v="12511.398966000001"/>
    <n v="300273.57518400002"/>
    <n v="11990.99"/>
    <n v="287783.76"/>
    <n v="13309.998900000001"/>
    <n v="319439.97360000003"/>
    <n v="12950.28"/>
    <n v="310806.72000000003"/>
    <n v="14374.810800000001"/>
    <n v="344995.45920000004"/>
    <m/>
    <d v="2024-09-18T00:00:00"/>
    <d v="2024-09-18T00:00:00"/>
    <s v="Lama"/>
    <s v="Sama"/>
    <s v="Aktif"/>
    <s v="IDR"/>
    <s v="20270"/>
    <s v="270 ML"/>
    <s v="S-HNZ"/>
    <s v="48HEINZ"/>
    <s v="KRT"/>
    <s v="GD01"/>
    <n v="11611"/>
    <n v="11612"/>
    <s v="0123"/>
    <n v="1"/>
    <s v="PT. HEINZ ABC INDONESIA"/>
    <n v="0"/>
    <n v="11990.99"/>
    <n v="11990.99"/>
  </r>
  <r>
    <s v="A11200060270103"/>
    <n v="3"/>
    <n v="185"/>
    <x v="205"/>
    <s v="CHILI"/>
    <s v="ABC SAM AS PET 24X270ML 2401"/>
    <x v="1"/>
    <x v="160"/>
    <x v="1"/>
    <s v="SAMBAL"/>
    <s v="A1120"/>
    <x v="115"/>
    <n v="14"/>
    <s v="ABC SAMBAL ASLI 270 ML X 24 BTL"/>
    <n v="31"/>
    <s v="ABC"/>
    <s v="A1"/>
    <s v="SAMBAL"/>
    <n v="12"/>
    <m/>
    <n v="0"/>
    <m/>
    <s v="0"/>
    <s v="ASLI"/>
    <s v="06"/>
    <s v="270 ML"/>
    <s v="0270"/>
    <s v="BTL"/>
    <s v="1"/>
    <m/>
    <s v="0"/>
    <m/>
    <m/>
    <m/>
    <s v="LITER"/>
    <n v="2"/>
    <m/>
    <n v="11271.5306"/>
    <n v="270516.73440000002"/>
    <n v="12511.398966000001"/>
    <n v="300273.57518400002"/>
    <n v="11990.99"/>
    <n v="287783.76"/>
    <n v="13309.998900000001"/>
    <n v="319439.97360000003"/>
    <n v="12950.28"/>
    <n v="310806.72000000003"/>
    <n v="14374.810800000001"/>
    <n v="344995.45920000004"/>
    <m/>
    <d v="2024-09-18T00:00:00"/>
    <d v="2024-09-18T00:00:00"/>
    <s v="Lama"/>
    <s v="Sama"/>
    <s v="Aktif"/>
    <s v="IDR"/>
    <s v="20270"/>
    <s v="270 ML"/>
    <s v="S-HNZ"/>
    <s v="48HEINZ"/>
    <s v="KRT"/>
    <s v="GD01"/>
    <n v="11611"/>
    <n v="11612"/>
    <s v="0123"/>
    <n v="1"/>
    <s v="PT. HEINZ ABC INDONESIA"/>
    <n v="0"/>
    <n v="11990.99"/>
    <n v="11990.99"/>
  </r>
  <r>
    <s v="A11200060270104"/>
    <n v="4"/>
    <n v="186"/>
    <x v="206"/>
    <s v="CHILI"/>
    <s v="ABC SAM AS PET 24X270ML 2401"/>
    <x v="1"/>
    <x v="161"/>
    <x v="1"/>
    <s v="SAMBAL"/>
    <s v="A1120"/>
    <x v="115"/>
    <n v="14"/>
    <s v="ABC SAMBAL ASLI 270 ML X 24 BTL"/>
    <n v="31"/>
    <s v="ABC"/>
    <s v="A1"/>
    <s v="SAMBAL"/>
    <n v="12"/>
    <m/>
    <n v="0"/>
    <m/>
    <s v="0"/>
    <s v="ASLI"/>
    <s v="06"/>
    <s v="270 ML"/>
    <s v="0270"/>
    <s v="BTL"/>
    <s v="1"/>
    <m/>
    <s v="0"/>
    <m/>
    <m/>
    <m/>
    <s v="LITER"/>
    <n v="2"/>
    <m/>
    <n v="11271.5306"/>
    <n v="270516.73440000002"/>
    <n v="12511.398966000001"/>
    <n v="300273.57518400002"/>
    <n v="11990.99"/>
    <n v="287783.76"/>
    <n v="13309.998900000001"/>
    <n v="319439.97360000003"/>
    <n v="12950.28"/>
    <n v="310806.72000000003"/>
    <n v="14374.810800000001"/>
    <n v="344995.45920000004"/>
    <m/>
    <m/>
    <d v="2024-09-18T00:00:00"/>
    <s v="Lama"/>
    <s v="Sama"/>
    <s v="Aktif"/>
    <s v="IDR"/>
    <s v="20270"/>
    <s v="270 ML"/>
    <s v="S-HNZ"/>
    <s v="48HEINZ"/>
    <s v="KRT"/>
    <s v="GD01"/>
    <n v="11611"/>
    <n v="11612"/>
    <s v="0123"/>
    <n v="1"/>
    <s v="PT. HEINZ ABC INDONESIA"/>
    <n v="0"/>
    <n v="11990.99"/>
    <n v="11990.99"/>
  </r>
  <r>
    <s v="A11200060270111"/>
    <n v="1"/>
    <n v="285"/>
    <x v="207"/>
    <m/>
    <s v="ABC PR S AS 24X270ML 2511"/>
    <x v="1"/>
    <x v="162"/>
    <x v="1"/>
    <s v="SAMBAL"/>
    <s v="A1120"/>
    <x v="116"/>
    <n v="14"/>
    <s v="ABC SAMBAL ASLI 270 ML X 24 BTL BANDED"/>
    <n v="38"/>
    <s v="ABC"/>
    <s v="A1"/>
    <s v="SAMBAL"/>
    <n v="12"/>
    <m/>
    <n v="0"/>
    <m/>
    <s v="0"/>
    <s v="ASLI"/>
    <s v="06"/>
    <s v="270 ML"/>
    <s v="0270"/>
    <s v="BTL"/>
    <s v="1"/>
    <s v="BANDED"/>
    <n v="1"/>
    <m/>
    <m/>
    <m/>
    <s v="LITER"/>
    <n v="2"/>
    <m/>
    <n v="11271.54"/>
    <n v="270516.96000000002"/>
    <n v="12511.409400000002"/>
    <n v="300273.82560000004"/>
    <n v="11991"/>
    <n v="287784"/>
    <n v="13310.010000000002"/>
    <n v="319440.24000000005"/>
    <n v="12950.28"/>
    <n v="310806.72000000003"/>
    <n v="14374.810800000001"/>
    <n v="344995.45920000004"/>
    <m/>
    <d v="2026-03-02T00:00:00"/>
    <m/>
    <s v="Lama"/>
    <s v="Sama"/>
    <s v="Aktif"/>
    <s v="IDR"/>
    <s v="20270"/>
    <s v="270 ML"/>
    <s v="S-HNZ"/>
    <s v="48HEINZ"/>
    <s v="KRT"/>
    <s v="GD01"/>
    <n v="11611"/>
    <n v="11612"/>
    <s v="0123"/>
    <n v="1"/>
    <m/>
    <n v="0"/>
    <n v="11991"/>
    <n v="11991"/>
  </r>
  <r>
    <s v="A11200060335101"/>
    <n v="1"/>
    <n v="187"/>
    <x v="208"/>
    <s v="CHILI"/>
    <s v="ABC SAM ASLI BB 24X335ML 2105"/>
    <x v="1"/>
    <x v="4"/>
    <x v="1"/>
    <s v="SAMBAL"/>
    <s v="A1120"/>
    <x v="117"/>
    <n v="14"/>
    <s v="ABC SAMBAL ASLI 335 ML X 24 BTL"/>
    <n v="31"/>
    <s v="ABC"/>
    <s v="A1"/>
    <s v="SAMBAL"/>
    <n v="12"/>
    <m/>
    <n v="0"/>
    <m/>
    <s v="0"/>
    <s v="ASLI"/>
    <s v="06"/>
    <s v="335 ML"/>
    <s v="0335"/>
    <s v="BTL"/>
    <s v="1"/>
    <m/>
    <s v="0"/>
    <m/>
    <m/>
    <m/>
    <s v="LITER"/>
    <n v="2"/>
    <m/>
    <n v="14023.784799999999"/>
    <n v="336570.83519999997"/>
    <n v="15566.401128000001"/>
    <n v="373593.627072"/>
    <n v="14918.92"/>
    <n v="358054.08"/>
    <n v="16560.001200000002"/>
    <n v="397440.02880000003"/>
    <n v="16112.43"/>
    <n v="386698.32"/>
    <n v="17884.797300000002"/>
    <n v="429235.13520000002"/>
    <m/>
    <d v="2024-09-18T00:00:00"/>
    <d v="2024-09-18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4918.92"/>
    <n v="14918.92"/>
  </r>
  <r>
    <s v="A11200060335102"/>
    <n v="2"/>
    <n v="188"/>
    <x v="209"/>
    <s v="CHILI"/>
    <s v="ABC SAM ASLI BB 24X335ML 2105"/>
    <x v="1"/>
    <x v="163"/>
    <x v="1"/>
    <s v="SAMBAL"/>
    <s v="A1120"/>
    <x v="117"/>
    <n v="14"/>
    <s v="ABC SAMBAL ASLI 335 ML X 24 BTL"/>
    <n v="31"/>
    <s v="ABC"/>
    <s v="A1"/>
    <s v="SAMBAL"/>
    <n v="12"/>
    <m/>
    <n v="0"/>
    <m/>
    <s v="0"/>
    <s v="ASLI"/>
    <s v="06"/>
    <s v="335 ML"/>
    <s v="0335"/>
    <s v="BTL"/>
    <s v="1"/>
    <m/>
    <s v="0"/>
    <m/>
    <m/>
    <m/>
    <s v="LITER"/>
    <n v="2"/>
    <m/>
    <n v="14023.784799999999"/>
    <n v="336570.83519999997"/>
    <n v="15566.401128000001"/>
    <n v="373593.627072"/>
    <n v="14918.92"/>
    <n v="358054.08"/>
    <n v="16560.001200000002"/>
    <n v="397440.02880000003"/>
    <n v="16112.43"/>
    <n v="386698.32"/>
    <n v="17884.797300000002"/>
    <n v="429235.13520000002"/>
    <m/>
    <m/>
    <d v="2024-09-18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4918.92"/>
    <n v="14918.92"/>
  </r>
  <r>
    <s v="A11200060380101"/>
    <n v="1"/>
    <n v="189"/>
    <x v="210"/>
    <s v="CHILI"/>
    <s v="ABC SAM ASLI PCH 12X380G 2105"/>
    <x v="3"/>
    <x v="164"/>
    <x v="0"/>
    <s v="SAMBAL"/>
    <s v="A1120"/>
    <x v="118"/>
    <n v="14"/>
    <s v="ABC SAMBAL ASLI 380 GR X 12 PCH"/>
    <n v="31"/>
    <s v="ABC"/>
    <s v="A1"/>
    <s v="SAMBAL"/>
    <n v="12"/>
    <m/>
    <n v="0"/>
    <m/>
    <s v="0"/>
    <s v="ASLI"/>
    <s v="06"/>
    <s v="380 GR"/>
    <s v="0380"/>
    <s v="PCH"/>
    <s v="1"/>
    <m/>
    <s v="0"/>
    <m/>
    <m/>
    <m/>
    <s v="GRAM"/>
    <n v="1"/>
    <m/>
    <n v="13328.015600000001"/>
    <n v="159936.18720000001"/>
    <n v="14794.097316000001"/>
    <n v="177529.16779200002"/>
    <n v="14178.74"/>
    <n v="170144.88"/>
    <n v="15738.401400000001"/>
    <n v="188860.81680000003"/>
    <n v="15313.037837837799"/>
    <n v="183756.45405405358"/>
    <n v="16997.471999999958"/>
    <n v="203969.66399999949"/>
    <m/>
    <d v="2024-09-18T00:00:00"/>
    <d v="2025-10-15T00:00:00"/>
    <s v="Lama"/>
    <s v="Sama"/>
    <s v="Aktif"/>
    <s v="IDR"/>
    <s v="10380"/>
    <s v="380 GR"/>
    <s v="S-HNZ"/>
    <s v="48HEINZ"/>
    <s v="KRT"/>
    <s v="GD01"/>
    <n v="11611"/>
    <n v="11612"/>
    <s v="0123"/>
    <n v="1"/>
    <s v="PT. HEINZ ABC INDONESIA"/>
    <n v="0"/>
    <n v="14178.74"/>
    <n v="14178.74"/>
  </r>
  <r>
    <s v="A11200060380102"/>
    <n v="2"/>
    <n v="190"/>
    <x v="211"/>
    <s v="CHILI"/>
    <s v="ABC SAM AS PCH 12X380G HY 2210"/>
    <x v="3"/>
    <x v="165"/>
    <x v="0"/>
    <s v="SAMBAL"/>
    <s v="A1120"/>
    <x v="118"/>
    <n v="14"/>
    <s v="ABC SAMBAL ASLI 380 GR X 12 PCH"/>
    <n v="31"/>
    <s v="ABC"/>
    <s v="A1"/>
    <s v="SAMBAL"/>
    <n v="12"/>
    <m/>
    <n v="0"/>
    <m/>
    <s v="0"/>
    <s v="ASLI"/>
    <s v="06"/>
    <s v="380 GR"/>
    <s v="0380"/>
    <s v="PCH"/>
    <s v="1"/>
    <m/>
    <s v="0"/>
    <m/>
    <m/>
    <m/>
    <s v="GRAM"/>
    <n v="1"/>
    <m/>
    <n v="13328.015600000001"/>
    <n v="159936.18720000001"/>
    <n v="14794.097316000001"/>
    <n v="177529.16779200002"/>
    <n v="14178.74"/>
    <n v="170144.88"/>
    <n v="15738.401400000001"/>
    <n v="188860.81680000003"/>
    <n v="15313.037837837799"/>
    <n v="183756.45405405358"/>
    <n v="16997.471999999958"/>
    <n v="203969.66399999949"/>
    <m/>
    <d v="2024-09-18T00:00:00"/>
    <d v="2025-10-15T00:00:00"/>
    <s v="Lama"/>
    <s v="Sama"/>
    <s v="Aktif"/>
    <s v="IDR"/>
    <s v="10380"/>
    <s v="380 GR"/>
    <s v="S-HNZ"/>
    <s v="48HEINZ"/>
    <s v="KRT"/>
    <s v="GD01"/>
    <n v="11611"/>
    <n v="11612"/>
    <s v="0123"/>
    <n v="1"/>
    <s v="PT. HEINZ ABC INDONESIA"/>
    <n v="0"/>
    <n v="14178.74"/>
    <n v="14178.74"/>
  </r>
  <r>
    <s v="A11200060380103"/>
    <n v="3"/>
    <n v="191"/>
    <x v="212"/>
    <s v="CHILI"/>
    <s v="ABC SAM AS PCH 12X380G HY 2210"/>
    <x v="3"/>
    <x v="166"/>
    <x v="0"/>
    <s v="SAMBAL"/>
    <s v="A1120"/>
    <x v="118"/>
    <n v="14"/>
    <s v="ABC SAMBAL ASLI 380 GR X 12 PCH"/>
    <n v="31"/>
    <s v="ABC"/>
    <s v="A1"/>
    <s v="SAMBAL"/>
    <n v="12"/>
    <m/>
    <n v="0"/>
    <m/>
    <s v="0"/>
    <s v="ASLI"/>
    <s v="06"/>
    <s v="380 GR"/>
    <s v="0380"/>
    <s v="PCH"/>
    <s v="1"/>
    <m/>
    <s v="0"/>
    <m/>
    <m/>
    <m/>
    <s v="GRAM"/>
    <n v="1"/>
    <m/>
    <n v="13328.015600000001"/>
    <n v="159936.18720000001"/>
    <n v="14794.097316000001"/>
    <n v="177529.16779200002"/>
    <n v="14178.74"/>
    <n v="170144.88"/>
    <n v="15738.401400000001"/>
    <n v="188860.81680000003"/>
    <n v="15313.037837837799"/>
    <n v="183756.45405405358"/>
    <n v="16997.471999999958"/>
    <n v="203969.66399999949"/>
    <m/>
    <d v="2024-10-22T00:00:00"/>
    <d v="2025-10-15T00:00:00"/>
    <s v="Lama"/>
    <s v="Sama"/>
    <s v="Aktif"/>
    <s v="IDR"/>
    <s v="10380"/>
    <s v="380 GR"/>
    <s v="S-HNZ"/>
    <s v="48HEINZ"/>
    <s v="KRT"/>
    <s v="GD01"/>
    <n v="11611"/>
    <n v="11612"/>
    <s v="0123"/>
    <n v="1"/>
    <s v="PT. HEINZ ABC INDONESIA"/>
    <n v="0"/>
    <n v="14178.74"/>
    <n v="14178.74"/>
  </r>
  <r>
    <s v="A11200060600101"/>
    <n v="1"/>
    <n v="192"/>
    <x v="213"/>
    <s v="CHILI"/>
    <s v="ABC SAM ASLI PET 12X600ML 2111"/>
    <x v="3"/>
    <x v="167"/>
    <x v="1"/>
    <s v="SAMBAL"/>
    <s v="A1120"/>
    <x v="119"/>
    <n v="14"/>
    <s v="ABC SAMBAL ASLI 600 ML X 12 BTL"/>
    <n v="31"/>
    <s v="ABC"/>
    <s v="A1"/>
    <s v="SAMBAL"/>
    <n v="12"/>
    <m/>
    <n v="0"/>
    <m/>
    <s v="0"/>
    <s v="ASLI"/>
    <s v="06"/>
    <s v="600 ML"/>
    <s v="0600"/>
    <s v="BTL"/>
    <s v="1"/>
    <m/>
    <s v="0"/>
    <m/>
    <m/>
    <m/>
    <s v="LITER"/>
    <n v="2"/>
    <m/>
    <n v="22898.738400000002"/>
    <n v="274784.86080000002"/>
    <n v="25417.599624000006"/>
    <n v="305011.19548800006"/>
    <n v="24360.36"/>
    <n v="292324.32"/>
    <n v="27039.999600000003"/>
    <n v="324479.99520000006"/>
    <n v="26309.19"/>
    <n v="315710.27999999997"/>
    <n v="29203.2009"/>
    <n v="350438.41080000001"/>
    <m/>
    <d v="2024-09-18T00:00:00"/>
    <d v="2024-09-18T00:00:00"/>
    <s v="Lama"/>
    <s v="Sama"/>
    <s v="Aktif"/>
    <s v="IDR"/>
    <s v="20600"/>
    <s v="600 ML"/>
    <s v="S-HNZ"/>
    <s v="48HEINZ"/>
    <s v="KRT"/>
    <s v="GD01"/>
    <n v="11611"/>
    <n v="11612"/>
    <s v="0123"/>
    <n v="1"/>
    <s v="PT. HEINZ ABC INDONESIA"/>
    <n v="0"/>
    <n v="24360.36"/>
    <n v="24360.36"/>
  </r>
  <r>
    <s v="A11200060600102"/>
    <n v="2"/>
    <n v="193"/>
    <x v="214"/>
    <s v="CHILI"/>
    <s v="ABC SAM ASLI PET 12X600ML 2405"/>
    <x v="3"/>
    <x v="168"/>
    <x v="1"/>
    <s v="SAMBAL"/>
    <s v="A1120"/>
    <x v="119"/>
    <n v="14"/>
    <s v="ABC SAMBAL ASLI 600 ML X 12 BTL"/>
    <n v="31"/>
    <s v="ABC"/>
    <s v="A1"/>
    <s v="SAMBAL"/>
    <n v="12"/>
    <m/>
    <n v="0"/>
    <m/>
    <s v="0"/>
    <s v="ASLI"/>
    <s v="06"/>
    <s v="600 ML"/>
    <s v="0600"/>
    <s v="BTL"/>
    <s v="1"/>
    <m/>
    <s v="0"/>
    <m/>
    <m/>
    <m/>
    <s v="LITER"/>
    <n v="2"/>
    <m/>
    <n v="22898.738400000002"/>
    <n v="274784.86080000002"/>
    <n v="25417.599624000006"/>
    <n v="305011.19548800006"/>
    <n v="24360.36"/>
    <n v="292324.32"/>
    <n v="27039.999600000003"/>
    <n v="324479.99520000006"/>
    <n v="26309.19"/>
    <n v="315710.27999999997"/>
    <n v="29203.2009"/>
    <n v="350438.41080000001"/>
    <m/>
    <m/>
    <d v="2024-09-18T00:00:00"/>
    <s v="Lama"/>
    <s v="Sama"/>
    <s v="Aktif"/>
    <s v="IDR"/>
    <s v="20600"/>
    <s v="600 ML"/>
    <s v="S-HNZ"/>
    <s v="48HEINZ"/>
    <s v="KRT"/>
    <s v="GD01"/>
    <n v="11611"/>
    <n v="11612"/>
    <s v="0123"/>
    <n v="1"/>
    <s v="PT. HEINZ ABC INDONESIA"/>
    <n v="0"/>
    <n v="24360.36"/>
    <n v="24360.36"/>
  </r>
  <r>
    <s v="A11200060690101"/>
    <n v="1"/>
    <n v="194"/>
    <x v="215"/>
    <s v="CHILI"/>
    <s v="ABC SAM ASLI PCH 6X690G 2312"/>
    <x v="5"/>
    <x v="4"/>
    <x v="6"/>
    <s v="SAMBAL"/>
    <s v="A1120"/>
    <x v="120"/>
    <n v="14"/>
    <s v="ABC SAMBAL ASLI 690 GR X 6 PCS"/>
    <n v="30"/>
    <s v="ABC"/>
    <s v="A1"/>
    <s v="SAMBAL"/>
    <n v="12"/>
    <m/>
    <n v="0"/>
    <m/>
    <s v="0"/>
    <s v="ASLI"/>
    <s v="06"/>
    <s v="690 GR"/>
    <s v="0690"/>
    <s v="PCS"/>
    <s v="1"/>
    <m/>
    <s v="0"/>
    <m/>
    <m/>
    <m/>
    <s v="GRAM"/>
    <n v="1"/>
    <m/>
    <n v="17496.144799999998"/>
    <n v="104976.8688"/>
    <n v="19420.720728"/>
    <n v="116524.324368"/>
    <n v="18612.919999999998"/>
    <n v="111677.51999999999"/>
    <n v="20660.341199999999"/>
    <n v="123962.0472"/>
    <n v="20101.95"/>
    <n v="120611.70000000001"/>
    <n v="22313.164500000003"/>
    <n v="133878.98700000002"/>
    <m/>
    <d v="2024-09-18T00:00:00"/>
    <d v="2024-09-18T00:00:00"/>
    <s v="Lama"/>
    <s v="Sama"/>
    <s v="Aktif"/>
    <s v="IDR"/>
    <s v="10690"/>
    <s v="690 GR"/>
    <s v="S-HNZ"/>
    <s v="48HEINZ"/>
    <s v="KRT"/>
    <s v="GD01"/>
    <n v="11611"/>
    <n v="11612"/>
    <s v="0123"/>
    <n v="1"/>
    <s v="PT. HEINZ ABC INDONESIA"/>
    <n v="0"/>
    <n v="18612.919999999998"/>
    <n v="18612.919999999998"/>
  </r>
  <r>
    <s v="A11200061005101"/>
    <n v="1"/>
    <n v="195"/>
    <x v="216"/>
    <s v="CHILI"/>
    <s v="ABC SAM ASLI JRG 5.5KG 2105"/>
    <x v="4"/>
    <x v="4"/>
    <x v="2"/>
    <s v="SAMBAL"/>
    <s v="A1120"/>
    <x v="121"/>
    <n v="14"/>
    <s v="ABC SAMBAL ASLI 5 KG X 1 JRG"/>
    <n v="28"/>
    <s v="ABC"/>
    <s v="A1"/>
    <s v="SAMBAL"/>
    <n v="12"/>
    <m/>
    <n v="0"/>
    <m/>
    <s v="0"/>
    <s v="ASLI"/>
    <s v="06"/>
    <s v="5 KG"/>
    <n v="1005"/>
    <s v="JRG"/>
    <s v="1"/>
    <m/>
    <s v="0"/>
    <m/>
    <m/>
    <m/>
    <s v="GRAM"/>
    <n v="1"/>
    <m/>
    <n v="118880.27567567566"/>
    <n v="118880.27567567566"/>
    <n v="131957.106"/>
    <n v="131957.106"/>
    <n v="126468.37837837836"/>
    <n v="126468.37837837836"/>
    <n v="140379.9"/>
    <n v="140379.9"/>
    <n v="136585.84864864862"/>
    <n v="136585.84864864862"/>
    <n v="151610.29199999999"/>
    <n v="151610.29199999999"/>
    <m/>
    <d v="2024-09-18T00:00:00"/>
    <d v="2025-07-01T00:00:00"/>
    <s v="Lama"/>
    <s v="Sama"/>
    <s v="Aktif"/>
    <s v="IDR"/>
    <s v="11005"/>
    <s v="5 KG"/>
    <s v="S-HNZ"/>
    <s v="48HEINZ"/>
    <s v="KRT"/>
    <s v="GD01"/>
    <n v="11611"/>
    <n v="11612"/>
    <s v="0123"/>
    <n v="1"/>
    <s v="PT. HEINZ ABC INDONESIA"/>
    <n v="0"/>
    <n v="126468.37837837836"/>
    <n v="126468.37837837836"/>
  </r>
  <r>
    <s v="A11200061005102"/>
    <n v="2"/>
    <n v="196"/>
    <x v="217"/>
    <s v="CHILI"/>
    <s v="ABC SAM ASLI JRG 5.5KG 2105"/>
    <x v="4"/>
    <x v="169"/>
    <x v="2"/>
    <s v="SAMBAL"/>
    <s v="A1120"/>
    <x v="121"/>
    <n v="14"/>
    <s v="ABC SAMBAL ASLI 5 KG X 1 JRG"/>
    <n v="28"/>
    <s v="ABC"/>
    <s v="A1"/>
    <s v="SAMBAL"/>
    <n v="12"/>
    <m/>
    <n v="0"/>
    <m/>
    <s v="0"/>
    <s v="ASLI"/>
    <s v="06"/>
    <s v="5 KG"/>
    <n v="1005"/>
    <s v="JRG"/>
    <s v="1"/>
    <m/>
    <s v="0"/>
    <m/>
    <m/>
    <m/>
    <s v="GRAM"/>
    <n v="1"/>
    <m/>
    <n v="118880.27567567566"/>
    <n v="118880.27567567566"/>
    <n v="131957.106"/>
    <n v="131957.106"/>
    <n v="126468.37837837836"/>
    <n v="126468.37837837836"/>
    <n v="140379.9"/>
    <n v="140379.9"/>
    <n v="136585.84864864862"/>
    <n v="136585.84864864862"/>
    <n v="151610.29199999999"/>
    <n v="151610.29199999999"/>
    <m/>
    <d v="2024-09-21T00:00:00"/>
    <d v="2025-07-01T00:00:00"/>
    <s v="Lama"/>
    <s v="Sama"/>
    <s v="Aktif"/>
    <s v="IDR"/>
    <s v="11005"/>
    <s v="5 KG"/>
    <s v="S-HNZ"/>
    <s v="48HEINZ"/>
    <s v="KRT"/>
    <s v="GD01"/>
    <n v="11611"/>
    <n v="11612"/>
    <s v="0123"/>
    <n v="1"/>
    <s v="PT. HEINZ ABC INDONESIA"/>
    <n v="0"/>
    <n v="126468.37837837836"/>
    <n v="126468.37837837836"/>
  </r>
  <r>
    <s v="A11200061024101"/>
    <n v="1"/>
    <n v="197"/>
    <x v="218"/>
    <s v="CHILI"/>
    <s v="ABC SAM ASLI JRG 24KG 2105"/>
    <x v="4"/>
    <x v="170"/>
    <x v="2"/>
    <s v="SAMBAL"/>
    <s v="A1120"/>
    <x v="122"/>
    <n v="14"/>
    <s v="ABC SAMBAL ASLI 24 KG X 1 JRG"/>
    <n v="29"/>
    <s v="ABC"/>
    <s v="A1"/>
    <s v="SAMBAL"/>
    <n v="12"/>
    <m/>
    <n v="0"/>
    <m/>
    <s v="0"/>
    <s v="ASLI"/>
    <s v="06"/>
    <s v="24 KG"/>
    <s v="1024"/>
    <s v="JRG"/>
    <s v="1"/>
    <m/>
    <s v="0"/>
    <m/>
    <m/>
    <m/>
    <s v="GRAM"/>
    <n v="1"/>
    <m/>
    <n v="459312.79220000003"/>
    <n v="459312.79220000003"/>
    <n v="509837.19934200007"/>
    <n v="509837.19934200007"/>
    <n v="488630.63"/>
    <n v="488630.63"/>
    <n v="542379.99930000002"/>
    <n v="542379.99930000002"/>
    <n v="527721.07999999996"/>
    <n v="527721.07999999996"/>
    <n v="585770.39879999997"/>
    <n v="585770.39879999997"/>
    <m/>
    <d v="2024-09-18T00:00:00"/>
    <d v="2024-09-18T00:00:00"/>
    <s v="Lama"/>
    <s v="Sama"/>
    <s v="Aktif"/>
    <s v="IDR"/>
    <s v="11024"/>
    <s v="24 KG"/>
    <s v="S-HNZ"/>
    <s v="48HEINZ"/>
    <s v="KRT"/>
    <s v="GD01"/>
    <n v="11611"/>
    <n v="11612"/>
    <s v="0123"/>
    <n v="1"/>
    <s v="PT. HEINZ ABC INDONESIA"/>
    <n v="0"/>
    <n v="488630.63"/>
    <n v="488630.63"/>
  </r>
  <r>
    <s v="A11200061024102"/>
    <n v="2"/>
    <n v="198"/>
    <x v="219"/>
    <s v="CHILI"/>
    <s v="ABC SAM ASLI JRG 24KG 2406"/>
    <x v="4"/>
    <x v="171"/>
    <x v="2"/>
    <s v="SAMBAL"/>
    <s v="A1120"/>
    <x v="122"/>
    <n v="14"/>
    <s v="ABC SAMBAL ASLI 24 KG X 1 JRG"/>
    <n v="29"/>
    <s v="ABC"/>
    <s v="A1"/>
    <s v="SAMBAL"/>
    <n v="12"/>
    <m/>
    <n v="0"/>
    <m/>
    <s v="0"/>
    <s v="ASLI"/>
    <s v="06"/>
    <s v="24 KG"/>
    <s v="1024"/>
    <s v="JRG"/>
    <s v="1"/>
    <m/>
    <s v="0"/>
    <m/>
    <m/>
    <m/>
    <s v="GRAM"/>
    <n v="1"/>
    <m/>
    <n v="459312.79220000003"/>
    <n v="459312.79220000003"/>
    <n v="509837.19934200007"/>
    <n v="509837.19934200007"/>
    <n v="488630.63"/>
    <n v="488630.63"/>
    <n v="542379.99930000002"/>
    <n v="542379.99930000002"/>
    <n v="527721.07999999996"/>
    <n v="527721.07999999996"/>
    <n v="585770.39879999997"/>
    <n v="585770.39879999997"/>
    <m/>
    <d v="2024-11-22T00:00:00"/>
    <d v="2024-09-18T00:00:00"/>
    <s v="Lama"/>
    <s v="Sama"/>
    <s v="Aktif"/>
    <s v="IDR"/>
    <s v="11024"/>
    <s v="24 KG"/>
    <s v="S-HNZ"/>
    <s v="48HEINZ"/>
    <s v="KRT"/>
    <s v="GD01"/>
    <n v="11611"/>
    <n v="11612"/>
    <s v="0123"/>
    <n v="1"/>
    <s v="PT. HEINZ ABC INDONESIA"/>
    <n v="0"/>
    <n v="488630.63"/>
    <n v="488630.63"/>
  </r>
  <r>
    <s v="A11200071001101"/>
    <n v="1"/>
    <n v="199"/>
    <x v="220"/>
    <s v="CHILI"/>
    <s v="ABC SAM ASLI PLW 6X1KG 1903"/>
    <x v="5"/>
    <x v="172"/>
    <x v="6"/>
    <s v="SAMBAL"/>
    <s v="A1120"/>
    <x v="123"/>
    <n v="14"/>
    <s v="ABC SAMBAL ASLI PILLOW 1 KG X 6 PCS"/>
    <n v="35"/>
    <s v="ABC"/>
    <s v="A1"/>
    <s v="SAMBAL"/>
    <n v="12"/>
    <m/>
    <n v="0"/>
    <m/>
    <n v="0"/>
    <s v="ASLI PILLOW"/>
    <s v="07"/>
    <s v="1 KG"/>
    <n v="1001"/>
    <s v="PCS"/>
    <s v="1"/>
    <m/>
    <s v="0"/>
    <m/>
    <m/>
    <m/>
    <s v="GRAM"/>
    <n v="1"/>
    <m/>
    <n v="25058.200400000002"/>
    <n v="150349.20240000001"/>
    <n v="27814.602444000004"/>
    <n v="166887.61466400002"/>
    <n v="26657.66"/>
    <n v="159945.96"/>
    <n v="29590.002600000003"/>
    <n v="177540.01560000001"/>
    <n v="28790.27"/>
    <n v="172741.62"/>
    <n v="31957.199700000005"/>
    <n v="191743.19820000004"/>
    <m/>
    <d v="2024-09-18T00:00:00"/>
    <d v="2024-09-18T00:00:00"/>
    <s v="Lama"/>
    <s v="Sama"/>
    <s v="Aktif"/>
    <s v="IDR"/>
    <s v="11001"/>
    <s v="1 KG"/>
    <s v="S-HNZ"/>
    <s v="48HEINZ"/>
    <s v="KRT"/>
    <s v="GD01"/>
    <n v="11611"/>
    <n v="11612"/>
    <s v="0123"/>
    <n v="1"/>
    <s v="PT. HEINZ ABC INDONESIA"/>
    <n v="0"/>
    <n v="26657.66"/>
    <n v="26657.66"/>
  </r>
  <r>
    <s v="A11200071001102"/>
    <n v="2"/>
    <n v="200"/>
    <x v="221"/>
    <s v="CHILI"/>
    <s v="ABC SAM AS PLW 6X1KG HY 2210"/>
    <x v="5"/>
    <x v="173"/>
    <x v="6"/>
    <s v="SAMBAL"/>
    <s v="A1120"/>
    <x v="123"/>
    <n v="14"/>
    <s v="ABC SAMBAL ASLI PILLOW 1 KG X 6 PCS"/>
    <n v="35"/>
    <s v="ABC"/>
    <s v="A1"/>
    <s v="SAMBAL"/>
    <n v="12"/>
    <m/>
    <n v="0"/>
    <m/>
    <n v="0"/>
    <s v="ASLI PILLOW"/>
    <s v="07"/>
    <s v="1 KG"/>
    <n v="1001"/>
    <s v="PCS"/>
    <s v="1"/>
    <m/>
    <s v="0"/>
    <m/>
    <m/>
    <m/>
    <s v="GRAM"/>
    <n v="1"/>
    <m/>
    <n v="25058.200400000002"/>
    <n v="150349.20240000001"/>
    <n v="27814.602444000004"/>
    <n v="166887.61466400002"/>
    <n v="26657.66"/>
    <n v="159945.96"/>
    <n v="29590.002600000003"/>
    <n v="177540.01560000001"/>
    <n v="28790.27"/>
    <n v="172741.62"/>
    <n v="31957.199700000005"/>
    <n v="191743.19820000004"/>
    <m/>
    <d v="2024-09-18T00:00:00"/>
    <d v="2024-09-18T00:00:00"/>
    <s v="Lama"/>
    <s v="Sama"/>
    <s v="Aktif"/>
    <s v="IDR"/>
    <s v="11001"/>
    <s v="1 KG"/>
    <s v="S-HNZ"/>
    <s v="48HEINZ"/>
    <s v="KRT"/>
    <s v="GD01"/>
    <n v="11611"/>
    <n v="11612"/>
    <s v="0123"/>
    <n v="1"/>
    <s v="PT. HEINZ ABC INDONESIA"/>
    <n v="0"/>
    <n v="26657.66"/>
    <n v="26657.66"/>
  </r>
  <r>
    <s v="A11200071001103"/>
    <n v="3"/>
    <n v="201"/>
    <x v="222"/>
    <s v="CHILI"/>
    <s v="ABC SAM AS PLW 6X1KG HY 2210"/>
    <x v="5"/>
    <x v="174"/>
    <x v="6"/>
    <s v="SAMBAL"/>
    <s v="A1120"/>
    <x v="123"/>
    <n v="14"/>
    <s v="ABC SAMBAL ASLI PILLOW 1 KG X 6 PCS"/>
    <n v="35"/>
    <s v="ABC"/>
    <s v="A1"/>
    <s v="SAMBAL"/>
    <n v="12"/>
    <m/>
    <n v="0"/>
    <m/>
    <n v="0"/>
    <s v="ASLI PILLOW"/>
    <s v="07"/>
    <s v="1 KG"/>
    <n v="1001"/>
    <s v="PCS"/>
    <s v="1"/>
    <m/>
    <s v="0"/>
    <m/>
    <m/>
    <m/>
    <s v="GRAM"/>
    <n v="1"/>
    <m/>
    <n v="25058.200400000002"/>
    <n v="150349.20240000001"/>
    <n v="27814.602444000004"/>
    <n v="166887.61466400002"/>
    <n v="26657.66"/>
    <n v="159945.96"/>
    <n v="29590.002600000003"/>
    <n v="177540.01560000001"/>
    <n v="28790.27"/>
    <n v="172741.62"/>
    <n v="31957.199700000005"/>
    <n v="191743.19820000004"/>
    <m/>
    <d v="2024-11-29T00:00:00"/>
    <d v="2024-09-18T00:00:00"/>
    <s v="Lama"/>
    <s v="Sama"/>
    <s v="Aktif"/>
    <s v="IDR"/>
    <s v="11001"/>
    <s v="1 KG"/>
    <s v="S-HNZ"/>
    <s v="48HEINZ"/>
    <s v="KRT"/>
    <s v="GD01"/>
    <n v="11611"/>
    <n v="11612"/>
    <s v="0123"/>
    <n v="1"/>
    <s v="PT. HEINZ ABC INDONESIA"/>
    <n v="0"/>
    <n v="26657.66"/>
    <n v="26657.66"/>
  </r>
  <r>
    <s v="A11200080008101"/>
    <n v="1"/>
    <n v="202"/>
    <x v="223"/>
    <s v="CHILI"/>
    <s v="ABC SAM EP SCT 21X22X8G 2011"/>
    <x v="10"/>
    <x v="175"/>
    <x v="9"/>
    <s v="SAMBAL"/>
    <s v="A1120"/>
    <x v="124"/>
    <n v="14"/>
    <s v="ABC SAMBAL EXTRA PEDAS 8 GR X 21 PACK PCSX22"/>
    <n v="44"/>
    <s v="ABC"/>
    <s v="A1"/>
    <s v="SAMBAL"/>
    <n v="12"/>
    <m/>
    <n v="0"/>
    <m/>
    <s v="0"/>
    <s v="EXTRA PEDAS"/>
    <s v="08"/>
    <s v="8 GR"/>
    <s v="0008"/>
    <s v="PCSX22"/>
    <s v="1"/>
    <m/>
    <s v="0"/>
    <s v="PACK"/>
    <m/>
    <m/>
    <s v="GRAM"/>
    <n v="1"/>
    <m/>
    <n v="5669.6381999999994"/>
    <n v="119062.40219999998"/>
    <n v="6293.2984020000004"/>
    <n v="132159.26644199999"/>
    <n v="6031.53"/>
    <n v="126662.12999999999"/>
    <n v="6694.9983000000002"/>
    <n v="140594.96429999999"/>
    <n v="6573.2727272727261"/>
    <n v="138038.72727272724"/>
    <n v="7296.3327272727265"/>
    <n v="153222.98727272724"/>
    <m/>
    <d v="2024-09-18T00:00:00"/>
    <d v="2025-10-15T00:00:00"/>
    <s v="Lama"/>
    <s v="Sama"/>
    <s v="Aktif"/>
    <s v="IDR"/>
    <s v="10008"/>
    <s v="8 GR"/>
    <s v="S-HNZ"/>
    <s v="48HEINZ"/>
    <s v="KRT"/>
    <s v="GD01"/>
    <n v="11611"/>
    <n v="11612"/>
    <s v="0123"/>
    <n v="1"/>
    <s v="PT. HEINZ ABC INDONESIA"/>
    <n v="0"/>
    <n v="6031.53"/>
    <n v="6031.53"/>
  </r>
  <r>
    <s v="A11200080008102"/>
    <n v="2"/>
    <n v="203"/>
    <x v="224"/>
    <s v="CHILI"/>
    <s v="ABC SAM EP SCT 21X22X8G HY2303"/>
    <x v="10"/>
    <x v="176"/>
    <x v="9"/>
    <s v="SAMBAL"/>
    <s v="A1120"/>
    <x v="124"/>
    <n v="14"/>
    <s v="ABC SAMBAL EXTRA PEDAS 8 GR X 21 PACK PCSX22"/>
    <n v="44"/>
    <s v="ABC"/>
    <s v="A1"/>
    <s v="SAMBAL"/>
    <n v="12"/>
    <m/>
    <n v="0"/>
    <m/>
    <s v="0"/>
    <s v="EXTRA PEDAS"/>
    <s v="08"/>
    <s v="8 GR"/>
    <s v="0008"/>
    <s v="PCSX22"/>
    <s v="1"/>
    <m/>
    <s v="0"/>
    <s v="PACK"/>
    <m/>
    <m/>
    <s v="GRAM"/>
    <n v="1"/>
    <m/>
    <n v="5669.6381999999994"/>
    <n v="119062.40219999998"/>
    <n v="6293.2984020000004"/>
    <n v="132159.26644199999"/>
    <n v="6031.53"/>
    <n v="126662.12999999999"/>
    <n v="6694.9983000000002"/>
    <n v="140594.96429999999"/>
    <n v="6573.2727272727261"/>
    <n v="138038.72727272724"/>
    <n v="7296.3327272727265"/>
    <n v="153222.98727272724"/>
    <m/>
    <d v="2024-09-18T00:00:00"/>
    <d v="2025-10-15T00:00:00"/>
    <s v="Lama"/>
    <s v="Sama"/>
    <s v="Aktif"/>
    <s v="IDR"/>
    <s v="10008"/>
    <s v="8 GR"/>
    <s v="S-HNZ"/>
    <s v="48HEINZ"/>
    <s v="KRT"/>
    <s v="GD01"/>
    <n v="11611"/>
    <n v="11612"/>
    <s v="0123"/>
    <n v="1"/>
    <s v="PT. HEINZ ABC INDONESIA"/>
    <n v="0"/>
    <n v="6031.53"/>
    <n v="6031.53"/>
  </r>
  <r>
    <s v="A11200080008104"/>
    <n v="4"/>
    <m/>
    <x v="224"/>
    <m/>
    <s v="ABC SAM EP SCT 21X22X8GNEW"/>
    <x v="10"/>
    <x v="176"/>
    <x v="9"/>
    <s v="SAMBAL"/>
    <s v="A1120"/>
    <x v="124"/>
    <n v="14"/>
    <s v="ABC SAMBAL EXTRA PEDAS 8 GR X 21 PACK PCSX22"/>
    <n v="44"/>
    <s v="ABC"/>
    <s v="A1"/>
    <s v="SAMBAL"/>
    <n v="12"/>
    <m/>
    <n v="0"/>
    <m/>
    <s v="0"/>
    <s v="EXTRA PEDAS"/>
    <s v="08"/>
    <s v="8 GR"/>
    <s v="0008"/>
    <s v="PCSX22"/>
    <s v="1"/>
    <m/>
    <s v="0"/>
    <s v="PACK"/>
    <m/>
    <m/>
    <m/>
    <m/>
    <m/>
    <n v="0"/>
    <n v="0"/>
    <n v="0"/>
    <n v="0"/>
    <m/>
    <n v="0"/>
    <n v="0"/>
    <n v="0"/>
    <m/>
    <n v="0"/>
    <n v="0"/>
    <n v="0"/>
    <m/>
    <m/>
    <m/>
    <s v="Lama"/>
    <s v="Sama"/>
    <m/>
    <s v="IDR"/>
    <s v="0008"/>
    <s v="8 GR"/>
    <m/>
    <m/>
    <s v="KRT"/>
    <s v="GD01"/>
    <n v="11611"/>
    <n v="11612"/>
    <m/>
    <n v="1"/>
    <m/>
    <n v="0"/>
    <n v="0"/>
    <n v="0"/>
  </r>
  <r>
    <s v="A11200080008103"/>
    <n v="3"/>
    <n v="204"/>
    <x v="225"/>
    <s v="CHILI"/>
    <s v="ABC SAM EP SCT 21X22X8G"/>
    <x v="10"/>
    <x v="177"/>
    <x v="9"/>
    <s v="SAMBAL"/>
    <s v="A1120"/>
    <x v="124"/>
    <n v="14"/>
    <s v="ABC SAMBAL EXTRA PEDAS 8 GR X 21 PACK PCSX22"/>
    <n v="44"/>
    <s v="ABC"/>
    <s v="A1"/>
    <s v="SAMBAL"/>
    <n v="12"/>
    <m/>
    <n v="0"/>
    <m/>
    <s v="0"/>
    <s v="EXTRA PEDAS"/>
    <s v="08"/>
    <s v="8 GR"/>
    <s v="0008"/>
    <s v="PCSX22"/>
    <s v="1"/>
    <m/>
    <s v="0"/>
    <s v="PACK"/>
    <m/>
    <m/>
    <m/>
    <m/>
    <m/>
    <n v="5669.6381999999994"/>
    <n v="119062.40219999998"/>
    <n v="6293.2984020000004"/>
    <n v="132159.26644199999"/>
    <n v="6031.53"/>
    <n v="126662.12999999999"/>
    <n v="6694.9983000000002"/>
    <n v="140594.96429999999"/>
    <n v="6573.2727272727261"/>
    <n v="138038.72727272724"/>
    <n v="7296.3327272727265"/>
    <n v="153222.98727272724"/>
    <m/>
    <m/>
    <d v="2025-10-15T00:00:00"/>
    <s v="Lama"/>
    <s v="Sama"/>
    <m/>
    <s v="IDR"/>
    <s v="0008"/>
    <s v="8 GR"/>
    <m/>
    <m/>
    <s v="KRT"/>
    <s v="GD01"/>
    <n v="11611"/>
    <n v="11612"/>
    <m/>
    <n v="1"/>
    <m/>
    <n v="0"/>
    <n v="6031.53"/>
    <n v="6031.53"/>
  </r>
  <r>
    <s v="A11200080015101"/>
    <n v="1"/>
    <n v="205"/>
    <x v="226"/>
    <s v="CHILI"/>
    <s v="ABC SAM EP SCT 30X10X18G 2011"/>
    <x v="9"/>
    <x v="4"/>
    <x v="4"/>
    <s v="SAMBAL"/>
    <s v="A1120"/>
    <x v="125"/>
    <n v="14"/>
    <s v="ABC SAMBAL EXTRA PEDAS 15 GR X 30 PACK PCSX10"/>
    <n v="45"/>
    <s v="ABC"/>
    <s v="A1"/>
    <s v="SAMBAL"/>
    <n v="12"/>
    <m/>
    <n v="0"/>
    <m/>
    <s v="0"/>
    <s v="EXTRA PEDAS"/>
    <s v="08"/>
    <s v="15 GR"/>
    <s v="0015"/>
    <s v="PCSX10"/>
    <s v="1"/>
    <m/>
    <s v="0"/>
    <s v="PACK"/>
    <m/>
    <m/>
    <s v="GRAM"/>
    <n v="1"/>
    <m/>
    <n v="5669.6381999999994"/>
    <n v="170089.14599999998"/>
    <n v="6293.2984020000004"/>
    <n v="188798.95205999998"/>
    <n v="6031.53"/>
    <n v="180945.9"/>
    <n v="6694.9983000000002"/>
    <n v="200849.94900000002"/>
    <n v="6573.2727272727261"/>
    <n v="197198.18181818179"/>
    <n v="7296.3327272727265"/>
    <n v="218889.98181818178"/>
    <m/>
    <d v="2024-09-18T00:00:00"/>
    <d v="2025-10-15T00:00:00"/>
    <s v="Lama"/>
    <s v="Sama"/>
    <s v="Aktif"/>
    <s v="IDR"/>
    <s v="10015"/>
    <s v="15 GR"/>
    <s v="S-HNZ"/>
    <s v="48HEINZ"/>
    <s v="KRT"/>
    <s v="GD01"/>
    <n v="11611"/>
    <n v="11612"/>
    <s v="0123"/>
    <n v="1"/>
    <s v="PT. HEINZ ABC INDONESIA"/>
    <n v="0"/>
    <n v="6031.53"/>
    <n v="6031.53"/>
  </r>
  <r>
    <s v="A11200080015102"/>
    <n v="2"/>
    <n v="206"/>
    <x v="227"/>
    <s v="CHILI"/>
    <s v="ABC SAM EP SCT 30X10X15G 2206"/>
    <x v="9"/>
    <x v="178"/>
    <x v="4"/>
    <s v="SAMBAL"/>
    <s v="A1120"/>
    <x v="125"/>
    <n v="14"/>
    <s v="ABC SAMBAL EXTRA PEDAS 15 GR X 30 PACK PCSX10"/>
    <n v="45"/>
    <s v="ABC"/>
    <s v="A1"/>
    <s v="SAMBAL"/>
    <n v="12"/>
    <m/>
    <n v="0"/>
    <m/>
    <s v="0"/>
    <s v="EXTRA PEDAS"/>
    <s v="08"/>
    <s v="15 GR"/>
    <s v="0015"/>
    <s v="PCSX10"/>
    <s v="1"/>
    <m/>
    <s v="0"/>
    <s v="PACK"/>
    <m/>
    <m/>
    <s v="GRAM"/>
    <n v="1"/>
    <m/>
    <n v="5669.6381999999994"/>
    <n v="170089.14599999998"/>
    <n v="6293.2984020000004"/>
    <n v="188798.95205999998"/>
    <n v="6031.53"/>
    <n v="180945.9"/>
    <n v="6694.9983000000002"/>
    <n v="200849.94900000002"/>
    <n v="6573.2727272727261"/>
    <n v="197198.18181818179"/>
    <n v="7296.3327272727265"/>
    <n v="218889.98181818178"/>
    <m/>
    <d v="2024-09-18T00:00:00"/>
    <d v="2025-10-15T00:00:00"/>
    <s v="Lama"/>
    <s v="Sama"/>
    <s v="Aktif"/>
    <s v="IDR"/>
    <s v="10015"/>
    <s v="15 GR"/>
    <s v="S-HNZ"/>
    <s v="48HEINZ"/>
    <s v="KRT"/>
    <s v="GD01"/>
    <n v="11611"/>
    <n v="11612"/>
    <s v="0123"/>
    <n v="1"/>
    <s v="PT. HEINZ ABC INDONESIA"/>
    <n v="0"/>
    <n v="6031.53"/>
    <n v="6031.53"/>
  </r>
  <r>
    <s v="A11200080015103"/>
    <n v="3"/>
    <n v="207"/>
    <x v="228"/>
    <s v="CHILI"/>
    <s v="ABC SAM EP SCT 30X10X15GHY2210"/>
    <x v="9"/>
    <x v="179"/>
    <x v="4"/>
    <s v="SAMBAL"/>
    <s v="A1120"/>
    <x v="125"/>
    <n v="14"/>
    <s v="ABC SAMBAL EXTRA PEDAS 15 GR X 30 PACK PCSX10"/>
    <n v="45"/>
    <s v="ABC"/>
    <s v="A1"/>
    <s v="SAMBAL"/>
    <n v="12"/>
    <m/>
    <n v="0"/>
    <m/>
    <s v="0"/>
    <s v="EXTRA PEDAS"/>
    <s v="08"/>
    <s v="15 GR"/>
    <s v="0015"/>
    <s v="PCSX10"/>
    <s v="1"/>
    <m/>
    <s v="0"/>
    <s v="PACK"/>
    <m/>
    <m/>
    <s v="GRAM"/>
    <n v="1"/>
    <m/>
    <n v="5669.6381999999994"/>
    <n v="170089.14599999998"/>
    <n v="6293.2984020000004"/>
    <n v="188798.95205999998"/>
    <n v="6031.53"/>
    <n v="180945.9"/>
    <n v="6694.9983000000002"/>
    <n v="200849.94900000002"/>
    <n v="6573.2727272727261"/>
    <n v="197198.18181818179"/>
    <n v="7296.3327272727265"/>
    <n v="218889.98181818178"/>
    <m/>
    <d v="2024-09-18T00:00:00"/>
    <d v="2025-10-15T00:00:00"/>
    <s v="Lama"/>
    <s v="Sama"/>
    <s v="Aktif"/>
    <s v="IDR"/>
    <s v="10015"/>
    <s v="15 GR"/>
    <s v="S-HNZ"/>
    <s v="48HEINZ"/>
    <s v="KRT"/>
    <s v="GD01"/>
    <n v="11611"/>
    <n v="11612"/>
    <s v="0123"/>
    <n v="1"/>
    <s v="PT. HEINZ ABC INDONESIA"/>
    <n v="0"/>
    <n v="6031.53"/>
    <n v="6031.53"/>
  </r>
  <r>
    <s v="A11200080015104"/>
    <n v="4"/>
    <n v="208"/>
    <x v="229"/>
    <s v="CHILI"/>
    <s v="ABC SAM EP SCT 30X10X15G2405"/>
    <x v="9"/>
    <x v="180"/>
    <x v="4"/>
    <s v="SAMBAL"/>
    <s v="A1120"/>
    <x v="125"/>
    <n v="14"/>
    <s v="ABC SAMBAL EXTRA PEDAS 15 GR X 30 PACK PCSX10"/>
    <n v="45"/>
    <s v="ABC"/>
    <s v="A1"/>
    <s v="SAMBAL"/>
    <n v="12"/>
    <m/>
    <n v="0"/>
    <m/>
    <s v="0"/>
    <s v="EXTRA PEDAS"/>
    <s v="08"/>
    <s v="15 GR"/>
    <s v="0015"/>
    <s v="PCSX10"/>
    <s v="1"/>
    <m/>
    <s v="0"/>
    <s v="PACK"/>
    <m/>
    <m/>
    <s v="GRAM"/>
    <n v="1"/>
    <m/>
    <n v="5377.4768000000004"/>
    <n v="161324.304"/>
    <n v="5968.999248000001"/>
    <n v="179069.97744000002"/>
    <n v="6031.53"/>
    <n v="180945.9"/>
    <n v="6694.9983000000002"/>
    <n v="200849.94900000002"/>
    <n v="6573.2727272727261"/>
    <n v="197198.18181818179"/>
    <n v="7296.3327272727265"/>
    <n v="218889.98181818178"/>
    <m/>
    <d v="2025-01-14T00:00:00"/>
    <d v="2025-10-15T00:00:00"/>
    <s v="Lama"/>
    <s v="Sama"/>
    <m/>
    <s v="IDR"/>
    <s v="10015"/>
    <s v="15 GR"/>
    <m/>
    <m/>
    <s v="KRT"/>
    <s v="GD01"/>
    <n v="11611"/>
    <n v="11612"/>
    <m/>
    <n v="1"/>
    <m/>
    <n v="0"/>
    <n v="6031.53"/>
    <n v="6031.53"/>
  </r>
  <r>
    <s v="A11200080075101"/>
    <n v="1"/>
    <n v="209"/>
    <x v="230"/>
    <s v="CHILI"/>
    <s v="ABC SAM EP PCH 48X75G 2109"/>
    <x v="0"/>
    <x v="181"/>
    <x v="0"/>
    <s v="SAMBAL"/>
    <s v="A1120"/>
    <x v="126"/>
    <n v="14"/>
    <s v="ABC SAMBAL EXTRA PEDAS 65 GR X 48 PCH"/>
    <n v="37"/>
    <s v="ABC"/>
    <s v="A1"/>
    <s v="SAMBAL"/>
    <n v="12"/>
    <m/>
    <n v="0"/>
    <m/>
    <s v="0"/>
    <s v="EXTRA PEDAS"/>
    <s v="08"/>
    <s v="65 GR"/>
    <s v="0075"/>
    <s v="PCH"/>
    <s v="1"/>
    <m/>
    <s v="0"/>
    <m/>
    <m/>
    <m/>
    <s v="GRAM"/>
    <n v="1"/>
    <m/>
    <n v="2224.2467999999999"/>
    <n v="106763.84639999999"/>
    <n v="2468.9139479999999"/>
    <n v="118507.869504"/>
    <n v="2366.2199999999998"/>
    <n v="113578.56"/>
    <n v="2626.5041999999999"/>
    <n v="126072.20160000001"/>
    <n v="2555.5135135135179"/>
    <n v="122664.64864864886"/>
    <n v="2836.6200000000049"/>
    <n v="136157.76000000024"/>
    <m/>
    <d v="2024-09-18T00:00:00"/>
    <d v="2025-10-15T00:00:00"/>
    <s v="Lama"/>
    <s v="Sama"/>
    <s v="Aktif"/>
    <s v="IDR"/>
    <s v="10075"/>
    <s v="65 GR"/>
    <s v="S-HNZ"/>
    <s v="48HEINZ"/>
    <s v="KRT"/>
    <s v="GD01"/>
    <n v="11611"/>
    <n v="11612"/>
    <s v="0123"/>
    <n v="1"/>
    <s v="PT. HEINZ ABC INDONESIA"/>
    <n v="0"/>
    <n v="2366.2199999999998"/>
    <n v="2366.2199999999998"/>
  </r>
  <r>
    <s v="A11200080075102"/>
    <n v="2"/>
    <n v="210"/>
    <x v="231"/>
    <s v="CHILI"/>
    <s v="ABC SAM EP PCH 48X75G HY 2301"/>
    <x v="0"/>
    <x v="182"/>
    <x v="0"/>
    <s v="SAMBAL"/>
    <s v="A1120"/>
    <x v="126"/>
    <n v="14"/>
    <s v="ABC SAMBAL EXTRA PEDAS 65 GR X 48 PCH"/>
    <n v="37"/>
    <s v="ABC"/>
    <s v="A1"/>
    <s v="SAMBAL"/>
    <n v="12"/>
    <m/>
    <n v="0"/>
    <m/>
    <s v="0"/>
    <s v="EXTRA PEDAS"/>
    <s v="08"/>
    <s v="65 GR"/>
    <s v="0075"/>
    <s v="PCH"/>
    <s v="1"/>
    <m/>
    <s v="0"/>
    <m/>
    <m/>
    <m/>
    <s v="GRAM"/>
    <n v="1"/>
    <m/>
    <n v="2224.2467999999999"/>
    <n v="106763.84639999999"/>
    <n v="2468.9139479999999"/>
    <n v="118507.869504"/>
    <n v="2366.2199999999998"/>
    <n v="113578.56"/>
    <n v="2626.5041999999999"/>
    <n v="126072.20160000001"/>
    <n v="2555.5135135135179"/>
    <n v="122664.64864864886"/>
    <n v="2836.6200000000049"/>
    <n v="136157.76000000024"/>
    <m/>
    <d v="2024-09-18T00:00:00"/>
    <d v="2025-10-15T00:00:00"/>
    <s v="Lama"/>
    <s v="Sama"/>
    <s v="Aktif"/>
    <s v="IDR"/>
    <s v="10075"/>
    <s v="65 GR"/>
    <s v="S-HNZ"/>
    <s v="48HEINZ"/>
    <s v="KRT"/>
    <s v="GD01"/>
    <n v="11611"/>
    <n v="11612"/>
    <s v="0123"/>
    <n v="1"/>
    <s v="PT. HEINZ ABC INDONESIA"/>
    <n v="0"/>
    <n v="2366.2199999999998"/>
    <n v="2366.2199999999998"/>
  </r>
  <r>
    <s v="A11200080075103"/>
    <n v="3"/>
    <n v="211"/>
    <x v="232"/>
    <s v="CHILI"/>
    <s v="ABC SAM EP PCH 48X65G HY 2302"/>
    <x v="0"/>
    <x v="183"/>
    <x v="0"/>
    <s v="SAMBAL"/>
    <s v="A1120"/>
    <x v="126"/>
    <n v="14"/>
    <s v="ABC SAMBAL EXTRA PEDAS 65 GR X 48 PCH"/>
    <n v="37"/>
    <s v="ABC"/>
    <s v="A1"/>
    <s v="SAMBAL"/>
    <n v="12"/>
    <m/>
    <n v="0"/>
    <m/>
    <s v="0"/>
    <s v="EXTRA PEDAS"/>
    <s v="08"/>
    <s v="65 GR"/>
    <s v="0075"/>
    <s v="PCH"/>
    <s v="1"/>
    <m/>
    <s v="0"/>
    <m/>
    <m/>
    <m/>
    <s v="GRAM"/>
    <n v="1"/>
    <m/>
    <n v="2224.2467999999999"/>
    <n v="106763.84639999999"/>
    <n v="2468.9139479999999"/>
    <n v="118507.869504"/>
    <n v="2366.2199999999998"/>
    <n v="113578.56"/>
    <n v="2626.5041999999999"/>
    <n v="126072.20160000001"/>
    <n v="2555.5135135135179"/>
    <n v="122664.64864864886"/>
    <n v="2836.6200000000049"/>
    <n v="136157.76000000024"/>
    <m/>
    <d v="2024-10-24T00:00:00"/>
    <d v="2025-10-15T00:00:00"/>
    <s v="Lama"/>
    <s v="Sama"/>
    <s v="Aktif"/>
    <s v="IDR"/>
    <s v="10075"/>
    <s v="65 GR"/>
    <s v="S-HNZ"/>
    <s v="48HEINZ"/>
    <s v="KRT"/>
    <s v="GD01"/>
    <n v="11611"/>
    <n v="11612"/>
    <s v="0123"/>
    <n v="1"/>
    <s v="PT. HEINZ ABC INDONESIA"/>
    <n v="0"/>
    <n v="2366.2199999999998"/>
    <n v="2366.2199999999998"/>
  </r>
  <r>
    <s v="A11200080130101"/>
    <n v="1"/>
    <n v="212"/>
    <x v="233"/>
    <s v="CHILI"/>
    <s v="ABC SAM EP PET 48X130ML 2401"/>
    <x v="0"/>
    <x v="184"/>
    <x v="1"/>
    <s v="SAMBAL"/>
    <s v="A1120"/>
    <x v="112"/>
    <n v="14"/>
    <s v="ABC SAMBAL EXTRA PEDAS 130 ML X 48 BTL"/>
    <n v="38"/>
    <s v="ABC"/>
    <s v="A1"/>
    <s v="SAMBAL"/>
    <n v="12"/>
    <m/>
    <n v="0"/>
    <m/>
    <s v="0"/>
    <s v="EXTRA PEDAS"/>
    <s v="08"/>
    <s v="130 ML"/>
    <s v="0130"/>
    <s v="BTL"/>
    <s v="1"/>
    <m/>
    <s v="0"/>
    <m/>
    <m/>
    <m/>
    <s v="LITER"/>
    <n v="2"/>
    <m/>
    <n v="5504.5459999999994"/>
    <n v="264218.20799999998"/>
    <n v="6110.0460599999997"/>
    <n v="293282.21088000003"/>
    <n v="5855.9"/>
    <n v="281083.19999999995"/>
    <n v="6500.049"/>
    <n v="312002.35199999996"/>
    <n v="0"/>
    <n v="0"/>
    <n v="0"/>
    <n v="0"/>
    <m/>
    <d v="2024-09-18T00:00:00"/>
    <d v="2024-09-18T00:00:00"/>
    <s v="Lama"/>
    <s v="Sama"/>
    <s v="Aktif"/>
    <s v="IDR"/>
    <s v="20130"/>
    <s v="130 ML"/>
    <s v="S-HNZ"/>
    <s v="48HEINZ"/>
    <s v="KRT"/>
    <s v="GD01"/>
    <n v="11611"/>
    <n v="11612"/>
    <s v="0123"/>
    <n v="1"/>
    <s v="PT. HEINZ ABC INDONESIA"/>
    <n v="0"/>
    <n v="5855.9"/>
    <n v="5855.9"/>
  </r>
  <r>
    <s v="A11200080130102"/>
    <n v="2"/>
    <n v="213"/>
    <x v="234"/>
    <s v="CHILI"/>
    <s v="ABC SAM EP PET 48X130ML"/>
    <x v="0"/>
    <x v="185"/>
    <x v="1"/>
    <s v="SAMBAL"/>
    <s v="A1120"/>
    <x v="112"/>
    <n v="14"/>
    <s v="ABC SAMBAL EXTRA PEDAS 130 ML X 48 BTL"/>
    <n v="38"/>
    <s v="ABC"/>
    <s v="A1"/>
    <s v="SAMBAL"/>
    <n v="12"/>
    <m/>
    <n v="0"/>
    <m/>
    <s v="0"/>
    <s v="EXTRA PEDAS"/>
    <s v="08"/>
    <s v="130 ML"/>
    <s v="0130"/>
    <s v="BTL"/>
    <s v="1"/>
    <m/>
    <s v="0"/>
    <m/>
    <m/>
    <m/>
    <s v="LITER"/>
    <n v="2"/>
    <m/>
    <n v="5504.5459999999994"/>
    <n v="264218.20799999998"/>
    <n v="6110.0460599999997"/>
    <n v="293282.21088000003"/>
    <n v="5855.9"/>
    <n v="281083.19999999995"/>
    <n v="6500.049"/>
    <n v="312002.35199999996"/>
    <n v="0"/>
    <n v="0"/>
    <n v="0"/>
    <n v="0"/>
    <m/>
    <m/>
    <d v="2024-09-18T00:00:00"/>
    <s v="Lama"/>
    <s v="Sama"/>
    <s v="Aktif"/>
    <s v="IDR"/>
    <s v="20130"/>
    <s v="130 ML"/>
    <s v="S-HNZ"/>
    <s v="48HEINZ"/>
    <s v="KRT"/>
    <s v="GD01"/>
    <n v="11611"/>
    <n v="11612"/>
    <s v="0123"/>
    <n v="1"/>
    <s v="PT. HEINZ ABC INDONESIA"/>
    <n v="0"/>
    <n v="5855.9"/>
    <n v="5855.9"/>
  </r>
  <r>
    <s v="A11200080130111"/>
    <n v="1"/>
    <n v="214"/>
    <x v="235"/>
    <s v="CHILI"/>
    <s v="ABC SAM EP 48X130ML PR TMB2403"/>
    <x v="0"/>
    <x v="186"/>
    <x v="1"/>
    <s v="SAMBAL"/>
    <s v="A1120"/>
    <x v="127"/>
    <n v="14"/>
    <s v="ABC SAMBAL EXTRA PEDAS 130 ML X 48 BTL BANDED"/>
    <n v="45"/>
    <s v="ABC"/>
    <s v="A1"/>
    <s v="SAMBAL"/>
    <n v="12"/>
    <m/>
    <n v="0"/>
    <m/>
    <s v="0"/>
    <s v="EXTRA PEDAS"/>
    <s v="08"/>
    <s v="130 ML"/>
    <s v="0130"/>
    <s v="BTL"/>
    <s v="1"/>
    <s v="BANDED"/>
    <n v="1"/>
    <m/>
    <m/>
    <m/>
    <s v="LITER"/>
    <n v="2"/>
    <m/>
    <n v="5504.5459999999994"/>
    <n v="264218.20799999998"/>
    <n v="6110.0460599999997"/>
    <n v="293282.21088000003"/>
    <n v="5855.9"/>
    <n v="281083.19999999995"/>
    <n v="6500.049"/>
    <n v="312002.35199999996"/>
    <n v="0"/>
    <n v="0"/>
    <n v="0"/>
    <n v="0"/>
    <m/>
    <d v="2024-09-18T00:00:00"/>
    <d v="2024-09-18T00:00:00"/>
    <s v="Lama"/>
    <s v="Sama"/>
    <s v="Aktif"/>
    <s v="IDR"/>
    <s v="20130"/>
    <s v="130 ML"/>
    <s v="S-HNZ"/>
    <s v="48HEINZ"/>
    <s v="KRT"/>
    <s v="GD01"/>
    <n v="11611"/>
    <n v="11612"/>
    <s v="0123"/>
    <n v="1"/>
    <s v="PT. HEINZ ABC INDONESIA"/>
    <n v="0"/>
    <n v="5855.9"/>
    <n v="5855.9"/>
  </r>
  <r>
    <s v="A11200080135101"/>
    <n v="1"/>
    <n v="215"/>
    <x v="236"/>
    <s v="CHILI"/>
    <s v="ABC SAM EP PET 48X135ML 2202"/>
    <x v="0"/>
    <x v="187"/>
    <x v="1"/>
    <s v="SAMBAL"/>
    <s v="A1120"/>
    <x v="128"/>
    <n v="14"/>
    <s v="ABC SAMBAL EXTRA PEDAS 135 ML X 48 BTL"/>
    <n v="38"/>
    <s v="ABC"/>
    <s v="A1"/>
    <s v="SAMBAL"/>
    <n v="12"/>
    <m/>
    <n v="0"/>
    <m/>
    <s v="0"/>
    <s v="EXTRA PEDAS"/>
    <s v="08"/>
    <s v="135 ML"/>
    <s v="0135"/>
    <s v="BTL"/>
    <s v="1"/>
    <m/>
    <s v="0"/>
    <m/>
    <m/>
    <m/>
    <s v="LITER"/>
    <n v="2"/>
    <m/>
    <n v="6097.3005999999996"/>
    <n v="292670.42879999999"/>
    <n v="6768.0036660000005"/>
    <n v="324864.17596800003"/>
    <n v="6486.49"/>
    <n v="311351.52"/>
    <n v="7200.0039000000006"/>
    <n v="345600.18720000004"/>
    <n v="6810.8108108108117"/>
    <n v="326918.91891891893"/>
    <n v="7560.0000000000018"/>
    <n v="362880.00000000012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6486.49"/>
    <n v="6486.49"/>
  </r>
  <r>
    <s v="A11200080135102"/>
    <n v="2"/>
    <n v="216"/>
    <x v="237"/>
    <s v="CHILI"/>
    <s v="ABC SAM EP PET 48X135ML HY2301"/>
    <x v="0"/>
    <x v="188"/>
    <x v="1"/>
    <s v="SAMBAL"/>
    <s v="A1120"/>
    <x v="128"/>
    <n v="14"/>
    <s v="ABC SAMBAL EXTRA PEDAS 135 ML X 48 BTL"/>
    <n v="38"/>
    <s v="ABC"/>
    <s v="A1"/>
    <s v="SAMBAL"/>
    <n v="12"/>
    <m/>
    <n v="0"/>
    <m/>
    <s v="0"/>
    <s v="EXTRA PEDAS"/>
    <s v="08"/>
    <s v="135 ML"/>
    <s v="0135"/>
    <s v="BTL"/>
    <s v="1"/>
    <m/>
    <s v="0"/>
    <m/>
    <m/>
    <m/>
    <s v="LITER"/>
    <n v="2"/>
    <m/>
    <n v="6097.3005999999996"/>
    <n v="292670.42879999999"/>
    <n v="6768.0036660000005"/>
    <n v="324864.17596800003"/>
    <n v="6486.49"/>
    <n v="311351.52"/>
    <n v="7200.0039000000006"/>
    <n v="345600.18720000004"/>
    <n v="6810.8108108108117"/>
    <n v="326918.91891891893"/>
    <n v="7560.0000000000018"/>
    <n v="362880.00000000012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6486.49"/>
    <n v="6486.49"/>
  </r>
  <r>
    <s v="A11200080270101"/>
    <n v="1"/>
    <n v="217"/>
    <x v="238"/>
    <s v="CHILI"/>
    <s v="ABC SAM EP PET 24X275ML 2202"/>
    <x v="1"/>
    <x v="189"/>
    <x v="1"/>
    <s v="SAMBAL"/>
    <s v="A1120"/>
    <x v="129"/>
    <n v="14"/>
    <s v="ABC SAMBAL EXTRA PEDAS 270 ML X 24 BTL"/>
    <n v="38"/>
    <s v="ABC"/>
    <s v="A1"/>
    <s v="SAMBAL"/>
    <n v="12"/>
    <m/>
    <n v="0"/>
    <m/>
    <s v="0"/>
    <s v="EXTRA PEDAS"/>
    <s v="08"/>
    <s v="270 ML"/>
    <s v="0270"/>
    <s v="BTL"/>
    <s v="1"/>
    <m/>
    <s v="0"/>
    <m/>
    <m/>
    <m/>
    <s v="LITER"/>
    <n v="2"/>
    <m/>
    <n v="11271.5306"/>
    <n v="270516.73440000002"/>
    <n v="12511.398966000001"/>
    <n v="300273.57518400002"/>
    <n v="11990.99"/>
    <n v="287783.76"/>
    <n v="13309.998900000001"/>
    <n v="319439.97360000003"/>
    <n v="12950.28"/>
    <n v="310806.72000000003"/>
    <n v="14374.810800000001"/>
    <n v="344995.45920000004"/>
    <m/>
    <d v="2024-09-18T00:00:00"/>
    <d v="2024-09-18T00:00:00"/>
    <s v="Lama"/>
    <s v="Sama"/>
    <s v="Aktif"/>
    <s v="IDR"/>
    <s v="20270"/>
    <s v="270 ML"/>
    <s v="S-HNZ"/>
    <s v="48HEINZ"/>
    <s v="KRT"/>
    <s v="GD01"/>
    <n v="11611"/>
    <n v="11612"/>
    <s v="0123"/>
    <n v="1"/>
    <s v="PT. HEINZ ABC INDONESIA"/>
    <n v="0"/>
    <n v="11990.99"/>
    <n v="11990.99"/>
  </r>
  <r>
    <s v="A11200080270102"/>
    <n v="2"/>
    <n v="218"/>
    <x v="239"/>
    <s v="CHILI"/>
    <s v="ABC SAM EP PET 24X275ML HY2301"/>
    <x v="1"/>
    <x v="190"/>
    <x v="1"/>
    <s v="SAMBAL"/>
    <s v="A1120"/>
    <x v="129"/>
    <n v="14"/>
    <s v="ABC SAMBAL EXTRA PEDAS 270 ML X 24 BTL"/>
    <n v="38"/>
    <s v="ABC"/>
    <s v="A1"/>
    <s v="SAMBAL"/>
    <n v="12"/>
    <m/>
    <n v="0"/>
    <m/>
    <s v="0"/>
    <s v="EXTRA PEDAS"/>
    <s v="08"/>
    <s v="270 ML"/>
    <s v="0270"/>
    <s v="BTL"/>
    <s v="1"/>
    <m/>
    <s v="0"/>
    <m/>
    <m/>
    <m/>
    <s v="LITER"/>
    <n v="2"/>
    <m/>
    <n v="11271.5306"/>
    <n v="270516.73440000002"/>
    <n v="12511.398966000001"/>
    <n v="300273.57518400002"/>
    <n v="11990.99"/>
    <n v="287783.76"/>
    <n v="13309.998900000001"/>
    <n v="319439.97360000003"/>
    <n v="12950.28"/>
    <n v="310806.72000000003"/>
    <n v="14374.810800000001"/>
    <n v="344995.45920000004"/>
    <m/>
    <d v="2024-09-18T00:00:00"/>
    <d v="2024-09-18T00:00:00"/>
    <s v="Lama"/>
    <s v="Sama"/>
    <s v="Aktif"/>
    <s v="IDR"/>
    <s v="20270"/>
    <s v="270 ML"/>
    <s v="S-HNZ"/>
    <s v="48HEINZ"/>
    <s v="KRT"/>
    <s v="GD01"/>
    <n v="11611"/>
    <n v="11612"/>
    <s v="0123"/>
    <n v="1"/>
    <s v="PT. HEINZ ABC INDONESIA"/>
    <n v="0"/>
    <n v="11990.99"/>
    <n v="11990.99"/>
  </r>
  <r>
    <s v="A11200080270103"/>
    <n v="3"/>
    <n v="219"/>
    <x v="240"/>
    <s v="CHILI"/>
    <s v="ABC SAM EP PET 24X270ML 2401"/>
    <x v="1"/>
    <x v="191"/>
    <x v="1"/>
    <s v="SAMBAL"/>
    <s v="A1120"/>
    <x v="129"/>
    <n v="14"/>
    <s v="ABC SAMBAL EXTRA PEDAS 270 ML X 24 BTL"/>
    <n v="38"/>
    <s v="ABC"/>
    <s v="A1"/>
    <s v="SAMBAL"/>
    <n v="12"/>
    <m/>
    <n v="0"/>
    <m/>
    <s v="0"/>
    <s v="EXTRA PEDAS"/>
    <s v="08"/>
    <s v="270 ML"/>
    <s v="0270"/>
    <s v="BTL"/>
    <s v="1"/>
    <m/>
    <s v="0"/>
    <m/>
    <m/>
    <m/>
    <s v="LITER"/>
    <n v="2"/>
    <m/>
    <n v="11271.5306"/>
    <n v="270516.73440000002"/>
    <n v="12511.398966000001"/>
    <n v="300273.57518400002"/>
    <n v="11990.99"/>
    <n v="287783.76"/>
    <n v="13309.998900000001"/>
    <n v="319439.97360000003"/>
    <n v="12950.28"/>
    <n v="310806.72000000003"/>
    <n v="14374.810800000001"/>
    <n v="344995.45920000004"/>
    <m/>
    <d v="2024-09-18T00:00:00"/>
    <d v="2024-09-18T00:00:00"/>
    <s v="Lama"/>
    <s v="Sama"/>
    <s v="Aktif"/>
    <s v="IDR"/>
    <s v="20270"/>
    <s v="270 ML"/>
    <s v="S-HNZ"/>
    <s v="48HEINZ"/>
    <s v="KRT"/>
    <s v="GD01"/>
    <n v="11611"/>
    <n v="11612"/>
    <s v="0123"/>
    <n v="1"/>
    <s v="PT. HEINZ ABC INDONESIA"/>
    <n v="0"/>
    <n v="11990.99"/>
    <n v="11990.99"/>
  </r>
  <r>
    <s v="A11200080270104"/>
    <n v="4"/>
    <n v="220"/>
    <x v="241"/>
    <s v="CHILI"/>
    <s v="ABC SAM EP PET 24X270ML 2401"/>
    <x v="1"/>
    <x v="192"/>
    <x v="1"/>
    <s v="SAMBAL"/>
    <s v="A1120"/>
    <x v="129"/>
    <n v="14"/>
    <s v="ABC SAMBAL EXTRA PEDAS 270 ML X 24 BTL"/>
    <n v="38"/>
    <s v="ABC"/>
    <s v="A1"/>
    <s v="SAMBAL"/>
    <n v="12"/>
    <m/>
    <n v="0"/>
    <m/>
    <s v="0"/>
    <s v="EXTRA PEDAS"/>
    <s v="08"/>
    <s v="270 ML"/>
    <s v="0270"/>
    <s v="BTL"/>
    <s v="1"/>
    <m/>
    <s v="0"/>
    <m/>
    <m/>
    <m/>
    <s v="LITER"/>
    <n v="2"/>
    <m/>
    <n v="11271.5306"/>
    <n v="270516.73440000002"/>
    <n v="12511.398966000001"/>
    <n v="300273.57518400002"/>
    <n v="11990.99"/>
    <n v="287783.76"/>
    <n v="13309.998900000001"/>
    <n v="319439.97360000003"/>
    <n v="12950.28"/>
    <n v="310806.72000000003"/>
    <n v="14374.810800000001"/>
    <n v="344995.45920000004"/>
    <m/>
    <m/>
    <d v="2024-09-18T00:00:00"/>
    <s v="Lama"/>
    <s v="Sama"/>
    <s v="Aktif"/>
    <s v="IDR"/>
    <s v="20270"/>
    <s v="270 ML"/>
    <s v="S-HNZ"/>
    <s v="48HEINZ"/>
    <s v="KRT"/>
    <s v="GD01"/>
    <n v="11611"/>
    <n v="11612"/>
    <s v="0123"/>
    <n v="1"/>
    <s v="PT. HEINZ ABC INDONESIA"/>
    <n v="0"/>
    <n v="11990.99"/>
    <n v="11990.99"/>
  </r>
  <r>
    <s v="A11200080335101"/>
    <n v="1"/>
    <n v="221"/>
    <x v="242"/>
    <s v="CHILI"/>
    <s v="ABC SAM EXTRA PDS 335ML 1112"/>
    <x v="1"/>
    <x v="193"/>
    <x v="1"/>
    <s v="SAMBAL"/>
    <s v="A1120"/>
    <x v="130"/>
    <n v="14"/>
    <s v="ABC SAMBAL EXTRA PEDAS 335 ML X 24 BTL"/>
    <n v="38"/>
    <s v="ABC"/>
    <s v="A1"/>
    <s v="SAMBAL"/>
    <n v="12"/>
    <m/>
    <n v="0"/>
    <m/>
    <s v="0"/>
    <s v="EXTRA PEDAS"/>
    <s v="08"/>
    <s v="335 ML"/>
    <s v="0335"/>
    <s v="BTL"/>
    <s v="1"/>
    <m/>
    <s v="0"/>
    <m/>
    <m/>
    <m/>
    <s v="LITER"/>
    <n v="2"/>
    <m/>
    <n v="14023.784799999999"/>
    <n v="336570.83519999997"/>
    <n v="15566.401128000001"/>
    <n v="373593.627072"/>
    <n v="14918.92"/>
    <n v="358054.08"/>
    <n v="16560.001200000002"/>
    <n v="397440.02880000003"/>
    <n v="16112.43"/>
    <n v="386698.32"/>
    <n v="17884.797300000002"/>
    <n v="429235.13520000002"/>
    <m/>
    <d v="2024-09-18T00:00:00"/>
    <d v="2024-09-18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4918.92"/>
    <n v="14918.92"/>
  </r>
  <r>
    <s v="A11200080335102"/>
    <n v="2"/>
    <n v="222"/>
    <x v="243"/>
    <s v="CHILI"/>
    <s v="ABC SAM EP BB 24X335ML 2105"/>
    <x v="1"/>
    <x v="194"/>
    <x v="1"/>
    <s v="SAMBAL"/>
    <s v="A1120"/>
    <x v="130"/>
    <n v="14"/>
    <s v="ABC SAMBAL EXTRA PEDAS 335 ML X 24 BTL"/>
    <n v="38"/>
    <s v="ABC"/>
    <s v="A1"/>
    <s v="SAMBAL"/>
    <n v="12"/>
    <m/>
    <n v="0"/>
    <m/>
    <s v="0"/>
    <s v="EXTRA PEDAS"/>
    <s v="08"/>
    <s v="335 ML"/>
    <s v="0335"/>
    <s v="BTL"/>
    <s v="1"/>
    <m/>
    <s v="0"/>
    <m/>
    <m/>
    <m/>
    <s v="LITER"/>
    <n v="2"/>
    <m/>
    <n v="14023.784799999999"/>
    <n v="336570.83519999997"/>
    <n v="15566.401128000001"/>
    <n v="373593.627072"/>
    <n v="14918.92"/>
    <n v="358054.08"/>
    <n v="16560.001200000002"/>
    <n v="397440.02880000003"/>
    <n v="16112.43"/>
    <n v="386698.32"/>
    <n v="17884.797300000002"/>
    <n v="429235.13520000002"/>
    <m/>
    <d v="2024-09-18T00:00:00"/>
    <d v="2024-09-18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4918.92"/>
    <n v="14918.92"/>
  </r>
  <r>
    <s v="A11200080335103"/>
    <n v="3"/>
    <n v="223"/>
    <x v="244"/>
    <s v="CHILI"/>
    <s v="ABC SAM EP BB 24X335ML"/>
    <x v="1"/>
    <x v="4"/>
    <x v="1"/>
    <s v="SAMBAL"/>
    <s v="A1120"/>
    <x v="130"/>
    <n v="14"/>
    <s v="ABC SAMBAL EXTRA PEDAS 335 ML X 24 BTL"/>
    <n v="38"/>
    <s v="ABC"/>
    <s v="A1"/>
    <s v="SAMBAL"/>
    <n v="12"/>
    <m/>
    <n v="0"/>
    <m/>
    <s v="0"/>
    <s v="EXTRA PEDAS"/>
    <s v="08"/>
    <s v="335 ML"/>
    <s v="0335"/>
    <s v="BTL"/>
    <s v="1"/>
    <m/>
    <s v="0"/>
    <m/>
    <m/>
    <m/>
    <s v="LITER"/>
    <n v="2"/>
    <m/>
    <n v="14023.784799999999"/>
    <n v="336570.83519999997"/>
    <n v="15566.401128000001"/>
    <n v="373593.627072"/>
    <n v="14918.92"/>
    <n v="358054.08"/>
    <n v="16560.001200000002"/>
    <n v="397440.02880000003"/>
    <n v="16112.43"/>
    <n v="386698.32"/>
    <n v="17884.797300000002"/>
    <n v="429235.13520000002"/>
    <m/>
    <d v="2024-09-18T00:00:00"/>
    <d v="2024-09-18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4918.92"/>
    <n v="14918.92"/>
  </r>
  <r>
    <s v="A11200080335104"/>
    <n v="4"/>
    <n v="224"/>
    <x v="245"/>
    <s v="CHILI"/>
    <s v="ABC SAM EP BB 24X335ML HY 2301"/>
    <x v="1"/>
    <x v="195"/>
    <x v="1"/>
    <s v="SAMBAL"/>
    <s v="A1120"/>
    <x v="130"/>
    <n v="14"/>
    <s v="ABC SAMBAL EXTRA PEDAS 335 ML X 24 BTL"/>
    <n v="38"/>
    <s v="ABC"/>
    <s v="A1"/>
    <s v="SAMBAL"/>
    <n v="12"/>
    <m/>
    <n v="0"/>
    <m/>
    <s v="0"/>
    <s v="EXTRA PEDAS"/>
    <s v="08"/>
    <s v="335 ML"/>
    <s v="0335"/>
    <s v="BTL"/>
    <s v="1"/>
    <m/>
    <s v="0"/>
    <m/>
    <m/>
    <m/>
    <s v="LITER"/>
    <n v="2"/>
    <m/>
    <n v="14023.784799999999"/>
    <n v="336570.83519999997"/>
    <n v="15566.401128000001"/>
    <n v="373593.627072"/>
    <n v="14918.92"/>
    <n v="358054.08"/>
    <n v="16560.001200000002"/>
    <n v="397440.02880000003"/>
    <n v="16112.43"/>
    <n v="386698.32"/>
    <n v="17884.797300000002"/>
    <n v="429235.13520000002"/>
    <m/>
    <d v="2024-09-24T00:00:00"/>
    <d v="2024-09-18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4918.92"/>
    <n v="14918.92"/>
  </r>
  <r>
    <s v="A11200080380101"/>
    <n v="1"/>
    <n v="225"/>
    <x v="246"/>
    <s v="CHILI"/>
    <s v="ABC SAM EP PCH 12X380G 2105"/>
    <x v="3"/>
    <x v="196"/>
    <x v="0"/>
    <s v="SAMBAL"/>
    <s v="A1120"/>
    <x v="131"/>
    <n v="14"/>
    <s v="ABC SAMBAL EXTRA PEDAS 380 GR X 12 PCH"/>
    <n v="38"/>
    <s v="ABC"/>
    <s v="A1"/>
    <s v="SAMBAL"/>
    <n v="12"/>
    <m/>
    <n v="0"/>
    <m/>
    <s v="0"/>
    <s v="EXTRA PEDAS"/>
    <s v="08"/>
    <s v="380 GR"/>
    <s v="0380"/>
    <s v="PCH"/>
    <s v="1"/>
    <m/>
    <s v="0"/>
    <m/>
    <m/>
    <m/>
    <s v="GRAM"/>
    <n v="1"/>
    <m/>
    <n v="12939.8238"/>
    <n v="155277.88560000001"/>
    <n v="14363.204418000001"/>
    <n v="172358.45301600001"/>
    <n v="13765.77"/>
    <n v="165189.24"/>
    <n v="15280.004700000001"/>
    <n v="183360.0564"/>
    <n v="15313.037837837799"/>
    <n v="183756.45405405358"/>
    <n v="16997.471999999958"/>
    <n v="203969.66399999949"/>
    <m/>
    <d v="2024-09-18T00:00:00"/>
    <d v="2025-10-15T00:00:00"/>
    <s v="Lama"/>
    <s v="Sama"/>
    <s v="Aktif"/>
    <s v="IDR"/>
    <s v="10380"/>
    <s v="380 GR"/>
    <s v="S-HNZ"/>
    <s v="48HEINZ"/>
    <s v="KRT"/>
    <s v="GD01"/>
    <n v="11611"/>
    <n v="11612"/>
    <s v="0123"/>
    <n v="1"/>
    <s v="PT. HEINZ ABC INDONESIA"/>
    <n v="0"/>
    <n v="13765.77"/>
    <n v="13765.77"/>
  </r>
  <r>
    <s v="A11200080380102"/>
    <n v="2"/>
    <n v="226"/>
    <x v="247"/>
    <s v="CHILI"/>
    <s v="ABC SAM EP PCH 12X380G HY 2301"/>
    <x v="3"/>
    <x v="197"/>
    <x v="0"/>
    <s v="SAMBAL"/>
    <s v="A1120"/>
    <x v="131"/>
    <n v="14"/>
    <s v="ABC SAMBAL EXTRA PEDAS 380 GR X 12 PCH"/>
    <n v="38"/>
    <s v="ABC"/>
    <s v="A1"/>
    <s v="SAMBAL"/>
    <n v="12"/>
    <m/>
    <n v="0"/>
    <m/>
    <s v="0"/>
    <s v="EXTRA PEDAS"/>
    <s v="08"/>
    <s v="380 GR"/>
    <s v="0380"/>
    <s v="PCH"/>
    <s v="1"/>
    <m/>
    <s v="0"/>
    <m/>
    <m/>
    <m/>
    <s v="GRAM"/>
    <n v="1"/>
    <m/>
    <n v="13328.015600000001"/>
    <n v="159936.18720000001"/>
    <n v="14794.097316000001"/>
    <n v="177529.16779200002"/>
    <n v="14178.74"/>
    <n v="170144.88"/>
    <n v="15738.401400000001"/>
    <n v="188860.81680000003"/>
    <n v="15313.037837837799"/>
    <n v="183756.45405405358"/>
    <n v="16997.471999999958"/>
    <n v="203969.66399999949"/>
    <m/>
    <d v="2024-09-18T00:00:00"/>
    <d v="2025-10-15T00:00:00"/>
    <s v="Lama"/>
    <s v="Sama"/>
    <s v="Aktif"/>
    <s v="IDR"/>
    <s v="10380"/>
    <s v="380 GR"/>
    <s v="S-HNZ"/>
    <s v="48HEINZ"/>
    <s v="KRT"/>
    <s v="GD01"/>
    <n v="11611"/>
    <n v="11612"/>
    <s v="0123"/>
    <n v="1"/>
    <s v="PT. HEINZ ABC INDONESIA"/>
    <n v="0"/>
    <n v="14178.74"/>
    <n v="14178.74"/>
  </r>
  <r>
    <s v="A11200080380103"/>
    <n v="3"/>
    <n v="227"/>
    <x v="248"/>
    <s v="CHILI"/>
    <s v="ABC SAM EP PCH 12X380G HY 2302"/>
    <x v="3"/>
    <x v="198"/>
    <x v="0"/>
    <s v="SAMBAL"/>
    <s v="A1120"/>
    <x v="131"/>
    <n v="14"/>
    <s v="ABC SAMBAL EXTRA PEDAS 380 GR X 12 PCH"/>
    <n v="38"/>
    <s v="ABC"/>
    <s v="A1"/>
    <s v="SAMBAL"/>
    <n v="12"/>
    <m/>
    <n v="0"/>
    <m/>
    <s v="0"/>
    <s v="EXTRA PEDAS"/>
    <s v="08"/>
    <s v="380 GR"/>
    <s v="0380"/>
    <s v="PCH"/>
    <s v="1"/>
    <m/>
    <s v="0"/>
    <m/>
    <m/>
    <m/>
    <s v="GRAM"/>
    <n v="1"/>
    <m/>
    <n v="13328.015600000001"/>
    <n v="159936.18720000001"/>
    <n v="14794.097316000001"/>
    <n v="177529.16779200002"/>
    <n v="14178.74"/>
    <n v="170144.88"/>
    <n v="15738.401400000001"/>
    <n v="188860.81680000003"/>
    <n v="15313.037837837799"/>
    <n v="183756.45405405358"/>
    <n v="16997.471999999958"/>
    <n v="203969.66399999949"/>
    <m/>
    <d v="2024-11-22T00:00:00"/>
    <d v="2025-10-15T00:00:00"/>
    <s v="Lama"/>
    <s v="Sama"/>
    <s v="Aktif"/>
    <s v="IDR"/>
    <s v="10380"/>
    <s v="380 GR"/>
    <s v="S-HNZ"/>
    <s v="48HEINZ"/>
    <s v="KRT"/>
    <s v="GD01"/>
    <n v="11611"/>
    <n v="11612"/>
    <s v="0123"/>
    <n v="1"/>
    <s v="PT. HEINZ ABC INDONESIA"/>
    <n v="0"/>
    <n v="14178.74"/>
    <n v="14178.74"/>
  </r>
  <r>
    <s v="A11200090950101"/>
    <n v="1"/>
    <n v="228"/>
    <x v="249"/>
    <s v="CHILI"/>
    <s v="ABC SAM EP PLW 6X950G 2011"/>
    <x v="5"/>
    <x v="199"/>
    <x v="6"/>
    <s v="SAMBAL"/>
    <s v="A1120"/>
    <x v="132"/>
    <n v="14"/>
    <s v="ABC SAMBAL EXTRA PEDAS PILLOW 950 GR X 6 PCS"/>
    <n v="44"/>
    <s v="ABC"/>
    <s v="A1"/>
    <s v="SAMBAL"/>
    <n v="12"/>
    <m/>
    <n v="0"/>
    <m/>
    <n v="0"/>
    <s v="EXTRA PEDAS PILLOW"/>
    <s v="09"/>
    <s v="950 GR"/>
    <s v="0950"/>
    <s v="PCS"/>
    <s v="1"/>
    <m/>
    <s v="0"/>
    <m/>
    <m/>
    <m/>
    <s v="GRAM"/>
    <n v="1"/>
    <m/>
    <n v="23381.4378"/>
    <n v="140288.6268"/>
    <n v="25953.395958000001"/>
    <n v="155720.37574800002"/>
    <n v="24873.87"/>
    <n v="149243.22"/>
    <n v="27609.995699999999"/>
    <n v="165659.97420000003"/>
    <n v="26863.78"/>
    <n v="161182.68"/>
    <n v="29818.7958"/>
    <n v="178912.77480000001"/>
    <m/>
    <d v="2024-09-18T00:00:00"/>
    <d v="2024-09-18T00:00:00"/>
    <s v="Lama"/>
    <s v="Sama"/>
    <s v="Aktif"/>
    <s v="IDR"/>
    <s v="10950"/>
    <s v="950 GR"/>
    <s v="S-HNZ"/>
    <s v="48HEINZ"/>
    <s v="KRT"/>
    <s v="GD01"/>
    <n v="11611"/>
    <n v="11612"/>
    <s v="0123"/>
    <n v="1"/>
    <s v="PT. HEINZ ABC INDONESIA"/>
    <n v="0"/>
    <n v="24873.87"/>
    <n v="24873.87"/>
  </r>
  <r>
    <s v="A11200090950102"/>
    <n v="2"/>
    <n v="229"/>
    <x v="250"/>
    <s v="CHILI"/>
    <s v="ABC SAM EP PLW 6X950G HY 2303"/>
    <x v="5"/>
    <x v="200"/>
    <x v="6"/>
    <s v="SAMBAL"/>
    <s v="A1120"/>
    <x v="132"/>
    <n v="14"/>
    <s v="ABC SAMBAL EXTRA PEDAS PILLOW 950 GR X 6 PCS"/>
    <n v="44"/>
    <s v="ABC"/>
    <s v="A1"/>
    <s v="SAMBAL"/>
    <n v="12"/>
    <m/>
    <n v="0"/>
    <m/>
    <n v="0"/>
    <s v="EXTRA PEDAS PILLOW"/>
    <s v="09"/>
    <s v="950 GR"/>
    <s v="0950"/>
    <s v="PCS"/>
    <s v="1"/>
    <m/>
    <s v="0"/>
    <m/>
    <m/>
    <m/>
    <s v="GRAM"/>
    <n v="1"/>
    <m/>
    <n v="23381.4378"/>
    <n v="140288.6268"/>
    <n v="25953.395958000001"/>
    <n v="155720.37574800002"/>
    <n v="24873.87"/>
    <n v="149243.22"/>
    <n v="27609.995699999999"/>
    <n v="165659.97420000003"/>
    <n v="26863.78"/>
    <n v="161182.68"/>
    <n v="29818.7958"/>
    <n v="178912.77480000001"/>
    <m/>
    <d v="2024-09-18T00:00:00"/>
    <d v="2024-09-18T00:00:00"/>
    <s v="Lama"/>
    <s v="Sama"/>
    <s v="Aktif"/>
    <s v="IDR"/>
    <s v="10950"/>
    <s v="950 GR"/>
    <s v="S-HNZ"/>
    <s v="48HEINZ"/>
    <s v="KRT"/>
    <s v="GD01"/>
    <n v="11611"/>
    <n v="11612"/>
    <s v="0123"/>
    <n v="1"/>
    <s v="PT. HEINZ ABC INDONESIA"/>
    <n v="0"/>
    <n v="24873.87"/>
    <n v="24873.87"/>
  </r>
  <r>
    <s v="A11200090950103"/>
    <n v="3"/>
    <n v="230"/>
    <x v="251"/>
    <s v="CHILI"/>
    <s v="ABC SAM EP PLW 6X950G HY 2303"/>
    <x v="5"/>
    <x v="201"/>
    <x v="6"/>
    <s v="SAMBAL"/>
    <s v="A1120"/>
    <x v="132"/>
    <n v="14"/>
    <s v="ABC SAMBAL EXTRA PEDAS PILLOW 950 GR X 6 PCS"/>
    <n v="44"/>
    <s v="ABC"/>
    <s v="A1"/>
    <s v="SAMBAL"/>
    <n v="12"/>
    <m/>
    <n v="0"/>
    <m/>
    <n v="0"/>
    <s v="EXTRA PEDAS PILLOW"/>
    <s v="09"/>
    <s v="950 GR"/>
    <s v="0950"/>
    <s v="PCS"/>
    <s v="1"/>
    <m/>
    <s v="0"/>
    <m/>
    <m/>
    <m/>
    <s v="GRAM"/>
    <n v="1"/>
    <m/>
    <n v="23381.4378"/>
    <n v="140288.6268"/>
    <n v="25953.395958000001"/>
    <n v="155720.37574800002"/>
    <n v="24873.87"/>
    <n v="149243.22"/>
    <n v="27609.995699999999"/>
    <n v="165659.97420000003"/>
    <n v="26863.78"/>
    <n v="161182.68"/>
    <n v="29818.7958"/>
    <n v="178912.77480000001"/>
    <m/>
    <d v="2024-12-19T00:00:00"/>
    <d v="2024-09-18T00:00:00"/>
    <s v="Lama"/>
    <s v="Sama"/>
    <s v="Aktif"/>
    <s v="IDR"/>
    <s v="10950"/>
    <s v="950 GR"/>
    <s v="S-HNZ"/>
    <s v="48HEINZ"/>
    <s v="KRT"/>
    <s v="GD01"/>
    <n v="11611"/>
    <n v="11612"/>
    <s v="0123"/>
    <n v="1"/>
    <s v="PT. HEINZ ABC INDONESIA"/>
    <n v="0"/>
    <n v="24873.87"/>
    <n v="24873.87"/>
  </r>
  <r>
    <s v="A11200100075101"/>
    <n v="1"/>
    <n v="231"/>
    <x v="252"/>
    <s v="CHILI"/>
    <s v="ABC SAM XP PCH 48X75G 2308"/>
    <x v="0"/>
    <x v="4"/>
    <x v="0"/>
    <s v="SAMBAL"/>
    <s v="A1120"/>
    <x v="133"/>
    <n v="14"/>
    <s v="ABC SAMBAL EXTREME PEDAS 75 GR X 48 PCH"/>
    <n v="39"/>
    <s v="ABC"/>
    <s v="A1"/>
    <s v="SAMBAL"/>
    <n v="12"/>
    <m/>
    <n v="0"/>
    <m/>
    <s v="0"/>
    <s v="EXTREME PEDAS"/>
    <n v="10"/>
    <s v="75 GR"/>
    <s v="0075"/>
    <s v="PCH"/>
    <s v="1"/>
    <m/>
    <s v="0"/>
    <m/>
    <m/>
    <m/>
    <s v="GRAM"/>
    <n v="1"/>
    <m/>
    <n v="2375.38"/>
    <n v="114018.24000000001"/>
    <n v="2636.6718000000005"/>
    <n v="126560.24640000002"/>
    <n v="2527"/>
    <n v="121296"/>
    <n v="2804.9700000000003"/>
    <n v="134638.56"/>
    <n v="2729.16"/>
    <n v="130999.67999999999"/>
    <n v="3029.3676"/>
    <n v="145409.64480000001"/>
    <m/>
    <d v="2024-09-18T00:00:00"/>
    <d v="2024-09-18T00:00:00"/>
    <s v="Lama"/>
    <s v="Sama"/>
    <s v="Aktif"/>
    <s v="IDR"/>
    <s v="10075"/>
    <s v="75 GR"/>
    <s v="S-HNZ"/>
    <s v="48HEINZ"/>
    <s v="KRT"/>
    <s v="GD01"/>
    <n v="11611"/>
    <n v="11612"/>
    <s v="0123"/>
    <n v="1"/>
    <s v="PT. HEINZ ABC INDONESIA"/>
    <n v="0"/>
    <n v="2527"/>
    <n v="2527"/>
  </r>
  <r>
    <s v="A11200100135101"/>
    <n v="1"/>
    <n v="232"/>
    <x v="253"/>
    <s v="CHILI"/>
    <s v="ABC SAM XP PET 48X135ML 2308"/>
    <x v="0"/>
    <x v="4"/>
    <x v="1"/>
    <s v="SAMBAL"/>
    <s v="A1120"/>
    <x v="134"/>
    <n v="14"/>
    <s v="ABC SAMBAL EXTREME PEDAS 135 ML X 48 BTL"/>
    <n v="40"/>
    <s v="ABC"/>
    <s v="A1"/>
    <s v="SAMBAL"/>
    <n v="12"/>
    <m/>
    <n v="0"/>
    <m/>
    <s v="0"/>
    <s v="EXTREME PEDAS"/>
    <n v="10"/>
    <s v="135 ML"/>
    <s v="0135"/>
    <s v="BTL"/>
    <s v="1"/>
    <m/>
    <s v="0"/>
    <m/>
    <m/>
    <m/>
    <s v="LITER"/>
    <n v="2"/>
    <m/>
    <n v="6402.152"/>
    <n v="307303.29599999997"/>
    <n v="7106.3887200000008"/>
    <n v="341106.65856000001"/>
    <n v="6810.8"/>
    <n v="326918.40000000002"/>
    <n v="7559.9880000000012"/>
    <n v="362879.42400000006"/>
    <n v="7355.66"/>
    <n v="353071.68"/>
    <n v="8164.7826000000005"/>
    <n v="391909.56480000005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6810.8"/>
    <n v="6810.8"/>
  </r>
  <r>
    <s v="A11200110135101"/>
    <n v="1"/>
    <n v="233"/>
    <x v="254"/>
    <s v="CHILI"/>
    <s v="ABC SAM MNS PDS 48X135ML 2105"/>
    <x v="0"/>
    <x v="202"/>
    <x v="1"/>
    <s v="SAMBAL"/>
    <s v="A1120"/>
    <x v="135"/>
    <n v="14"/>
    <s v="ABC SAMBAL MANIS PEDAS 135 ML X 48 BTL"/>
    <n v="38"/>
    <s v="ABC"/>
    <s v="A1"/>
    <s v="SAMBAL"/>
    <n v="12"/>
    <m/>
    <n v="0"/>
    <m/>
    <s v="0"/>
    <s v="MANIS PEDAS"/>
    <n v="11"/>
    <s v="135 ML"/>
    <s v="0135"/>
    <s v="BTL"/>
    <s v="1"/>
    <m/>
    <s v="0"/>
    <m/>
    <m/>
    <m/>
    <s v="LITER"/>
    <n v="2"/>
    <m/>
    <n v="6097.2904166666667"/>
    <n v="292669.94"/>
    <n v="6767.992362500001"/>
    <n v="324863.63340000005"/>
    <n v="6486.479166666667"/>
    <n v="311351"/>
    <n v="7199.9918750000006"/>
    <n v="345599.61000000004"/>
    <n v="7005.3975000000009"/>
    <n v="336259.08000000007"/>
    <n v="7775.9912250000016"/>
    <n v="373247.57880000008"/>
    <m/>
    <d v="2024-09-18T00:00:00"/>
    <d v="2025-07-01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6486.479166666667"/>
    <n v="6486.479166666667"/>
  </r>
  <r>
    <s v="A11200110135102"/>
    <n v="2"/>
    <n v="234"/>
    <x v="255"/>
    <s v="CHILI"/>
    <s v="ABC SAM MNS PDS 48X130ML 2105"/>
    <x v="0"/>
    <x v="203"/>
    <x v="1"/>
    <s v="SAMBAL"/>
    <s v="A1120"/>
    <x v="135"/>
    <n v="14"/>
    <s v="ABC SAMBAL MANIS PEDAS 130 ML X 48 BTL"/>
    <n v="38"/>
    <s v="ABC"/>
    <s v="A1"/>
    <s v="SAMBAL"/>
    <n v="12"/>
    <m/>
    <n v="0"/>
    <m/>
    <s v="0"/>
    <s v="MANIS PEDAS"/>
    <n v="11"/>
    <s v="130 ML"/>
    <s v="0135"/>
    <s v="BTL"/>
    <s v="1"/>
    <m/>
    <s v="0"/>
    <m/>
    <m/>
    <m/>
    <s v="LITER"/>
    <n v="2"/>
    <m/>
    <n v="6097.2904166666667"/>
    <n v="292669.94"/>
    <n v="6767.992362500001"/>
    <n v="324863.63340000005"/>
    <n v="6486.479166666667"/>
    <n v="311351"/>
    <n v="7199.9918750000006"/>
    <n v="345599.61000000004"/>
    <n v="7005.3975000000009"/>
    <n v="336259.08000000007"/>
    <n v="7775.9912250000016"/>
    <n v="373247.57880000008"/>
    <m/>
    <d v="2024-09-26T00:00:00"/>
    <d v="2025-07-01T00:00:00"/>
    <s v="Lama"/>
    <s v="Sama"/>
    <s v="Aktif"/>
    <s v="IDR"/>
    <s v="20135"/>
    <s v="130 ML"/>
    <s v="S-HNZ"/>
    <s v="48HEINZ"/>
    <s v="KRT"/>
    <s v="GD01"/>
    <n v="11611"/>
    <n v="11612"/>
    <s v="0123"/>
    <n v="1"/>
    <s v="PT. HEINZ ABC INDONESIA"/>
    <n v="0"/>
    <n v="6486.479166666667"/>
    <n v="6486.479166666667"/>
  </r>
  <r>
    <s v="A11200110335101"/>
    <n v="1"/>
    <n v="235"/>
    <x v="256"/>
    <s v="CHILI"/>
    <s v="ABC SAM MNS PDS 24X335ML 2105"/>
    <x v="1"/>
    <x v="4"/>
    <x v="1"/>
    <s v="SAMBAL"/>
    <s v="A1120"/>
    <x v="136"/>
    <n v="14"/>
    <s v="ABC SAMBAL MANIS PEDAS 335 ML X 24 BTL"/>
    <n v="38"/>
    <s v="ABC"/>
    <s v="A1"/>
    <s v="SAMBAL"/>
    <n v="12"/>
    <m/>
    <n v="0"/>
    <m/>
    <s v="0"/>
    <s v="MANIS PEDAS"/>
    <n v="11"/>
    <s v="335 ML"/>
    <s v="0335"/>
    <s v="BTL"/>
    <s v="1"/>
    <m/>
    <s v="0"/>
    <m/>
    <m/>
    <m/>
    <s v="LITER"/>
    <n v="2"/>
    <m/>
    <n v="14023.78378378378"/>
    <n v="336570.81081081071"/>
    <n v="15566.399999999996"/>
    <n v="373593.59999999992"/>
    <n v="14918.918918918915"/>
    <n v="358054.05405405397"/>
    <n v="16559.999999999996"/>
    <n v="397439.99999999994"/>
    <n v="16112.43243243243"/>
    <n v="386698.37837837834"/>
    <n v="17884.8"/>
    <n v="429235.19999999995"/>
    <m/>
    <d v="2024-09-18T00:00:00"/>
    <d v="2025-07-01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4918.918918918915"/>
    <n v="14918.918918918915"/>
  </r>
  <r>
    <s v="A11200110335102"/>
    <n v="2"/>
    <n v="236"/>
    <x v="257"/>
    <s v="CHILI"/>
    <s v="ABC SAM MNS PDS 24X335ML 2105"/>
    <x v="1"/>
    <x v="204"/>
    <x v="1"/>
    <s v="SAMBAL"/>
    <s v="A1120"/>
    <x v="136"/>
    <n v="14"/>
    <s v="ABC SAMBAL MANIS PEDAS 335 ML X 24 BTL"/>
    <n v="38"/>
    <s v="ABC"/>
    <s v="A1"/>
    <s v="SAMBAL"/>
    <n v="12"/>
    <m/>
    <n v="0"/>
    <m/>
    <s v="0"/>
    <s v="MANIS PEDAS"/>
    <n v="11"/>
    <s v="335 ML"/>
    <s v="0335"/>
    <s v="BTL"/>
    <s v="1"/>
    <m/>
    <s v="0"/>
    <m/>
    <m/>
    <m/>
    <s v="LITER"/>
    <n v="2"/>
    <m/>
    <n v="14023.78378378378"/>
    <n v="336570.81081081071"/>
    <n v="15566.399999999996"/>
    <n v="373593.59999999992"/>
    <n v="14918.918918918915"/>
    <n v="358054.05405405397"/>
    <n v="16559.999999999996"/>
    <n v="397439.99999999994"/>
    <n v="16112.43243243243"/>
    <n v="386698.37837837834"/>
    <n v="17884.8"/>
    <n v="429235.19999999995"/>
    <m/>
    <d v="2024-12-16T00:00:00"/>
    <d v="2025-07-01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4918.918918918915"/>
    <n v="14918.918918918915"/>
  </r>
  <r>
    <s v="A11200120135101"/>
    <n v="1"/>
    <n v="237"/>
    <x v="258"/>
    <s v="CHILI"/>
    <s v="ABC SAM AYM GRG 48X135ML 2105"/>
    <x v="0"/>
    <x v="205"/>
    <x v="1"/>
    <s v="SAMBAL"/>
    <s v="A1120"/>
    <x v="137"/>
    <n v="14"/>
    <s v="ABC SAMBAL AYAM GORENG 135 ML X 48 BTL"/>
    <n v="38"/>
    <s v="ABC"/>
    <s v="A1"/>
    <s v="SAMBAL"/>
    <n v="12"/>
    <m/>
    <n v="0"/>
    <m/>
    <s v="0"/>
    <s v="AYAM GORENG"/>
    <n v="12"/>
    <s v="135 ML"/>
    <s v="0135"/>
    <s v="BTL"/>
    <s v="1"/>
    <m/>
    <s v="0"/>
    <m/>
    <m/>
    <m/>
    <s v="LITER"/>
    <n v="2"/>
    <m/>
    <n v="6097.2904166666667"/>
    <n v="292669.94"/>
    <n v="6767.992362500001"/>
    <n v="324863.63340000005"/>
    <n v="6486.479166666667"/>
    <n v="311351"/>
    <n v="7199.9918750000006"/>
    <n v="345599.61000000004"/>
    <n v="7005.3975000000009"/>
    <n v="336259.08000000007"/>
    <n v="7775.9912250000016"/>
    <n v="373247.57880000008"/>
    <m/>
    <d v="2024-09-18T00:00:00"/>
    <d v="2025-07-01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6486.479166666667"/>
    <n v="6486.479166666667"/>
  </r>
  <r>
    <s v="A11200120135102"/>
    <n v="2"/>
    <n v="238"/>
    <x v="259"/>
    <s v="CHILI"/>
    <s v="ABC SAM AYM GRG 48X135ML 2105"/>
    <x v="0"/>
    <x v="206"/>
    <x v="1"/>
    <s v="SAMBAL"/>
    <s v="A1120"/>
    <x v="137"/>
    <n v="14"/>
    <s v="ABC SAMBAL AYAM GORENG 135/130 ML X 48 BTL"/>
    <n v="42"/>
    <s v="ABC"/>
    <s v="A1"/>
    <s v="SAMBAL"/>
    <n v="12"/>
    <m/>
    <n v="0"/>
    <m/>
    <s v="0"/>
    <s v="AYAM GORENG"/>
    <n v="12"/>
    <s v="135/130 ML"/>
    <s v="0135"/>
    <s v="BTL"/>
    <s v="1"/>
    <m/>
    <s v="0"/>
    <m/>
    <m/>
    <m/>
    <s v="LITER"/>
    <n v="2"/>
    <m/>
    <n v="6097.2904166666667"/>
    <n v="292669.94"/>
    <n v="6767.992362500001"/>
    <n v="324863.63340000005"/>
    <n v="6486.479166666667"/>
    <n v="311351"/>
    <n v="7199.9918750000006"/>
    <n v="345599.61000000004"/>
    <n v="7005.3975000000009"/>
    <n v="336259.08000000007"/>
    <n v="7775.9912250000016"/>
    <n v="373247.57880000008"/>
    <m/>
    <m/>
    <d v="2025-07-01T00:00:00"/>
    <s v="Lama"/>
    <s v="Sama"/>
    <s v="Aktif"/>
    <s v="IDR"/>
    <s v="20135"/>
    <s v="135/130 ML"/>
    <s v="S-HNZ"/>
    <s v="48HEINZ"/>
    <s v="KRT"/>
    <s v="GD01"/>
    <n v="11611"/>
    <n v="11612"/>
    <s v="0123"/>
    <n v="1"/>
    <s v="PT. HEINZ ABC INDONESIA"/>
    <n v="0"/>
    <n v="6486.479166666667"/>
    <n v="6486.479166666667"/>
  </r>
  <r>
    <s v="A11200120335102"/>
    <n v="2"/>
    <n v="239"/>
    <x v="260"/>
    <s v="CHILI"/>
    <s v="ABC SAM AYM GRG 24X335ML 2405"/>
    <x v="1"/>
    <x v="207"/>
    <x v="1"/>
    <s v="SAMBAL"/>
    <s v="A1120"/>
    <x v="138"/>
    <n v="14"/>
    <s v="ABC SAMBAL AYAM GORENG 335 ML X 24 BTL"/>
    <n v="38"/>
    <s v="ABC"/>
    <s v="A1"/>
    <s v="SAMBAL"/>
    <n v="12"/>
    <m/>
    <n v="0"/>
    <m/>
    <s v="0"/>
    <s v="AYAM GORENG"/>
    <n v="12"/>
    <s v="335 ML"/>
    <s v="0335"/>
    <s v="BTL"/>
    <s v="1"/>
    <m/>
    <s v="0"/>
    <m/>
    <m/>
    <m/>
    <s v="LITER"/>
    <n v="2"/>
    <m/>
    <n v="14023.784799999999"/>
    <n v="336570.83519999997"/>
    <n v="15566.401128000001"/>
    <n v="373593.627072"/>
    <n v="14918.92"/>
    <n v="358054.08"/>
    <n v="16560.001200000002"/>
    <n v="397440.02880000003"/>
    <n v="16112.43"/>
    <n v="386698.32"/>
    <n v="17884.797300000002"/>
    <n v="429235.13520000002"/>
    <m/>
    <m/>
    <d v="2024-09-18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4918.92"/>
    <n v="14918.92"/>
  </r>
  <r>
    <s v="A11200120335101"/>
    <n v="1"/>
    <n v="240"/>
    <x v="261"/>
    <s v="CHILI"/>
    <s v="ABC SAM AYM GRG 24X335ML 2105"/>
    <x v="1"/>
    <x v="208"/>
    <x v="1"/>
    <s v="SAMBAL"/>
    <s v="A1120"/>
    <x v="138"/>
    <n v="14"/>
    <s v="ABC SAMBAL AYAM GORENG 335 ML X 24 BTL"/>
    <n v="38"/>
    <s v="ABC"/>
    <s v="A1"/>
    <s v="SAMBAL"/>
    <n v="12"/>
    <m/>
    <n v="0"/>
    <m/>
    <s v="0"/>
    <s v="AYAM GORENG"/>
    <n v="12"/>
    <s v="335 ML"/>
    <s v="0335"/>
    <s v="BTL"/>
    <s v="1"/>
    <m/>
    <s v="0"/>
    <m/>
    <m/>
    <m/>
    <s v="LITER"/>
    <n v="2"/>
    <m/>
    <n v="14023.784799999999"/>
    <n v="336570.83519999997"/>
    <n v="15566.401128000001"/>
    <n v="373593.627072"/>
    <n v="14918.92"/>
    <n v="358054.08"/>
    <n v="16560.001200000002"/>
    <n v="397440.02880000003"/>
    <n v="16112.43"/>
    <n v="386698.32"/>
    <n v="17884.797300000002"/>
    <n v="429235.13520000002"/>
    <m/>
    <d v="2024-09-18T00:00:00"/>
    <d v="2024-09-18T00:00:00"/>
    <s v="Lama"/>
    <s v="Sama"/>
    <s v="Aktif"/>
    <s v="IDR"/>
    <s v="20335"/>
    <s v="335 ML"/>
    <s v="S-HNZ"/>
    <s v="48HEINZ"/>
    <s v="KRT"/>
    <s v="GD01"/>
    <n v="11611"/>
    <n v="11612"/>
    <s v="0123"/>
    <n v="1"/>
    <s v="PT. HEINZ ABC INDONESIA"/>
    <n v="0"/>
    <n v="14918.92"/>
    <n v="14918.92"/>
  </r>
  <r>
    <s v="A11200130135101"/>
    <n v="1"/>
    <n v="241"/>
    <x v="262"/>
    <s v="CHILI"/>
    <s v="ABC SAM BWNG PDS 48X135ML 2105"/>
    <x v="0"/>
    <x v="4"/>
    <x v="1"/>
    <s v="SAMBAL"/>
    <s v="A1120"/>
    <x v="139"/>
    <n v="14"/>
    <s v="ABC SAMBAL BAWANG PEDAS 135 ML X 48 BTL"/>
    <n v="39"/>
    <s v="ABC"/>
    <s v="A1"/>
    <s v="SAMBAL"/>
    <n v="12"/>
    <m/>
    <s v="0"/>
    <m/>
    <s v="0"/>
    <s v="BAWANG PEDAS"/>
    <n v="13"/>
    <s v="135 ML"/>
    <s v="0135"/>
    <s v="BTL"/>
    <s v="1"/>
    <m/>
    <s v="0"/>
    <m/>
    <m/>
    <m/>
    <s v="LITER"/>
    <n v="2"/>
    <m/>
    <n v="6097.3005999999996"/>
    <n v="292670.42879999999"/>
    <n v="6768.0036660000005"/>
    <n v="324864.17596800003"/>
    <n v="6486.49"/>
    <n v="311351.52"/>
    <n v="7200.0039000000006"/>
    <n v="345600.18720000004"/>
    <n v="6810.8108108108117"/>
    <n v="326918.91891891893"/>
    <n v="7560.0000000000018"/>
    <n v="362880.00000000012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6486.49"/>
    <n v="6486.49"/>
  </r>
  <r>
    <s v="A11200130275101"/>
    <n v="1"/>
    <n v="242"/>
    <x v="263"/>
    <s v="CHILI"/>
    <s v="ABC SAM BWNG PDS 24X275ML 2105"/>
    <x v="1"/>
    <x v="209"/>
    <x v="1"/>
    <s v="SAMBAL"/>
    <s v="A1120"/>
    <x v="140"/>
    <n v="14"/>
    <s v="ABC SAMBAL BAWANG PEDAS 275 ML X 24 BTL"/>
    <n v="39"/>
    <s v="ABC"/>
    <s v="A1"/>
    <s v="SAMBAL"/>
    <n v="12"/>
    <m/>
    <s v="0"/>
    <m/>
    <s v="0"/>
    <s v="BAWANG PEDAS"/>
    <n v="13"/>
    <s v="275 ML"/>
    <s v="0275"/>
    <s v="BTL"/>
    <s v="1"/>
    <m/>
    <s v="0"/>
    <m/>
    <m/>
    <m/>
    <s v="LITER"/>
    <n v="2"/>
    <m/>
    <n v="11271.5306"/>
    <n v="270516.73440000002"/>
    <n v="12511.398966000001"/>
    <n v="300273.57518400002"/>
    <n v="11990.99"/>
    <n v="287783.76"/>
    <n v="13309.998900000001"/>
    <n v="319439.97360000003"/>
    <n v="12950.27"/>
    <n v="310806.48"/>
    <n v="14374.799700000001"/>
    <n v="344995.19280000002"/>
    <m/>
    <d v="2024-09-18T00:00:00"/>
    <d v="2024-09-18T00:00:00"/>
    <s v="Lama"/>
    <s v="Sama"/>
    <s v="Aktif"/>
    <s v="IDR"/>
    <s v="20275"/>
    <s v="275 ML"/>
    <s v="S-HNZ"/>
    <s v="48HEINZ"/>
    <s v="KRT"/>
    <s v="GD01"/>
    <n v="11611"/>
    <n v="11612"/>
    <s v="0123"/>
    <n v="1"/>
    <s v="PT. HEINZ ABC INDONESIA"/>
    <n v="0"/>
    <n v="11990.99"/>
    <n v="11990.99"/>
  </r>
  <r>
    <s v="A11200130275102"/>
    <n v="2"/>
    <n v="243"/>
    <x v="264"/>
    <s v="CHILI"/>
    <s v="ABC SAM BWNG PDS 24X270ML 2105"/>
    <x v="1"/>
    <x v="210"/>
    <x v="1"/>
    <s v="SAMBAL"/>
    <s v="A1120"/>
    <x v="140"/>
    <n v="14"/>
    <s v="ABC SAMBAL BAWANG PEDAS 270 ML X 24 BTL"/>
    <n v="39"/>
    <s v="ABC"/>
    <s v="A1"/>
    <s v="SAMBAL"/>
    <n v="12"/>
    <m/>
    <s v="0"/>
    <m/>
    <s v="0"/>
    <s v="BAWANG PEDAS"/>
    <n v="13"/>
    <s v="270 ML"/>
    <s v="0275"/>
    <s v="BTL"/>
    <s v="1"/>
    <m/>
    <s v="0"/>
    <m/>
    <m/>
    <m/>
    <s v="LITER"/>
    <n v="2"/>
    <m/>
    <n v="11271.5306"/>
    <n v="270516.73440000002"/>
    <n v="12511.398966000001"/>
    <n v="300273.57518400002"/>
    <n v="11990.99"/>
    <n v="287783.76"/>
    <n v="13309.998900000001"/>
    <n v="319439.97360000003"/>
    <n v="12950.27"/>
    <n v="310806.48"/>
    <n v="14374.799700000001"/>
    <n v="344995.19280000002"/>
    <m/>
    <d v="2025-01-24T00:00:00"/>
    <d v="2024-09-18T00:00:00"/>
    <s v="Lama"/>
    <s v="Sama"/>
    <s v="Aktif"/>
    <s v="IDR"/>
    <s v="20275"/>
    <s v="270 ML"/>
    <s v="S-HNZ"/>
    <s v="48HEINZ"/>
    <s v="KRT"/>
    <s v="GD01"/>
    <n v="11611"/>
    <n v="11612"/>
    <n v="123"/>
    <n v="1"/>
    <s v="PT. HEINZ ABC INDONESIA"/>
    <n v="0"/>
    <n v="11990.99"/>
    <n v="11990.99"/>
  </r>
  <r>
    <s v="A11210000007101"/>
    <n v="1"/>
    <n v="244"/>
    <x v="265"/>
    <s v="CHILI"/>
    <s v="HOKI SAM SCT 21X24X7G 2201"/>
    <x v="10"/>
    <x v="4"/>
    <x v="10"/>
    <s v="SAMBAL HOKI"/>
    <s v="A1121"/>
    <x v="141"/>
    <n v="14"/>
    <s v="ABC SAMBAL HOKI 7 GR X 21 PACK PCSX24"/>
    <n v="37"/>
    <s v="ABC"/>
    <s v="A1"/>
    <s v="SAMBAL"/>
    <n v="12"/>
    <s v="HOKI"/>
    <n v="1"/>
    <m/>
    <s v="0"/>
    <m/>
    <s v="00"/>
    <s v="7 GR"/>
    <s v="0007"/>
    <s v="PCSX24"/>
    <s v="1"/>
    <m/>
    <s v="0"/>
    <s v="PACK"/>
    <m/>
    <m/>
    <s v="GRAM"/>
    <n v="1"/>
    <m/>
    <n v="3610.4366"/>
    <n v="75819.168600000005"/>
    <n v="4007.5846260000003"/>
    <n v="84159.277146000008"/>
    <n v="3840.89"/>
    <n v="80658.69"/>
    <n v="4263.3879000000006"/>
    <n v="89531.145900000018"/>
    <n v="4148.1565714285716"/>
    <n v="87111.288"/>
    <n v="4604.453794285715"/>
    <n v="96693.529680000021"/>
    <m/>
    <d v="2024-09-18T00:00:00"/>
    <d v="2024-09-18T00:00:00"/>
    <s v="Lama"/>
    <s v="Sama"/>
    <s v="Aktif"/>
    <s v="IDR"/>
    <s v="10007"/>
    <s v="7 GR"/>
    <s v="S-HNZ"/>
    <s v="48HEINZ"/>
    <s v="KRT"/>
    <s v="GD01"/>
    <n v="11611"/>
    <n v="11612"/>
    <s v="0123"/>
    <n v="1"/>
    <s v="PT. HEINZ ABC INDONESIA"/>
    <n v="0"/>
    <n v="3840.89"/>
    <n v="3840.89"/>
  </r>
  <r>
    <s v="A11210000580101"/>
    <n v="1"/>
    <n v="245"/>
    <x v="266"/>
    <s v="CHILI"/>
    <s v="HOKI SAM PLW 6X580G 2201"/>
    <x v="5"/>
    <x v="4"/>
    <x v="6"/>
    <s v="SAMBAL HOKI"/>
    <s v="A1121"/>
    <x v="142"/>
    <n v="14"/>
    <s v="ABC SAMBAL HOKI 580 GR X 6 PCS"/>
    <n v="30"/>
    <s v="ABC"/>
    <s v="A1"/>
    <s v="SAMBAL"/>
    <n v="12"/>
    <s v="HOKI"/>
    <n v="1"/>
    <m/>
    <s v="0"/>
    <m/>
    <s v="00"/>
    <s v="580 GR"/>
    <s v="0580"/>
    <s v="PCS"/>
    <s v="1"/>
    <m/>
    <s v="0"/>
    <m/>
    <m/>
    <m/>
    <s v="GRAM"/>
    <n v="1"/>
    <m/>
    <n v="5215.5429999999997"/>
    <n v="31293.257999999998"/>
    <n v="5789.2527300000002"/>
    <n v="34735.516380000001"/>
    <n v="5548.45"/>
    <n v="33290.699999999997"/>
    <n v="6158.7795000000006"/>
    <n v="36952.677000000003"/>
    <n v="5992.326"/>
    <n v="35953.955999999998"/>
    <n v="6651.4818600000008"/>
    <n v="39908.891160000006"/>
    <m/>
    <d v="2024-09-18T00:00:00"/>
    <d v="2024-09-18T00:00:00"/>
    <s v="Lama"/>
    <s v="Sama"/>
    <s v="Aktif"/>
    <s v="IDR"/>
    <s v="10580"/>
    <s v="580 GR"/>
    <s v="S-HNZ"/>
    <s v="48HEINZ"/>
    <s v="KRT"/>
    <s v="GD01"/>
    <n v="11611"/>
    <n v="11612"/>
    <s v="0123"/>
    <n v="1"/>
    <s v="PT. HEINZ ABC INDONESIA"/>
    <n v="0"/>
    <n v="5548.45"/>
    <n v="5548.45"/>
  </r>
  <r>
    <s v="A11210000580102"/>
    <n v="2"/>
    <n v="246"/>
    <x v="267"/>
    <s v="CHILI"/>
    <s v="HOKI SAM PLW 6X580G 2209"/>
    <x v="5"/>
    <x v="4"/>
    <x v="6"/>
    <s v="SAMBAL HOKI"/>
    <s v="A1121"/>
    <x v="142"/>
    <n v="14"/>
    <s v="ABC SAMBAL HOKI 580 GR X 6 PCS"/>
    <n v="30"/>
    <s v="ABC"/>
    <s v="A1"/>
    <s v="SAMBAL"/>
    <n v="12"/>
    <s v="HOKI"/>
    <n v="1"/>
    <m/>
    <s v="0"/>
    <m/>
    <s v="00"/>
    <s v="580 GR"/>
    <s v="0580"/>
    <s v="PCS"/>
    <s v="1"/>
    <m/>
    <s v="0"/>
    <m/>
    <m/>
    <m/>
    <s v="GRAM"/>
    <n v="1"/>
    <m/>
    <n v="5215.5429999999997"/>
    <n v="31293.257999999998"/>
    <n v="5789.2527300000002"/>
    <n v="34735.516380000001"/>
    <n v="5548.45"/>
    <n v="33290.699999999997"/>
    <n v="6158.7795000000006"/>
    <n v="36952.677000000003"/>
    <n v="5992.326"/>
    <n v="35953.955999999998"/>
    <n v="6651.4818600000008"/>
    <n v="39908.891160000006"/>
    <m/>
    <d v="2024-09-18T00:00:00"/>
    <d v="2024-09-18T00:00:00"/>
    <s v="Lama"/>
    <s v="Sama"/>
    <s v="Aktif"/>
    <s v="IDR"/>
    <s v="10580"/>
    <s v="580 GR"/>
    <s v="S-HNZ"/>
    <s v="48HEINZ"/>
    <s v="KRT"/>
    <s v="GD01"/>
    <n v="11611"/>
    <n v="11612"/>
    <s v="0123"/>
    <n v="1"/>
    <s v="PT. HEINZ ABC INDONESIA"/>
    <n v="0"/>
    <n v="5548.45"/>
    <n v="5548.45"/>
  </r>
  <r>
    <s v="A11220010018101"/>
    <n v="1"/>
    <n v="247"/>
    <x v="268"/>
    <s v="CHILI"/>
    <s v="ABC SAM TERASI SCT 100X18G2108"/>
    <x v="11"/>
    <x v="211"/>
    <x v="4"/>
    <s v="SAMBAL NUSANTARA"/>
    <s v="A1122"/>
    <x v="143"/>
    <n v="14"/>
    <s v="ABC SAMBAL NUSANTARA TERASI 18 GR X 10 PACK PCSX10"/>
    <n v="50"/>
    <s v="ABC"/>
    <s v="A1"/>
    <s v="SAMBAL"/>
    <n v="12"/>
    <s v="NUSANTARA"/>
    <n v="2"/>
    <m/>
    <s v="0"/>
    <s v="TERASI"/>
    <s v="01"/>
    <s v="18 GR"/>
    <s v="0018"/>
    <s v="PCSX10"/>
    <s v="1"/>
    <m/>
    <s v="0"/>
    <s v="PACK"/>
    <m/>
    <m/>
    <s v="GRAM"/>
    <n v="1"/>
    <m/>
    <n v="10554.254199999999"/>
    <n v="105542.54199999999"/>
    <n v="11715.222162"/>
    <n v="117152.22162"/>
    <n v="11227.93"/>
    <n v="112279.3"/>
    <n v="12463.002300000002"/>
    <n v="124630.02300000002"/>
    <n v="12126.162272399999"/>
    <n v="121261.62272399999"/>
    <n v="13460.040122364"/>
    <n v="134600.40122364002"/>
    <m/>
    <d v="2024-09-18T00:00:00"/>
    <d v="2025-10-15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1227.93"/>
    <n v="11227.93"/>
  </r>
  <r>
    <s v="A11220010018102"/>
    <n v="2"/>
    <n v="248"/>
    <x v="269"/>
    <s v="CHILI"/>
    <s v="ABC SAM TERASI SCT 100X18G2203"/>
    <x v="11"/>
    <x v="212"/>
    <x v="4"/>
    <s v="SAMBAL NUSANTARA"/>
    <s v="A1122"/>
    <x v="143"/>
    <n v="14"/>
    <s v="ABC SAMBAL NUSANTARA TERASI 18 GR X 10 PACK PCSX10"/>
    <n v="50"/>
    <s v="ABC"/>
    <s v="A1"/>
    <s v="SAMBAL"/>
    <n v="12"/>
    <s v="NUSANTARA"/>
    <n v="2"/>
    <m/>
    <s v="0"/>
    <s v="TERASI"/>
    <s v="01"/>
    <s v="18 GR"/>
    <s v="0018"/>
    <s v="PCSX10"/>
    <s v="1"/>
    <m/>
    <s v="0"/>
    <s v="PACK"/>
    <m/>
    <m/>
    <s v="GRAM"/>
    <n v="1"/>
    <m/>
    <n v="10554.254199999999"/>
    <n v="105542.54199999999"/>
    <n v="11715.222162"/>
    <n v="117152.22162"/>
    <n v="11227.93"/>
    <n v="112279.3"/>
    <n v="12463.002300000002"/>
    <n v="124630.02300000002"/>
    <n v="12126.162272399999"/>
    <n v="121261.62272399999"/>
    <n v="13460.040122364"/>
    <n v="134600.40122364002"/>
    <m/>
    <d v="2024-09-18T00:00:00"/>
    <d v="2025-10-15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1227.93"/>
    <n v="11227.93"/>
  </r>
  <r>
    <s v="A11220010018103"/>
    <n v="3"/>
    <n v="249"/>
    <x v="270"/>
    <s v="CHILI"/>
    <s v="ABC SAM TERASI SCT 100X18G2408"/>
    <x v="11"/>
    <x v="213"/>
    <x v="4"/>
    <s v="SAMBAL NUSANTARA"/>
    <s v="A1122"/>
    <x v="143"/>
    <n v="14"/>
    <s v="ABC SAMBAL NUSANTARA TERASI 18 GR X 10 PACK PCSX10"/>
    <n v="50"/>
    <s v="ABC"/>
    <s v="A1"/>
    <s v="SAMBAL"/>
    <n v="12"/>
    <s v="NUSANTARA"/>
    <n v="2"/>
    <m/>
    <s v="0"/>
    <s v="TERASI"/>
    <s v="01"/>
    <s v="18 GR"/>
    <s v="0018"/>
    <s v="PCSX10"/>
    <s v="1"/>
    <m/>
    <s v="0"/>
    <s v="PACK"/>
    <m/>
    <m/>
    <s v="GRAM"/>
    <n v="1"/>
    <m/>
    <n v="10554.254199999999"/>
    <n v="105542.54199999999"/>
    <n v="11715.222162"/>
    <n v="117152.22162"/>
    <n v="11227.93"/>
    <n v="112279.3"/>
    <n v="12463.002300000002"/>
    <n v="124630.02300000002"/>
    <n v="12126.162272399999"/>
    <n v="121261.62272399999"/>
    <n v="13460.040122364"/>
    <n v="134600.40122364002"/>
    <m/>
    <d v="2025-03-28T00:00:00"/>
    <d v="2025-10-15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1227.93"/>
    <n v="11227.93"/>
  </r>
  <r>
    <s v="A11220010018111"/>
    <n v="1"/>
    <n v="250"/>
    <x v="271"/>
    <s v="CHILI"/>
    <s v="ABC SAM TRS SCT PR100X18G 2209"/>
    <x v="11"/>
    <x v="4"/>
    <x v="4"/>
    <s v="SAMBAL NUS."/>
    <s v="A1122"/>
    <x v="144"/>
    <n v="14"/>
    <s v="ABC SAMBAL NUS. TERASI 18 GR X 10 PACK PCSX10 B8G2"/>
    <n v="50"/>
    <s v="ABC"/>
    <s v="A1"/>
    <s v="SAMBAL"/>
    <n v="12"/>
    <s v="NUS."/>
    <n v="2"/>
    <m/>
    <s v="0"/>
    <s v="TERASI"/>
    <s v="01"/>
    <s v="18 GR"/>
    <s v="0018"/>
    <s v="PCSX10"/>
    <s v="1"/>
    <s v="B8G2"/>
    <n v="1"/>
    <s v="PACK"/>
    <m/>
    <m/>
    <s v="GRAM"/>
    <n v="1"/>
    <m/>
    <n v="8197.4580000000005"/>
    <n v="81974.58"/>
    <n v="9099.1783800000012"/>
    <n v="90991.783800000005"/>
    <n v="8720.7000000000007"/>
    <n v="87207"/>
    <n v="9679.9770000000008"/>
    <n v="96799.77"/>
    <n v="9293.8428000000004"/>
    <n v="92938.428"/>
    <n v="10316.165508000002"/>
    <n v="103161.65508000003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8720.7000000000007"/>
    <n v="8720.7000000000007"/>
  </r>
  <r>
    <s v="A11220010018112"/>
    <n v="2"/>
    <n v="251"/>
    <x v="272"/>
    <s v="CHILI"/>
    <s v="ABC SAM TRASI 100X18G B8G22402"/>
    <x v="11"/>
    <x v="4"/>
    <x v="4"/>
    <s v="SAMBAL NUS."/>
    <s v="A1122"/>
    <x v="144"/>
    <n v="14"/>
    <s v="ABC SAMBAL NUS. TERASI 18 GR X 10 PACK PCSX10 B8G2"/>
    <n v="50"/>
    <s v="ABC"/>
    <s v="A1"/>
    <s v="SAMBAL"/>
    <n v="12"/>
    <s v="NUS."/>
    <n v="2"/>
    <m/>
    <s v="0"/>
    <s v="TERASI"/>
    <s v="01"/>
    <s v="18 GR"/>
    <s v="0018"/>
    <s v="PCSX10"/>
    <s v="1"/>
    <s v="B8G2"/>
    <n v="1"/>
    <s v="PACK"/>
    <m/>
    <m/>
    <s v="GRAM"/>
    <n v="1"/>
    <m/>
    <n v="8197.4580000000005"/>
    <n v="81974.58"/>
    <n v="9099.1783800000012"/>
    <n v="90991.783800000005"/>
    <n v="8720.7000000000007"/>
    <n v="87207"/>
    <n v="9679.9770000000008"/>
    <n v="96799.77"/>
    <n v="9293.8428000000004"/>
    <n v="92938.428"/>
    <n v="10316.165508000002"/>
    <n v="103161.65508000003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8720.7000000000007"/>
    <n v="8720.7000000000007"/>
  </r>
  <r>
    <s v="A11220010018121"/>
    <n v="1"/>
    <n v="252"/>
    <x v="273"/>
    <s v="CHILI"/>
    <s v="ABC S.TRSI UNICODE 100X18G2409"/>
    <x v="11"/>
    <x v="214"/>
    <x v="4"/>
    <s v="SAMBAL NUS."/>
    <s v="A1122"/>
    <x v="145"/>
    <n v="14"/>
    <s v="ABC SAMBAL NUS. TERASI 18 GR X 10 PACK PCSX10 UNIK"/>
    <n v="50"/>
    <s v="ABC"/>
    <s v="A1"/>
    <s v="SAMBAL"/>
    <n v="12"/>
    <s v="NUS."/>
    <n v="2"/>
    <m/>
    <s v="0"/>
    <s v="TERASI"/>
    <s v="01"/>
    <s v="18 GR"/>
    <s v="0018"/>
    <s v="PCSX10"/>
    <s v="1"/>
    <s v="UNIK"/>
    <n v="2"/>
    <s v="PACK"/>
    <m/>
    <m/>
    <s v="GRAM"/>
    <n v="1"/>
    <m/>
    <n v="10554.254199999999"/>
    <n v="105542.54199999999"/>
    <n v="11715.222162"/>
    <n v="117152.22162"/>
    <n v="11227.93"/>
    <n v="112279.3"/>
    <n v="12463.002300000002"/>
    <n v="124630.02300000002"/>
    <n v="12126.162272399999"/>
    <n v="121261.62272399999"/>
    <n v="13460.040122364"/>
    <n v="134600.40122364002"/>
    <m/>
    <d v="2025-01-24T00:00:00"/>
    <d v="2025-10-15T00:00:00"/>
    <s v="Lama"/>
    <s v="Sama"/>
    <m/>
    <s v="IDR"/>
    <s v="10018"/>
    <s v="18 GR"/>
    <m/>
    <m/>
    <s v="KRT"/>
    <s v="GD01"/>
    <n v="11611"/>
    <n v="11612"/>
    <m/>
    <n v="1"/>
    <m/>
    <n v="0"/>
    <n v="11227.93"/>
    <n v="11227.93"/>
  </r>
  <r>
    <s v="A11220010018131"/>
    <n v="1"/>
    <n v="253"/>
    <x v="274"/>
    <s v="CHILI"/>
    <s v="ABC SAM TERASI 5KG4 120X18G"/>
    <x v="3"/>
    <x v="215"/>
    <x v="4"/>
    <s v="SAMBAL NUS."/>
    <s v="A1122"/>
    <x v="146"/>
    <n v="14"/>
    <s v="ABC SAMBAL NUS. TERASI 18GR X 12 PACK PCSX10 PROMO"/>
    <n v="50"/>
    <s v="ABC"/>
    <s v="A1"/>
    <s v="SAMBAL"/>
    <n v="12"/>
    <s v="NUS."/>
    <n v="2"/>
    <m/>
    <s v="0"/>
    <s v="TERASI"/>
    <s v="01"/>
    <s v="18GR"/>
    <s v="0018"/>
    <s v="PCSX10"/>
    <n v="1"/>
    <s v="PROMO"/>
    <n v="3"/>
    <s v="PACK"/>
    <m/>
    <m/>
    <s v="GRAM"/>
    <n v="1"/>
    <m/>
    <n v="8794.7903999999999"/>
    <n v="105537.48480000001"/>
    <n v="9762.2173440000006"/>
    <n v="117146.60812800002"/>
    <n v="9356.16"/>
    <n v="112273.92"/>
    <n v="10385.337600000001"/>
    <n v="124624.05120000002"/>
    <n v="10105.135227000004"/>
    <n v="121261.62272400004"/>
    <n v="11216.700101970006"/>
    <n v="134600.40122364007"/>
    <m/>
    <d v="2025-07-17T00:00:00"/>
    <d v="2025-10-15T00:00:00"/>
    <s v="Lama"/>
    <s v="Sama"/>
    <s v="Aktif"/>
    <s v="IDR"/>
    <s v="10018"/>
    <s v="18GR"/>
    <m/>
    <m/>
    <s v="KRT"/>
    <s v="GD01"/>
    <n v="11611"/>
    <n v="11612"/>
    <m/>
    <n v="1"/>
    <m/>
    <n v="0"/>
    <n v="9356.16"/>
    <n v="9356.16"/>
  </r>
  <r>
    <s v="A11220010018132"/>
    <n v="2"/>
    <n v="279"/>
    <x v="275"/>
    <m/>
    <s v="ABC S.TRSI 5KG4 POP 120X18G2507"/>
    <x v="3"/>
    <x v="216"/>
    <x v="4"/>
    <s v="SAMBAL NUS."/>
    <s v="A1122"/>
    <x v="146"/>
    <n v="14"/>
    <s v="ABC SAMBAL NUS. TERASI 18GR X 12 PACK PCSX10 PROMO"/>
    <n v="50"/>
    <s v="ABC"/>
    <s v="A1"/>
    <s v="SAMBAL"/>
    <n v="12"/>
    <s v="NUS."/>
    <n v="2"/>
    <m/>
    <s v="0"/>
    <s v="TERASI"/>
    <s v="01"/>
    <s v="18GR"/>
    <s v="0018"/>
    <s v="PCSX10"/>
    <s v="1"/>
    <s v="PROMO"/>
    <n v="3"/>
    <s v="PACK"/>
    <m/>
    <m/>
    <s v="GRAM"/>
    <n v="1"/>
    <m/>
    <n v="10554.254199999999"/>
    <n v="126651.05039999999"/>
    <n v="11715.222162"/>
    <n v="140582.66594400001"/>
    <n v="11227.93"/>
    <n v="134735.16"/>
    <n v="12463.002300000002"/>
    <n v="149556.02760000003"/>
    <m/>
    <n v="0"/>
    <n v="0"/>
    <n v="0"/>
    <m/>
    <m/>
    <m/>
    <s v="Lama"/>
    <s v="Sama"/>
    <m/>
    <s v="IDR"/>
    <s v="10018"/>
    <s v="18GR"/>
    <m/>
    <m/>
    <s v="KRT"/>
    <s v="GD01"/>
    <n v="11611"/>
    <n v="11612"/>
    <m/>
    <n v="1"/>
    <m/>
    <n v="0"/>
    <n v="11227.93"/>
    <n v="11227.93"/>
  </r>
  <r>
    <s v="A11220010070101"/>
    <n v="1"/>
    <n v="254"/>
    <x v="276"/>
    <s v="CHILI"/>
    <s v="ABC SAM TERASI PCH 48X70G 2404"/>
    <x v="0"/>
    <x v="217"/>
    <x v="0"/>
    <s v="SAMBAL NUSANTARA"/>
    <s v="A1122"/>
    <x v="147"/>
    <n v="14"/>
    <s v="ABC SAMBAL NUSANTARA TERASI 70 GR X 48 PCH"/>
    <n v="42"/>
    <s v="ABC"/>
    <s v="A1"/>
    <s v="SAMBAL"/>
    <n v="12"/>
    <s v="NUSANTARA"/>
    <n v="2"/>
    <m/>
    <s v="0"/>
    <s v="TERASI"/>
    <s v="01"/>
    <s v="70 GR"/>
    <s v="0070"/>
    <s v="PCH"/>
    <s v="1"/>
    <m/>
    <s v="0"/>
    <m/>
    <m/>
    <m/>
    <s v="GRAM"/>
    <n v="1"/>
    <m/>
    <n v="4394.6503999999995"/>
    <n v="210943.21919999999"/>
    <n v="4878.061944"/>
    <n v="234146.97331200002"/>
    <n v="4675.16"/>
    <n v="224407.67999999999"/>
    <n v="5189.4276"/>
    <n v="249092.52480000001"/>
    <n v="5049.1710855000001"/>
    <n v="242360.21210400001"/>
    <n v="5604.5799049050011"/>
    <n v="269019.83543544007"/>
    <m/>
    <d v="2024-09-18T00:00:00"/>
    <d v="2025-10-15T00:00:00"/>
    <s v="Lama"/>
    <s v="Sama"/>
    <s v="Aktif"/>
    <s v="IDR"/>
    <s v="10070"/>
    <s v="70 GR"/>
    <s v="S-HNZ"/>
    <s v="48HEINZ"/>
    <s v="KRT"/>
    <s v="GD01"/>
    <n v="11611"/>
    <n v="11612"/>
    <s v="0123"/>
    <n v="1"/>
    <s v="PT. HEINZ ABC INDONESIA"/>
    <n v="0"/>
    <n v="4675.16"/>
    <n v="4675.16"/>
  </r>
  <r>
    <s v="A11220010070102"/>
    <n v="2"/>
    <n v="255"/>
    <x v="277"/>
    <s v="CHILI"/>
    <s v="ABC SAM TERASI PCH 48X70G"/>
    <x v="0"/>
    <x v="218"/>
    <x v="0"/>
    <s v="SAMBAL NUSANTARA"/>
    <s v="A1122"/>
    <x v="147"/>
    <n v="14"/>
    <s v="ABC SAMBAL NUSANTARA TERASI 70 GR X 48 PCH"/>
    <n v="42"/>
    <s v="ABC"/>
    <s v="A1"/>
    <s v="SAMBAL"/>
    <n v="12"/>
    <s v="NUSANTARA"/>
    <n v="2"/>
    <m/>
    <s v="0"/>
    <s v="TERASI"/>
    <s v="01"/>
    <s v="70 GR"/>
    <s v="0070"/>
    <s v="PCH"/>
    <s v="1"/>
    <m/>
    <s v="0"/>
    <m/>
    <m/>
    <m/>
    <s v="GRAM"/>
    <n v="1"/>
    <m/>
    <n v="4394.6503999999995"/>
    <n v="210943.21919999999"/>
    <n v="4878.061944"/>
    <n v="234146.97331200002"/>
    <n v="4675.16"/>
    <n v="224407.67999999999"/>
    <n v="5189.4276"/>
    <n v="249092.52480000001"/>
    <n v="5049.1710855000001"/>
    <n v="242360.21210400001"/>
    <n v="5604.5799049050011"/>
    <n v="269019.83543544007"/>
    <m/>
    <m/>
    <d v="2025-10-15T00:00:00"/>
    <s v="Lama"/>
    <s v="Sama"/>
    <m/>
    <s v="IDR"/>
    <s v="10070"/>
    <s v="70 GR"/>
    <m/>
    <m/>
    <s v="KRT"/>
    <s v="GD01"/>
    <n v="11611"/>
    <n v="11612"/>
    <m/>
    <n v="1"/>
    <m/>
    <n v="0"/>
    <n v="4675.16"/>
    <n v="4675.16"/>
  </r>
  <r>
    <s v="A11220010180101"/>
    <n v="1"/>
    <n v="256"/>
    <x v="278"/>
    <s v="CHILI"/>
    <s v="ABC SAM TERASI PCH 24X180G2207"/>
    <x v="1"/>
    <x v="219"/>
    <x v="0"/>
    <s v="SAMBAL NUSANTARA"/>
    <s v="A1122"/>
    <x v="148"/>
    <n v="14"/>
    <s v="ABC SAMBAL NUSANTARA TERASI 180 GR X 24 PCH"/>
    <n v="43"/>
    <s v="ABC"/>
    <s v="A1"/>
    <s v="SAMBAL"/>
    <n v="12"/>
    <s v="NUSANTARA"/>
    <n v="2"/>
    <m/>
    <s v="0"/>
    <s v="TERASI"/>
    <s v="01"/>
    <s v="180 GR"/>
    <s v="0180"/>
    <s v="PCH"/>
    <s v="1"/>
    <m/>
    <s v="0"/>
    <m/>
    <m/>
    <m/>
    <s v="GRAM"/>
    <n v="1"/>
    <m/>
    <n v="15607.383999999998"/>
    <n v="374577.21599999996"/>
    <n v="17324.196240000001"/>
    <n v="415780.70976"/>
    <n v="16603.599999999999"/>
    <n v="398486.39999999997"/>
    <n v="18429.995999999999"/>
    <n v="442319.90399999998"/>
    <n v="17931.89"/>
    <n v="430365.36"/>
    <n v="19904.3979"/>
    <n v="477705.54960000003"/>
    <m/>
    <d v="2024-09-18T00:00:00"/>
    <d v="2024-09-18T00:00:00"/>
    <s v="Lama"/>
    <s v="Sama"/>
    <s v="Aktif"/>
    <s v="IDR"/>
    <s v="10180"/>
    <s v="180 GR"/>
    <s v="S-HNZ"/>
    <s v="48HEINZ"/>
    <s v="KRT"/>
    <s v="GD01"/>
    <n v="11611"/>
    <n v="11612"/>
    <s v="0123"/>
    <n v="1"/>
    <s v="PT. HEINZ ABC INDONESIA"/>
    <n v="0"/>
    <n v="16603.599999999999"/>
    <n v="16603.599999999999"/>
  </r>
  <r>
    <s v="A11220010180102"/>
    <n v="2"/>
    <n v="257"/>
    <x v="279"/>
    <m/>
    <s v="ABC SAM TERASI PCH 24X180G2408"/>
    <x v="1"/>
    <x v="220"/>
    <x v="0"/>
    <s v="SAMBAL NUSANTARA"/>
    <s v="A1122"/>
    <x v="148"/>
    <n v="14"/>
    <s v="ABC SAMBAL NUSANTARA TERASI 180 GR X 24 PCH"/>
    <n v="43"/>
    <s v="ABC"/>
    <s v="A1"/>
    <s v="SAMBAL"/>
    <n v="12"/>
    <s v="NUSANTARA"/>
    <n v="2"/>
    <m/>
    <s v="0"/>
    <s v="TERASI"/>
    <s v="01"/>
    <s v="180 GR"/>
    <s v="0180"/>
    <s v="PCH"/>
    <s v="1"/>
    <m/>
    <s v="0"/>
    <m/>
    <m/>
    <m/>
    <s v="GRAM"/>
    <n v="1"/>
    <m/>
    <n v="15607.383999999998"/>
    <n v="374577.21599999996"/>
    <n v="17324.196240000001"/>
    <n v="415780.70976"/>
    <n v="16603.599999999999"/>
    <n v="398486.39999999997"/>
    <n v="18429.995999999999"/>
    <n v="442319.90399999998"/>
    <n v="17931.89"/>
    <n v="430365.36"/>
    <n v="19904.3979"/>
    <n v="477705.54960000003"/>
    <m/>
    <d v="2025-04-22T00:00:00"/>
    <d v="2024-09-18T00:00:00"/>
    <s v="Lama"/>
    <s v="Sama"/>
    <m/>
    <s v="IDR"/>
    <s v="10180"/>
    <s v="180 GR"/>
    <m/>
    <m/>
    <s v="KRT"/>
    <s v="GD01"/>
    <n v="11611"/>
    <n v="11612"/>
    <m/>
    <n v="1"/>
    <m/>
    <n v="0"/>
    <n v="16603.599999999999"/>
    <n v="16603.599999999999"/>
  </r>
  <r>
    <s v="A11220010180111"/>
    <n v="1"/>
    <n v="258"/>
    <x v="280"/>
    <s v="CHILI"/>
    <s v="ABC SAM TRS 12X180G B1G1 2302"/>
    <x v="3"/>
    <x v="4"/>
    <x v="0"/>
    <s v="SAMBAL NUSANTARA"/>
    <s v="A1122"/>
    <x v="149"/>
    <n v="14"/>
    <s v="ABC SAMBAL NUSANTARA TERASI 180 GR X 12 PCH B8G2"/>
    <n v="48"/>
    <s v="ABC"/>
    <s v="A1"/>
    <s v="SAMBAL"/>
    <n v="12"/>
    <s v="NUSANTARA"/>
    <n v="2"/>
    <m/>
    <s v="0"/>
    <s v="TERASI"/>
    <s v="01"/>
    <s v="180 GR"/>
    <s v="0180"/>
    <s v="PCH"/>
    <s v="1"/>
    <s v="B8G2"/>
    <n v="1"/>
    <m/>
    <m/>
    <m/>
    <s v="GRAM"/>
    <n v="1"/>
    <m/>
    <n v="15607.383999999998"/>
    <n v="187288.60799999998"/>
    <n v="17324.196240000001"/>
    <n v="207890.35488"/>
    <n v="16603.599999999999"/>
    <n v="199243.19999999998"/>
    <n v="18429.995999999999"/>
    <n v="221159.95199999999"/>
    <n v="0"/>
    <n v="0"/>
    <n v="0"/>
    <n v="0"/>
    <m/>
    <d v="2024-09-18T00:00:00"/>
    <d v="2024-09-18T00:00:00"/>
    <s v="Lama"/>
    <s v="Sama"/>
    <s v="Aktif"/>
    <s v="IDR"/>
    <s v="10180"/>
    <s v="180 GR"/>
    <s v="S-HNZ"/>
    <s v="48HEINZ"/>
    <s v="KRT"/>
    <s v="GD01"/>
    <n v="11611"/>
    <n v="11612"/>
    <s v="0123"/>
    <n v="1"/>
    <s v="PT. HEINZ ABC INDONESIA"/>
    <n v="0"/>
    <n v="16603.599999999999"/>
    <n v="16603.599999999999"/>
  </r>
  <r>
    <s v="A11220010180201"/>
    <n v="1"/>
    <n v="259"/>
    <x v="281"/>
    <s v="CHILI"/>
    <s v="ABC SAM TERASI JAR 24X180G2108"/>
    <x v="1"/>
    <x v="4"/>
    <x v="1"/>
    <s v="SAMBAL NUSANTARA"/>
    <s v="A1122"/>
    <x v="150"/>
    <n v="14"/>
    <s v="ABC SAMBAL NUSANTARA TERASI 180 GR X 24 BTL"/>
    <n v="43"/>
    <s v="ABC"/>
    <s v="A1"/>
    <s v="SAMBAL"/>
    <n v="12"/>
    <s v="NUSANTARA"/>
    <n v="2"/>
    <m/>
    <s v="0"/>
    <s v="TERASI"/>
    <s v="01"/>
    <s v="180 GR"/>
    <s v="0180"/>
    <s v="BTL"/>
    <s v="2"/>
    <m/>
    <s v="0"/>
    <m/>
    <m/>
    <m/>
    <s v="GRAM"/>
    <n v="1"/>
    <m/>
    <n v="15607.383999999998"/>
    <n v="374577.21599999996"/>
    <n v="17324.196240000001"/>
    <n v="415780.70976"/>
    <n v="16603.599999999999"/>
    <n v="398486.39999999997"/>
    <n v="18429.995999999999"/>
    <n v="442319.90399999998"/>
    <n v="17931.89"/>
    <n v="430365.36"/>
    <n v="19904.3979"/>
    <n v="477705.54960000003"/>
    <m/>
    <d v="2024-09-18T00:00:00"/>
    <d v="2024-09-18T00:00:00"/>
    <s v="Lama"/>
    <s v="Sama"/>
    <s v="Aktif"/>
    <s v="IDR"/>
    <s v="10180"/>
    <s v="180 GR"/>
    <s v="S-HNZ"/>
    <s v="48HEINZ"/>
    <s v="KRT"/>
    <s v="GD01"/>
    <n v="11611"/>
    <n v="11612"/>
    <s v="0123"/>
    <n v="1"/>
    <s v="PT. HEINZ ABC INDONESIA"/>
    <n v="0"/>
    <n v="16603.599999999999"/>
    <n v="16603.599999999999"/>
  </r>
  <r>
    <s v="A11220020018101"/>
    <n v="1"/>
    <n v="260"/>
    <x v="282"/>
    <s v="CHILI"/>
    <s v="ABC SAM HIJAU SCT 100X18G 2108"/>
    <x v="11"/>
    <x v="4"/>
    <x v="4"/>
    <s v="SAMBAL NUSANTARA"/>
    <s v="A1122"/>
    <x v="151"/>
    <n v="14"/>
    <s v="ABC SAMBAL NUSANTARA HIJAU 18 GR X 10 PACK PCSX10"/>
    <n v="49"/>
    <s v="ABC"/>
    <s v="A1"/>
    <s v="SAMBAL"/>
    <n v="12"/>
    <s v="NUSANTARA"/>
    <n v="2"/>
    <m/>
    <s v="0"/>
    <s v="HIJAU"/>
    <s v="02"/>
    <s v="18 GR"/>
    <s v="0018"/>
    <s v="PCSX10"/>
    <s v="1"/>
    <m/>
    <s v="0"/>
    <s v="PACK"/>
    <m/>
    <m/>
    <s v="GRAM"/>
    <n v="1"/>
    <m/>
    <n v="13330.9108"/>
    <n v="133309.10800000001"/>
    <n v="14797.310988000001"/>
    <n v="147973.10988000003"/>
    <n v="14181.82"/>
    <n v="141818.20000000001"/>
    <n v="15741.820200000002"/>
    <n v="157418.20200000002"/>
    <n v="15316.363440000001"/>
    <n v="153163.63440000001"/>
    <n v="17001.163418400003"/>
    <n v="170011.63418400002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4181.82"/>
    <n v="14181.82"/>
  </r>
  <r>
    <s v="A11220020018102"/>
    <n v="2"/>
    <n v="261"/>
    <x v="283"/>
    <s v="CHILI"/>
    <s v="ABC SAM HIJAU SCT 100X18G 2207"/>
    <x v="11"/>
    <x v="4"/>
    <x v="4"/>
    <s v="SAMBAL NUSANTARA"/>
    <s v="A1122"/>
    <x v="151"/>
    <n v="14"/>
    <s v="ABC SAMBAL NUSANTARA HIJAU 18 GR X 10 PACK PCSX10"/>
    <n v="49"/>
    <s v="ABC"/>
    <s v="A1"/>
    <s v="SAMBAL"/>
    <n v="12"/>
    <s v="NUSANTARA"/>
    <n v="2"/>
    <m/>
    <s v="0"/>
    <s v="HIJAU"/>
    <s v="02"/>
    <s v="18 GR"/>
    <s v="0018"/>
    <s v="PCSX10"/>
    <s v="1"/>
    <m/>
    <s v="0"/>
    <s v="PACK"/>
    <m/>
    <m/>
    <s v="GRAM"/>
    <n v="1"/>
    <m/>
    <n v="13330.9108"/>
    <n v="133309.10800000001"/>
    <n v="14797.310988000001"/>
    <n v="147973.10988000003"/>
    <n v="14181.82"/>
    <n v="141818.20000000001"/>
    <n v="15741.820200000002"/>
    <n v="157418.20200000002"/>
    <n v="15316.363440000001"/>
    <n v="153163.63440000001"/>
    <n v="17001.163418400003"/>
    <n v="170011.63418400002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4181.82"/>
    <n v="14181.82"/>
  </r>
  <r>
    <s v="A11220020018111"/>
    <n v="1"/>
    <n v="262"/>
    <x v="284"/>
    <s v="CHILI"/>
    <s v="ABC SAM HJU SCT PR100X18G 2209"/>
    <x v="11"/>
    <x v="4"/>
    <x v="4"/>
    <s v="SAMBAL NUS."/>
    <s v="A1122"/>
    <x v="152"/>
    <n v="14"/>
    <s v="ABC SAMBAL NUS. HIJAU 18 GR X 10 PACK PCSX10 B8G2"/>
    <n v="49"/>
    <s v="ABC"/>
    <s v="A1"/>
    <s v="SAMBAL"/>
    <n v="12"/>
    <s v="NUS."/>
    <n v="2"/>
    <m/>
    <s v="0"/>
    <s v="HIJAU"/>
    <s v="02"/>
    <s v="18 GR"/>
    <s v="0018"/>
    <s v="PCSX10"/>
    <s v="1"/>
    <s v="B8G2"/>
    <n v="1"/>
    <s v="PACK"/>
    <m/>
    <m/>
    <s v="GRAM"/>
    <n v="1"/>
    <m/>
    <n v="10664.723"/>
    <n v="106647.23"/>
    <n v="11837.842530000002"/>
    <n v="118378.4253"/>
    <n v="11345.45"/>
    <n v="113454.5"/>
    <n v="12593.449500000002"/>
    <n v="125934.49500000001"/>
    <n v="12253.090752"/>
    <n v="122530.90752000001"/>
    <n v="13600.930734720001"/>
    <n v="136009.3073472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1345.45"/>
    <n v="11345.45"/>
  </r>
  <r>
    <s v="A11220020018112"/>
    <n v="2"/>
    <n v="263"/>
    <x v="285"/>
    <s v="CHILI"/>
    <s v="ABC SAM HIJAU 100X18G B8G22402"/>
    <x v="11"/>
    <x v="4"/>
    <x v="4"/>
    <s v="SAMBAL NUS."/>
    <s v="A1122"/>
    <x v="152"/>
    <n v="14"/>
    <s v="ABC SAMBAL NUS. HIJAU 18 GR X 10 PACK PCSX10 B8G2"/>
    <n v="49"/>
    <s v="ABC"/>
    <s v="A1"/>
    <s v="SAMBAL"/>
    <n v="12"/>
    <s v="NUS."/>
    <n v="2"/>
    <m/>
    <s v="0"/>
    <s v="HIJAU"/>
    <s v="02"/>
    <s v="18 GR"/>
    <s v="0018"/>
    <s v="PCSX10"/>
    <s v="1"/>
    <s v="B8G2"/>
    <n v="1"/>
    <s v="PACK"/>
    <m/>
    <m/>
    <s v="GRAM"/>
    <n v="1"/>
    <m/>
    <n v="10664.723"/>
    <n v="106647.23"/>
    <n v="11837.842530000002"/>
    <n v="118378.4253"/>
    <n v="11345.45"/>
    <n v="113454.5"/>
    <n v="12593.449500000002"/>
    <n v="125934.49500000001"/>
    <n v="12253.090752"/>
    <n v="122530.90752000001"/>
    <n v="13600.930734720001"/>
    <n v="136009.3073472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1345.45"/>
    <n v="11345.45"/>
  </r>
  <r>
    <s v="A11220030018101"/>
    <n v="1"/>
    <n v="264"/>
    <x v="286"/>
    <s v="CHILI"/>
    <s v="ABC SAM RNDANG SCT 100X18G2108"/>
    <x v="11"/>
    <x v="4"/>
    <x v="4"/>
    <s v="SAMBAL NUSANTARA"/>
    <s v="A1122"/>
    <x v="153"/>
    <n v="14"/>
    <s v="ABC SAMBAL NUSANTARA RENDANG 18 GR X 10 PACK PCSX10"/>
    <n v="51"/>
    <s v="ABC"/>
    <s v="A1"/>
    <s v="SAMBAL"/>
    <n v="12"/>
    <s v="NUSANTARA"/>
    <n v="2"/>
    <m/>
    <s v="0"/>
    <s v="RENDANG"/>
    <s v="03"/>
    <s v="18 GR"/>
    <s v="0018"/>
    <s v="PCSX10"/>
    <s v="1"/>
    <m/>
    <s v="0"/>
    <s v="PACK"/>
    <m/>
    <m/>
    <s v="GRAM"/>
    <n v="1"/>
    <m/>
    <n v="13330.9108"/>
    <n v="133309.10800000001"/>
    <n v="14797.310988000001"/>
    <n v="147973.10988000003"/>
    <n v="14181.82"/>
    <n v="141818.20000000001"/>
    <n v="15741.820200000002"/>
    <n v="157418.20200000002"/>
    <n v="0"/>
    <n v="0"/>
    <n v="0"/>
    <n v="0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4181.82"/>
    <n v="14181.82"/>
  </r>
  <r>
    <s v="A11220030018111"/>
    <n v="1"/>
    <n v="265"/>
    <x v="287"/>
    <s v="CHILI"/>
    <s v="ABC SAM RDG SCT PR100X18G 2209"/>
    <x v="11"/>
    <x v="4"/>
    <x v="4"/>
    <s v="SAMBAL NUS."/>
    <s v="A1122"/>
    <x v="154"/>
    <n v="14"/>
    <s v="ABC SAMBAL NUS. RENDANG 18GR X 10 PACK PCSX10 B8G2"/>
    <n v="50"/>
    <s v="ABC"/>
    <s v="A1"/>
    <s v="SAMBAL"/>
    <n v="12"/>
    <s v="NUS."/>
    <n v="2"/>
    <m/>
    <s v="0"/>
    <s v="RENDANG"/>
    <s v="03"/>
    <s v="18GR"/>
    <s v="0018"/>
    <s v="PCSX10"/>
    <s v="1"/>
    <s v="B8G2"/>
    <n v="1"/>
    <s v="PACK"/>
    <m/>
    <m/>
    <s v="GRAM"/>
    <n v="1"/>
    <m/>
    <n v="10664.723"/>
    <n v="106647.23"/>
    <n v="11837.842530000002"/>
    <n v="118378.4253"/>
    <n v="11345.45"/>
    <n v="113454.5"/>
    <n v="12593.449500000002"/>
    <n v="125934.49500000001"/>
    <n v="0"/>
    <n v="0"/>
    <n v="0"/>
    <n v="0"/>
    <m/>
    <d v="2024-09-18T00:00:00"/>
    <d v="2024-09-18T00:00:00"/>
    <s v="Lama"/>
    <s v="Sama"/>
    <s v="Aktif"/>
    <s v="IDR"/>
    <s v="10018"/>
    <s v="18GR"/>
    <s v="S-HNZ"/>
    <s v="48HEINZ"/>
    <s v="KRT"/>
    <s v="GD01"/>
    <n v="11611"/>
    <n v="11612"/>
    <s v="0123"/>
    <n v="1"/>
    <s v="PT. HEINZ ABC INDONESIA"/>
    <n v="0"/>
    <n v="11345.45"/>
    <n v="11345.45"/>
  </r>
  <r>
    <s v="A11220040018101"/>
    <n v="1"/>
    <n v="266"/>
    <x v="288"/>
    <s v="CHILI"/>
    <s v="ABC SAM GEPREK SCT 100X18G2108"/>
    <x v="11"/>
    <x v="4"/>
    <x v="4"/>
    <s v="SAMBAL NUSANTARA"/>
    <s v="A1122"/>
    <x v="155"/>
    <n v="14"/>
    <s v="ABC SAMBAL NUSANTARA GEPREK 18 GR X 10 PACK PCSX10"/>
    <n v="50"/>
    <s v="ABC"/>
    <s v="A1"/>
    <s v="SAMBAL"/>
    <n v="12"/>
    <s v="NUSANTARA"/>
    <n v="2"/>
    <m/>
    <s v="0"/>
    <s v="GEPREK"/>
    <s v="04"/>
    <s v="18 GR"/>
    <s v="0018"/>
    <s v="PCSX10"/>
    <s v="1"/>
    <m/>
    <s v="0"/>
    <s v="PACK"/>
    <m/>
    <m/>
    <s v="GRAM"/>
    <n v="1"/>
    <m/>
    <n v="13330.9108"/>
    <n v="133309.10800000001"/>
    <n v="14797.310988000001"/>
    <n v="147973.10988000003"/>
    <n v="14181.82"/>
    <n v="141818.20000000001"/>
    <n v="15741.820200000002"/>
    <n v="157418.20200000002"/>
    <n v="15316.363440000001"/>
    <n v="153163.63440000001"/>
    <n v="17001.163418400003"/>
    <n v="170011.63418400002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4181.82"/>
    <n v="14181.82"/>
  </r>
  <r>
    <s v="A11220040018102"/>
    <n v="2"/>
    <n v="267"/>
    <x v="289"/>
    <s v="CHILI"/>
    <s v="ABC SAM GEPREK SCT 100X18G2207"/>
    <x v="11"/>
    <x v="4"/>
    <x v="4"/>
    <s v="SAMBAL NUSANTARA"/>
    <s v="A1122"/>
    <x v="155"/>
    <n v="14"/>
    <s v="ABC SAMBAL NUSANTARA GEPREK 18 GR X 10 PACK PCSX10"/>
    <n v="50"/>
    <s v="ABC"/>
    <s v="A1"/>
    <s v="SAMBAL"/>
    <n v="12"/>
    <s v="NUSANTARA"/>
    <n v="2"/>
    <m/>
    <s v="0"/>
    <s v="GEPREK"/>
    <s v="04"/>
    <s v="18 GR"/>
    <s v="0018"/>
    <s v="PCSX10"/>
    <s v="1"/>
    <m/>
    <s v="0"/>
    <s v="PACK"/>
    <m/>
    <m/>
    <s v="GRAM"/>
    <n v="1"/>
    <m/>
    <n v="13330.9108"/>
    <n v="133309.10800000001"/>
    <n v="14797.310988000001"/>
    <n v="147973.10988000003"/>
    <n v="14181.82"/>
    <n v="141818.20000000001"/>
    <n v="15741.820200000002"/>
    <n v="157418.20200000002"/>
    <n v="15316.363440000001"/>
    <n v="153163.63440000001"/>
    <n v="17001.163418400003"/>
    <n v="170011.63418400002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4181.82"/>
    <n v="14181.82"/>
  </r>
  <r>
    <s v="A11220040018111"/>
    <n v="1"/>
    <n v="268"/>
    <x v="290"/>
    <s v="CHILI"/>
    <s v="ABC SAM GPRK SCT PR100X18G2209"/>
    <x v="11"/>
    <x v="4"/>
    <x v="4"/>
    <s v="SAMBAL NUS."/>
    <s v="A1122"/>
    <x v="156"/>
    <n v="14"/>
    <s v="ABC SAMBAL NUS. GEPREK 18 GR X 10 PACK PCSX10 B8G2"/>
    <n v="50"/>
    <s v="ABC"/>
    <s v="A1"/>
    <s v="SAMBAL"/>
    <n v="12"/>
    <s v="NUS."/>
    <n v="2"/>
    <m/>
    <s v="0"/>
    <s v="GEPREK"/>
    <s v="04"/>
    <s v="18 GR"/>
    <s v="0018"/>
    <s v="PCSX10"/>
    <s v="1"/>
    <s v="B8G2"/>
    <n v="1"/>
    <s v="PACK"/>
    <m/>
    <m/>
    <s v="GRAM"/>
    <n v="1"/>
    <m/>
    <n v="10664.723"/>
    <n v="106647.23"/>
    <n v="11837.842530000002"/>
    <n v="118378.4253"/>
    <n v="11345.45"/>
    <n v="113454.5"/>
    <n v="12593.449500000002"/>
    <n v="125934.49500000001"/>
    <n v="0"/>
    <n v="0"/>
    <n v="0"/>
    <n v="0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1345.45"/>
    <n v="11345.45"/>
  </r>
  <r>
    <s v="A11220050018101"/>
    <n v="1"/>
    <n v="269"/>
    <x v="291"/>
    <s v="CHILI"/>
    <s v="ABC SAM TERI SCT 100X18G 2108"/>
    <x v="11"/>
    <x v="4"/>
    <x v="4"/>
    <s v="SAMBAL NUSANTARA"/>
    <s v="A1122"/>
    <x v="157"/>
    <n v="14"/>
    <s v="ABC SAMBAL NUSANTARA TERI 18 GR X 10 PACK PCSX10"/>
    <n v="48"/>
    <s v="ABC"/>
    <s v="A1"/>
    <s v="SAMBAL"/>
    <n v="12"/>
    <s v="NUSANTARA"/>
    <n v="2"/>
    <m/>
    <s v="0"/>
    <s v="TERI"/>
    <s v="05"/>
    <s v="18 GR"/>
    <s v="0018"/>
    <s v="PCSX10"/>
    <s v="1"/>
    <m/>
    <s v="0"/>
    <s v="PACK"/>
    <m/>
    <m/>
    <s v="GRAM"/>
    <n v="1"/>
    <m/>
    <n v="13330.9108"/>
    <n v="133309.10800000001"/>
    <n v="14797.310988000001"/>
    <n v="147973.10988000003"/>
    <n v="14181.82"/>
    <n v="141818.20000000001"/>
    <n v="15741.820200000002"/>
    <n v="157418.20200000002"/>
    <n v="15316.363440000001"/>
    <n v="153163.63440000001"/>
    <n v="17001.163418400003"/>
    <n v="170011.63418400002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4181.82"/>
    <n v="14181.82"/>
  </r>
  <r>
    <s v="A11220050018111"/>
    <n v="1"/>
    <n v="270"/>
    <x v="292"/>
    <s v="CHILI"/>
    <s v="ABC SAM TERI SCT PR100X18G2209"/>
    <x v="11"/>
    <x v="4"/>
    <x v="4"/>
    <s v="SAMBAL NUS."/>
    <s v="A1122"/>
    <x v="158"/>
    <n v="14"/>
    <s v="ABC SAMBAL NUS. TERI 18 GR X 10 PACK PCSX10 B8G2"/>
    <n v="48"/>
    <s v="ABC"/>
    <s v="A1"/>
    <s v="SAMBAL"/>
    <n v="12"/>
    <s v="NUS."/>
    <n v="2"/>
    <m/>
    <s v="0"/>
    <s v="TERI"/>
    <s v="05"/>
    <s v="18 GR"/>
    <s v="0018"/>
    <s v="PCSX10"/>
    <s v="1"/>
    <s v="B8G2"/>
    <n v="1"/>
    <s v="PACK"/>
    <m/>
    <m/>
    <s v="GRAM"/>
    <n v="1"/>
    <m/>
    <n v="10664.723"/>
    <n v="106647.23"/>
    <n v="11837.842530000002"/>
    <n v="118378.4253"/>
    <n v="11345.45"/>
    <n v="113454.5"/>
    <n v="12593.449500000002"/>
    <n v="125934.49500000001"/>
    <n v="0"/>
    <n v="0"/>
    <n v="0"/>
    <n v="0"/>
    <m/>
    <d v="2024-09-18T00:00:00"/>
    <d v="2024-09-18T00:00:00"/>
    <s v="Lama"/>
    <s v="Sama"/>
    <s v="Aktif"/>
    <s v="IDR"/>
    <s v="10018"/>
    <s v="18 GR"/>
    <s v="S-HNZ"/>
    <s v="48HEINZ"/>
    <s v="KRT"/>
    <s v="GD01"/>
    <n v="11611"/>
    <n v="11612"/>
    <s v="0123"/>
    <n v="1"/>
    <s v="PT. HEINZ ABC INDONESIA"/>
    <n v="0"/>
    <n v="11345.45"/>
    <n v="11345.45"/>
  </r>
  <r>
    <s v="A11230010125101"/>
    <n v="1"/>
    <n v="271"/>
    <x v="293"/>
    <s v="CHILI"/>
    <s v="HEINZ IDN CHL PCH 48X125G 2103"/>
    <x v="0"/>
    <x v="4"/>
    <x v="0"/>
    <s v="SAMBAL HEINZ"/>
    <s v="A1123"/>
    <x v="159"/>
    <n v="14"/>
    <s v="ABC SAMBAL HEINZ INDONESIA CHILI 125 GR X 48 PCH"/>
    <n v="48"/>
    <s v="ABC"/>
    <s v="A1"/>
    <s v="SAMBAL"/>
    <n v="12"/>
    <s v="HEINZ"/>
    <n v="3"/>
    <m/>
    <s v="0"/>
    <s v="INDONESIA CHILI"/>
    <s v="01"/>
    <s v="125 GR"/>
    <s v="0125"/>
    <s v="PCH"/>
    <s v="1"/>
    <m/>
    <s v="0"/>
    <m/>
    <m/>
    <m/>
    <s v="GRAM"/>
    <n v="1"/>
    <m/>
    <n v="6053.0360000000001"/>
    <n v="290545.728"/>
    <n v="6718.8699600000009"/>
    <n v="322505.75808000006"/>
    <n v="6439.4"/>
    <n v="309091.19999999995"/>
    <n v="7147.7340000000004"/>
    <n v="343091.23199999996"/>
    <n v="6954.5475000000006"/>
    <n v="333818.28000000003"/>
    <n v="7719.5477250000013"/>
    <n v="370538.29080000008"/>
    <m/>
    <d v="2024-09-18T00:00:00"/>
    <d v="2024-09-18T00:00:00"/>
    <s v="Lama"/>
    <s v="Sama"/>
    <s v="Aktif"/>
    <s v="IDR"/>
    <s v="10125"/>
    <s v="125 GR"/>
    <s v="S-HNZ"/>
    <s v="48HEINZ"/>
    <s v="KRT"/>
    <s v="GD01"/>
    <n v="11611"/>
    <n v="11612"/>
    <s v="0123"/>
    <n v="1"/>
    <s v="PT. HEINZ ABC INDONESIA"/>
    <n v="0"/>
    <n v="6439.4"/>
    <n v="6439.4"/>
  </r>
  <r>
    <s v="A11230010125102"/>
    <n v="2"/>
    <n v="272"/>
    <x v="294"/>
    <s v="CHILI"/>
    <s v="HEINZ IDN CHL PCH 48X125G 2207"/>
    <x v="0"/>
    <x v="4"/>
    <x v="0"/>
    <s v="SAMBAL HEINZ"/>
    <s v="A1123"/>
    <x v="159"/>
    <n v="14"/>
    <s v="ABC SAMBAL HEINZ INDONESIA CHILI 125 GR X 48 PCH"/>
    <n v="48"/>
    <s v="ABC"/>
    <s v="A1"/>
    <s v="SAMBAL"/>
    <n v="12"/>
    <s v="HEINZ"/>
    <n v="3"/>
    <m/>
    <s v="0"/>
    <s v="INDONESIA CHILI"/>
    <s v="01"/>
    <s v="125 GR"/>
    <s v="0125"/>
    <s v="PCH"/>
    <s v="1"/>
    <m/>
    <s v="0"/>
    <m/>
    <m/>
    <m/>
    <s v="GRAM"/>
    <n v="1"/>
    <m/>
    <n v="6053.0360000000001"/>
    <n v="290545.728"/>
    <n v="6718.8699600000009"/>
    <n v="322505.75808000006"/>
    <n v="6439.4"/>
    <n v="309091.19999999995"/>
    <n v="7147.7340000000004"/>
    <n v="343091.23199999996"/>
    <n v="6954.5475000000006"/>
    <n v="333818.28000000003"/>
    <n v="7719.5477250000013"/>
    <n v="370538.29080000008"/>
    <m/>
    <d v="2024-09-18T00:00:00"/>
    <d v="2024-09-18T00:00:00"/>
    <s v="Lama"/>
    <s v="Sama"/>
    <s v="Aktif"/>
    <s v="IDR"/>
    <s v="10125"/>
    <s v="125 GR"/>
    <s v="S-HNZ"/>
    <s v="48HEINZ"/>
    <s v="KRT"/>
    <s v="GD01"/>
    <n v="11611"/>
    <n v="11612"/>
    <s v="0123"/>
    <n v="1"/>
    <s v="PT. HEINZ ABC INDONESIA"/>
    <n v="0"/>
    <n v="6439.4"/>
    <n v="6439.4"/>
  </r>
  <r>
    <s v="A11230020125101"/>
    <n v="1"/>
    <n v="273"/>
    <x v="295"/>
    <s v="CHILI"/>
    <s v="HEINZ MEX CHL PCH 48X125G 2207"/>
    <x v="0"/>
    <x v="4"/>
    <x v="0"/>
    <s v="SAMBAL HEINZ"/>
    <s v="A1123"/>
    <x v="160"/>
    <n v="14"/>
    <s v="ABC SAMBAL HEINZ MEXICAN CHILI 125 GR X 48 PCH"/>
    <n v="46"/>
    <s v="ABC"/>
    <s v="A1"/>
    <s v="SAMBAL"/>
    <n v="12"/>
    <s v="HEINZ"/>
    <n v="3"/>
    <m/>
    <s v="0"/>
    <s v="MEXICAN CHILI"/>
    <s v="02"/>
    <s v="125 GR"/>
    <s v="0125"/>
    <s v="PCH"/>
    <s v="1"/>
    <m/>
    <s v="0"/>
    <m/>
    <m/>
    <m/>
    <s v="GRAM"/>
    <n v="1"/>
    <m/>
    <n v="6053.0360000000001"/>
    <n v="290545.728"/>
    <n v="6718.8699600000009"/>
    <n v="322505.75808000006"/>
    <n v="6439.4"/>
    <n v="309091.19999999995"/>
    <n v="7147.7340000000004"/>
    <n v="343091.23199999996"/>
    <n v="6954.5475000000006"/>
    <n v="333818.28000000003"/>
    <n v="7719.5477250000013"/>
    <n v="370538.29080000008"/>
    <m/>
    <d v="2024-09-18T00:00:00"/>
    <d v="2024-09-18T00:00:00"/>
    <s v="Lama"/>
    <s v="Sama"/>
    <s v="Aktif"/>
    <s v="IDR"/>
    <s v="10125"/>
    <s v="125 GR"/>
    <s v="S-HNZ"/>
    <s v="48HEINZ"/>
    <s v="KRT"/>
    <s v="GD01"/>
    <n v="11611"/>
    <n v="11612"/>
    <s v="0123"/>
    <n v="1"/>
    <s v="PT. HEINZ ABC INDONESIA"/>
    <n v="0"/>
    <n v="6439.4"/>
    <n v="6439.4"/>
  </r>
  <r>
    <s v="A11230030125101"/>
    <n v="1"/>
    <n v="274"/>
    <x v="296"/>
    <s v="CHILI"/>
    <s v="HEINZ KOR CHL PCH 48X125G 2207"/>
    <x v="0"/>
    <x v="4"/>
    <x v="0"/>
    <s v="SAMBAL HEINZ"/>
    <s v="A1123"/>
    <x v="161"/>
    <n v="14"/>
    <s v="ABC SAMBAL HEINZ KOREAN CHILI 125 GR X 48 PCH"/>
    <n v="45"/>
    <s v="ABC"/>
    <s v="A1"/>
    <s v="SAMBAL"/>
    <n v="12"/>
    <s v="HEINZ"/>
    <n v="3"/>
    <m/>
    <s v="0"/>
    <s v="KOREAN CHILI"/>
    <s v="03"/>
    <s v="125 GR"/>
    <s v="0125"/>
    <s v="PCH"/>
    <s v="1"/>
    <m/>
    <s v="0"/>
    <m/>
    <m/>
    <m/>
    <s v="GRAM"/>
    <n v="1"/>
    <m/>
    <n v="6053.0360000000001"/>
    <n v="290545.728"/>
    <n v="6718.8699600000009"/>
    <n v="322505.75808000006"/>
    <n v="6439.4"/>
    <n v="309091.19999999995"/>
    <n v="7147.7340000000004"/>
    <n v="343091.23199999996"/>
    <n v="6954.5475000000006"/>
    <n v="333818.28000000003"/>
    <n v="7719.5477250000013"/>
    <n v="370538.29080000008"/>
    <m/>
    <d v="2024-09-18T00:00:00"/>
    <d v="2024-09-18T00:00:00"/>
    <s v="Lama"/>
    <s v="Sama"/>
    <s v="Aktif"/>
    <s v="IDR"/>
    <s v="10125"/>
    <s v="125 GR"/>
    <s v="S-HNZ"/>
    <s v="48HEINZ"/>
    <s v="KRT"/>
    <s v="GD01"/>
    <n v="11611"/>
    <n v="11612"/>
    <s v="0123"/>
    <n v="1"/>
    <s v="PT. HEINZ ABC INDONESIA"/>
    <n v="0"/>
    <n v="6439.4"/>
    <n v="6439.4"/>
  </r>
  <r>
    <s v="A11240010135101"/>
    <n v="1"/>
    <n v="275"/>
    <x v="297"/>
    <s v="CHILI"/>
    <s v="ABC SAM FR NA JR 48X135ML 2107"/>
    <x v="0"/>
    <x v="4"/>
    <x v="1"/>
    <s v="SAMBAL FRUITY"/>
    <s v="A1124"/>
    <x v="162"/>
    <n v="14"/>
    <s v="ABC SAMBAL FRUITY NANAS JERUK 135 ML X 48 BTL"/>
    <n v="45"/>
    <s v="ABC"/>
    <s v="A1"/>
    <s v="SAMBAL"/>
    <n v="12"/>
    <s v="FRUITY"/>
    <n v="4"/>
    <m/>
    <s v="0"/>
    <s v="NANAS JERUK"/>
    <s v="01"/>
    <s v="135 ML"/>
    <s v="0135"/>
    <s v="BTL"/>
    <s v="1"/>
    <m/>
    <s v="0"/>
    <m/>
    <m/>
    <m/>
    <s v="LITER"/>
    <n v="2"/>
    <m/>
    <n v="5725.4553999999998"/>
    <n v="274821.85920000001"/>
    <n v="6355.255494"/>
    <n v="305052.26371200004"/>
    <n v="6090.91"/>
    <n v="292363.68"/>
    <n v="6760.9101000000001"/>
    <n v="324523.68480000005"/>
    <n v="0"/>
    <n v="0"/>
    <n v="0"/>
    <n v="0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6090.91"/>
    <n v="6090.91"/>
  </r>
  <r>
    <s v="A11240020135101"/>
    <n v="1"/>
    <n v="276"/>
    <x v="298"/>
    <s v="CHILI"/>
    <s v="ABC SAM FR AP MG 48X135ML 2110"/>
    <x v="0"/>
    <x v="4"/>
    <x v="1"/>
    <s v="SAMBAL FRUITY"/>
    <s v="A1124"/>
    <x v="163"/>
    <n v="14"/>
    <s v="ABC SAMBAL FRUITY APEL MANGGA 135 ML X 48 BTL"/>
    <n v="45"/>
    <s v="ABC"/>
    <s v="A1"/>
    <s v="SAMBAL"/>
    <n v="12"/>
    <s v="FRUITY"/>
    <n v="4"/>
    <m/>
    <s v="0"/>
    <s v="APEL MANGGA"/>
    <s v="02"/>
    <s v="135 ML"/>
    <s v="0135"/>
    <s v="BTL"/>
    <s v="1"/>
    <m/>
    <s v="0"/>
    <m/>
    <m/>
    <m/>
    <s v="LITER"/>
    <n v="2"/>
    <m/>
    <n v="0"/>
    <n v="0"/>
    <n v="0"/>
    <n v="0"/>
    <n v="0"/>
    <n v="0"/>
    <n v="0"/>
    <n v="0"/>
    <n v="0"/>
    <n v="0"/>
    <n v="0"/>
    <n v="0"/>
    <m/>
    <d v="2024-09-18T00:00:00"/>
    <d v="2024-09-18T00:00:00"/>
    <s v="Lama"/>
    <s v="Sama"/>
    <s v="Aktif"/>
    <s v="IDR"/>
    <s v="20135"/>
    <s v="135 ML"/>
    <s v="S-HNZ"/>
    <s v="48HEINZ"/>
    <s v="KRT"/>
    <s v="GD01"/>
    <n v="11611"/>
    <n v="11612"/>
    <s v="0123"/>
    <n v="1"/>
    <s v="PT. HEINZ ABC INDONESIA"/>
    <n v="0"/>
    <n v="0"/>
    <n v="0"/>
  </r>
  <r>
    <s v="A1130001022011B1"/>
    <n v="1"/>
    <n v="277"/>
    <x v="299"/>
    <s v="MINYAK GORENG"/>
    <s v="MINYAK GORENG ROSEBRAND"/>
    <x v="0"/>
    <x v="4"/>
    <x v="11"/>
    <s v="MINYAK GORENG"/>
    <s v="A1130"/>
    <x v="164"/>
    <n v="15"/>
    <s v="B&gt; ABC MINYAK GORENG ROSEBRAND 220ML X 48 CUP"/>
    <n v="45"/>
    <s v="B&gt; ABC"/>
    <s v="A1"/>
    <s v="MINYAK GORENG"/>
    <n v="13"/>
    <m/>
    <n v="0"/>
    <m/>
    <n v="0"/>
    <s v="ROSEBRAND"/>
    <s v="01"/>
    <s v="220ML"/>
    <s v="0220"/>
    <s v="CUP"/>
    <n v="1"/>
    <m/>
    <s v="1B"/>
    <m/>
    <m/>
    <m/>
    <s v="LITER"/>
    <n v="2"/>
    <m/>
    <n v="0"/>
    <n v="0"/>
    <n v="0"/>
    <n v="0"/>
    <n v="0"/>
    <n v="0"/>
    <n v="0"/>
    <n v="0"/>
    <n v="0"/>
    <n v="0"/>
    <n v="0"/>
    <n v="0"/>
    <m/>
    <d v="2024-11-10T00:00:00"/>
    <d v="2024-09-18T00:00:00"/>
    <s v="Lama"/>
    <s v="Sama"/>
    <s v="Aktif"/>
    <s v="IDR"/>
    <s v="20220"/>
    <s v="220ML"/>
    <s v="S-HNZ"/>
    <s v="48HEINZ"/>
    <s v="KRT"/>
    <s v="GD01"/>
    <n v="11611"/>
    <n v="11612"/>
    <s v="0123"/>
    <n v="1"/>
    <s v="PT. HEINZ ABC INDONESIA"/>
    <n v="0"/>
    <n v="0"/>
    <n v="0"/>
  </r>
  <r>
    <s v="A1140001000011B1"/>
    <n v="1"/>
    <n v="278"/>
    <x v="300"/>
    <s v="ABC T-SHIRT"/>
    <s v="T-SHIRT RETAIL GIMMICK"/>
    <x v="4"/>
    <x v="4"/>
    <x v="6"/>
    <s v="T-SHIRT"/>
    <s v="A1140"/>
    <x v="165"/>
    <n v="15"/>
    <s v="B&gt; ABC T-SHIRT RETAIL GIMMICK X 1 PCS"/>
    <n v="37"/>
    <s v="B&gt; ABC"/>
    <s v="A1"/>
    <s v="T-SHIRT"/>
    <s v="14"/>
    <m/>
    <n v="0"/>
    <m/>
    <s v="0"/>
    <s v="RETAIL GIMMICK"/>
    <s v="01"/>
    <m/>
    <s v="0000"/>
    <s v="PCS"/>
    <n v="1"/>
    <m/>
    <s v="1B"/>
    <m/>
    <m/>
    <m/>
    <s v="SHEET"/>
    <n v="3"/>
    <m/>
    <n v="0"/>
    <n v="0"/>
    <n v="0"/>
    <n v="0"/>
    <n v="0"/>
    <n v="0"/>
    <n v="0"/>
    <n v="0"/>
    <n v="0"/>
    <n v="0"/>
    <n v="0"/>
    <n v="0"/>
    <m/>
    <d v="2025-02-06T00:00:00"/>
    <d v="2024-09-18T00:00:00"/>
    <s v="Lama"/>
    <s v="Sama"/>
    <s v="Aktif"/>
    <s v="IDR"/>
    <s v="30000"/>
    <n v="0"/>
    <m/>
    <m/>
    <s v="KRT"/>
    <s v="GD01"/>
    <n v="11611"/>
    <n v="11612"/>
    <m/>
    <n v="1"/>
    <m/>
    <n v="0"/>
    <n v="0"/>
    <n v="0"/>
  </r>
  <r>
    <s v="A1150001000011B1"/>
    <n v="1"/>
    <n v="286"/>
    <x v="301"/>
    <m/>
    <s v="KAOS CORDIAL SACHET 5G"/>
    <x v="4"/>
    <x v="4"/>
    <x v="6"/>
    <s v="KAOS"/>
    <s v="A1150"/>
    <x v="166"/>
    <n v="15"/>
    <s v="B&gt; ABC KAOS CORDIAL SACHET SG X 1 PCS"/>
    <n v="37"/>
    <s v="B&gt; ABC"/>
    <s v="A1"/>
    <s v="KAOS"/>
    <s v="15"/>
    <m/>
    <n v="0"/>
    <m/>
    <s v="0"/>
    <s v="CORDIAL SACHET SG"/>
    <s v="01"/>
    <m/>
    <s v="0000"/>
    <s v="PCS"/>
    <n v="1"/>
    <m/>
    <s v="1B"/>
    <m/>
    <m/>
    <m/>
    <s v="SHEET"/>
    <n v="3"/>
    <m/>
    <n v="0"/>
    <n v="0"/>
    <n v="0"/>
    <n v="0"/>
    <m/>
    <n v="0"/>
    <n v="0"/>
    <n v="0"/>
    <m/>
    <n v="0"/>
    <n v="0"/>
    <n v="0"/>
    <m/>
    <d v="2026-03-04T00:00:00"/>
    <m/>
    <s v="Lama"/>
    <s v="Sama"/>
    <s v="Aktif"/>
    <s v="IDR"/>
    <s v="30000"/>
    <n v="0"/>
    <m/>
    <m/>
    <s v="KRT"/>
    <s v="GD01"/>
    <n v="11611"/>
    <n v="11612"/>
    <m/>
    <n v="1"/>
    <m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F4695-B7DF-462E-A6D7-CC66F0EF0DE4}" name="PivotTable1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3:F307" firstHeaderRow="1" firstDataRow="1" firstDataCol="5"/>
  <pivotFields count="70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57">
        <item x="42"/>
        <item x="38"/>
        <item x="13"/>
        <item x="6"/>
        <item x="11"/>
        <item x="21"/>
        <item x="25"/>
        <item x="23"/>
        <item x="54"/>
        <item x="14"/>
        <item x="44"/>
        <item x="32"/>
        <item x="4"/>
        <item x="40"/>
        <item x="36"/>
        <item x="34"/>
        <item x="24"/>
        <item x="33"/>
        <item x="0"/>
        <item x="39"/>
        <item x="45"/>
        <item x="47"/>
        <item x="51"/>
        <item x="59"/>
        <item x="46"/>
        <item x="48"/>
        <item x="52"/>
        <item x="50"/>
        <item x="55"/>
        <item x="7"/>
        <item x="29"/>
        <item x="1"/>
        <item x="19"/>
        <item x="60"/>
        <item x="26"/>
        <item x="27"/>
        <item x="3"/>
        <item x="58"/>
        <item x="65"/>
        <item x="67"/>
        <item x="61"/>
        <item x="62"/>
        <item x="69"/>
        <item x="83"/>
        <item x="70"/>
        <item x="74"/>
        <item x="78"/>
        <item x="81"/>
        <item x="79"/>
        <item x="76"/>
        <item x="75"/>
        <item x="242"/>
        <item x="220"/>
        <item x="184"/>
        <item x="188"/>
        <item x="293"/>
        <item x="249"/>
        <item x="226"/>
        <item x="223"/>
        <item x="297"/>
        <item x="216"/>
        <item x="218"/>
        <item x="201"/>
        <item x="254"/>
        <item x="258"/>
        <item x="203"/>
        <item x="208"/>
        <item x="243"/>
        <item x="256"/>
        <item x="261"/>
        <item x="262"/>
        <item x="263"/>
        <item x="210"/>
        <item x="246"/>
        <item x="193"/>
        <item x="230"/>
        <item x="298"/>
        <item x="202"/>
        <item x="204"/>
        <item x="213"/>
        <item x="266"/>
        <item x="265"/>
        <item x="236"/>
        <item x="238"/>
        <item x="278"/>
        <item x="269"/>
        <item x="283"/>
        <item x="289"/>
        <item x="185"/>
        <item x="189"/>
        <item x="267"/>
        <item x="190"/>
        <item x="227"/>
        <item x="295"/>
        <item x="294"/>
        <item x="296"/>
        <item x="211"/>
        <item x="244"/>
        <item x="191"/>
        <item x="221"/>
        <item x="247"/>
        <item x="231"/>
        <item x="237"/>
        <item x="239"/>
        <item x="250"/>
        <item x="228"/>
        <item x="224"/>
        <item x="195"/>
        <item x="233"/>
        <item x="252"/>
        <item x="253"/>
        <item x="276"/>
        <item x="215"/>
        <item x="205"/>
        <item x="240"/>
        <item x="271"/>
        <item x="280"/>
        <item x="272"/>
        <item x="200"/>
        <item x="235"/>
        <item x="285"/>
        <item x="173"/>
        <item x="166"/>
        <item x="175"/>
        <item x="178"/>
        <item x="181"/>
        <item x="169"/>
        <item x="171"/>
        <item x="179"/>
        <item x="182"/>
        <item x="167"/>
        <item x="176"/>
        <item x="183"/>
        <item x="130"/>
        <item x="139"/>
        <item x="137"/>
        <item x="133"/>
        <item x="135"/>
        <item x="141"/>
        <item x="131"/>
        <item x="140"/>
        <item x="138"/>
        <item x="134"/>
        <item x="136"/>
        <item x="142"/>
        <item x="125"/>
        <item x="128"/>
        <item x="126"/>
        <item x="129"/>
        <item x="119"/>
        <item x="121"/>
        <item x="98"/>
        <item x="117"/>
        <item x="112"/>
        <item x="108"/>
        <item x="110"/>
        <item x="90"/>
        <item x="91"/>
        <item x="92"/>
        <item x="93"/>
        <item x="95"/>
        <item x="96"/>
        <item x="94"/>
        <item x="99"/>
        <item x="100"/>
        <item x="123"/>
        <item x="105"/>
        <item x="120"/>
        <item x="122"/>
        <item x="118"/>
        <item x="113"/>
        <item x="114"/>
        <item x="109"/>
        <item x="111"/>
        <item x="115"/>
        <item x="116"/>
        <item x="106"/>
        <item x="107"/>
        <item x="102"/>
        <item x="101"/>
        <item x="103"/>
        <item x="147"/>
        <item x="152"/>
        <item x="161"/>
        <item x="143"/>
        <item x="149"/>
        <item x="157"/>
        <item x="87"/>
        <item x="165"/>
        <item x="281"/>
        <item x="268"/>
        <item x="282"/>
        <item x="291"/>
        <item x="286"/>
        <item x="288"/>
        <item x="163"/>
        <item x="88"/>
        <item x="154"/>
        <item x="144"/>
        <item x="284"/>
        <item x="287"/>
        <item x="292"/>
        <item x="290"/>
        <item x="164"/>
        <item x="5"/>
        <item x="15"/>
        <item x="63"/>
        <item x="41"/>
        <item x="104"/>
        <item x="214"/>
        <item x="35"/>
        <item x="43"/>
        <item x="217"/>
        <item x="255"/>
        <item x="209"/>
        <item x="245"/>
        <item x="12"/>
        <item x="22"/>
        <item x="8"/>
        <item x="37"/>
        <item x="56"/>
        <item x="259"/>
        <item x="299"/>
        <item m="1" x="519"/>
        <item m="1" x="1011"/>
        <item m="1" x="630"/>
        <item m="1" x="1009"/>
        <item m="1" x="492"/>
        <item m="1" x="852"/>
        <item m="1" x="553"/>
        <item m="1" x="1042"/>
        <item m="1" x="751"/>
        <item m="1" x="949"/>
        <item m="1" x="642"/>
        <item m="1" x="371"/>
        <item m="1" x="838"/>
        <item m="1" x="547"/>
        <item m="1" x="1032"/>
        <item m="1" x="658"/>
        <item m="1" x="733"/>
        <item m="1" x="638"/>
        <item m="1" x="369"/>
        <item m="1" x="836"/>
        <item m="1" x="909"/>
        <item m="1" x="422"/>
        <item m="1" x="1044"/>
        <item m="1" x="685"/>
        <item m="1" x="907"/>
        <item m="1" x="821"/>
        <item m="1" x="832"/>
        <item m="1" x="819"/>
        <item m="1" x="848"/>
        <item m="1" x="971"/>
        <item m="1" x="557"/>
        <item m="1" x="671"/>
        <item m="1" x="370"/>
        <item m="1" x="1025"/>
        <item m="1" x="627"/>
        <item m="1" x="410"/>
        <item sd="0" m="1" x="868"/>
        <item m="1" x="645"/>
        <item m="1" x="742"/>
        <item m="1" x="648"/>
        <item m="1" x="639"/>
        <item m="1" x="1003"/>
        <item m="1" x="433"/>
        <item m="1" x="539"/>
        <item m="1" x="845"/>
        <item m="1" x="937"/>
        <item m="1" x="754"/>
        <item m="1" x="953"/>
        <item m="1" x="652"/>
        <item m="1" x="722"/>
        <item m="1" x="429"/>
        <item m="1" x="913"/>
        <item m="1" x="732"/>
        <item m="1" x="439"/>
        <item m="1" x="926"/>
        <item m="1" x="1023"/>
        <item m="1" x="608"/>
        <item m="1" x="343"/>
        <item m="1" x="803"/>
        <item m="1" x="396"/>
        <item m="1" x="936"/>
        <item m="1" x="924"/>
        <item m="1" x="359"/>
        <item m="1" x="619"/>
        <item m="1" x="826"/>
        <item m="1" x="1021"/>
        <item m="1" x="521"/>
        <item m="1" x="941"/>
        <item m="1" x="672"/>
        <item m="1" x="361"/>
        <item m="1" x="631"/>
        <item m="1" x="451"/>
        <item m="1" x="1034"/>
        <item m="1" x="464"/>
        <item m="1" x="513"/>
        <item m="1" x="955"/>
        <item m="1" x="707"/>
        <item m="1" x="683"/>
        <item m="1" x="651"/>
        <item m="1" x="450"/>
        <item m="1" x="894"/>
        <item m="1" x="554"/>
        <item m="1" x="643"/>
        <item m="1" x="808"/>
        <item m="1" x="588"/>
        <item m="1" x="372"/>
        <item m="1" x="853"/>
        <item m="1" x="1043"/>
        <item m="1" x="406"/>
        <item m="1" x="501"/>
        <item m="1" x="576"/>
        <item m="1" x="689"/>
        <item m="1" x="915"/>
        <item m="1" x="728"/>
        <item m="1" x="1018"/>
        <item m="1" x="962"/>
        <item m="1" x="840"/>
        <item m="1" x="469"/>
        <item m="1" x="950"/>
        <item m="1" x="883"/>
        <item m="1" x="503"/>
        <item m="1" x="902"/>
        <item m="1" x="775"/>
        <item m="1" x="579"/>
        <item m="1" x="312"/>
        <item m="1" x="772"/>
        <item m="1" x="850"/>
        <item m="1" x="945"/>
        <item m="1" x="453"/>
        <item m="1" x="431"/>
        <item m="1" x="518"/>
        <item m="1" x="684"/>
        <item m="1" x="940"/>
        <item m="1" x="364"/>
        <item m="1" x="979"/>
        <item m="1" x="1006"/>
        <item m="1" x="373"/>
        <item m="1" x="842"/>
        <item m="1" x="549"/>
        <item m="1" x="827"/>
        <item m="1" x="537"/>
        <item m="1" x="1022"/>
        <item m="1" x="929"/>
        <item m="1" x="366"/>
        <item m="1" x="355"/>
        <item m="1" x="920"/>
        <item m="1" x="1038"/>
        <item m="1" x="847"/>
        <item m="1" x="524"/>
        <item m="1" x="378"/>
        <item m="1" x="456"/>
        <item m="1" x="666"/>
        <item m="1" x="500"/>
        <item m="1" x="1040"/>
        <item m="1" x="636"/>
        <item m="1" x="890"/>
        <item m="1" x="965"/>
        <item m="1" x="675"/>
        <item m="1" x="988"/>
        <item m="1" x="849"/>
        <item m="1" x="944"/>
        <item m="1" x="584"/>
        <item m="1" x="661"/>
        <item m="1" x="398"/>
        <item m="1" x="444"/>
        <item m="1" x="367"/>
        <item m="1" x="632"/>
        <item m="1" x="748"/>
        <item m="1" x="834"/>
        <item m="1" x="362"/>
        <item m="1" x="471"/>
        <item m="1" x="419"/>
        <item m="1" x="488"/>
        <item m="1" x="386"/>
        <item m="1" x="957"/>
        <item m="1" x="466"/>
        <item m="1" x="477"/>
        <item m="1" x="768"/>
        <item m="1" x="458"/>
        <item m="1" x="932"/>
        <item m="1" x="457"/>
        <item m="1" x="559"/>
        <item m="1" x="958"/>
        <item m="1" x="562"/>
        <item m="1" x="1031"/>
        <item m="1" x="927"/>
        <item m="1" x="910"/>
        <item m="1" x="831"/>
        <item m="1" x="960"/>
        <item m="1" x="934"/>
        <item m="1" x="816"/>
        <item m="1" x="625"/>
        <item m="1" x="703"/>
        <item m="1" x="646"/>
        <item m="1" x="491"/>
        <item m="1" x="930"/>
        <item m="1" x="715"/>
        <item m="1" x="320"/>
        <item m="1" x="766"/>
        <item m="1" x="901"/>
        <item m="1" x="567"/>
        <item m="1" x="670"/>
        <item m="1" x="744"/>
        <item m="1" x="724"/>
        <item m="1" x="810"/>
        <item m="1" x="637"/>
        <item m="1" x="939"/>
        <item m="1" x="964"/>
        <item m="1" x="711"/>
        <item m="1" x="959"/>
        <item m="1" x="391"/>
        <item m="1" x="755"/>
        <item m="1" x="304"/>
        <item m="1" x="750"/>
        <item m="1" x="640"/>
        <item m="1" x="446"/>
        <item m="1" x="551"/>
        <item m="1" x="668"/>
        <item m="1" x="552"/>
        <item m="1" x="974"/>
        <item m="1" x="540"/>
        <item m="1" x="357"/>
        <item m="1" x="943"/>
        <item m="1" x="1048"/>
        <item m="1" x="379"/>
        <item m="1" x="863"/>
        <item m="1" x="545"/>
        <item m="1" x="440"/>
        <item m="1" x="426"/>
        <item m="1" x="541"/>
        <item m="1" x="654"/>
        <item m="1" x="449"/>
        <item m="1" x="353"/>
        <item m="1" x="714"/>
        <item m="1" x="555"/>
        <item m="1" x="980"/>
        <item m="1" x="407"/>
        <item m="1" x="835"/>
        <item m="1" x="1005"/>
        <item m="1" x="462"/>
        <item m="1" x="951"/>
        <item m="1" x="782"/>
        <item m="1" x="474"/>
        <item m="1" x="572"/>
        <item m="1" x="303"/>
        <item m="1" x="550"/>
        <item m="1" x="747"/>
        <item m="1" x="1037"/>
        <item m="1" x="445"/>
        <item m="1" x="489"/>
        <item m="1" x="420"/>
        <item m="1" x="712"/>
        <item m="1" x="737"/>
        <item m="1" x="564"/>
        <item m="1" x="342"/>
        <item m="1" x="644"/>
        <item m="1" x="978"/>
        <item m="1" x="855"/>
        <item m="1" x="496"/>
        <item m="1" x="368"/>
        <item m="1" x="515"/>
        <item m="1" x="591"/>
        <item m="1" x="786"/>
        <item m="1" x="861"/>
        <item m="1" x="548"/>
        <item m="1" x="340"/>
        <item m="1" x="580"/>
        <item m="1" x="313"/>
        <item m="1" x="1001"/>
        <item m="1" x="504"/>
        <item m="1" x="994"/>
        <item m="1" x="509"/>
        <item m="1" x="423"/>
        <item m="1" x="601"/>
        <item m="1" x="531"/>
        <item m="1" x="859"/>
        <item m="1" x="561"/>
        <item m="1" x="302"/>
        <item m="1" x="344"/>
        <item m="1" x="767"/>
        <item m="1" x="623"/>
        <item m="1" x="956"/>
        <item m="1" x="1015"/>
        <item m="1" x="467"/>
        <item m="1" x="603"/>
        <item m="1" x="335"/>
        <item m="1" x="487"/>
        <item m="1" x="977"/>
        <item m="1" x="776"/>
        <item m="1" x="701"/>
        <item m="1" x="799"/>
        <item m="1" x="692"/>
        <item m="1" x="417"/>
        <item m="1" x="315"/>
        <item m="1" x="790"/>
        <item m="1" x="600"/>
        <item m="1" x="986"/>
        <item m="1" x="705"/>
        <item m="1" x="582"/>
        <item m="1" x="327"/>
        <item m="1" x="336"/>
        <item m="1" x="736"/>
        <item m="1" x="983"/>
        <item m="1" x="691"/>
        <item m="1" x="749"/>
        <item m="1" x="389"/>
        <item m="1" x="448"/>
        <item m="1" x="517"/>
        <item m="1" x="923"/>
        <item m="1" x="811"/>
        <item m="1" x="618"/>
        <item m="1" x="968"/>
        <item m="1" x="925"/>
        <item m="1" x="621"/>
        <item m="1" x="773"/>
        <item m="1" x="900"/>
        <item m="1" x="777"/>
        <item m="1" x="870"/>
        <item m="1" x="337"/>
        <item m="1" x="415"/>
        <item m="1" x="635"/>
        <item m="1" x="1016"/>
        <item m="1" x="542"/>
        <item m="1" x="442"/>
        <item m="1" x="529"/>
        <item m="1" x="1028"/>
        <item m="1" x="543"/>
        <item m="1" x="325"/>
        <item m="1" x="485"/>
        <item m="1" x="966"/>
        <item m="1" x="908"/>
        <item m="1" x="508"/>
        <item m="1" x="388"/>
        <item m="1" x="800"/>
        <item m="1" x="761"/>
        <item m="1" x="595"/>
        <item m="1" x="527"/>
        <item m="1" x="1033"/>
        <item m="1" x="802"/>
        <item m="1" x="404"/>
        <item m="1" x="413"/>
        <item m="1" x="339"/>
        <item m="1" x="653"/>
        <item m="1" x="763"/>
        <item m="1" x="481"/>
        <item m="1" x="947"/>
        <item m="1" x="1039"/>
        <item m="1" x="857"/>
        <item m="1" x="395"/>
        <item m="1" x="837"/>
        <item m="1" x="734"/>
        <item m="1" x="818"/>
        <item m="1" x="906"/>
        <item m="1" x="888"/>
        <item m="1" x="999"/>
        <item m="1" x="490"/>
        <item m="1" x="898"/>
        <item m="1" x="408"/>
        <item m="1" x="463"/>
        <item m="1" x="1029"/>
        <item m="1" x="1027"/>
        <item m="1" x="753"/>
        <item m="1" x="436"/>
        <item m="1" x="700"/>
        <item m="1" x="1046"/>
        <item m="1" x="544"/>
        <item m="1" x="611"/>
        <item m="1" x="993"/>
        <item m="1" x="739"/>
        <item m="1" x="360"/>
        <item m="1" x="447"/>
        <item m="1" x="465"/>
        <item m="1" x="1051"/>
        <item m="1" x="740"/>
        <item m="1" x="622"/>
        <item m="1" x="380"/>
        <item m="1" x="628"/>
        <item m="1" x="526"/>
        <item m="1" x="814"/>
        <item m="1" x="880"/>
        <item m="1" x="438"/>
        <item m="1" x="329"/>
        <item m="1" x="792"/>
        <item m="1" x="593"/>
        <item m="1" x="899"/>
        <item m="1" x="809"/>
        <item m="1" x="931"/>
        <item m="1" x="805"/>
        <item m="1" x="992"/>
        <item m="1" x="973"/>
        <item m="1" x="660"/>
        <item m="1" x="354"/>
        <item m="1" x="839"/>
        <item m="1" x="606"/>
        <item m="1" x="882"/>
        <item m="1" x="310"/>
        <item m="1" x="577"/>
        <item m="1" x="989"/>
        <item m="1" x="844"/>
        <item m="1" x="876"/>
        <item m="1" x="699"/>
        <item m="1" x="523"/>
        <item m="1" x="1012"/>
        <item m="1" x="720"/>
        <item m="1" x="664"/>
        <item m="1" x="933"/>
        <item m="1" x="686"/>
        <item m="1" x="784"/>
        <item m="1" x="494"/>
        <item m="1" x="757"/>
        <item m="1" x="765"/>
        <item m="1" x="461"/>
        <item m="1" x="375"/>
        <item m="1" x="316"/>
        <item m="1" x="387"/>
        <item m="1" x="866"/>
        <item m="1" x="480"/>
        <item m="1" x="1050"/>
        <item m="1" x="912"/>
        <item m="1" x="486"/>
        <item m="1" x="607"/>
        <item m="1" x="679"/>
        <item m="1" x="341"/>
        <item m="1" x="871"/>
        <item m="1" x="338"/>
        <item m="1" x="721"/>
        <item m="1" x="428"/>
        <item m="1" x="922"/>
        <item m="1" x="717"/>
        <item m="1" x="659"/>
        <item m="1" x="1047"/>
        <item m="1" x="384"/>
        <item m="1" x="470"/>
        <item m="1" x="374"/>
        <item m="1" x="843"/>
        <item m="1" x="351"/>
        <item m="1" x="774"/>
        <item m="1" x="663"/>
        <item m="1" x="614"/>
        <item m="1" x="758"/>
        <item m="1" x="455"/>
        <item m="1" x="746"/>
        <item m="1" x="633"/>
        <item m="1" x="363"/>
        <item m="1" x="828"/>
        <item m="1" x="725"/>
        <item m="1" x="348"/>
        <item m="1" x="306"/>
        <item m="1" x="789"/>
        <item m="1" x="829"/>
        <item m="1" x="365"/>
        <item m="1" x="475"/>
        <item m="1" x="969"/>
        <item m="1" x="516"/>
        <item m="1" x="1007"/>
        <item m="1" x="946"/>
        <item m="1" x="1020"/>
        <item m="1" x="730"/>
        <item m="1" x="397"/>
        <item m="1" x="752"/>
        <item m="1" x="460"/>
        <item m="1" x="427"/>
        <item m="1" x="911"/>
        <item m="1" x="323"/>
        <item m="1" x="787"/>
        <item m="1" x="512"/>
        <item m="1" x="1002"/>
        <item m="1" x="903"/>
        <item m="1" x="891"/>
        <item m="1" x="807"/>
        <item m="1" x="770"/>
        <item m="1" x="647"/>
        <item m="1" x="916"/>
        <item m="1" x="613"/>
        <item m="1" x="704"/>
        <item m="1" x="806"/>
        <item m="1" x="615"/>
        <item m="1" x="794"/>
        <item m="1" x="917"/>
        <item m="1" x="574"/>
        <item m="1" x="533"/>
        <item m="1" x="330"/>
        <item m="1" x="432"/>
        <item m="1" x="877"/>
        <item m="1" x="400"/>
        <item m="1" x="484"/>
        <item m="1" x="975"/>
        <item m="1" x="869"/>
        <item m="1" x="347"/>
        <item m="1" x="566"/>
        <item m="1" x="586"/>
        <item m="1" x="1053"/>
        <item m="1" x="322"/>
        <item m="1" x="759"/>
        <item m="1" x="785"/>
        <item m="1" x="963"/>
        <item m="1" x="795"/>
        <item m="1" x="385"/>
        <item m="1" x="331"/>
        <item m="1" x="571"/>
        <item m="1" x="587"/>
        <item m="1" x="892"/>
        <item m="1" x="317"/>
        <item m="1" x="594"/>
        <item m="1" x="435"/>
        <item m="1" x="326"/>
        <item m="1" x="328"/>
        <item m="1" x="919"/>
        <item m="1" x="952"/>
        <item m="1" x="791"/>
        <item m="1" x="738"/>
        <item m="1" x="987"/>
        <item m="1" x="443"/>
        <item m="1" x="693"/>
        <item m="1" x="349"/>
        <item m="1" x="889"/>
        <item m="1" x="616"/>
        <item m="1" x="583"/>
        <item m="1" x="727"/>
        <item m="1" x="499"/>
        <item m="1" x="1030"/>
        <item m="1" x="510"/>
        <item m="1" x="741"/>
        <item m="1" x="935"/>
        <item m="1" x="629"/>
        <item m="1" x="824"/>
        <item m="1" x="769"/>
        <item m="1" x="1052"/>
        <item m="1" x="411"/>
        <item m="1" x="585"/>
        <item m="1" x="383"/>
        <item m="1" x="895"/>
        <item m="1" x="589"/>
        <item m="1" x="885"/>
        <item m="1" x="424"/>
        <item m="1" x="716"/>
        <item m="1" x="804"/>
        <item m="1" x="514"/>
        <item m="1" x="1004"/>
        <item m="1" x="710"/>
        <item m="1" x="345"/>
        <item m="1" x="609"/>
        <item m="1" x="321"/>
        <item m="1" x="1054"/>
        <item m="1" x="760"/>
        <item m="1" x="472"/>
        <item m="1" x="414"/>
        <item m="1" x="893"/>
        <item m="1" x="1045"/>
        <item m="1" x="556"/>
        <item m="1" x="650"/>
        <item m="1" x="797"/>
        <item m="1" x="506"/>
        <item m="1" x="997"/>
        <item m="1" x="702"/>
        <item m="1" x="416"/>
        <item m="1" x="897"/>
        <item m="1" x="311"/>
        <item m="1" x="333"/>
        <item m="1" x="459"/>
        <item m="1" x="641"/>
        <item m="1" x="812"/>
        <item m="1" x="520"/>
        <item m="1" x="350"/>
        <item m="1" x="546"/>
        <item m="1" x="793"/>
        <item m="1" x="318"/>
        <item m="1" x="948"/>
        <item m="1" x="358"/>
        <item m="1" x="823"/>
        <item m="1" x="534"/>
        <item m="1" x="482"/>
        <item m="1" x="352"/>
        <item m="1" x="815"/>
        <item m="1" x="525"/>
        <item m="1" x="1013"/>
        <item m="1" x="723"/>
        <item m="1" x="430"/>
        <item m="1" x="914"/>
        <item m="1" x="610"/>
        <item m="1" x="346"/>
        <item m="1" x="781"/>
        <item m="1" x="558"/>
        <item m="1" x="783"/>
        <item m="1" x="856"/>
        <item m="1" x="565"/>
        <item m="1" x="879"/>
        <item m="1" x="570"/>
        <item m="1" x="334"/>
        <item m="1" x="998"/>
        <item m="1" x="881"/>
        <item m="1" x="473"/>
        <item m="1" x="1000"/>
        <item m="1" x="706"/>
        <item m="1" x="798"/>
        <item m="1" x="578"/>
        <item m="1" x="418"/>
        <item m="1" x="1010"/>
        <item m="1" x="308"/>
        <item m="1" x="678"/>
        <item m="1" x="602"/>
        <item m="1" x="718"/>
        <item m="1" x="563"/>
        <item m="1" x="1055"/>
        <item m="1" x="403"/>
        <item m="1" x="468"/>
        <item m="1" x="961"/>
        <item m="1" x="655"/>
        <item m="1" x="381"/>
        <item m="1" x="851"/>
        <item m="1" x="409"/>
        <item m="1" x="592"/>
        <item m="1" x="780"/>
        <item m="1" x="1035"/>
        <item m="1" x="743"/>
        <item m="1" x="452"/>
        <item m="1" x="938"/>
        <item m="1" x="905"/>
        <item m="1" x="599"/>
        <item m="1" x="319"/>
        <item m="1" x="441"/>
        <item m="1" x="536"/>
        <item m="1" x="860"/>
        <item m="1" x="928"/>
        <item m="1" x="393"/>
        <item m="1" x="649"/>
        <item m="1" x="756"/>
        <item m="1" x="376"/>
        <item m="1" x="560"/>
        <item m="1" x="665"/>
        <item m="1" x="305"/>
        <item m="1" x="954"/>
        <item m="1" x="1049"/>
        <item m="1" x="864"/>
        <item m="1" x="680"/>
        <item m="1" x="982"/>
        <item m="1" x="820"/>
        <item m="1" x="985"/>
        <item m="1" x="970"/>
        <item m="1" x="377"/>
        <item m="1" x="590"/>
        <item m="1" x="493"/>
        <item m="1" x="528"/>
        <item m="1" x="904"/>
        <item m="1" x="657"/>
        <item m="1" x="575"/>
        <item m="1" x="324"/>
        <item m="1" x="483"/>
        <item m="1" x="598"/>
        <item m="1" x="878"/>
        <item m="1" x="726"/>
        <item m="1" x="688"/>
        <item m="1" x="434"/>
        <item m="1" x="405"/>
        <item m="1" x="817"/>
        <item m="1" x="307"/>
        <item m="1" x="981"/>
        <item m="1" x="1014"/>
        <item m="1" x="921"/>
        <item m="1" x="532"/>
        <item m="1" x="729"/>
        <item m="1" x="822"/>
        <item m="1" x="1019"/>
        <item m="1" x="437"/>
        <item m="1" x="676"/>
        <item m="1" x="505"/>
        <item m="1" x="399"/>
        <item m="1" x="996"/>
        <item m="1" x="674"/>
        <item m="1" x="421"/>
        <item m="1" x="867"/>
        <item m="1" x="796"/>
        <item m="1" x="401"/>
        <item m="1" x="872"/>
        <item m="1" x="762"/>
        <item m="1" x="942"/>
        <item m="1" x="476"/>
        <item m="1" x="972"/>
        <item m="1" x="874"/>
        <item m="1" x="569"/>
        <item m="1" x="886"/>
        <item m="1" x="682"/>
        <item m="1" x="735"/>
        <item m="1" x="581"/>
        <item m="1" x="779"/>
        <item m="1" x="478"/>
        <item m="1" x="896"/>
        <item m="1" x="1026"/>
        <item m="1" x="356"/>
        <item m="1" x="1017"/>
        <item m="1" x="425"/>
        <item m="1" x="719"/>
        <item m="1" x="634"/>
        <item m="1" x="568"/>
        <item m="1" x="412"/>
        <item m="1" x="495"/>
        <item m="1" x="698"/>
        <item m="1" x="745"/>
        <item m="1" x="454"/>
        <item m="1" x="530"/>
        <item m="1" x="314"/>
        <item m="1" x="778"/>
        <item m="1" x="918"/>
        <item m="1" x="332"/>
        <item m="1" x="788"/>
        <item m="1" x="1056"/>
        <item m="1" x="713"/>
        <item m="1" x="669"/>
        <item m="1" x="764"/>
        <item m="1" x="479"/>
        <item m="1" x="626"/>
        <item m="1" x="402"/>
        <item m="1" x="507"/>
        <item m="1" x="497"/>
        <item m="1" x="309"/>
        <item m="1" x="511"/>
        <item m="1" x="502"/>
        <item m="1" x="535"/>
        <item m="1" x="522"/>
        <item m="1" x="694"/>
        <item m="1" x="673"/>
        <item m="1" x="687"/>
        <item m="1" x="656"/>
        <item m="1" x="825"/>
        <item m="1" x="865"/>
        <item m="1" x="813"/>
        <item m="1" x="394"/>
        <item m="1" x="382"/>
        <item m="1" x="617"/>
        <item m="1" x="604"/>
        <item m="1" x="858"/>
        <item m="1" x="596"/>
        <item m="1" x="801"/>
        <item m="1" x="841"/>
        <item m="1" x="846"/>
        <item m="1" x="830"/>
        <item m="1" x="597"/>
        <item m="1" x="605"/>
        <item m="1" x="887"/>
        <item m="1" x="875"/>
        <item m="1" x="862"/>
        <item m="1" x="709"/>
        <item m="1" x="620"/>
        <item m="1" x="662"/>
        <item m="1" x="677"/>
        <item m="1" x="690"/>
        <item m="1" x="697"/>
        <item m="1" x="681"/>
        <item m="1" x="667"/>
        <item m="1" x="390"/>
        <item m="1" x="392"/>
        <item m="1" x="498"/>
        <item m="1" x="695"/>
        <item m="1" x="696"/>
        <item m="1" x="538"/>
        <item m="1" x="854"/>
        <item m="1" x="984"/>
        <item m="1" x="771"/>
        <item m="1" x="731"/>
        <item m="1" x="884"/>
        <item m="1" x="873"/>
        <item m="1" x="990"/>
        <item m="1" x="1041"/>
        <item m="1" x="1036"/>
        <item m="1" x="1024"/>
        <item m="1" x="976"/>
        <item m="1" x="612"/>
        <item m="1" x="967"/>
        <item m="1" x="573"/>
        <item m="1" x="624"/>
        <item m="1" x="995"/>
        <item m="1" x="1008"/>
        <item m="1" x="991"/>
        <item x="2"/>
        <item x="20"/>
        <item x="28"/>
        <item x="186"/>
        <item x="194"/>
        <item x="196"/>
        <item x="206"/>
        <item x="212"/>
        <item x="219"/>
        <item x="222"/>
        <item x="232"/>
        <item x="234"/>
        <item x="241"/>
        <item x="248"/>
        <item x="251"/>
        <item x="257"/>
        <item x="260"/>
        <item x="225"/>
        <item x="64"/>
        <item x="66"/>
        <item x="229"/>
        <item x="146"/>
        <item m="1" x="708"/>
        <item x="160"/>
        <item x="177"/>
        <item x="264"/>
        <item x="273"/>
        <item x="300"/>
        <item x="192"/>
        <item x="68"/>
        <item x="77"/>
        <item x="80"/>
        <item x="84"/>
        <item x="155"/>
        <item x="9"/>
        <item m="1" x="833"/>
        <item x="180"/>
        <item x="30"/>
        <item x="82"/>
        <item x="270"/>
        <item x="89"/>
        <item x="71"/>
        <item x="279"/>
        <item x="168"/>
        <item x="86"/>
        <item x="172"/>
        <item x="174"/>
        <item x="85"/>
        <item x="97"/>
        <item x="274"/>
        <item x="57"/>
        <item x="49"/>
        <item x="277"/>
        <item x="170"/>
        <item x="145"/>
        <item x="150"/>
        <item x="159"/>
        <item x="72"/>
        <item x="31"/>
        <item x="127"/>
        <item x="73"/>
        <item x="275"/>
        <item x="53"/>
        <item x="16"/>
        <item x="18"/>
        <item x="124"/>
        <item x="132"/>
        <item x="17"/>
        <item x="207"/>
        <item x="10"/>
        <item x="301"/>
        <item x="151"/>
        <item x="197"/>
        <item x="199"/>
        <item x="153"/>
        <item x="148"/>
        <item x="156"/>
        <item x="198"/>
        <item x="162"/>
        <item x="158"/>
        <item x="18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7">
        <item x="4"/>
        <item x="5"/>
        <item x="8"/>
        <item x="11"/>
        <item x="3"/>
        <item x="10"/>
        <item x="1"/>
        <item x="9"/>
        <item x="7"/>
        <item x="0"/>
        <item x="6"/>
        <item m="1" x="13"/>
        <item m="1" x="17"/>
        <item m="1" x="24"/>
        <item m="1" x="20"/>
        <item m="1" x="19"/>
        <item m="1" x="21"/>
        <item m="1" x="22"/>
        <item m="1" x="26"/>
        <item m="1" x="14"/>
        <item m="1" x="12"/>
        <item m="1" x="25"/>
        <item m="1" x="18"/>
        <item m="1" x="23"/>
        <item m="1" x="15"/>
        <item m="1" x="16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21">
        <item x="4"/>
        <item x="28"/>
        <item x="10"/>
        <item x="19"/>
        <item x="42"/>
        <item x="11"/>
        <item x="23"/>
        <item x="32"/>
        <item x="26"/>
        <item x="24"/>
        <item x="0"/>
        <item x="30"/>
        <item x="33"/>
        <item x="35"/>
        <item x="39"/>
        <item x="34"/>
        <item x="36"/>
        <item x="40"/>
        <item x="38"/>
        <item x="43"/>
        <item x="41"/>
        <item x="6"/>
        <item x="1"/>
        <item x="16"/>
        <item x="18"/>
        <item x="27"/>
        <item x="25"/>
        <item x="37"/>
        <item x="44"/>
        <item x="5"/>
        <item x="9"/>
        <item x="7"/>
        <item x="21"/>
        <item x="2"/>
        <item x="15"/>
        <item x="17"/>
        <item x="20"/>
        <item x="45"/>
        <item x="22"/>
        <item x="3"/>
        <item x="46"/>
        <item x="12"/>
        <item x="8"/>
        <item x="65"/>
        <item x="14"/>
        <item x="13"/>
        <item x="47"/>
        <item x="50"/>
        <item x="51"/>
        <item x="48"/>
        <item x="52"/>
        <item x="56"/>
        <item x="59"/>
        <item x="61"/>
        <item x="57"/>
        <item x="55"/>
        <item x="62"/>
        <item x="58"/>
        <item x="60"/>
        <item x="53"/>
        <item x="54"/>
        <item x="63"/>
        <item x="64"/>
        <item x="193"/>
        <item x="172"/>
        <item x="140"/>
        <item x="199"/>
        <item x="175"/>
        <item x="170"/>
        <item x="156"/>
        <item x="202"/>
        <item x="205"/>
        <item x="158"/>
        <item x="194"/>
        <item x="208"/>
        <item x="209"/>
        <item x="164"/>
        <item x="196"/>
        <item x="148"/>
        <item x="181"/>
        <item x="157"/>
        <item x="159"/>
        <item x="167"/>
        <item x="187"/>
        <item x="189"/>
        <item x="219"/>
        <item x="212"/>
        <item x="141"/>
        <item x="144"/>
        <item x="145"/>
        <item x="178"/>
        <item x="165"/>
        <item x="146"/>
        <item x="173"/>
        <item x="197"/>
        <item x="182"/>
        <item x="188"/>
        <item x="190"/>
        <item x="200"/>
        <item x="179"/>
        <item x="176"/>
        <item x="203"/>
        <item x="206"/>
        <item x="150"/>
        <item x="184"/>
        <item x="149"/>
        <item x="183"/>
        <item x="217"/>
        <item x="166"/>
        <item x="142"/>
        <item x="147"/>
        <item x="163"/>
        <item x="154"/>
        <item x="161"/>
        <item x="168"/>
        <item x="169"/>
        <item x="171"/>
        <item x="174"/>
        <item x="207"/>
        <item x="177"/>
        <item x="180"/>
        <item x="195"/>
        <item x="192"/>
        <item x="201"/>
        <item x="198"/>
        <item x="204"/>
        <item x="160"/>
        <item x="191"/>
        <item x="220"/>
        <item x="153"/>
        <item x="152"/>
        <item x="213"/>
        <item x="151"/>
        <item x="185"/>
        <item x="218"/>
        <item x="155"/>
        <item x="186"/>
        <item x="214"/>
        <item x="215"/>
        <item x="216"/>
        <item x="124"/>
        <item x="133"/>
        <item x="136"/>
        <item x="127"/>
        <item x="129"/>
        <item x="137"/>
        <item x="125"/>
        <item x="134"/>
        <item x="139"/>
        <item x="126"/>
        <item x="132"/>
        <item x="128"/>
        <item x="130"/>
        <item x="138"/>
        <item x="135"/>
        <item x="95"/>
        <item x="98"/>
        <item x="100"/>
        <item x="104"/>
        <item x="96"/>
        <item x="103"/>
        <item x="102"/>
        <item x="99"/>
        <item x="101"/>
        <item x="105"/>
        <item x="97"/>
        <item x="91"/>
        <item x="94"/>
        <item x="92"/>
        <item x="69"/>
        <item x="70"/>
        <item x="71"/>
        <item x="72"/>
        <item x="74"/>
        <item x="75"/>
        <item x="73"/>
        <item x="77"/>
        <item x="78"/>
        <item x="88"/>
        <item x="81"/>
        <item x="86"/>
        <item x="87"/>
        <item x="85"/>
        <item x="83"/>
        <item x="82"/>
        <item x="84"/>
        <item x="76"/>
        <item x="79"/>
        <item x="80"/>
        <item x="109"/>
        <item x="114"/>
        <item x="123"/>
        <item x="106"/>
        <item x="111"/>
        <item x="119"/>
        <item x="66"/>
        <item x="211"/>
        <item x="67"/>
        <item x="116"/>
        <item x="68"/>
        <item x="117"/>
        <item x="113"/>
        <item x="108"/>
        <item x="122"/>
        <item x="49"/>
        <item x="210"/>
        <item x="162"/>
        <item x="131"/>
        <item x="90"/>
        <item x="93"/>
        <item x="89"/>
        <item x="110"/>
        <item x="115"/>
        <item x="118"/>
        <item x="107"/>
        <item x="112"/>
        <item x="121"/>
        <item x="29"/>
        <item x="120"/>
        <item x="143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m="1" x="12"/>
        <item x="8"/>
        <item x="0"/>
        <item x="1"/>
        <item x="2"/>
        <item x="3"/>
        <item x="5"/>
        <item x="6"/>
        <item x="7"/>
        <item x="9"/>
        <item x="4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53">
        <item x="22"/>
        <item x="21"/>
        <item x="23"/>
        <item x="25"/>
        <item x="27"/>
        <item x="28"/>
        <item x="31"/>
        <item x="29"/>
        <item x="30"/>
        <item x="0"/>
        <item x="1"/>
        <item x="2"/>
        <item x="9"/>
        <item x="5"/>
        <item x="15"/>
        <item x="16"/>
        <item x="12"/>
        <item x="18"/>
        <item x="17"/>
        <item x="20"/>
        <item x="4"/>
        <item x="8"/>
        <item x="14"/>
        <item x="13"/>
        <item x="37"/>
        <item x="39"/>
        <item x="44"/>
        <item x="42"/>
        <item x="45"/>
        <item x="43"/>
        <item x="46"/>
        <item x="50"/>
        <item x="51"/>
        <item x="52"/>
        <item x="53"/>
        <item x="55"/>
        <item x="56"/>
        <item x="54"/>
        <item x="59"/>
        <item x="58"/>
        <item x="60"/>
        <item x="61"/>
        <item x="63"/>
        <item x="64"/>
        <item x="62"/>
        <item x="65"/>
        <item x="67"/>
        <item x="69"/>
        <item x="71"/>
        <item x="72"/>
        <item x="73"/>
        <item x="76"/>
        <item x="77"/>
        <item x="78"/>
        <item x="80"/>
        <item x="81"/>
        <item x="82"/>
        <item x="83"/>
        <item x="84"/>
        <item x="85"/>
        <item x="86"/>
        <item x="88"/>
        <item x="89"/>
        <item x="91"/>
        <item x="92"/>
        <item x="93"/>
        <item x="95"/>
        <item x="96"/>
        <item x="98"/>
        <item x="97"/>
        <item x="106"/>
        <item x="105"/>
        <item x="99"/>
        <item x="100"/>
        <item x="101"/>
        <item x="102"/>
        <item x="141"/>
        <item x="142"/>
        <item x="143"/>
        <item x="144"/>
        <item x="148"/>
        <item x="149"/>
        <item x="147"/>
        <item x="150"/>
        <item x="152"/>
        <item x="151"/>
        <item x="154"/>
        <item x="153"/>
        <item x="156"/>
        <item x="155"/>
        <item x="158"/>
        <item x="157"/>
        <item x="3"/>
        <item x="10"/>
        <item x="19"/>
        <item x="32"/>
        <item x="33"/>
        <item x="34"/>
        <item x="35"/>
        <item x="36"/>
        <item x="38"/>
        <item x="49"/>
        <item x="66"/>
        <item x="68"/>
        <item x="70"/>
        <item x="74"/>
        <item x="103"/>
        <item x="104"/>
        <item x="107"/>
        <item x="109"/>
        <item x="110"/>
        <item x="111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12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59"/>
        <item x="160"/>
        <item x="161"/>
        <item x="162"/>
        <item x="24"/>
        <item x="26"/>
        <item x="164"/>
        <item m="1" x="848"/>
        <item m="1" x="810"/>
        <item m="1" x="948"/>
        <item m="1" x="915"/>
        <item m="1" x="1076"/>
        <item m="1" x="1040"/>
        <item m="1" x="890"/>
        <item m="1" x="859"/>
        <item m="1" x="1011"/>
        <item m="1" x="971"/>
        <item m="1" x="878"/>
        <item m="1" x="1123"/>
        <item m="1" x="902"/>
        <item m="1" x="1025"/>
        <item m="1" x="1163"/>
        <item m="1" x="1279"/>
        <item m="1" x="198"/>
        <item m="1" x="282"/>
        <item m="1" x="342"/>
        <item m="1" x="391"/>
        <item m="1" x="429"/>
        <item m="1" x="805"/>
        <item m="1" x="908"/>
        <item m="1" x="1034"/>
        <item m="1" x="1169"/>
        <item m="1" x="1284"/>
        <item m="1" x="204"/>
        <item m="1" x="285"/>
        <item m="1" x="346"/>
        <item m="1" x="396"/>
        <item m="1" x="432"/>
        <item m="1" x="813"/>
        <item m="1" x="918"/>
        <item m="1" x="1042"/>
        <item m="1" x="1176"/>
        <item m="1" x="967"/>
        <item m="1" x="986"/>
        <item m="1" x="1051"/>
        <item m="1" x="1115"/>
        <item m="1" x="987"/>
        <item m="1" x="1019"/>
        <item m="1" x="1056"/>
        <item m="1" x="1193"/>
        <item m="1" x="1180"/>
        <item m="1" x="1124"/>
        <item m="1" x="1291"/>
        <item m="1" x="1249"/>
        <item m="1" x="210"/>
        <item m="1" x="173"/>
        <item m="1" x="263"/>
        <item m="1" x="330"/>
        <item m="1" x="1109"/>
        <item m="1" x="1079"/>
        <item m="1" x="1241"/>
        <item m="1" x="1214"/>
        <item m="1" x="1349"/>
        <item m="1" x="1324"/>
        <item m="1" x="234"/>
        <item m="1" x="345"/>
        <item m="1" x="389"/>
        <item m="1" x="394"/>
        <item m="1" x="431"/>
        <item m="1" x="405"/>
        <item m="1" x="442"/>
        <item m="1" x="484"/>
        <item m="1" x="1230"/>
        <item m="1" x="604"/>
        <item m="1" x="1340"/>
        <item m="1" x="673"/>
        <item m="1" x="248"/>
        <item m="1" x="748"/>
        <item m="1" x="318"/>
        <item m="1" x="836"/>
        <item m="1" x="512"/>
        <item m="1" x="556"/>
        <item m="1" x="606"/>
        <item m="1" x="674"/>
        <item m="1" x="751"/>
        <item m="1" x="839"/>
        <item m="1" x="941"/>
        <item m="1" x="170"/>
        <item m="1" x="261"/>
        <item m="1" x="329"/>
        <item m="1" x="377"/>
        <item m="1" x="421"/>
        <item m="1" x="456"/>
        <item m="1" x="191"/>
        <item m="1" x="1278"/>
        <item m="1" x="739"/>
        <item m="1" x="1021"/>
        <item m="1" x="1159"/>
        <item m="1" x="1277"/>
        <item m="1" x="196"/>
        <item m="1" x="280"/>
        <item m="1" x="340"/>
        <item m="1" x="390"/>
        <item m="1" x="428"/>
        <item m="1" x="1066"/>
        <item m="1" x="1309"/>
        <item m="1" x="1215"/>
        <item m="1" x="220"/>
        <item m="1" x="1325"/>
        <item m="1" x="301"/>
        <item m="1" x="235"/>
        <item m="1" x="358"/>
        <item m="1" x="238"/>
        <item m="1" x="310"/>
        <item m="1" x="1287"/>
        <item m="1" x="1342"/>
        <item m="1" x="207"/>
        <item m="1" x="250"/>
        <item m="1" x="288"/>
        <item m="1" x="320"/>
        <item m="1" x="397"/>
        <item m="1" x="1293"/>
        <item m="1" x="212"/>
        <item m="1" x="294"/>
        <item m="1" x="351"/>
        <item m="1" x="1246"/>
        <item m="1" x="167"/>
        <item m="1" x="958"/>
        <item m="1" x="1321"/>
        <item m="1" x="1087"/>
        <item m="1" x="231"/>
        <item m="1" x="587"/>
        <item m="1" x="1331"/>
        <item m="1" x="363"/>
        <item m="1" x="240"/>
        <item m="1" x="315"/>
        <item m="1" x="366"/>
        <item m="1" x="482"/>
        <item m="1" x="411"/>
        <item m="1" x="533"/>
        <item m="1" x="434"/>
        <item m="1" x="892"/>
        <item m="1" x="1000"/>
        <item m="1" x="896"/>
        <item m="1" x="1131"/>
        <item m="1" x="1017"/>
        <item m="1" x="343"/>
        <item m="1" x="387"/>
        <item m="1" x="392"/>
        <item m="1" x="427"/>
        <item m="1" x="430"/>
        <item m="1" x="463"/>
        <item m="1" x="863"/>
        <item m="1" x="799"/>
        <item m="1" x="976"/>
        <item m="1" x="903"/>
        <item m="1" x="1102"/>
        <item m="1" x="1026"/>
        <item m="1" x="1231"/>
        <item m="1" x="1164"/>
        <item m="1" x="1341"/>
        <item m="1" x="1280"/>
        <item m="1" x="249"/>
        <item m="1" x="199"/>
        <item m="1" x="319"/>
        <item m="1" x="283"/>
        <item m="1" x="370"/>
        <item m="1" x="344"/>
        <item m="1" x="414"/>
        <item m="1" x="393"/>
        <item m="1" x="826"/>
        <item m="1" x="930"/>
        <item m="1" x="926"/>
        <item m="1" x="491"/>
        <item m="1" x="1049"/>
        <item m="1" x="537"/>
        <item m="1" x="1187"/>
        <item m="1" x="574"/>
        <item m="1" x="1298"/>
        <item m="1" x="639"/>
        <item m="1" x="530"/>
        <item m="1" x="505"/>
        <item m="1" x="567"/>
        <item m="1" x="544"/>
        <item m="1" x="624"/>
        <item m="1" x="586"/>
        <item m="1" x="687"/>
        <item m="1" x="651"/>
        <item m="1" x="494"/>
        <item m="1" x="539"/>
        <item m="1" x="576"/>
        <item m="1" x="641"/>
        <item m="1" x="707"/>
        <item m="1" x="871"/>
        <item m="1" x="989"/>
        <item m="1" x="919"/>
        <item m="1" x="1043"/>
        <item m="1" x="1177"/>
        <item m="1" x="1289"/>
        <item m="1" x="935"/>
        <item m="1" x="975"/>
        <item m="1" x="1101"/>
        <item m="1" x="1229"/>
        <item m="1" x="1103"/>
        <item m="1" x="1022"/>
        <item m="1" x="1155"/>
        <item m="1" x="1160"/>
        <item m="1" x="1274"/>
        <item m="1" x="1175"/>
        <item m="1" x="1288"/>
        <item m="1" x="208"/>
        <item m="1" x="289"/>
        <item m="1" x="348"/>
        <item m="1" x="395"/>
        <item m="1" x="1172"/>
        <item m="1" x="1286"/>
        <item m="1" x="206"/>
        <item m="1" x="287"/>
        <item m="1" x="347"/>
        <item m="1" x="1110"/>
        <item m="1" x="1275"/>
        <item m="1" x="1153"/>
        <item m="1" x="194"/>
        <item m="1" x="1351"/>
        <item m="1" x="193"/>
        <item m="1" x="338"/>
        <item m="1" x="325"/>
        <item m="1" x="278"/>
        <item m="1" x="1113"/>
        <item m="1" x="388"/>
        <item m="1" x="375"/>
        <item m="1" x="419"/>
        <item m="1" x="476"/>
        <item m="1" x="525"/>
        <item m="1" x="527"/>
        <item m="1" x="563"/>
        <item m="1" x="258"/>
        <item m="1" x="514"/>
        <item m="1" x="502"/>
        <item m="1" x="461"/>
        <item m="1" x="548"/>
        <item m="1" x="1068"/>
        <item m="1" x="1201"/>
        <item m="1" x="1303"/>
        <item m="1" x="572"/>
        <item m="1" x="1027"/>
        <item m="1" x="990"/>
        <item m="1" x="898"/>
        <item m="1" x="1150"/>
        <item m="1" x="1117"/>
        <item m="1" x="1281"/>
        <item m="1" x="1247"/>
        <item m="1" x="168"/>
        <item m="1" x="284"/>
        <item m="1" x="259"/>
        <item m="1" x="1194"/>
        <item m="1" x="1304"/>
        <item m="1" x="218"/>
        <item m="1" x="299"/>
        <item m="1" x="355"/>
        <item m="1" x="399"/>
        <item m="1" x="435"/>
        <item m="1" x="1292"/>
        <item m="1" x="637"/>
        <item m="1" x="211"/>
        <item m="1" x="702"/>
        <item m="1" x="293"/>
        <item m="1" x="788"/>
        <item m="1" x="349"/>
        <item m="1" x="882"/>
        <item m="1" x="398"/>
        <item m="1" x="1005"/>
        <item m="1" x="433"/>
        <item m="1" x="1137"/>
        <item m="1" x="468"/>
        <item m="1" x="1260"/>
        <item m="1" x="656"/>
        <item m="1" x="726"/>
        <item m="1" x="814"/>
        <item m="1" x="920"/>
        <item m="1" x="403"/>
        <item m="1" x="373"/>
        <item m="1" x="1178"/>
        <item m="1" x="478"/>
        <item m="1" x="451"/>
        <item m="1" x="529"/>
        <item m="1" x="500"/>
        <item m="1" x="290"/>
        <item m="1" x="590"/>
        <item m="1" x="298"/>
        <item m="1" x="171"/>
        <item m="1" x="1118"/>
        <item m="1" x="1190"/>
        <item m="1" x="1332"/>
        <item m="1" x="169"/>
        <item m="1" x="260"/>
        <item m="1" x="327"/>
        <item m="1" x="1244"/>
        <item m="1" x="1161"/>
        <item m="1" x="1189"/>
        <item m="1" x="1299"/>
        <item m="1" x="216"/>
        <item m="1" x="297"/>
        <item m="1" x="1242"/>
        <item m="1" x="1350"/>
        <item m="1" x="255"/>
        <item m="1" x="324"/>
        <item m="1" x="374"/>
        <item m="1" x="418"/>
        <item m="1" x="452"/>
        <item m="1" x="1312"/>
        <item m="1" x="1257"/>
        <item m="1" x="224"/>
        <item m="1" x="180"/>
        <item m="1" x="304"/>
        <item m="1" x="267"/>
        <item m="1" x="791"/>
        <item m="1" x="885"/>
        <item m="1" x="1008"/>
        <item m="1" x="844"/>
        <item m="1" x="781"/>
        <item m="1" x="693"/>
        <item m="1" x="444"/>
        <item m="1" x="883"/>
        <item m="1" x="891"/>
        <item m="1" x="831"/>
        <item m="1" x="464"/>
        <item m="1" x="909"/>
        <item m="1" x="560"/>
        <item m="1" x="1006"/>
        <item m="1" x="614"/>
        <item m="1" x="1139"/>
        <item m="1" x="681"/>
        <item m="1" x="1263"/>
        <item m="1" x="758"/>
        <item m="1" x="184"/>
        <item m="1" x="850"/>
        <item m="1" x="270"/>
        <item m="1" x="954"/>
        <item m="1" x="334"/>
        <item m="1" x="1081"/>
        <item m="1" x="379"/>
        <item m="1" x="1070"/>
        <item m="1" x="994"/>
        <item m="1" x="1205"/>
        <item m="1" x="1122"/>
        <item m="1" x="1313"/>
        <item m="1" x="1248"/>
        <item m="1" x="225"/>
        <item m="1" x="172"/>
        <item m="1" x="305"/>
        <item m="1" x="262"/>
        <item m="1" x="1071"/>
        <item m="1" x="1206"/>
        <item m="1" x="1314"/>
        <item m="1" x="226"/>
        <item m="1" x="306"/>
        <item m="1" x="359"/>
        <item m="1" x="404"/>
        <item m="1" x="437"/>
        <item m="1" x="582"/>
        <item m="1" x="648"/>
        <item m="1" x="1084"/>
        <item m="1" x="1219"/>
        <item m="1" x="1327"/>
        <item m="1" x="239"/>
        <item m="1" x="312"/>
        <item m="1" x="364"/>
        <item m="1" x="408"/>
        <item m="1" x="446"/>
        <item m="1" x="629"/>
        <item m="1" x="689"/>
        <item m="1" x="775"/>
        <item m="1" x="1226"/>
        <item m="1" x="1337"/>
        <item m="1" x="245"/>
        <item m="1" x="316"/>
        <item m="1" x="368"/>
        <item m="1" x="1254"/>
        <item m="1" x="177"/>
        <item m="1" x="1058"/>
        <item m="1" x="1181"/>
        <item m="1" x="675"/>
        <item m="1" x="752"/>
        <item m="1" x="840"/>
        <item m="1" x="350"/>
        <item m="1" x="361"/>
        <item m="1" x="1271"/>
        <item m="1" x="1196"/>
        <item m="1" x="190"/>
        <item m="1" x="1306"/>
        <item m="1" x="467"/>
        <item m="1" x="518"/>
        <item m="1" x="519"/>
        <item m="1" x="554"/>
        <item m="1" x="449"/>
        <item m="1" x="465"/>
        <item m="1" x="492"/>
        <item m="1" x="538"/>
        <item m="1" x="551"/>
        <item m="1" x="575"/>
        <item m="1" x="459"/>
        <item m="1" x="509"/>
        <item m="1" x="469"/>
        <item m="1" x="520"/>
        <item m="1" x="557"/>
        <item m="1" x="607"/>
        <item m="1" x="809"/>
        <item m="1" x="912"/>
        <item m="1" x="869"/>
        <item m="1" x="988"/>
        <item m="1" x="1116"/>
        <item m="1" x="949"/>
        <item m="1" x="877"/>
        <item m="1" x="856"/>
        <item m="1" x="1077"/>
        <item m="1" x="1001"/>
        <item m="1" x="963"/>
        <item m="1" x="1212"/>
        <item m="1" x="1132"/>
        <item m="1" x="1091"/>
        <item m="1" x="1322"/>
        <item m="1" x="1253"/>
        <item m="1" x="1222"/>
        <item m="1" x="232"/>
        <item m="1" x="176"/>
        <item m="1" x="1333"/>
        <item m="1" x="309"/>
        <item m="1" x="266"/>
        <item m="1" x="242"/>
        <item m="1" x="937"/>
        <item m="1" x="1061"/>
        <item m="1" x="1202"/>
        <item m="1" x="1310"/>
        <item m="1" x="221"/>
        <item m="1" x="302"/>
        <item m="1" x="1002"/>
        <item m="1" x="964"/>
        <item m="1" x="1133"/>
        <item m="1" x="1092"/>
        <item m="1" x="1035"/>
        <item m="1" x="1170"/>
        <item m="1" x="1062"/>
        <item m="1" x="965"/>
        <item m="1" x="1075"/>
        <item m="1" x="1107"/>
        <item m="1" x="966"/>
        <item m="1" x="1210"/>
        <item m="1" x="1236"/>
        <item m="1" x="1093"/>
        <item m="1" x="1272"/>
        <item m="1" x="1294"/>
        <item m="1" x="1171"/>
        <item m="1" x="213"/>
        <item m="1" x="1285"/>
        <item m="1" x="276"/>
        <item m="1" x="295"/>
        <item m="1" x="205"/>
        <item m="1" x="352"/>
        <item m="1" x="286"/>
        <item m="1" x="1296"/>
        <item m="1" x="1316"/>
        <item m="1" x="1197"/>
        <item m="1" x="215"/>
        <item m="1" x="228"/>
        <item m="1" x="1307"/>
        <item m="1" x="1317"/>
        <item m="1" x="1345"/>
        <item m="1" x="1223"/>
        <item m="1" x="795"/>
        <item m="1" x="441"/>
        <item m="1" x="483"/>
        <item m="1" x="1012"/>
        <item m="1" x="534"/>
        <item m="1" x="1148"/>
        <item m="1" x="570"/>
        <item m="1" x="627"/>
        <item m="1" x="188"/>
        <item m="1" x="688"/>
        <item m="1" x="828"/>
        <item m="1" x="932"/>
        <item m="1" x="1191"/>
        <item m="1" x="1302"/>
        <item m="1" x="867"/>
        <item m="1" x="542"/>
        <item m="1" x="580"/>
        <item m="1" x="647"/>
        <item m="1" x="712"/>
        <item m="1" x="797"/>
        <item m="1" x="893"/>
        <item m="1" x="1014"/>
        <item m="1" x="1152"/>
        <item m="1" x="455"/>
        <item m="1" x="504"/>
        <item m="1" x="543"/>
        <item m="1" x="585"/>
        <item m="1" x="650"/>
        <item m="1" x="715"/>
        <item m="1" x="798"/>
        <item m="1" x="897"/>
        <item m="1" x="913"/>
        <item m="1" x="1039"/>
        <item m="1" x="1174"/>
        <item m="1" x="1055"/>
        <item m="1" x="1192"/>
        <item m="1" x="1009"/>
        <item m="1" x="1142"/>
        <item m="1" x="568"/>
        <item m="1" x="872"/>
        <item m="1" x="626"/>
        <item m="1" x="991"/>
        <item m="1" x="1120"/>
        <item m="1" x="558"/>
        <item m="1" x="611"/>
        <item m="1" x="676"/>
        <item m="1" x="564"/>
        <item m="1" x="616"/>
        <item m="1" x="682"/>
        <item m="1" x="761"/>
        <item m="1" x="1282"/>
        <item m="1" x="200"/>
        <item m="1" x="993"/>
        <item m="1" x="1121"/>
        <item m="1" x="559"/>
        <item m="1" x="1184"/>
        <item m="1" x="679"/>
        <item m="1" x="757"/>
        <item m="1" x="849"/>
        <item m="1" x="950"/>
        <item m="1" x="1078"/>
        <item m="1" x="1213"/>
        <item m="1" x="1323"/>
        <item m="1" x="523"/>
        <item m="1" x="561"/>
        <item m="1" x="615"/>
        <item m="1" x="1339"/>
        <item m="1" x="243"/>
        <item m="1" x="247"/>
        <item m="1" x="317"/>
        <item m="1" x="367"/>
        <item m="1" x="409"/>
        <item m="1" x="369"/>
        <item m="1" x="412"/>
        <item m="1" x="447"/>
        <item m="1" x="630"/>
        <item m="1" x="592"/>
        <item m="1" x="1183"/>
        <item m="1" x="1106"/>
        <item m="1" x="690"/>
        <item m="1" x="663"/>
        <item m="1" x="1295"/>
        <item m="1" x="1235"/>
        <item m="1" x="776"/>
        <item m="1" x="737"/>
        <item m="1" x="214"/>
        <item m="1" x="1344"/>
        <item m="1" x="1326"/>
        <item m="1" x="1059"/>
        <item m="1" x="601"/>
        <item m="1" x="236"/>
        <item m="1" x="1198"/>
        <item m="1" x="668"/>
        <item m="1" x="311"/>
        <item m="1" x="1308"/>
        <item m="1" x="742"/>
        <item m="1" x="1267"/>
        <item m="1" x="1208"/>
        <item m="1" x="185"/>
        <item m="1" x="1320"/>
        <item m="1" x="273"/>
        <item m="1" x="227"/>
        <item m="1" x="335"/>
        <item m="1" x="336"/>
        <item m="1" x="307"/>
        <item m="1" x="380"/>
        <item m="1" x="383"/>
        <item m="1" x="362"/>
        <item m="1" x="423"/>
        <item m="1" x="686"/>
        <item m="1" x="717"/>
        <item m="1" x="743"/>
        <item m="1" x="851"/>
        <item m="1" x="735"/>
        <item m="1" x="659"/>
        <item m="1" x="749"/>
        <item m="1" x="698"/>
        <item m="1" x="669"/>
        <item m="1" x="634"/>
        <item m="1" x="631"/>
        <item m="1" x="595"/>
        <item m="1" x="786"/>
        <item m="1" x="767"/>
        <item m="1" x="972"/>
        <item m="1" x="802"/>
        <item m="1" x="983"/>
        <item m="1" x="979"/>
        <item m="1" x="1179"/>
        <item m="1" x="933"/>
        <item m="1" x="870"/>
        <item m="1" x="694"/>
        <item m="1" x="774"/>
        <item m="1" x="445"/>
        <item m="1" x="800"/>
        <item m="1" x="1188"/>
        <item m="1" x="1301"/>
        <item m="1" x="1238"/>
        <item m="1" x="1211"/>
        <item m="1" x="1347"/>
        <item m="1" x="1319"/>
        <item m="1" x="253"/>
        <item m="1" x="230"/>
        <item m="1" x="308"/>
        <item m="1" x="440"/>
        <item m="1" x="481"/>
        <item m="1" x="531"/>
        <item m="1" x="257"/>
        <item m="1" x="328"/>
        <item m="1" x="376"/>
        <item m="1" x="420"/>
        <item m="1" x="454"/>
        <item m="1" x="503"/>
        <item m="1" x="1239"/>
        <item m="1" x="192"/>
        <item m="1" x="1270"/>
        <item m="1" x="277"/>
        <item m="1" x="254"/>
        <item m="1" x="275"/>
        <item m="1" x="386"/>
        <item m="1" x="372"/>
        <item m="1" x="337"/>
        <item m="1" x="1240"/>
        <item m="1" x="426"/>
        <item m="1" x="417"/>
        <item m="1" x="450"/>
        <item m="1" x="613"/>
        <item m="1" x="680"/>
        <item m="1" x="322"/>
        <item m="1" x="550"/>
        <item m="1" x="540"/>
        <item m="1" x="510"/>
        <item m="1" x="217"/>
        <item m="1" x="632"/>
        <item m="1" x="1157"/>
        <item m="1" x="1111"/>
        <item m="1" x="1016"/>
        <item m="1" x="1243"/>
        <item m="1" x="195"/>
        <item m="1" x="1352"/>
        <item m="1" x="256"/>
        <item m="1" x="339"/>
        <item m="1" x="326"/>
        <item m="1" x="323"/>
        <item m="1" x="1300"/>
        <item m="1" x="1225"/>
        <item m="1" x="1119"/>
        <item m="1" x="401"/>
        <item m="1" x="513"/>
        <item m="1" x="594"/>
        <item m="1" x="789"/>
        <item m="1" x="1083"/>
        <item m="1" x="475"/>
        <item m="1" x="526"/>
        <item m="1" x="1064"/>
        <item m="1" x="1217"/>
        <item m="1" x="443"/>
        <item m="1" x="868"/>
        <item m="1" x="407"/>
        <item m="1" x="1348"/>
        <item m="1" x="984"/>
        <item m="1" x="1112"/>
        <item m="1" x="1245"/>
        <item m="1" x="566"/>
        <item m="1" x="618"/>
        <item m="1" x="264"/>
        <item m="1" x="222"/>
        <item m="1" x="341"/>
        <item m="1" x="700"/>
        <item m="1" x="281"/>
        <item m="1" x="727"/>
        <item m="1" x="952"/>
        <item m="1" x="652"/>
        <item m="1" x="313"/>
        <item m="1" x="356"/>
        <item m="1" x="790"/>
        <item m="1" x="929"/>
        <item m="1" x="884"/>
        <item m="1" x="1007"/>
        <item m="1" x="1140"/>
        <item m="1" x="186"/>
        <item m="1" x="331"/>
        <item m="1" x="271"/>
        <item m="1" x="817"/>
        <item m="1" x="837"/>
        <item m="1" x="779"/>
        <item m="1" x="841"/>
        <item m="1" x="899"/>
        <item m="1" x="838"/>
        <item m="1" x="940"/>
        <item m="1" x="1158"/>
        <item m="1" x="1069"/>
        <item m="1" x="1276"/>
        <item m="1" x="1204"/>
        <item m="1" x="1311"/>
        <item m="1" x="279"/>
        <item m="1" x="829"/>
        <item m="1" x="934"/>
        <item m="1" x="1052"/>
        <item m="1" x="881"/>
        <item m="1" x="992"/>
        <item m="1" x="1004"/>
        <item m="1" x="942"/>
        <item m="1" x="1072"/>
        <item m="1" x="977"/>
        <item m="1" x="959"/>
        <item m="1" x="995"/>
        <item m="1" x="957"/>
        <item m="1" x="901"/>
        <item m="1" x="1018"/>
        <item m="1" x="1053"/>
        <item m="1" x="1085"/>
        <item m="1" x="1023"/>
        <item m="1" x="1054"/>
        <item m="1" x="1024"/>
        <item m="1" x="1156"/>
        <item m="1" x="1028"/>
        <item m="1" x="956"/>
        <item m="1" x="1057"/>
        <item m="1" x="1264"/>
        <item m="1" x="1195"/>
        <item m="1" x="1305"/>
        <item m="1" x="272"/>
        <item m="1" x="219"/>
        <item m="1" x="300"/>
        <item m="1" x="382"/>
        <item m="1" x="357"/>
        <item m="1" x="424"/>
        <item m="1" x="400"/>
        <item m="1" x="1207"/>
        <item m="1" x="1125"/>
        <item m="1" x="1315"/>
        <item m="1" x="1250"/>
        <item m="1" x="704"/>
        <item m="1" x="792"/>
        <item m="1" x="886"/>
        <item m="1" x="832"/>
        <item m="1" x="1010"/>
        <item m="1" x="1261"/>
        <item m="1" x="1266"/>
        <item m="1" x="1199"/>
        <item m="1" x="733"/>
        <item m="1" x="670"/>
        <item m="1" x="953"/>
        <item m="1" x="852"/>
        <item m="1" x="1082"/>
        <item m="1" x="1086"/>
        <item m="1" x="1220"/>
        <item m="1" x="1328"/>
        <item m="1" x="1334"/>
        <item m="1" x="314"/>
        <item m="1" x="406"/>
        <item m="1" x="365"/>
        <item m="1" x="410"/>
        <item m="1" x="846"/>
        <item m="1" x="782"/>
        <item m="1" x="762"/>
        <item m="1" x="874"/>
        <item m="1" x="1074"/>
        <item m="1" x="996"/>
        <item m="1" x="960"/>
        <item m="1" x="1209"/>
        <item m="1" x="1127"/>
        <item m="1" x="1088"/>
        <item m="1" x="865"/>
        <item m="1" x="804"/>
        <item m="1" x="980"/>
        <item m="1" x="906"/>
        <item m="1" x="571"/>
        <item m="1" x="1105"/>
        <item m="1" x="1030"/>
        <item m="1" x="1233"/>
        <item m="1" x="1165"/>
        <item m="1" x="692"/>
        <item m="1" x="830"/>
        <item m="1" x="697"/>
        <item m="1" x="667"/>
        <item m="1" x="703"/>
        <item m="1" x="635"/>
        <item m="1" x="691"/>
        <item m="1" x="628"/>
        <item m="1" x="777"/>
        <item m="1" x="723"/>
        <item m="1" x="716"/>
        <item m="1" x="875"/>
        <item m="1" x="853"/>
        <item m="1" x="961"/>
        <item m="1" x="1128"/>
        <item m="1" x="1089"/>
        <item m="1" x="1251"/>
        <item m="1" x="174"/>
        <item m="1" x="265"/>
        <item m="1" x="241"/>
        <item m="1" x="201"/>
        <item m="1" x="1013"/>
        <item m="1" x="532"/>
        <item m="1" x="943"/>
        <item m="1" x="1151"/>
        <item m="1" x="569"/>
        <item m="1" x="1073"/>
        <item m="1" x="496"/>
        <item m="1" x="864"/>
        <item m="1" x="997"/>
        <item m="1" x="962"/>
        <item m="1" x="1020"/>
        <item m="1" x="759"/>
        <item m="1" x="1031"/>
        <item m="1" x="1143"/>
        <item m="1" x="1060"/>
        <item m="1" x="1129"/>
        <item m="1" x="1252"/>
        <item m="1" x="706"/>
        <item m="1" x="477"/>
        <item m="1" x="528"/>
        <item m="1" x="565"/>
        <item m="1" x="755"/>
        <item m="1" x="699"/>
        <item m="1" x="847"/>
        <item m="1" x="784"/>
        <item m="1" x="764"/>
        <item m="1" x="947"/>
        <item m="1" x="879"/>
        <item m="1" x="773"/>
        <item m="1" x="720"/>
        <item m="1" x="981"/>
        <item m="1" x="910"/>
        <item m="1" x="793"/>
        <item m="1" x="747"/>
        <item m="1" x="721"/>
        <item m="1" x="888"/>
        <item m="1" x="834"/>
        <item m="1" x="806"/>
        <item m="1" x="818"/>
        <item m="1" x="1145"/>
        <item m="1" x="1065"/>
        <item m="1" x="998"/>
        <item m="1" x="1036"/>
        <item m="1" x="1046"/>
        <item m="1" x="466"/>
        <item m="1" x="821"/>
        <item m="1" x="474"/>
        <item m="1" x="765"/>
        <item m="1" x="744"/>
        <item m="1" x="753"/>
        <item m="1" x="516"/>
        <item m="1" x="924"/>
        <item m="1" x="524"/>
        <item m="1" x="857"/>
        <item m="1" x="833"/>
        <item m="1" x="842"/>
        <item m="1" x="552"/>
        <item m="1" x="1047"/>
        <item m="1" x="562"/>
        <item m="1" x="968"/>
        <item m="1" x="936"/>
        <item m="1" x="944"/>
        <item m="1" x="1094"/>
        <item m="1" x="785"/>
        <item m="1" x="766"/>
        <item m="1" x="880"/>
        <item m="1" x="858"/>
        <item m="1" x="1003"/>
        <item m="1" x="969"/>
        <item m="1" x="1134"/>
        <item m="1" x="1095"/>
        <item m="1" x="866"/>
        <item m="1" x="807"/>
        <item m="1" x="783"/>
        <item m="1" x="982"/>
        <item m="1" x="911"/>
        <item m="1" x="1037"/>
        <item m="1" x="894"/>
        <item m="1" x="517"/>
        <item m="1" x="1015"/>
        <item m="1" x="1149"/>
        <item m="1" x="553"/>
        <item m="1" x="597"/>
        <item m="1" x="555"/>
        <item m="1" x="600"/>
        <item m="1" x="1273"/>
        <item m="1" x="189"/>
        <item m="1" x="666"/>
        <item m="1" x="741"/>
        <item m="1" x="672"/>
        <item m="1" x="825"/>
        <item m="1" x="770"/>
        <item m="1" x="573"/>
        <item m="1" x="928"/>
        <item m="1" x="636"/>
        <item m="1" x="1050"/>
        <item m="1" x="895"/>
        <item m="1" x="835"/>
        <item m="1" x="900"/>
        <item m="1" x="925"/>
        <item m="1" x="1048"/>
        <item m="1" x="946"/>
        <item m="1" x="887"/>
        <item m="1" x="970"/>
        <item m="1" x="581"/>
        <item m="1" x="955"/>
        <item m="1" x="1096"/>
        <item m="1" x="1162"/>
        <item m="1" x="1318"/>
        <item m="1" x="771"/>
        <item m="1" x="1255"/>
        <item m="1" x="1224"/>
        <item m="1" x="1166"/>
        <item m="1" x="1329"/>
        <item m="1" x="1200"/>
        <item m="1" x="713"/>
        <item m="1" x="1167"/>
        <item m="1" x="1216"/>
        <item m="1" x="1080"/>
        <item m="1" x="229"/>
        <item m="1" x="178"/>
        <item m="1" x="1335"/>
        <item m="1" x="197"/>
        <item m="1" x="1126"/>
        <item m="1" x="1038"/>
        <item m="1" x="1221"/>
        <item m="1" x="1032"/>
        <item m="1" x="1168"/>
        <item m="1" x="1146"/>
        <item m="1" x="1237"/>
        <item m="1" x="1268"/>
        <item m="1" x="1346"/>
        <item m="1" x="252"/>
        <item m="1" x="274"/>
        <item m="1" x="914"/>
        <item m="1" x="385"/>
        <item m="1" x="415"/>
        <item m="1" x="425"/>
        <item m="1" x="1144"/>
        <item m="1" x="603"/>
        <item m="1" x="671"/>
        <item m="1" x="745"/>
        <item m="1" x="296"/>
        <item m="1" x="353"/>
        <item m="1" x="384"/>
        <item m="1" x="1063"/>
        <item m="1" x="1186"/>
        <item m="1" x="1297"/>
        <item m="1" x="1234"/>
        <item m="1" x="653"/>
        <item m="1" x="719"/>
        <item m="1" x="803"/>
        <item m="1" x="905"/>
        <item m="1" x="1135"/>
        <item m="1" x="1256"/>
        <item m="1" x="179"/>
        <item m="1" x="736"/>
        <item m="1" x="701"/>
        <item m="1" x="822"/>
        <item m="1" x="750"/>
        <item m="1" x="787"/>
        <item m="1" x="724"/>
        <item m="1" x="811"/>
        <item m="1" x="938"/>
        <item m="1" x="916"/>
        <item m="1" x="1185"/>
        <item m="1" x="1136"/>
        <item m="1" x="729"/>
        <item m="1" x="815"/>
        <item m="1" x="457"/>
        <item m="1" x="506"/>
        <item m="1" x="545"/>
        <item m="1" x="589"/>
        <item m="1" x="657"/>
        <item m="1" x="728"/>
        <item m="1" x="794"/>
        <item m="1" x="907"/>
        <item m="1" x="889"/>
        <item m="1" x="1033"/>
        <item m="1" x="1104"/>
        <item m="1" x="1147"/>
        <item m="1" x="1336"/>
        <item m="1" x="1269"/>
        <item m="1" x="203"/>
        <item m="1" x="827"/>
        <item m="1" x="931"/>
        <item m="1" x="860"/>
        <item m="1" x="973"/>
        <item m="1" x="1098"/>
        <item m="1" x="1258"/>
        <item m="1" x="1227"/>
        <item m="1" x="1283"/>
        <item m="1" x="181"/>
        <item m="1" x="1338"/>
        <item m="1" x="202"/>
        <item m="1" x="939"/>
        <item m="1" x="1067"/>
        <item m="1" x="1203"/>
        <item m="1" x="1099"/>
        <item m="1" x="223"/>
        <item m="1" x="303"/>
        <item m="1" x="246"/>
        <item m="1" x="402"/>
        <item m="1" x="436"/>
        <item m="1" x="845"/>
        <item m="1" x="945"/>
        <item m="1" x="541"/>
        <item m="1" x="1141"/>
        <item m="1" x="579"/>
        <item m="1" x="1265"/>
        <item m="1" x="646"/>
        <item m="1" x="187"/>
        <item m="1" x="1138"/>
        <item m="1" x="1262"/>
        <item m="1" x="183"/>
        <item m="1" x="269"/>
        <item m="1" x="333"/>
        <item m="1" x="378"/>
        <item m="1" x="422"/>
        <item m="1" x="458"/>
        <item m="1" x="633"/>
        <item m="1" x="1330"/>
        <item m="1" x="237"/>
        <item m="1" x="695"/>
        <item m="1" x="778"/>
        <item m="1" x="1259"/>
        <item m="1" x="175"/>
        <item m="1" x="732"/>
        <item m="1" x="780"/>
        <item m="1" x="796"/>
        <item m="1" x="182"/>
        <item m="1" x="873"/>
        <item m="1" x="985"/>
        <item m="1" x="268"/>
        <item m="1" x="332"/>
        <item m="1" x="1114"/>
        <item m="1" x="658"/>
        <item m="1" x="738"/>
        <item m="1" x="620"/>
        <item m="1" x="730"/>
        <item m="1" x="823"/>
        <item m="1" x="684"/>
        <item m="1" x="763"/>
        <item m="1" x="718"/>
        <item m="1" x="644"/>
        <item m="1" x="816"/>
        <item m="1" x="854"/>
        <item m="1" x="922"/>
        <item m="1" x="1044"/>
        <item m="1" x="1090"/>
        <item m="1" x="1290"/>
        <item m="1" x="209"/>
        <item m="1" x="291"/>
        <item m="1" x="354"/>
        <item m="1" x="610"/>
        <item m="1" x="591"/>
        <item m="1" x="665"/>
        <item m="1" x="588"/>
        <item m="1" x="661"/>
        <item m="1" x="740"/>
        <item m="1" x="664"/>
        <item m="1" x="623"/>
        <item m="1" x="685"/>
        <item m="1" x="655"/>
        <item m="1" x="583"/>
        <item m="1" x="754"/>
        <item m="1" x="734"/>
        <item m="1" x="824"/>
        <item m="1" x="768"/>
        <item m="1" x="722"/>
        <item m="1" x="820"/>
        <item m="1" x="927"/>
        <item m="1" x="772"/>
        <item m="1" x="861"/>
        <item m="1" x="808"/>
        <item m="1" x="714"/>
        <item m="1" x="507"/>
        <item m="1" x="731"/>
        <item m="1" x="876"/>
        <item m="1" x="999"/>
        <item m="1" x="1045"/>
        <item m="1" x="1130"/>
        <item m="1" x="725"/>
        <item m="1" x="812"/>
        <item m="1" x="917"/>
        <item m="1" x="1041"/>
        <item m="1" x="769"/>
        <item m="1" x="862"/>
        <item m="1" x="974"/>
        <item m="1" x="855"/>
        <item m="1" x="1100"/>
        <item m="1" x="1228"/>
        <item m="1" x="1218"/>
        <item m="1" x="460"/>
        <item m="1" x="511"/>
        <item m="1" x="549"/>
        <item m="1" x="819"/>
        <item m="1" x="921"/>
        <item m="1" x="801"/>
        <item m="1" x="904"/>
        <item m="1" x="1154"/>
        <item m="1" x="1029"/>
        <item m="1" x="843"/>
        <item m="1" x="923"/>
        <item m="1" x="951"/>
        <item m="1" x="978"/>
        <item m="1" x="1097"/>
        <item m="1" x="1182"/>
        <item m="1" x="1232"/>
        <item m="1" x="1343"/>
        <item m="1" x="244"/>
        <item m="1" x="233"/>
        <item m="1" x="251"/>
        <item m="1" x="321"/>
        <item m="1" x="371"/>
        <item m="1" x="413"/>
        <item m="1" x="708"/>
        <item m="1" x="577"/>
        <item m="1" x="710"/>
        <item m="1" x="683"/>
        <item m="1" x="760"/>
        <item m="1" x="448"/>
        <item m="1" x="416"/>
        <item m="1" x="696"/>
        <item m="1" x="660"/>
        <item m="1" x="654"/>
        <item m="1" x="535"/>
        <item m="1" x="1173"/>
        <item m="1" x="521"/>
        <item m="1" x="546"/>
        <item m="1" x="547"/>
        <item m="1" x="497"/>
        <item m="1" x="501"/>
        <item m="1" x="609"/>
        <item m="1" x="622"/>
        <item m="1" x="612"/>
        <item m="1" x="625"/>
        <item m="1" x="596"/>
        <item m="1" x="599"/>
        <item m="1" x="602"/>
        <item m="1" x="578"/>
        <item m="1" x="584"/>
        <item m="1" x="470"/>
        <item m="1" x="471"/>
        <item m="1" x="473"/>
        <item m="1" x="488"/>
        <item m="1" x="489"/>
        <item m="1" x="490"/>
        <item m="1" x="438"/>
        <item m="1" x="439"/>
        <item m="1" x="495"/>
        <item m="1" x="498"/>
        <item m="1" x="493"/>
        <item m="1" x="638"/>
        <item m="1" x="642"/>
        <item m="1" x="640"/>
        <item m="1" x="617"/>
        <item m="1" x="621"/>
        <item m="1" x="619"/>
        <item m="1" x="522"/>
        <item m="1" x="453"/>
        <item m="1" x="677"/>
        <item m="1" x="678"/>
        <item m="1" x="756"/>
        <item m="1" x="643"/>
        <item m="1" x="705"/>
        <item m="1" x="645"/>
        <item m="1" x="709"/>
        <item m="1" x="649"/>
        <item m="1" x="711"/>
        <item m="1" x="662"/>
        <item m="1" x="536"/>
        <item m="1" x="605"/>
        <item m="1" x="746"/>
        <item m="1" x="608"/>
        <item m="1" x="480"/>
        <item m="1" x="593"/>
        <item m="1" x="598"/>
        <item m="1" x="515"/>
        <item m="1" x="508"/>
        <item m="1" x="499"/>
        <item m="1" x="487"/>
        <item m="1" x="486"/>
        <item m="1" x="485"/>
        <item m="1" x="472"/>
        <item m="1" x="462"/>
        <item x="163"/>
        <item x="87"/>
        <item x="90"/>
        <item x="94"/>
        <item x="145"/>
        <item x="165"/>
        <item m="1" x="381"/>
        <item x="6"/>
        <item m="1" x="360"/>
        <item x="48"/>
        <item x="47"/>
        <item x="57"/>
        <item x="146"/>
        <item m="1" x="292"/>
        <item x="40"/>
        <item m="1" x="1108"/>
        <item x="41"/>
        <item x="11"/>
        <item x="75"/>
        <item x="79"/>
        <item x="7"/>
        <item x="116"/>
        <item x="166"/>
        <item m="1" x="479"/>
        <item x="10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1"/>
    <field x="8"/>
    <field x="3"/>
    <field x="7"/>
    <field x="6"/>
  </rowFields>
  <rowItems count="304">
    <i>
      <x/>
      <x v="3"/>
      <x v="19"/>
      <x v="11"/>
      <x v="4"/>
    </i>
    <i r="3">
      <x v="220"/>
      <x v="4"/>
    </i>
    <i>
      <x v="1"/>
      <x v="2"/>
      <x v="1"/>
      <x v="1"/>
      <x v="4"/>
    </i>
    <i r="2">
      <x v="1045"/>
      <x v="217"/>
      <x v="4"/>
    </i>
    <i>
      <x v="2"/>
      <x v="2"/>
      <x v="13"/>
      <x v="7"/>
      <x v="4"/>
    </i>
    <i>
      <x v="3"/>
      <x v="2"/>
      <x/>
      <x/>
      <x v="4"/>
    </i>
    <i>
      <x v="4"/>
      <x v="2"/>
      <x v="10"/>
      <x/>
      <x v="4"/>
    </i>
    <i>
      <x v="5"/>
      <x v="3"/>
      <x v="20"/>
      <x v="12"/>
      <x v="9"/>
    </i>
    <i r="2">
      <x v="24"/>
      <x v="15"/>
      <x v="9"/>
    </i>
    <i>
      <x v="6"/>
      <x v="3"/>
      <x v="22"/>
      <x v="14"/>
      <x v="9"/>
    </i>
    <i r="2">
      <x v="26"/>
      <x v="17"/>
      <x v="9"/>
    </i>
    <i r="2">
      <x v="1038"/>
      <x v="20"/>
      <x v="9"/>
    </i>
    <i>
      <x v="7"/>
      <x v="3"/>
      <x v="21"/>
      <x v="13"/>
      <x v="6"/>
    </i>
    <i r="2">
      <x v="25"/>
      <x v="16"/>
      <x v="6"/>
    </i>
    <i r="2">
      <x v="1027"/>
      <x v="27"/>
      <x v="6"/>
    </i>
    <i>
      <x v="8"/>
      <x v="2"/>
      <x v="27"/>
      <x v="18"/>
      <x v="9"/>
    </i>
    <i>
      <x v="9"/>
      <x v="2"/>
      <x v="18"/>
      <x v="10"/>
      <x v="9"/>
    </i>
    <i r="2">
      <x v="31"/>
      <x v="22"/>
      <x v="9"/>
    </i>
    <i r="2">
      <x v="976"/>
      <x v="33"/>
      <x v="9"/>
    </i>
    <i>
      <x v="10"/>
      <x v="2"/>
      <x v="36"/>
      <x v="39"/>
      <x v="9"/>
    </i>
    <i>
      <x v="11"/>
      <x v="2"/>
      <x v="12"/>
      <x/>
      <x v="9"/>
    </i>
    <i>
      <x v="12"/>
      <x v="2"/>
      <x v="2"/>
      <x v="2"/>
      <x v="6"/>
    </i>
    <i r="2">
      <x v="9"/>
      <x v="5"/>
      <x v="6"/>
    </i>
    <i>
      <x v="13"/>
      <x v="2"/>
      <x v="29"/>
      <x v="21"/>
      <x v="6"/>
    </i>
    <i r="2">
      <x v="218"/>
      <x v="31"/>
      <x v="6"/>
    </i>
    <i>
      <x v="14"/>
      <x v="2"/>
      <x v="6"/>
      <x v="3"/>
      <x v="4"/>
    </i>
    <i r="2">
      <x v="16"/>
      <x/>
      <x v="4"/>
    </i>
    <i>
      <x v="15"/>
      <x v="2"/>
      <x v="34"/>
      <x/>
      <x v="4"/>
    </i>
    <i r="2">
      <x v="35"/>
      <x/>
      <x v="4"/>
    </i>
    <i>
      <x v="16"/>
      <x v="2"/>
      <x v="32"/>
      <x v="23"/>
      <x v="4"/>
    </i>
    <i r="2">
      <x v="977"/>
      <x v="35"/>
      <x v="4"/>
    </i>
    <i>
      <x v="17"/>
      <x v="2"/>
      <x v="11"/>
      <x v="6"/>
      <x v="4"/>
    </i>
    <i r="2">
      <x v="17"/>
      <x v="9"/>
      <x v="4"/>
    </i>
    <i>
      <x v="18"/>
      <x v="2"/>
      <x v="30"/>
      <x/>
      <x v="4"/>
    </i>
    <i r="2">
      <x v="978"/>
      <x v="36"/>
      <x v="4"/>
    </i>
    <i r="2">
      <x v="1013"/>
      <x v="32"/>
      <x v="4"/>
    </i>
    <i r="2">
      <x v="1034"/>
      <x v="38"/>
      <x v="4"/>
    </i>
    <i>
      <x v="19"/>
      <x v="4"/>
      <x v="14"/>
      <x v="8"/>
      <x/>
    </i>
    <i r="2">
      <x v="219"/>
      <x v="25"/>
      <x/>
    </i>
    <i>
      <x v="20"/>
      <x v="3"/>
      <x v="3"/>
      <x/>
      <x v="9"/>
    </i>
    <i>
      <x v="21"/>
      <x v="3"/>
      <x v="4"/>
      <x/>
      <x v="6"/>
    </i>
    <i r="2">
      <x v="216"/>
      <x v="30"/>
      <x v="6"/>
    </i>
    <i>
      <x v="22"/>
      <x v="3"/>
      <x v="7"/>
      <x/>
      <x v="4"/>
    </i>
    <i>
      <x v="23"/>
      <x v="3"/>
      <x v="5"/>
      <x/>
      <x v="4"/>
    </i>
    <i r="2">
      <x v="217"/>
      <x v="24"/>
      <x v="4"/>
    </i>
    <i>
      <x v="24"/>
      <x v="3"/>
      <x v="38"/>
      <x v="204"/>
      <x v="4"/>
    </i>
    <i r="2">
      <x v="995"/>
      <x v="47"/>
      <x v="4"/>
    </i>
    <i>
      <x v="25"/>
      <x v="3"/>
      <x v="42"/>
      <x v="50"/>
      <x v="6"/>
    </i>
    <i r="2">
      <x v="44"/>
      <x/>
      <x v="6"/>
    </i>
    <i r="2">
      <x v="1017"/>
      <x v="59"/>
      <x v="6"/>
    </i>
    <i>
      <x v="26"/>
      <x v="3"/>
      <x v="46"/>
      <x v="52"/>
      <x v="6"/>
    </i>
    <i r="2">
      <x v="48"/>
      <x/>
      <x v="6"/>
    </i>
    <i r="2">
      <x v="1007"/>
      <x v="58"/>
      <x v="6"/>
    </i>
    <i>
      <x v="27"/>
      <x v="3"/>
      <x v="45"/>
      <x v="51"/>
      <x v="9"/>
    </i>
    <i r="2">
      <x v="50"/>
      <x v="54"/>
      <x v="9"/>
    </i>
    <i>
      <x v="28"/>
      <x v="3"/>
      <x v="47"/>
      <x v="53"/>
      <x v="6"/>
    </i>
    <i r="2">
      <x v="1014"/>
      <x v="56"/>
      <x v="6"/>
    </i>
    <i>
      <x v="29"/>
      <x v="3"/>
      <x v="49"/>
      <x/>
      <x v="6"/>
    </i>
    <i r="2">
      <x v="1006"/>
      <x v="57"/>
      <x v="6"/>
    </i>
    <i>
      <x v="30"/>
      <x v="3"/>
      <x v="43"/>
      <x/>
      <x v="6"/>
    </i>
    <i r="2">
      <x v="1008"/>
      <x v="61"/>
      <x v="6"/>
    </i>
    <i>
      <x v="31"/>
      <x v="7"/>
      <x v="156"/>
      <x v="169"/>
      <x v="9"/>
    </i>
    <i>
      <x v="32"/>
      <x v="7"/>
      <x v="157"/>
      <x v="170"/>
      <x v="9"/>
    </i>
    <i>
      <x v="33"/>
      <x v="7"/>
      <x v="158"/>
      <x v="171"/>
      <x v="9"/>
    </i>
    <i>
      <x v="34"/>
      <x v="7"/>
      <x v="159"/>
      <x v="172"/>
      <x v="9"/>
    </i>
    <i>
      <x v="35"/>
      <x v="7"/>
      <x v="160"/>
      <x v="173"/>
      <x v="9"/>
    </i>
    <i>
      <x v="36"/>
      <x v="7"/>
      <x v="161"/>
      <x v="174"/>
      <x v="9"/>
    </i>
    <i>
      <x v="37"/>
      <x v="7"/>
      <x v="162"/>
      <x v="175"/>
      <x v="9"/>
    </i>
    <i>
      <x v="38"/>
      <x v="7"/>
      <x v="164"/>
      <x v="177"/>
      <x v="6"/>
    </i>
    <i>
      <x v="39"/>
      <x v="7"/>
      <x v="151"/>
      <x/>
      <x v="6"/>
    </i>
    <i r="2">
      <x v="163"/>
      <x v="176"/>
      <x v="6"/>
    </i>
    <i>
      <x v="40"/>
      <x v="7"/>
      <x v="179"/>
      <x v="187"/>
      <x v="6"/>
    </i>
    <i>
      <x v="41"/>
      <x v="8"/>
      <x v="178"/>
      <x/>
      <x v="2"/>
    </i>
    <i r="2">
      <x v="180"/>
      <x v="188"/>
      <x v="2"/>
    </i>
    <i>
      <x v="42"/>
      <x v="7"/>
      <x v="176"/>
      <x/>
      <x v="6"/>
    </i>
    <i>
      <x v="43"/>
      <x v="7"/>
      <x v="177"/>
      <x/>
      <x v="6"/>
    </i>
    <i>
      <x v="44"/>
      <x v="7"/>
      <x v="166"/>
      <x v="179"/>
      <x v="6"/>
    </i>
    <i r="2">
      <x v="208"/>
      <x/>
      <x v="6"/>
    </i>
    <i>
      <x v="45"/>
      <x v="7"/>
      <x v="154"/>
      <x/>
      <x v="6"/>
    </i>
    <i r="2">
      <x v="172"/>
      <x v="184"/>
      <x v="6"/>
    </i>
    <i>
      <x v="46"/>
      <x v="7"/>
      <x v="153"/>
      <x/>
      <x v="6"/>
    </i>
    <i r="2">
      <x v="170"/>
      <x v="183"/>
      <x v="6"/>
    </i>
    <i>
      <x v="47"/>
      <x v="7"/>
      <x v="174"/>
      <x v="185"/>
      <x v="6"/>
    </i>
    <i>
      <x v="48"/>
      <x v="7"/>
      <x v="152"/>
      <x/>
      <x v="6"/>
    </i>
    <i r="2">
      <x v="169"/>
      <x v="182"/>
      <x v="6"/>
    </i>
    <i>
      <x v="49"/>
      <x v="7"/>
      <x v="149"/>
      <x/>
      <x v="6"/>
    </i>
    <i r="2">
      <x v="167"/>
      <x v="180"/>
      <x v="6"/>
    </i>
    <i>
      <x v="50"/>
      <x v="7"/>
      <x v="150"/>
      <x/>
      <x v="6"/>
    </i>
    <i r="2">
      <x v="168"/>
      <x v="181"/>
      <x v="6"/>
    </i>
    <i>
      <x v="51"/>
      <x v="3"/>
      <x v="145"/>
      <x v="208"/>
      <x v="4"/>
    </i>
    <i r="2">
      <x v="147"/>
      <x v="166"/>
      <x v="4"/>
    </i>
    <i r="2">
      <x v="1035"/>
      <x v="168"/>
      <x v="4"/>
    </i>
    <i>
      <x v="52"/>
      <x v="3"/>
      <x v="146"/>
      <x v="209"/>
      <x v="4"/>
    </i>
    <i r="2">
      <x v="148"/>
      <x v="167"/>
      <x v="4"/>
    </i>
    <i>
      <x v="53"/>
      <x v="3"/>
      <x v="133"/>
      <x v="155"/>
      <x v="4"/>
    </i>
    <i r="2">
      <x v="139"/>
      <x v="159"/>
      <x v="4"/>
    </i>
    <i>
      <x v="54"/>
      <x v="3"/>
      <x v="136"/>
      <x v="156"/>
      <x v="4"/>
    </i>
    <i r="2">
      <x v="142"/>
      <x v="162"/>
      <x v="4"/>
    </i>
    <i>
      <x v="55"/>
      <x v="3"/>
      <x v="137"/>
      <x v="157"/>
      <x v="4"/>
    </i>
    <i r="2">
      <x v="143"/>
      <x v="163"/>
      <x v="4"/>
    </i>
    <i>
      <x v="56"/>
      <x v="3"/>
      <x v="135"/>
      <x/>
      <x v="4"/>
    </i>
    <i r="2">
      <x v="141"/>
      <x v="161"/>
      <x v="4"/>
    </i>
    <i>
      <x v="57"/>
      <x v="3"/>
      <x v="134"/>
      <x/>
      <x v="4"/>
    </i>
    <i r="2">
      <x v="140"/>
      <x v="160"/>
      <x v="4"/>
    </i>
    <i>
      <x v="58"/>
      <x v="3"/>
      <x v="138"/>
      <x v="158"/>
      <x v="4"/>
    </i>
    <i r="2">
      <x v="144"/>
      <x v="164"/>
      <x v="4"/>
    </i>
    <i>
      <x v="59"/>
      <x v="1"/>
      <x v="184"/>
      <x v="192"/>
      <x v="10"/>
    </i>
    <i>
      <x v="60"/>
      <x v="1"/>
      <x v="198"/>
      <x/>
      <x v="7"/>
    </i>
    <i>
      <x v="61"/>
      <x v="1"/>
      <x v="181"/>
      <x v="189"/>
      <x v="6"/>
    </i>
    <i r="2">
      <x v="1051"/>
      <x v="211"/>
      <x v="6"/>
    </i>
    <i>
      <x v="62"/>
      <x v="1"/>
      <x v="185"/>
      <x v="193"/>
      <x v="10"/>
    </i>
    <i>
      <x v="63"/>
      <x v="1"/>
      <x v="182"/>
      <x v="190"/>
      <x v="6"/>
    </i>
    <i r="2">
      <x v="1050"/>
      <x v="212"/>
      <x v="6"/>
    </i>
    <i>
      <x v="64"/>
      <x v="1"/>
      <x v="197"/>
      <x v="198"/>
      <x v="6"/>
    </i>
    <i r="2">
      <x v="1009"/>
      <x v="200"/>
      <x v="6"/>
    </i>
    <i r="2">
      <x v="1052"/>
      <x v="213"/>
      <x v="6"/>
    </i>
    <i>
      <x v="65"/>
      <x v="1"/>
      <x v="186"/>
      <x v="194"/>
      <x v="10"/>
    </i>
    <i r="2">
      <x v="1055"/>
      <x v="218"/>
      <x v="10"/>
    </i>
    <i>
      <x v="66"/>
      <x v="1"/>
      <x v="183"/>
      <x v="191"/>
      <x v="6"/>
    </i>
    <i r="2">
      <x v="1054"/>
      <x v="191"/>
      <x v="6"/>
    </i>
    <i>
      <x v="67"/>
      <x v="1"/>
      <x v="195"/>
      <x/>
      <x v="10"/>
    </i>
    <i>
      <x v="68"/>
      <x v="1"/>
      <x v="188"/>
      <x/>
      <x v="6"/>
    </i>
    <i>
      <x v="69"/>
      <x v="1"/>
      <x v="203"/>
      <x/>
      <x v="10"/>
    </i>
    <i>
      <x v="70"/>
      <x v="3"/>
      <x v="129"/>
      <x/>
      <x v="6"/>
    </i>
    <i r="2">
      <x v="132"/>
      <x v="148"/>
      <x v="6"/>
    </i>
    <i>
      <x v="71"/>
      <x v="2"/>
      <x v="125"/>
      <x/>
      <x v="9"/>
    </i>
    <i>
      <x v="72"/>
      <x v="9"/>
      <x v="122"/>
      <x v="140"/>
      <x v="5"/>
    </i>
    <i r="2">
      <x v="130"/>
      <x v="146"/>
      <x v="5"/>
    </i>
    <i r="2">
      <x v="1019"/>
      <x v="149"/>
      <x v="5"/>
    </i>
    <i>
      <x v="73"/>
      <x v="3"/>
      <x v="126"/>
      <x v="143"/>
      <x v="9"/>
    </i>
    <i r="2">
      <x v="1029"/>
      <x v="151"/>
      <x v="9"/>
    </i>
    <i>
      <x v="74"/>
      <x v="3"/>
      <x v="127"/>
      <x v="144"/>
      <x v="6"/>
    </i>
    <i r="2">
      <x v="1021"/>
      <x v="152"/>
      <x v="6"/>
    </i>
    <i>
      <x v="75"/>
      <x v="3"/>
      <x v="121"/>
      <x v="207"/>
      <x v="6"/>
    </i>
    <i r="2">
      <x v="1022"/>
      <x v="150"/>
      <x v="6"/>
    </i>
    <i>
      <x v="76"/>
      <x v="11"/>
      <x v="81"/>
      <x/>
      <x v="5"/>
    </i>
    <i>
      <x v="77"/>
      <x v="7"/>
      <x v="80"/>
      <x/>
      <x v="1"/>
    </i>
    <i r="2">
      <x v="90"/>
      <x/>
      <x v="1"/>
    </i>
    <i>
      <x v="78"/>
      <x v="10"/>
      <x v="85"/>
      <x v="86"/>
      <x v="3"/>
    </i>
    <i r="2">
      <x v="190"/>
      <x v="196"/>
      <x v="3"/>
    </i>
    <i r="2">
      <x v="1015"/>
      <x v="131"/>
      <x v="3"/>
    </i>
    <i>
      <x v="79"/>
      <x v="10"/>
      <x v="115"/>
      <x/>
      <x v="3"/>
    </i>
    <i r="2">
      <x v="117"/>
      <x/>
      <x v="3"/>
    </i>
    <i>
      <x v="80"/>
      <x v="2"/>
      <x v="84"/>
      <x v="85"/>
      <x v="6"/>
    </i>
    <i r="2">
      <x v="1018"/>
      <x v="128"/>
      <x v="6"/>
    </i>
    <i>
      <x v="81"/>
      <x v="2"/>
      <x v="116"/>
      <x/>
      <x v="4"/>
    </i>
    <i>
      <x v="82"/>
      <x v="2"/>
      <x v="111"/>
      <x v="107"/>
      <x v="9"/>
    </i>
    <i r="2">
      <x v="1028"/>
      <x v="134"/>
      <x v="9"/>
    </i>
    <i>
      <x v="83"/>
      <x v="3"/>
      <x v="189"/>
      <x/>
      <x v="6"/>
    </i>
    <i>
      <x v="84"/>
      <x v="10"/>
      <x v="120"/>
      <x/>
      <x v="3"/>
    </i>
    <i r="2">
      <x v="199"/>
      <x/>
      <x v="3"/>
    </i>
    <i>
      <x v="85"/>
      <x v="10"/>
      <x v="86"/>
      <x/>
      <x v="3"/>
    </i>
    <i r="2">
      <x v="191"/>
      <x/>
      <x v="3"/>
    </i>
    <i>
      <x v="86"/>
      <x v="10"/>
      <x v="200"/>
      <x/>
      <x v="3"/>
    </i>
    <i>
      <x v="87"/>
      <x v="10"/>
      <x v="193"/>
      <x/>
      <x v="3"/>
    </i>
    <i>
      <x v="88"/>
      <x v="10"/>
      <x v="202"/>
      <x/>
      <x v="3"/>
    </i>
    <i>
      <x v="89"/>
      <x v="10"/>
      <x v="87"/>
      <x/>
      <x v="3"/>
    </i>
    <i r="2">
      <x v="194"/>
      <x/>
      <x v="3"/>
    </i>
    <i>
      <x v="90"/>
      <x v="10"/>
      <x v="201"/>
      <x/>
      <x v="3"/>
    </i>
    <i>
      <x v="91"/>
      <x v="10"/>
      <x v="192"/>
      <x/>
      <x v="3"/>
    </i>
    <i>
      <x v="92"/>
      <x v="3"/>
      <x v="204"/>
      <x v="29"/>
      <x v="9"/>
    </i>
    <i>
      <x v="93"/>
      <x v="2"/>
      <x v="205"/>
      <x v="41"/>
      <x v="4"/>
    </i>
    <i r="2">
      <x v="1039"/>
      <x v="45"/>
      <x v="4"/>
    </i>
    <i r="2">
      <x v="1043"/>
      <x v="44"/>
      <x v="4"/>
    </i>
    <i>
      <x v="94"/>
      <x v="4"/>
      <x v="15"/>
      <x v="26"/>
      <x/>
    </i>
    <i r="2">
      <x v="210"/>
      <x v="26"/>
      <x/>
    </i>
    <i>
      <x v="95"/>
      <x v="5"/>
      <x v="8"/>
      <x v="4"/>
      <x v="6"/>
    </i>
    <i r="2">
      <x v="28"/>
      <x v="19"/>
      <x v="6"/>
    </i>
    <i r="2">
      <x v="220"/>
      <x v="28"/>
      <x v="6"/>
    </i>
    <i r="2">
      <x v="1026"/>
      <x v="37"/>
      <x v="6"/>
    </i>
    <i>
      <x v="96"/>
      <x v="5"/>
      <x v="37"/>
      <x v="40"/>
      <x v="6"/>
    </i>
    <i>
      <x v="97"/>
      <x v="5"/>
      <x v="23"/>
      <x/>
      <x v="4"/>
    </i>
    <i>
      <x v="98"/>
      <x v="5"/>
      <x v="33"/>
      <x/>
      <x v="4"/>
    </i>
    <i>
      <x v="99"/>
      <x v="3"/>
      <x v="40"/>
      <x v="46"/>
      <x v="9"/>
    </i>
    <i r="2">
      <x v="41"/>
      <x/>
      <x v="9"/>
    </i>
    <i r="2">
      <x v="206"/>
      <x/>
      <x v="9"/>
    </i>
    <i r="2">
      <x v="994"/>
      <x v="49"/>
      <x v="9"/>
    </i>
    <i>
      <x v="100"/>
      <x v="4"/>
      <x v="39"/>
      <x/>
      <x/>
    </i>
    <i r="2">
      <x v="1005"/>
      <x v="48"/>
      <x/>
    </i>
    <i>
      <x v="101"/>
      <x v="6"/>
      <x v="187"/>
      <x v="195"/>
      <x v="8"/>
    </i>
    <i r="2">
      <x v="196"/>
      <x v="197"/>
      <x v="8"/>
    </i>
    <i r="2">
      <x v="1016"/>
      <x v="199"/>
      <x v="8"/>
    </i>
    <i>
      <x v="102"/>
      <x v="7"/>
      <x v="155"/>
      <x/>
      <x v="4"/>
    </i>
    <i r="2">
      <x v="173"/>
      <x/>
      <x v="4"/>
    </i>
    <i>
      <x v="103"/>
      <x v="7"/>
      <x v="171"/>
      <x/>
      <x v="4"/>
    </i>
    <i>
      <x v="104"/>
      <x v="7"/>
      <x v="175"/>
      <x/>
      <x v="4"/>
    </i>
    <i>
      <x v="105"/>
      <x v="7"/>
      <x v="165"/>
      <x v="178"/>
      <x v="6"/>
    </i>
    <i>
      <x v="106"/>
      <x v="4"/>
      <x v="123"/>
      <x v="141"/>
      <x/>
    </i>
    <i r="2">
      <x v="131"/>
      <x v="147"/>
      <x/>
    </i>
    <i r="2">
      <x v="1000"/>
      <x v="154"/>
      <x/>
    </i>
    <i>
      <x v="107"/>
      <x v="7"/>
      <x v="124"/>
      <x v="142"/>
      <x v="1"/>
    </i>
    <i r="2">
      <x v="128"/>
      <x v="145"/>
      <x v="1"/>
    </i>
    <i r="2">
      <x v="1012"/>
      <x v="153"/>
      <x v="1"/>
    </i>
    <i>
      <x v="108"/>
      <x v="9"/>
      <x v="53"/>
      <x v="65"/>
      <x v="5"/>
    </i>
    <i>
      <x v="109"/>
      <x v="10"/>
      <x v="54"/>
      <x/>
      <x v="7"/>
    </i>
    <i r="2">
      <x v="89"/>
      <x v="88"/>
      <x v="7"/>
    </i>
    <i r="2">
      <x v="91"/>
      <x v="89"/>
      <x v="7"/>
    </i>
    <i r="2">
      <x v="98"/>
      <x v="92"/>
      <x v="7"/>
    </i>
    <i r="2">
      <x v="1004"/>
      <x v="110"/>
      <x v="7"/>
    </i>
    <i>
      <x v="110"/>
      <x v="2"/>
      <x v="74"/>
      <x v="78"/>
      <x v="9"/>
    </i>
    <i r="2">
      <x v="980"/>
      <x v="105"/>
      <x v="9"/>
    </i>
    <i>
      <x v="111"/>
      <x v="3"/>
      <x v="107"/>
      <x v="103"/>
      <x v="9"/>
    </i>
    <i r="2">
      <x v="981"/>
      <x v="132"/>
      <x v="9"/>
    </i>
    <i r="2">
      <x v="1048"/>
      <x v="130"/>
      <x v="9"/>
    </i>
    <i r="2">
      <x v="1049"/>
      <x v="112"/>
      <x v="9"/>
    </i>
    <i>
      <x v="112"/>
      <x v="3"/>
      <x v="118"/>
      <x v="135"/>
      <x v="9"/>
    </i>
    <i>
      <x v="113"/>
      <x v="3"/>
      <x v="62"/>
      <x v="69"/>
      <x v="9"/>
    </i>
    <i r="2">
      <x v="77"/>
      <x v="80"/>
      <x v="9"/>
    </i>
    <i>
      <x v="114"/>
      <x v="3"/>
      <x v="65"/>
      <x v="72"/>
      <x v="6"/>
    </i>
    <i r="2">
      <x v="78"/>
      <x v="81"/>
      <x v="6"/>
    </i>
    <i r="2">
      <x v="113"/>
      <x v="126"/>
      <x v="6"/>
    </i>
    <i r="2">
      <x v="982"/>
      <x v="113"/>
      <x v="6"/>
    </i>
    <i>
      <x v="115"/>
      <x v="3"/>
      <x v="66"/>
      <x/>
      <x v="6"/>
    </i>
    <i r="2">
      <x v="214"/>
      <x v="111"/>
      <x v="6"/>
    </i>
    <i>
      <x v="116"/>
      <x v="2"/>
      <x v="72"/>
      <x v="76"/>
      <x v="4"/>
    </i>
    <i r="2">
      <x v="96"/>
      <x v="91"/>
      <x v="4"/>
    </i>
    <i r="2">
      <x v="983"/>
      <x v="108"/>
      <x v="4"/>
    </i>
    <i>
      <x v="117"/>
      <x v="3"/>
      <x v="79"/>
      <x v="82"/>
      <x v="4"/>
    </i>
    <i r="2">
      <x v="209"/>
      <x v="114"/>
      <x v="4"/>
    </i>
    <i>
      <x v="118"/>
      <x v="7"/>
      <x v="112"/>
      <x/>
      <x v="1"/>
    </i>
    <i>
      <x v="119"/>
      <x v="4"/>
      <x v="60"/>
      <x/>
      <x/>
    </i>
    <i r="2">
      <x v="212"/>
      <x v="115"/>
      <x/>
    </i>
    <i>
      <x v="120"/>
      <x v="4"/>
      <x v="61"/>
      <x v="68"/>
      <x/>
    </i>
    <i r="2">
      <x v="984"/>
      <x v="116"/>
      <x/>
    </i>
    <i>
      <x v="121"/>
      <x v="7"/>
      <x v="52"/>
      <x v="64"/>
      <x v="1"/>
    </i>
    <i r="2">
      <x v="99"/>
      <x v="93"/>
      <x v="1"/>
    </i>
    <i r="2">
      <x v="985"/>
      <x v="117"/>
      <x v="1"/>
    </i>
    <i>
      <x v="122"/>
      <x v="9"/>
      <x v="58"/>
      <x v="67"/>
      <x v="5"/>
    </i>
    <i r="2">
      <x v="106"/>
      <x v="100"/>
      <x v="5"/>
    </i>
    <i r="2">
      <x v="993"/>
      <x v="119"/>
      <x v="5"/>
    </i>
    <i>
      <x v="123"/>
      <x v="10"/>
      <x v="57"/>
      <x/>
      <x v="7"/>
    </i>
    <i r="2">
      <x v="92"/>
      <x v="90"/>
      <x v="7"/>
    </i>
    <i r="2">
      <x v="105"/>
      <x v="99"/>
      <x v="7"/>
    </i>
    <i r="2">
      <x v="996"/>
      <x v="120"/>
      <x v="7"/>
    </i>
    <i>
      <x v="124"/>
      <x v="2"/>
      <x v="75"/>
      <x v="79"/>
      <x v="9"/>
    </i>
    <i r="2">
      <x v="101"/>
      <x v="95"/>
      <x v="9"/>
    </i>
    <i r="2">
      <x v="986"/>
      <x v="106"/>
      <x v="9"/>
    </i>
    <i>
      <x v="125"/>
      <x v="3"/>
      <x v="108"/>
      <x v="104"/>
      <x v="9"/>
    </i>
    <i r="2">
      <x v="987"/>
      <x v="133"/>
      <x v="9"/>
    </i>
    <i r="2">
      <x v="1053"/>
      <x v="129"/>
      <x v="9"/>
    </i>
    <i>
      <x v="126"/>
      <x v="3"/>
      <x v="119"/>
      <x v="136"/>
      <x v="9"/>
    </i>
    <i>
      <x v="127"/>
      <x v="3"/>
      <x v="82"/>
      <x v="83"/>
      <x v="9"/>
    </i>
    <i r="2">
      <x v="102"/>
      <x v="96"/>
      <x v="9"/>
    </i>
    <i>
      <x v="128"/>
      <x v="3"/>
      <x v="83"/>
      <x v="84"/>
      <x v="6"/>
    </i>
    <i r="2">
      <x v="103"/>
      <x v="97"/>
      <x v="6"/>
    </i>
    <i r="2">
      <x v="114"/>
      <x v="127"/>
      <x v="6"/>
    </i>
    <i r="2">
      <x v="988"/>
      <x v="122"/>
      <x v="6"/>
    </i>
    <i>
      <x v="129"/>
      <x v="3"/>
      <x v="51"/>
      <x v="63"/>
      <x v="6"/>
    </i>
    <i r="2">
      <x v="67"/>
      <x v="73"/>
      <x v="6"/>
    </i>
    <i r="2">
      <x v="97"/>
      <x/>
      <x v="6"/>
    </i>
    <i r="2">
      <x v="215"/>
      <x v="121"/>
      <x v="6"/>
    </i>
    <i>
      <x v="130"/>
      <x v="2"/>
      <x v="73"/>
      <x v="77"/>
      <x v="4"/>
    </i>
    <i r="2">
      <x v="100"/>
      <x v="94"/>
      <x v="4"/>
    </i>
    <i r="2">
      <x v="989"/>
      <x v="124"/>
      <x v="4"/>
    </i>
    <i>
      <x v="131"/>
      <x v="7"/>
      <x v="56"/>
      <x v="66"/>
      <x v="1"/>
    </i>
    <i r="2">
      <x v="104"/>
      <x v="98"/>
      <x v="1"/>
    </i>
    <i r="2">
      <x v="990"/>
      <x v="123"/>
      <x v="1"/>
    </i>
    <i>
      <x v="132"/>
      <x v="2"/>
      <x v="109"/>
      <x/>
      <x v="9"/>
    </i>
    <i>
      <x v="133"/>
      <x v="3"/>
      <x v="110"/>
      <x/>
      <x v="9"/>
    </i>
    <i>
      <x v="134"/>
      <x v="3"/>
      <x v="63"/>
      <x v="70"/>
      <x v="9"/>
    </i>
    <i r="2">
      <x v="213"/>
      <x v="101"/>
      <x v="9"/>
    </i>
    <i>
      <x v="135"/>
      <x v="3"/>
      <x v="68"/>
      <x/>
      <x v="6"/>
    </i>
    <i r="2">
      <x v="991"/>
      <x v="125"/>
      <x v="6"/>
    </i>
    <i>
      <x v="136"/>
      <x v="3"/>
      <x v="64"/>
      <x v="71"/>
      <x v="9"/>
    </i>
    <i r="2">
      <x v="221"/>
      <x v="102"/>
      <x v="9"/>
    </i>
    <i>
      <x v="137"/>
      <x v="3"/>
      <x v="69"/>
      <x v="74"/>
      <x v="6"/>
    </i>
    <i r="2">
      <x v="992"/>
      <x v="118"/>
      <x v="6"/>
    </i>
    <i>
      <x v="138"/>
      <x v="3"/>
      <x v="70"/>
      <x/>
      <x v="9"/>
    </i>
    <i>
      <x v="139"/>
      <x v="3"/>
      <x v="71"/>
      <x v="75"/>
      <x v="6"/>
    </i>
    <i r="2">
      <x v="1001"/>
      <x v="205"/>
      <x v="6"/>
    </i>
    <i>
      <x v="140"/>
      <x v="2"/>
      <x v="55"/>
      <x/>
      <x v="9"/>
    </i>
    <i r="2">
      <x v="94"/>
      <x/>
      <x v="9"/>
    </i>
    <i>
      <x v="141"/>
      <x v="2"/>
      <x v="93"/>
      <x/>
      <x v="9"/>
    </i>
    <i>
      <x v="142"/>
      <x v="2"/>
      <x v="95"/>
      <x/>
      <x v="9"/>
    </i>
    <i>
      <x v="143"/>
      <x v="3"/>
      <x v="59"/>
      <x/>
      <x v="9"/>
    </i>
    <i>
      <x v="144"/>
      <x v="3"/>
      <x v="207"/>
      <x/>
      <x v="9"/>
    </i>
    <i>
      <x v="145"/>
      <x v="3"/>
      <x v="211"/>
      <x/>
      <x v="9"/>
    </i>
    <i>
      <x v="146"/>
      <x v="12"/>
      <x v="222"/>
      <x/>
      <x v="9"/>
    </i>
    <i>
      <x v="1328"/>
      <x v="3"/>
      <x v="76"/>
      <x/>
      <x v="9"/>
    </i>
    <i>
      <x v="1329"/>
      <x v="1"/>
      <x v="997"/>
      <x v="202"/>
      <x v="10"/>
    </i>
    <i r="2">
      <x v="1030"/>
      <x v="214"/>
      <x v="10"/>
    </i>
    <i>
      <x v="1330"/>
      <x v="1"/>
      <x v="1031"/>
      <x v="215"/>
      <x v="10"/>
    </i>
    <i r="2">
      <x v="1047"/>
      <x v="201"/>
      <x v="10"/>
    </i>
    <i>
      <x v="1331"/>
      <x v="1"/>
      <x v="999"/>
      <x v="203"/>
      <x v="10"/>
    </i>
    <i r="2">
      <x v="1032"/>
      <x v="216"/>
      <x v="10"/>
    </i>
    <i>
      <x v="1332"/>
      <x v="10"/>
      <x v="1002"/>
      <x v="137"/>
      <x v="3"/>
    </i>
    <i>
      <x v="1333"/>
      <x v="7"/>
      <x v="1003"/>
      <x/>
      <x/>
    </i>
    <i>
      <x v="1335"/>
      <x v="2"/>
      <x v="1010"/>
      <x v="42"/>
      <x v="6"/>
    </i>
    <i>
      <x v="1337"/>
      <x v="2"/>
      <x v="1020"/>
      <x v="43"/>
      <x v="10"/>
    </i>
    <i>
      <x v="1338"/>
      <x v="10"/>
      <x v="1023"/>
      <x v="62"/>
      <x v="4"/>
    </i>
    <i>
      <x v="1339"/>
      <x v="7"/>
      <x v="1024"/>
      <x v="186"/>
      <x v="9"/>
    </i>
    <i>
      <x v="1340"/>
      <x v="10"/>
      <x v="1025"/>
      <x v="138"/>
      <x v="4"/>
    </i>
    <i r="2">
      <x v="1037"/>
      <x v="139"/>
      <x v="4"/>
    </i>
    <i>
      <x v="1342"/>
      <x v="4"/>
      <x v="1033"/>
      <x v="60"/>
      <x v="1"/>
    </i>
    <i>
      <x v="1344"/>
      <x v="3"/>
      <x v="1036"/>
      <x v="55"/>
      <x v="9"/>
    </i>
    <i>
      <x v="1345"/>
      <x v="2"/>
      <x v="1040"/>
      <x v="34"/>
      <x v="4"/>
    </i>
    <i>
      <x v="1346"/>
      <x v="6"/>
      <x v="1041"/>
      <x v="210"/>
      <x v="1"/>
    </i>
    <i>
      <x v="1347"/>
      <x v="3"/>
      <x v="1042"/>
      <x v="165"/>
      <x v="4"/>
    </i>
    <i>
      <x v="1348"/>
      <x v="2"/>
      <x v="1045"/>
      <x/>
      <x v="26"/>
    </i>
    <i>
      <x v="1349"/>
      <x v="3"/>
      <x v="1044"/>
      <x v="206"/>
      <x v="6"/>
    </i>
    <i>
      <x v="1350"/>
      <x v="7"/>
      <x v="1046"/>
      <x/>
      <x/>
    </i>
    <i>
      <x v="1352"/>
      <x v="9"/>
      <x v="88"/>
      <x v="87"/>
      <x v="5"/>
    </i>
    <i r="2">
      <x v="979"/>
      <x v="109"/>
      <x v="5"/>
    </i>
    <i r="2">
      <x v="1056"/>
      <x v="219"/>
      <x v="5"/>
    </i>
  </rowItems>
  <colItems count="1">
    <i/>
  </colItems>
  <dataFields count="1">
    <dataField name="Sum of No. Urut_x000a_Item Sam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32CC6B4-C26D-4BD4-9885-EF57EC302D51}" autoFormatId="16" applyNumberFormats="0" applyBorderFormats="0" applyFontFormats="0" applyPatternFormats="0" applyAlignmentFormats="0" applyWidthHeightFormats="0">
  <queryTableRefresh nextId="8">
    <queryTableFields count="5">
      <queryTableField id="1" name="Kode Barang Win" tableColumnId="1"/>
      <queryTableField id="2" name="Kode Pcpl" tableColumnId="2"/>
      <queryTableField id="3" name="SATUAN Fix Win" tableColumnId="3"/>
      <queryTableField id="4" name="ISI/CTN" tableColumnId="4"/>
      <queryTableField id="5" name="Kode PCPL yang sama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1CECDF7-8EE3-4158-AB37-F8208B0D77D8}" autoFormatId="16" applyNumberFormats="0" applyBorderFormats="0" applyFontFormats="0" applyPatternFormats="0" applyAlignmentFormats="0" applyWidthHeightFormats="0">
  <queryTableRefresh nextId="24" unboundColumnsRight="5">
    <queryTableFields count="23">
      <queryTableField id="1" name="KODE BARANG" tableColumnId="1"/>
      <queryTableField id="2" name="NAMA BARANG" tableColumnId="2"/>
      <queryTableField id="3" name="ISI/CTN" tableColumnId="3"/>
      <queryTableField id="4" name="SATUAN" tableColumnId="4"/>
      <queryTableField id="5" name="NAMA KELOMPOK" tableColumnId="5"/>
      <queryTableField id="6" name="Harga Beli Pcs_x000a_(-PPN)" tableColumnId="6"/>
      <queryTableField id="7" name="Harga Beli Krt_x000a_(- PPN)" tableColumnId="7"/>
      <queryTableField id="8" name="Harga Beli Pcs_x000a_(+PPN)" tableColumnId="8"/>
      <queryTableField id="9" name="Harga Beli Krt_x000a_(+PPN)" tableColumnId="9"/>
      <queryTableField id="10" name="Harga Jual Pcs GT_x000a_(-PPN)" tableColumnId="10"/>
      <queryTableField id="11" name="Harga Jual Krt GT_x000a_(- PPN)" tableColumnId="11"/>
      <queryTableField id="12" name="Harga Jual Pcs GT_x000a_(+PPN" tableColumnId="12"/>
      <queryTableField id="13" name="Harga Jual Krt GT_x000a_(+PPN)" tableColumnId="13"/>
      <queryTableField id="14" name="Harga Jual Pcs MT_x000a_(-PPN)" tableColumnId="14"/>
      <queryTableField id="15" name="Harga Jual Krt MT_x000a_(- PPN)" tableColumnId="15"/>
      <queryTableField id="16" name="Harga Jual Pcs MT_x000a_(+PPN)" tableColumnId="16"/>
      <queryTableField id="17" name="Harga Jual Krt MT_x000a_(+PPN)" tableColumnId="17"/>
      <queryTableField id="18" name="NAMA PRINCIPLE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382EFE7-665D-4207-9D54-14A23CF8CDEF}" autoFormatId="16" applyNumberFormats="0" applyBorderFormats="0" applyFontFormats="0" applyPatternFormats="0" applyAlignmentFormats="0" applyWidthHeightFormats="0">
  <queryTableRefresh nextId="14" unboundColumnsRight="5">
    <queryTableFields count="7">
      <queryTableField id="1" name="Kode BARANG Win2" tableColumnId="1"/>
      <queryTableField id="2" name="Nama Win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E8C0DB-6F64-42FC-9971-31730BBAFAAA}" autoFormatId="16" applyNumberFormats="0" applyBorderFormats="0" applyFontFormats="0" applyPatternFormats="0" applyAlignmentFormats="0" applyWidthHeightFormats="0">
  <queryTableRefresh nextId="33">
    <queryTableFields count="32">
      <queryTableField id="1" name="No. Urut_x000a_Item Sama" tableColumnId="1"/>
      <queryTableField id="2" name="NO" tableColumnId="2"/>
      <queryTableField id="3" name="Kode Pcpl" tableColumnId="3"/>
      <queryTableField id="4" name="Klp Brg Pcpl" tableColumnId="4"/>
      <queryTableField id="5" name="Nama Barang Principle" tableColumnId="5"/>
      <queryTableField id="6" name="ISI/CTN" tableColumnId="6"/>
      <queryTableField id="7" name="SATUAN Fix Win" tableColumnId="7"/>
      <queryTableField id="8" name="Nama Kelompok Win" tableColumnId="8"/>
      <queryTableField id="9" name="Kode Kelompok Win" tableColumnId="9"/>
      <queryTableField id="10" name="Kode BARANG Win2" tableColumnId="10"/>
      <queryTableField id="11" name="Nama Win" tableColumnId="11"/>
      <queryTableField id="12" name="Harga Beli Pcs_x000a_(-PPN)" tableColumnId="12"/>
      <queryTableField id="13" name="Harga Beli Krt_x000a_(- PPN)" tableColumnId="13"/>
      <queryTableField id="14" name="Harga Jual Pcs GT_x000a_(-PPN)" tableColumnId="14"/>
      <queryTableField id="15" name="Harga Jual Krt GT_x000a_(- PPN)" tableColumnId="15"/>
      <queryTableField id="16" name="Harga Jual Pcs MT_x000a_(-PPN)" tableColumnId="16"/>
      <queryTableField id="17" name="Harga Jual Krt MT_x000a_(- PPN)" tableColumnId="17"/>
      <queryTableField id="18" name="Efektif_x000a_Pembuatan" tableColumnId="18"/>
      <queryTableField id="19" name="Efektif Naik Harga" tableColumnId="19"/>
      <queryTableField id="20" name="Status_x000a_Pembuatan" tableColumnId="20"/>
      <queryTableField id="21" name="Status_x000a_Harga" tableColumnId="21"/>
      <queryTableField id="22" name="Mata Uang" tableColumnId="22"/>
      <queryTableField id="23" name="Kode_x000a_Golongan" tableColumnId="23"/>
      <queryTableField id="24" name="Nama Golongan" tableColumnId="24"/>
      <queryTableField id="25" name="Kode PCPL To Win" tableColumnId="25"/>
      <queryTableField id="26" name="Kode Jenis Produk" tableColumnId="26"/>
      <queryTableField id="27" name="SAT BSR" tableColumnId="27"/>
      <queryTableField id="28" name="GD" tableColumnId="28"/>
      <queryTableField id="29" name="Kode PRK" tableColumnId="29"/>
      <queryTableField id="30" name="Kode PRK SJ" tableColumnId="30"/>
      <queryTableField id="31" name="Kode Job" tableColumnId="31"/>
      <queryTableField id="32" name="Approval" tableColumnId="3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44E8FC-0C18-46EC-BF7A-2CBE5645C079}" name="Table3" displayName="Table3" ref="A3:J14" totalsRowShown="0" headerRowDxfId="49">
  <autoFilter ref="A3:J14" xr:uid="{3CC4D5B6-B490-422E-8111-BE237D0D794C}"/>
  <tableColumns count="10">
    <tableColumn id="1" xr3:uid="{911C5118-914E-48D1-AA30-354BE6F54D16}" name="KELOMPOK PRODUK"/>
    <tableColumn id="2" xr3:uid="{33CB9323-0BB0-41FC-B959-AE68F8080310}" name="KODE PRODUK PRINSIPAL"/>
    <tableColumn id="3" xr3:uid="{DD79DFFA-CFEB-46DF-BD83-666010AB5CA6}" name="NAMA ITEM"/>
    <tableColumn id="4" xr3:uid="{14FD4090-9DD9-4360-9BEE-5A6303183169}" name="ISI/CTN"/>
    <tableColumn id="5" xr3:uid="{56DAD7C6-63CA-4BDB-AD5F-4F05BB563172}" name="SATUAN"/>
    <tableColumn id="6" xr3:uid="{FA3A6DC6-5F76-4424-8127-494119FFBF06}" name="HARGA INCLUDE PPN 11% IN CTN" dataDxfId="48" dataCellStyle="Comma"/>
    <tableColumn id="7" xr3:uid="{F17EF59F-FE6A-4805-A859-F580036F8B9D}" name="HARGA/PCS" dataDxfId="47" dataCellStyle="Comma">
      <calculatedColumnFormula>F4/D4</calculatedColumnFormula>
    </tableColumn>
    <tableColumn id="9" xr3:uid="{0956C232-5F53-4AE3-BC84-3EECDC19C025}" name="Column1"/>
    <tableColumn id="10" xr3:uid="{C34810A5-11E9-4B56-A32C-DAE6BE9642D4}" name="Column2" dataDxfId="46">
      <calculatedColumnFormula>Table3[[#This Row],[Column1]]/Table3[[#This Row],[ISI/CTN]]</calculatedColumnFormula>
    </tableColumn>
    <tableColumn id="11" xr3:uid="{0347A8CD-4AE6-475E-B07F-CE542C96488B}" name="Column3" dataDxfId="45">
      <calculatedColumnFormula>Table3[[#This Row],[Column2]]/1.11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2AE471-BADF-4A71-971A-ADF79963517B}" name="Pvt_Map_1" displayName="Pvt_Map_1" ref="A1:E305" tableType="queryTable" totalsRowShown="0">
  <autoFilter ref="A1:E305" xr:uid="{0B2AE471-BADF-4A71-971A-ADF79963517B}">
    <filterColumn colId="0">
      <filters>
        <filter val="A1011001062010"/>
      </filters>
    </filterColumn>
  </autoFilter>
  <tableColumns count="5">
    <tableColumn id="1" xr3:uid="{3C66EAAF-A8E6-49E5-B472-031F8E19D876}" uniqueName="1" name="Kode Barang Win" queryTableFieldId="1" dataDxfId="44"/>
    <tableColumn id="2" xr3:uid="{E90739D0-44EC-4A04-9F14-5B7B9E8DF798}" uniqueName="2" name="Kode Pcpl" queryTableFieldId="2"/>
    <tableColumn id="3" xr3:uid="{D15394DC-71D4-4BAF-8718-85E2C3B1B25D}" uniqueName="3" name="SATUAN Fix Win" queryTableFieldId="3"/>
    <tableColumn id="4" xr3:uid="{5BEEBD25-7B13-4E6C-938A-A98C26E15AE1}" uniqueName="4" name="ISI/CTN" queryTableFieldId="4"/>
    <tableColumn id="5" xr3:uid="{06A5CC05-94FB-4549-8C64-3D9AFED020C0}" uniqueName="5" name="Kode PCPL yang sama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F05869-1677-4E70-8B40-7BA2871096F2}" name="Fix_Mapping" displayName="Fix_Mapping" ref="A1:W160" tableType="queryTable" totalsRowShown="0">
  <autoFilter ref="A1:W160" xr:uid="{09F05869-1677-4E70-8B40-7BA2871096F2}"/>
  <tableColumns count="23">
    <tableColumn id="1" xr3:uid="{0B212B3A-3794-4566-A1D2-357D3AB1A178}" uniqueName="1" name="KODE BARANG" queryTableFieldId="1"/>
    <tableColumn id="2" xr3:uid="{A52A7EA1-3179-4907-969C-98A0A9FA3BD0}" uniqueName="2" name="NAMA BARANG" queryTableFieldId="2"/>
    <tableColumn id="3" xr3:uid="{53333D04-55BF-4161-BBD4-52E16D9199E2}" uniqueName="3" name="ISI/CTN" queryTableFieldId="3"/>
    <tableColumn id="4" xr3:uid="{01C327D2-C039-470D-AD16-187299602069}" uniqueName="4" name="SATUAN" queryTableFieldId="4"/>
    <tableColumn id="5" xr3:uid="{9941B082-A374-4CF4-8A8B-20896097700F}" uniqueName="5" name="NAMA KELOMPOK" queryTableFieldId="5"/>
    <tableColumn id="6" xr3:uid="{48BA4104-5EEE-40FC-9EFD-5AF2A6D7D0BE}" uniqueName="6" name="Harga Beli Pcs_x000a_(-PPN)" queryTableFieldId="6"/>
    <tableColumn id="7" xr3:uid="{9CC35461-AB70-4A09-874E-C4D22F440893}" uniqueName="7" name="Harga Beli Krt_x000a_(- PPN)" queryTableFieldId="7"/>
    <tableColumn id="8" xr3:uid="{32006D56-C147-478F-BD93-4E80852C94A4}" uniqueName="8" name="Harga Beli Pcs_x000a_(+PPN)" queryTableFieldId="8"/>
    <tableColumn id="9" xr3:uid="{B1567821-2EA2-4F03-A4C3-3FB0DE97B9B7}" uniqueName="9" name="Harga Beli Krt_x000a_(+PPN)" queryTableFieldId="9"/>
    <tableColumn id="10" xr3:uid="{BF22E217-E4D7-48AE-9F8D-A2F517CA7463}" uniqueName="10" name="Harga Jual Pcs GT_x000a_(-PPN)" queryTableFieldId="10"/>
    <tableColumn id="11" xr3:uid="{F470E5FA-FA72-4454-8FBD-83A2F0D15270}" uniqueName="11" name="Harga Jual Krt GT_x000a_(- PPN)" queryTableFieldId="11"/>
    <tableColumn id="12" xr3:uid="{C126C991-B2F1-412B-AAA3-28B5E1D5E319}" uniqueName="12" name="Harga Jual Pcs GT_x000a_(+PPN" queryTableFieldId="12"/>
    <tableColumn id="13" xr3:uid="{D6E1FF48-3969-4A1B-B5CF-5323B5D7DD68}" uniqueName="13" name="Harga Jual Krt GT_x000a_(+PPN)" queryTableFieldId="13"/>
    <tableColumn id="14" xr3:uid="{DA0C699F-91BD-423C-9FEE-607A3B9F335A}" uniqueName="14" name="Harga Jual Pcs MT_x000a_(-PPN)" queryTableFieldId="14"/>
    <tableColumn id="15" xr3:uid="{4020B0ED-6281-4433-A5C8-480EBD07D481}" uniqueName="15" name="Harga Jual Krt MT_x000a_(- PPN)" queryTableFieldId="15"/>
    <tableColumn id="16" xr3:uid="{5EFB4745-7D08-4E04-A75F-E74D8852B403}" uniqueName="16" name="Harga Jual Pcs MT_x000a_(+PPN)" queryTableFieldId="16"/>
    <tableColumn id="17" xr3:uid="{B2416FCB-92EE-457F-BE05-1DBDA3EDFD3C}" uniqueName="17" name="Harga Jual Krt MT_x000a_(+PPN)" queryTableFieldId="17"/>
    <tableColumn id="18" xr3:uid="{3E59558C-43C1-4529-A799-5BCA60AA429C}" uniqueName="18" name="NAMA PRINCIPLE" queryTableFieldId="18"/>
    <tableColumn id="19" xr3:uid="{ECDD18AB-ECF0-4FF6-9885-97B66B9963A6}" uniqueName="19" name="PCPL KODE 1" queryTableFieldId="19" dataDxfId="43">
      <calculatedColumnFormula>IFERROR(VLOOKUP(CONCATENATE(Fix_Mapping[[#This Row],[KODE BARANG]],1),'Form Fix'!$A$6:$F$1063,4,0),0)</calculatedColumnFormula>
    </tableColumn>
    <tableColumn id="20" xr3:uid="{C8DB19AE-6BFC-4881-814D-2DA5F08F7053}" uniqueName="20" name="PCPL KODE 2" queryTableFieldId="20" dataDxfId="42">
      <calculatedColumnFormula>IFERROR(VLOOKUP(CONCATENATE(Fix_Mapping[[#This Row],[KODE BARANG]],2),'Form Fix'!$A$6:$F$1063,4,0),0)</calculatedColumnFormula>
    </tableColumn>
    <tableColumn id="21" xr3:uid="{FF7448BA-746A-4B69-B5D3-27CC298E1593}" uniqueName="21" name="PCPL KODE 3" queryTableFieldId="21" dataDxfId="41">
      <calculatedColumnFormula>IFERROR(VLOOKUP(CONCATENATE(Fix_Mapping[[#This Row],[KODE BARANG]],3),'Form Fix'!$A$6:$F$1063,4,0),0)</calculatedColumnFormula>
    </tableColumn>
    <tableColumn id="22" xr3:uid="{D59E37C5-E40C-4D70-AF5F-3B563D0BB873}" uniqueName="22" name="PCPL KODE 4" queryTableFieldId="22" dataDxfId="40">
      <calculatedColumnFormula>IFERROR(VLOOKUP(CONCATENATE(Fix_Mapping[[#This Row],[KODE BARANG]],4),'Form Fix'!$A$6:$F$1063,4,0),0)</calculatedColumnFormula>
    </tableColumn>
    <tableColumn id="23" xr3:uid="{2EFCC403-6811-4CA7-B438-8F3708E22A3F}" uniqueName="23" name="PCPL KODE 5" queryTableFieldId="23" dataDxfId="39">
      <calculatedColumnFormula>IFERROR(VLOOKUP(CONCATENATE(Fix_Mapping[[#This Row],[KODE BARANG]],5),'Form Fix'!$A$6:$F$1063,4,0),0)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98434C-26AE-48FD-B3F4-96948A08CD3B}" name="Table43_1" displayName="Table43_1" ref="A1:G168" tableType="queryTable" totalsRowShown="0" headerRowDxfId="38">
  <autoFilter ref="A1:G168" xr:uid="{DA98434C-26AE-48FD-B3F4-96948A08CD3B}"/>
  <tableColumns count="7">
    <tableColumn id="1" xr3:uid="{31BB9C54-2D8C-473F-9016-82E2E1A6443E}" uniqueName="1" name="Kode BARANG Win2" queryTableFieldId="1" dataDxfId="37"/>
    <tableColumn id="2" xr3:uid="{6A996067-9B57-423B-8632-80C898664E0E}" uniqueName="2" name="Nama Win" queryTableFieldId="2" dataDxfId="36"/>
    <tableColumn id="3" xr3:uid="{69DA0886-20BD-4E67-96D2-3AE6E0780CEE}" uniqueName="3" name="PCPL KODE 1" queryTableFieldId="3" dataDxfId="35">
      <calculatedColumnFormula>IFERROR(VLOOKUP(CONCATENATE(Table43_1[[#This Row],[Kode BARANG Win2]],1),'Form Fix'!$A$6:$F$310,4,0),0)</calculatedColumnFormula>
    </tableColumn>
    <tableColumn id="4" xr3:uid="{D83076C0-D597-4435-ACF4-A22A4A438E13}" uniqueName="4" name="PCPL KODE 2" queryTableFieldId="4" dataDxfId="34">
      <calculatedColumnFormula>IFERROR(VLOOKUP(CONCATENATE(Table43_1[[#This Row],[Kode BARANG Win2]],2),'Form Fix'!$A$6:$F$310,4,0),0)</calculatedColumnFormula>
    </tableColumn>
    <tableColumn id="5" xr3:uid="{595AB651-18CD-4D1D-8C4D-89D5370E9776}" uniqueName="5" name="PCPL KODE 3" queryTableFieldId="5" dataDxfId="33">
      <calculatedColumnFormula>IFERROR(VLOOKUP(CONCATENATE(Table43_1[[#This Row],[Kode BARANG Win2]],3),'Form Fix'!$A$6:$F$310,4,0),0)</calculatedColumnFormula>
    </tableColumn>
    <tableColumn id="6" xr3:uid="{28FEB60B-DF21-48F8-BEA5-48DBC48A5B75}" uniqueName="6" name="PCPL KODE 4" queryTableFieldId="6" dataDxfId="32">
      <calculatedColumnFormula>IFERROR(VLOOKUP(CONCATENATE(Table43_1[[#This Row],[Kode BARANG Win2]],4),'Form Fix'!$A$6:$F$310,4,0),0)</calculatedColumnFormula>
    </tableColumn>
    <tableColumn id="7" xr3:uid="{E4822B09-9A4D-421C-8B71-CFB4D19DA6D5}" uniqueName="7" name="PCPL KODE 5" queryTableFieldId="7" dataDxfId="31">
      <calculatedColumnFormula>IFERROR(VLOOKUP(CONCATENATE(Table43_1[[#This Row],[Kode BARANG Win2]],5),'Form Fix'!$A$6:$F$310,4,0),0)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20A3E-EB42-433D-82B9-D9ECDD12057D}" name="Table43" displayName="Table43" ref="A5:BR310" totalsRowShown="0" headerRowDxfId="121" dataDxfId="120">
  <autoFilter ref="A5:BR310" xr:uid="{D5D20A3E-EB42-433D-82B9-D9ECDD12057D}"/>
  <tableColumns count="70">
    <tableColumn id="55" xr3:uid="{CB3BF274-8DCE-41BB-9B32-A4A0E5160E9E}" name="CONCATENATE MAPPING" dataDxfId="119">
      <calculatedColumnFormula>CONCATENATE(Table43[[#This Row],[Kode BARANG Win2]],Table43[[#This Row],[No. Urut
Item Sama]])</calculatedColumnFormula>
    </tableColumn>
    <tableColumn id="40" xr3:uid="{2E1680E1-9639-4221-9BF8-7FA5425DC2EE}" name="No. Urut_x000a_Item Sama" dataDxfId="118"/>
    <tableColumn id="1" xr3:uid="{85FE288B-8541-4641-996B-E6A8A5F4A6D2}" name="NO" dataDxfId="117"/>
    <tableColumn id="2" xr3:uid="{4D00D15C-8CB3-45EB-B893-46E3D9DA7E7C}" name="Kode Pcpl" dataDxfId="116"/>
    <tableColumn id="3" xr3:uid="{A6940086-DCF1-4D70-AC15-4DDB5A20527D}" name="Klp Brg Pcpl" dataDxfId="115"/>
    <tableColumn id="4" xr3:uid="{7868B435-2881-44F5-8127-2AC02BB8FF54}" name="Nama Barang Principle" dataDxfId="114"/>
    <tableColumn id="5" xr3:uid="{99EF5EBA-95A5-41BA-B5E2-F4186C4D7900}" name="ISI/CTN" dataDxfId="113"/>
    <tableColumn id="60" xr3:uid="{5958516F-260E-4067-B49A-D1FC7947E931}" name="Ket. Tambahan / Pembantu" dataDxfId="112"/>
    <tableColumn id="6" xr3:uid="{C1544D2E-EA97-44D5-93EC-E4EA2D3EB898}" name="SATUAN Fix Win" dataDxfId="111">
      <calculatedColumnFormula>Table43[[#This Row],[Nama Jenis Kemasan]]</calculatedColumnFormula>
    </tableColumn>
    <tableColumn id="25" xr3:uid="{B5B6B568-DDF2-46D3-84E9-AC1305514F44}" name="Nama Kelompok Win" dataDxfId="110">
      <calculatedColumnFormula>TRIM(CONCATENATE(Table43[[#This Row],[Nama            KLP]]," ",Table43[[#This Row],[Nama            Sub KLP]]))</calculatedColumnFormula>
    </tableColumn>
    <tableColumn id="26" xr3:uid="{A57EB52D-3F84-4191-BC9F-FA7B061662B6}" name="Kode Kelompok Win" dataDxfId="109">
      <calculatedColumnFormula>CONCATENATE(Table43[[#This Row],[kode  2 Digit                (hrf+No)]],Table43[[#This Row],[kode  2 Digit                (Nomor)]],Table43[[#This Row],[kode  1 Digit                (Nomor)]])</calculatedColumnFormula>
    </tableColumn>
    <tableColumn id="7" xr3:uid="{3824BF96-301D-4579-9E73-FFA266E5091C}" name="Kode BARANG Win2" dataDxfId="108">
      <calculatedColumnFormula>IF(AG6="",CONCATENATE(Q6,S6,U6,W6,Y6,AA6,AC6,AE6,Table43[[#This Row],[Tanda Kode Revisi]]),CONCATENATE(Q6,S6,U6,W6,Y6,AA6,AC6,AG6))</calculatedColumnFormula>
    </tableColumn>
    <tableColumn id="8" xr3:uid="{2295F7F9-3F13-4C88-A371-F469CABC65C0}" name="LEN 15" dataDxfId="107">
      <calculatedColumnFormula>LEN(L6)</calculatedColumnFormula>
    </tableColumn>
    <tableColumn id="9" xr3:uid="{3A8B9DDC-836C-4F5D-ABE0-9A18704E8F2F}" name="Nama Win" dataDxfId="106">
      <calculatedColumnFormula>IF(AF6&lt;&gt;"",TRIM(UPPER(CONCATENATE(P6," ",R6," ",T6," ",V6," ",X6," ",Z6," ","X"," ",Table43[[#This Row],[ISI/CTN]]," ",AF6," ",AB6," ",AD6," ",AH6))),TRIM(UPPER(CONCATENATE(P6," ",R6," ",T6," ",V6," ",X6," ",Z6," ","X"," ",Table43[[#This Row],[ISI/CTN]]," ",AB6," ",AD6," ",AH6))))</calculatedColumnFormula>
    </tableColumn>
    <tableColumn id="10" xr3:uid="{BEE43B47-D690-43AA-8283-32254C2DE99E}" name="LEN 50" dataDxfId="105">
      <calculatedColumnFormula>LEN(N6)</calculatedColumnFormula>
    </tableColumn>
    <tableColumn id="11" xr3:uid="{B9517A5B-A4FE-4920-9655-E18B7E3BE7B3}" name="Nama Pcpl                   " dataDxfId="104"/>
    <tableColumn id="12" xr3:uid="{AF1BD272-63C7-4A44-9EC4-86FD521AC3C0}" name="kode  2 Digit                (hrf+No)" dataDxfId="103"/>
    <tableColumn id="13" xr3:uid="{8C295EE0-F0E2-49B5-A761-589A78DB5AEC}" name="Nama            KLP" dataDxfId="102"/>
    <tableColumn id="14" xr3:uid="{C61799E4-4666-420E-88B5-D408C4D80BD2}" name="kode  2 Digit                (Nomor)" dataDxfId="101"/>
    <tableColumn id="15" xr3:uid="{5CAD4DC6-D575-46B3-9B7D-358D6277FEE6}" name="Nama            Sub KLP" dataDxfId="100"/>
    <tableColumn id="16" xr3:uid="{B8BC8B9E-7657-4472-B25A-8BC91823519D}" name="kode  1 Digit                (Nomor)" dataDxfId="99"/>
    <tableColumn id="43" xr3:uid="{E0F6FDBF-0C58-4435-B37E-8F4982576C03}" name="Nama            Sub KLP2" dataDxfId="98"/>
    <tableColumn id="42" xr3:uid="{BC6E6B7F-CB37-4E76-811E-777A47DBB0FB}" name="kode  1 Digit                (Nomor)5" dataDxfId="97"/>
    <tableColumn id="17" xr3:uid="{CC15E84F-43D6-499C-9B97-7393C2E08DEE}" name="Nama            Aroma/             Rasa" dataDxfId="96"/>
    <tableColumn id="18" xr3:uid="{92F50D0B-B8AF-46C8-8DED-8C4FCA3EAB32}" name="kode  2 Digit                (Nomor)2" dataDxfId="95"/>
    <tableColumn id="19" xr3:uid="{FBD2E431-C8B9-4504-B534-37D23CA8CF4E}" name="Nama            Gramasi atau Jumlah Pack per CTN" dataDxfId="94"/>
    <tableColumn id="20" xr3:uid="{8C441438-C2B9-478E-8C3E-B106D86B98E9}" name="kode  4 Digit                (Nomor)" dataDxfId="93"/>
    <tableColumn id="21" xr3:uid="{FA81B4D2-C91D-48D8-BC87-E2FF2A9C0EAC}" name="Nama Jenis Kemasan" dataDxfId="92"/>
    <tableColumn id="22" xr3:uid="{FE91392F-15C5-40A5-B22B-A44F3233104A}" name="kode  1 Digit                (Nomor)3" dataDxfId="91"/>
    <tableColumn id="23" xr3:uid="{E66B432C-699E-4075-A1B9-59A3F37C2ED1}" name="Nama            Promo" dataDxfId="90"/>
    <tableColumn id="24" xr3:uid="{55D14A62-2546-4E0B-8CD7-497CC4E2EA7C}" name="kode  1 Digit                (Nomor)4" dataDxfId="89"/>
    <tableColumn id="57" xr3:uid="{CF6FE0CF-0631-4633-B8AF-03043297F2FD}" name="Gunakan ini apabila item tersebut sachet" dataDxfId="88"/>
    <tableColumn id="58" xr3:uid="{DC3F0DB1-1038-4591-AB0F-345C6EAA5DC1}" name="kode  1 Digit                (Nomor)32" dataDxfId="87"/>
    <tableColumn id="56" xr3:uid="{DD067543-3BD1-4D38-AA6D-E35DA527C969}" name="KET TAMBAHAN2" dataDxfId="86"/>
    <tableColumn id="63" xr3:uid="{67C5621D-B599-47A5-8B2A-18B8B3857343}" name="KET. GOLONGAN" dataDxfId="85"/>
    <tableColumn id="62" xr3:uid="{AE1DD367-C93E-4186-BDCE-3B52BF67AEC1}" name="kode  1 Digit_x000a_(Nomor)" dataDxfId="84"/>
    <tableColumn id="64" xr3:uid="{50C33980-9678-4F7D-BD39-DDBD132EEB0A}" name="Tanda Kode Revisi" dataDxfId="83"/>
    <tableColumn id="27" xr3:uid="{43E29ECC-C19C-400E-8523-C52F4136D842}" name="Harga Beli Pcs_x000a_(-PPN)" dataDxfId="82" dataCellStyle="Comma">
      <calculatedColumnFormula>Table43[[#This Row],[Harga Jual Pcs GT
(-PPN)]]-(Table43[[#This Row],[Harga Jual Pcs GT
(-PPN)]]*6%)</calculatedColumnFormula>
    </tableColumn>
    <tableColumn id="28" xr3:uid="{D3F6C878-9638-485B-BFAE-77D46CA11DC2}" name="Harga Beli Krt_x000a_(- PPN)" dataDxfId="81" dataCellStyle="Comma">
      <calculatedColumnFormula>Table43[[#This Row],[Harga Beli Pcs
(-PPN)]]*Table43[[#This Row],[ISI/CTN]]</calculatedColumnFormula>
    </tableColumn>
    <tableColumn id="29" xr3:uid="{6BE5CD38-736C-4EFB-9026-7BD3DFD3FB0E}" name="Harga Beli Pcs_x000a_(+PPN)" dataDxfId="80" dataCellStyle="Comma">
      <calculatedColumnFormula>Table43[[#This Row],[Harga Beli Pcs
(-PPN)]]*1.11</calculatedColumnFormula>
    </tableColumn>
    <tableColumn id="30" xr3:uid="{B77BDD11-ED64-4F63-9206-D9675922BDB4}" name="Harga Beli Krt_x000a_(+PPN)" dataDxfId="79" dataCellStyle="Comma">
      <calculatedColumnFormula>Table43[[#This Row],[Harga Beli Krt
(- PPN)]]*1.11</calculatedColumnFormula>
    </tableColumn>
    <tableColumn id="31" xr3:uid="{C3E69A61-BD61-48F6-8D18-55EB5DF5AFBC}" name="Harga Jual Pcs GT_x000a_(-PPN)" dataDxfId="78" dataCellStyle="Comma"/>
    <tableColumn id="32" xr3:uid="{5B07EF52-741F-4643-B20A-812423EABCF9}" name="Harga Jual Krt GT_x000a_(- PPN)" dataDxfId="77" dataCellStyle="Comma">
      <calculatedColumnFormula>Table43[[#This Row],[Harga Jual Pcs GT
(-PPN)]]*Table43[[#This Row],[ISI/CTN]]</calculatedColumnFormula>
    </tableColumn>
    <tableColumn id="33" xr3:uid="{0E2BA47E-1713-4BC9-93D3-FBF6E131CC8A}" name="Harga Jual Pcs GT_x000a_(+PPN" dataDxfId="76" dataCellStyle="Comma">
      <calculatedColumnFormula>Table43[[#This Row],[Harga Jual Pcs GT
(-PPN)]]*1.11</calculatedColumnFormula>
    </tableColumn>
    <tableColumn id="34" xr3:uid="{0E6414C5-AD77-4BAB-9B8A-BDCF6CC4C0B1}" name="Harga Jual Krt GT_x000a_(+PPN)" dataDxfId="75" dataCellStyle="Comma">
      <calculatedColumnFormula>Table43[[#This Row],[Harga Jual Krt GT
(- PPN)]]*1.11</calculatedColumnFormula>
    </tableColumn>
    <tableColumn id="35" xr3:uid="{B3D28969-A331-4293-BC40-54C14E70428D}" name="Harga Jual Pcs MT_x000a_(-PPN)" dataDxfId="74" dataCellStyle="Comma"/>
    <tableColumn id="36" xr3:uid="{F0A0A596-FB37-4AF0-B84F-70D41FB9F986}" name="Harga Jual Krt MT_x000a_(- PPN)" dataDxfId="73" dataCellStyle="Comma">
      <calculatedColumnFormula>(Table43[[#This Row],[Harga Jual Pcs MT
(-PPN)]]*Table43[[#This Row],[ISI/CTN]])</calculatedColumnFormula>
    </tableColumn>
    <tableColumn id="37" xr3:uid="{87A4BECE-CCD9-42F5-BA52-C2CAF9EF9027}" name="Harga Jual Pcs MT_x000a_(+PPN)" dataDxfId="72" dataCellStyle="Comma">
      <calculatedColumnFormula>Table43[[#This Row],[Harga Jual Pcs MT
(-PPN)]]*1.11</calculatedColumnFormula>
    </tableColumn>
    <tableColumn id="38" xr3:uid="{54EE3428-4D28-41F3-82D8-5739689EF53C}" name="Harga Jual Krt MT_x000a_(+PPN)" dataDxfId="71" dataCellStyle="Comma">
      <calculatedColumnFormula>Table43[[#This Row],[Harga Jual Pcs MT
(+PPN)]]*Table43[[#This Row],[ISI/CTN]]</calculatedColumnFormula>
    </tableColumn>
    <tableColumn id="68" xr3:uid="{482F0DC8-C8C9-48E9-BB1C-F0978224C8C9}" name="MARGIN" dataDxfId="70" dataCellStyle="Comma"/>
    <tableColumn id="39" xr3:uid="{E06EB49C-38D8-4E02-AC5A-6F862094C95E}" name="Efektif_x000a_Pembuatan" dataDxfId="69"/>
    <tableColumn id="41" xr3:uid="{7110AEF5-00F8-472F-9973-F8BE88DA785A}" name="Efektif Naik Harga" dataDxfId="68"/>
    <tableColumn id="44" xr3:uid="{0F69406A-F478-4BF7-BD19-F56D18C4FC8A}" name="Status_x000a_Pembuatan" dataDxfId="67">
      <calculatedColumnFormula>IF(TODAY()-Table43[[#This Row],[Efektif
Pembuatan]]&gt;60,"Lama","Baru")</calculatedColumnFormula>
    </tableColumn>
    <tableColumn id="47" xr3:uid="{35F46EAF-E490-4324-90D9-53EF4A0476DF}" name="Status_x000a_Harga" dataDxfId="66">
      <calculatedColumnFormula>IF(TODAY()-Table43[[#This Row],[Efektif Naik Harga]]&lt;30,"Naik","Sama")</calculatedColumnFormula>
    </tableColumn>
    <tableColumn id="67" xr3:uid="{ED5ECC77-228E-4FC9-9B92-66FC787F9B8F}" name="Status Barang" dataDxfId="65"/>
    <tableColumn id="45" xr3:uid="{E21CA75C-0180-4056-B79A-CBE7BED6F65B}" name="Mata Uang" dataDxfId="64">
      <calculatedColumnFormula>IF(Table43[[#This Row],[Kode BARANG Win2]]&lt;&gt;"","IDR","")</calculatedColumnFormula>
    </tableColumn>
    <tableColumn id="46" xr3:uid="{E926CFF0-EF62-4403-95B7-24CA3D12C195}" name="Kode_x000a_Golongan" dataDxfId="63">
      <calculatedColumnFormula>CONCATENATE(Table43[[#This Row],[kode  1 Digit
(Nomor)]],Table43[[#This Row],[kode  4 Digit                (Nomor)]])</calculatedColumnFormula>
    </tableColumn>
    <tableColumn id="61" xr3:uid="{51D1CF97-5A92-49AF-A8A1-B202BF611E79}" name="Nama Golongan" dataDxfId="62">
      <calculatedColumnFormula>Table43[[#This Row],[Nama            Gramasi atau Jumlah Pack per CTN]]</calculatedColumnFormula>
    </tableColumn>
    <tableColumn id="48" xr3:uid="{92975CD6-815A-445A-8C23-15D307D7EC58}" name="Kode PCPL To Win" dataDxfId="61"/>
    <tableColumn id="59" xr3:uid="{F44C1E1F-D2BD-4517-8D72-EAECBFE5567D}" name="Kode Jenis Produk" dataDxfId="60"/>
    <tableColumn id="49" xr3:uid="{11501F91-51E4-4C7D-8E98-0DF693090419}" name="SAT BSR" dataDxfId="59">
      <calculatedColumnFormula>IF(Table43[[#This Row],[SATUAN Fix Win]]&lt;&gt;"","KRT")</calculatedColumnFormula>
    </tableColumn>
    <tableColumn id="50" xr3:uid="{8EACBA93-F18B-4F78-ABD5-7BACC7444F4A}" name="GD" dataDxfId="58">
      <calculatedColumnFormula>IF(Table43[[#This Row],[SATUAN Fix Win]]&lt;&gt;"","GD01")</calculatedColumnFormula>
    </tableColumn>
    <tableColumn id="51" xr3:uid="{30FB878C-CFE7-4C65-A919-5818ED52D5FB}" name="Kode PRK" dataDxfId="57">
      <calculatedColumnFormula>IF(Table43[[#This Row],[SATUAN Fix Win]]&lt;&gt;"",11611)</calculatedColumnFormula>
    </tableColumn>
    <tableColumn id="52" xr3:uid="{F08059D0-B0A7-45F8-BD19-C933CD841F0C}" name="Kode PRK SJ" dataDxfId="56">
      <calculatedColumnFormula>IF(Table43[[#This Row],[SATUAN Fix Win]]&lt;&gt;"",11612)</calculatedColumnFormula>
    </tableColumn>
    <tableColumn id="53" xr3:uid="{EE9508A7-8F3E-4D36-8983-7EA9BD849C9E}" name="Kode Job" dataDxfId="55"/>
    <tableColumn id="54" xr3:uid="{78C77ED1-929C-4C56-B83E-7D78EF2AD224}" name="Approval" dataDxfId="54">
      <calculatedColumnFormula>IF(Table43[[#This Row],[SATUAN Fix Win]]&lt;&gt;"",1)</calculatedColumnFormula>
    </tableColumn>
    <tableColumn id="69" xr3:uid="{BA32F7A6-F3CA-4064-AD29-15A76CEC103E}" name="Nama Principle" dataDxfId="53"/>
    <tableColumn id="65" xr3:uid="{1D1E51F9-1040-47D6-A244-27E45A7AA3D0}" name="HARGA NAIK GT" dataDxfId="52">
      <calculatedColumnFormula>IFERROR(VLOOKUP(Table43[[#This Row],[Kode Pcpl]],'[1]HEINZ ABC'!$A$4:$E$112,8,0),0)</calculatedColumnFormula>
    </tableColumn>
    <tableColumn id="66" xr3:uid="{24A46AC2-D1A4-42B9-9109-C67207340201}" name="CEK" dataDxfId="51">
      <calculatedColumnFormula>Table43[[#This Row],[Harga Jual Pcs GT
(-PPN)]]-Table43[[#This Row],[HARGA NAIK GT]]</calculatedColumnFormula>
    </tableColumn>
    <tableColumn id="70" xr3:uid="{F6C92854-09FC-4B6F-98C6-801F76E4BE35}" name="FIX HARGA" dataDxfId="50">
      <calculatedColumnFormula>IF(Table43[[#This Row],[HARGA NAIK GT]]=0,Table43[[#This Row],[Harga Jual Pcs GT
(-PPN)]],Table43[[#This Row],[HARGA NAIK GT]])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5B53A-FE38-46FB-A5FA-320E124DB2E8}" name="Form_To_Win" displayName="Form_To_Win" ref="A1:AF168" tableType="queryTable" totalsRowShown="0">
  <autoFilter ref="A1:AF168" xr:uid="{6A85B53A-FE38-46FB-A5FA-320E124DB2E8}"/>
  <tableColumns count="32">
    <tableColumn id="1" xr3:uid="{2910643B-C448-42B8-9008-B71140777E60}" uniqueName="1" name="No. Urut_x000a_Item Sama" queryTableFieldId="1"/>
    <tableColumn id="2" xr3:uid="{439ED8AE-A3C1-4FA1-B6A6-C891357CAD42}" uniqueName="2" name="NO" queryTableFieldId="2"/>
    <tableColumn id="3" xr3:uid="{8D0EBBD4-169E-4272-ABF3-F2E2818D91A7}" uniqueName="3" name="Kode Pcpl" queryTableFieldId="3"/>
    <tableColumn id="4" xr3:uid="{4339837B-25AE-416F-8A32-BD6D4FF86CEE}" uniqueName="4" name="Klp Brg Pcpl" queryTableFieldId="4" dataDxfId="30"/>
    <tableColumn id="5" xr3:uid="{B0F53A75-DFCD-4240-9696-5D81C9591EA4}" uniqueName="5" name="Nama Barang Principle" queryTableFieldId="5" dataDxfId="29"/>
    <tableColumn id="6" xr3:uid="{888F5ACA-92A0-4279-98E5-035507A9B545}" uniqueName="6" name="ISI/CTN" queryTableFieldId="6"/>
    <tableColumn id="7" xr3:uid="{88E2D5AA-218D-4271-8003-E6B78E7BD80C}" uniqueName="7" name="SATUAN Fix Win" queryTableFieldId="7" dataDxfId="28"/>
    <tableColumn id="8" xr3:uid="{5EFF0F93-3CD4-4D49-ACD0-EC48C04959BB}" uniqueName="8" name="Nama Kelompok Win" queryTableFieldId="8" dataDxfId="27"/>
    <tableColumn id="9" xr3:uid="{A595E7CA-DA20-4EC6-8B1A-F563B1475196}" uniqueName="9" name="Kode Kelompok Win" queryTableFieldId="9" dataDxfId="26"/>
    <tableColumn id="10" xr3:uid="{D196C971-2FE4-4DF0-BC77-37A5DC6E6080}" uniqueName="10" name="Kode BARANG Win2" queryTableFieldId="10" dataDxfId="25"/>
    <tableColumn id="11" xr3:uid="{E9ED0952-7BEE-45E9-850B-722F2D5A2FF3}" uniqueName="11" name="Nama Win" queryTableFieldId="11" dataDxfId="24"/>
    <tableColumn id="12" xr3:uid="{E4D43633-76D1-4479-9C8F-9C8A5B5661AC}" uniqueName="12" name="Harga Beli Pcs_x000a_(-PPN)" queryTableFieldId="12"/>
    <tableColumn id="13" xr3:uid="{B14F65F0-1E40-4952-AA3C-E8537971F043}" uniqueName="13" name="Harga Beli Krt_x000a_(- PPN)" queryTableFieldId="13"/>
    <tableColumn id="14" xr3:uid="{93E12BF1-8BFA-4E1B-B185-8DE635510D64}" uniqueName="14" name="Harga Jual Pcs GT_x000a_(-PPN)" queryTableFieldId="14"/>
    <tableColumn id="15" xr3:uid="{94B7C63D-6711-47AE-9A69-3B3FE6FEE85A}" uniqueName="15" name="Harga Jual Krt GT_x000a_(- PPN)" queryTableFieldId="15"/>
    <tableColumn id="16" xr3:uid="{D61F4D8C-B229-4926-AB62-94034EEA84E9}" uniqueName="16" name="Harga Jual Pcs MT_x000a_(-PPN)" queryTableFieldId="16"/>
    <tableColumn id="17" xr3:uid="{5B3A011A-BA71-4277-9E58-4B18FDD50AC8}" uniqueName="17" name="Harga Jual Krt MT_x000a_(- PPN)" queryTableFieldId="17"/>
    <tableColumn id="18" xr3:uid="{DF9056B3-ED60-4257-AAD6-DBF274EA4118}" uniqueName="18" name="Efektif_x000a_Pembuatan" queryTableFieldId="18" dataDxfId="23"/>
    <tableColumn id="19" xr3:uid="{4A7FE14D-9970-42A8-9FF2-9FD9F158C10B}" uniqueName="19" name="Efektif Naik Harga" queryTableFieldId="19"/>
    <tableColumn id="20" xr3:uid="{AA1D7A12-45BE-437B-8DAC-248BCBAE5E19}" uniqueName="20" name="Status_x000a_Pembuatan" queryTableFieldId="20" dataDxfId="22"/>
    <tableColumn id="21" xr3:uid="{F61C894D-165F-46BC-9020-BF36BCD38322}" uniqueName="21" name="Status_x000a_Harga" queryTableFieldId="21" dataDxfId="21"/>
    <tableColumn id="22" xr3:uid="{F64DD3B8-D46A-4EC3-AF16-85E5816AA426}" uniqueName="22" name="Mata Uang" queryTableFieldId="22" dataDxfId="20"/>
    <tableColumn id="23" xr3:uid="{7AB75043-84CF-4828-9F5F-9A5FE75C13D1}" uniqueName="23" name="Kode_x000a_Golongan" queryTableFieldId="23"/>
    <tableColumn id="24" xr3:uid="{6F01951B-8DFD-4B2E-ACFB-676B4CC86C9F}" uniqueName="24" name="Nama Golongan" queryTableFieldId="24"/>
    <tableColumn id="25" xr3:uid="{29B23A7E-C1F2-4526-A15E-2DEA00C423A0}" uniqueName="25" name="Kode PCPL To Win" queryTableFieldId="25" dataDxfId="19"/>
    <tableColumn id="26" xr3:uid="{2C5F50FE-4D60-4F8C-8791-2B13EF198CB1}" uniqueName="26" name="Kode Jenis Produk" queryTableFieldId="26" dataDxfId="18"/>
    <tableColumn id="27" xr3:uid="{FC36F7D7-DB67-4E79-B10B-F8DD6CE666B1}" uniqueName="27" name="SAT BSR" queryTableFieldId="27" dataDxfId="17"/>
    <tableColumn id="28" xr3:uid="{4A72BC0F-5F5D-43B1-ACAD-E858683FF259}" uniqueName="28" name="GD" queryTableFieldId="28" dataDxfId="16"/>
    <tableColumn id="29" xr3:uid="{F92815FB-E249-4F57-A943-E2C247B44507}" uniqueName="29" name="Kode PRK" queryTableFieldId="29"/>
    <tableColumn id="30" xr3:uid="{B0D294D7-A58B-4F19-AE34-0287811BC5E2}" uniqueName="30" name="Kode PRK SJ" queryTableFieldId="30"/>
    <tableColumn id="31" xr3:uid="{0759D6F2-1563-463F-8AE6-6C0ED4C0A848}" uniqueName="31" name="Kode Job" queryTableFieldId="31"/>
    <tableColumn id="32" xr3:uid="{7DA2D50E-4059-4E68-BDF6-321C949619F4}" uniqueName="32" name="Approval" queryTableField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75F8DE-CB7C-4308-A691-9E3941D53B3E}" name="Table6" displayName="Table6" ref="A1:F24" totalsRowShown="0" headerRowDxfId="15">
  <autoFilter ref="A1:F24" xr:uid="{F875F8DE-CB7C-4308-A691-9E3941D53B3E}"/>
  <tableColumns count="6">
    <tableColumn id="6" xr3:uid="{57DA8C82-ABFB-4A34-9B5F-44B7F0DAEC8F}" name="NO." dataDxfId="14"/>
    <tableColumn id="1" xr3:uid="{B77CF1CA-DDD6-404E-9FD8-B5C684B9DF8E}" name="SM" dataDxfId="13"/>
    <tableColumn id="2" xr3:uid="{58D54B12-50C5-4B06-833A-679BA1CA60EC}" name="GOLONGAN" dataDxfId="12"/>
    <tableColumn id="3" xr3:uid="{87474CC8-BA21-433D-889A-232E06A10667}" name="PRINCIPAL"/>
    <tableColumn id="4" xr3:uid="{D0F69691-FD9B-4704-A53F-FBD77C8C83F9}" name="Nama Pcpl                   " dataDxfId="11"/>
    <tableColumn id="5" xr3:uid="{4098D521-36EB-4C06-8659-70F47E137D16}" name="kode  2 Digit                (hrf+No)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AB64-E8D9-4959-8201-E20D943A4964}">
  <dimension ref="A3:J14"/>
  <sheetViews>
    <sheetView workbookViewId="0">
      <selection activeCell="C7" sqref="C7"/>
    </sheetView>
  </sheetViews>
  <sheetFormatPr defaultRowHeight="15" x14ac:dyDescent="0.25"/>
  <cols>
    <col min="1" max="1" width="23.85546875" bestFit="1" customWidth="1"/>
    <col min="2" max="2" width="28.42578125" bestFit="1" customWidth="1"/>
    <col min="3" max="3" width="25" bestFit="1" customWidth="1"/>
    <col min="4" max="4" width="12.140625" bestFit="1" customWidth="1"/>
    <col min="5" max="5" width="13" bestFit="1" customWidth="1"/>
    <col min="6" max="6" width="13.28515625" style="3" customWidth="1"/>
    <col min="7" max="7" width="16.5703125" style="3" bestFit="1" customWidth="1"/>
  </cols>
  <sheetData>
    <row r="3" spans="1:10" ht="40.15" customHeight="1" x14ac:dyDescent="0.25">
      <c r="A3" s="30" t="s">
        <v>152</v>
      </c>
      <c r="B3" s="30" t="s">
        <v>4</v>
      </c>
      <c r="C3" s="30" t="s">
        <v>5</v>
      </c>
      <c r="D3" s="30" t="s">
        <v>6</v>
      </c>
      <c r="E3" s="30" t="s">
        <v>3</v>
      </c>
      <c r="F3" s="31" t="s">
        <v>7</v>
      </c>
      <c r="G3" s="31" t="s">
        <v>8</v>
      </c>
      <c r="H3" s="30" t="s">
        <v>202</v>
      </c>
      <c r="I3" s="30" t="s">
        <v>203</v>
      </c>
      <c r="J3" s="30" t="s">
        <v>204</v>
      </c>
    </row>
    <row r="4" spans="1:10" x14ac:dyDescent="0.25">
      <c r="A4" t="s">
        <v>177</v>
      </c>
      <c r="B4" t="s">
        <v>178</v>
      </c>
      <c r="C4" t="s">
        <v>179</v>
      </c>
      <c r="D4">
        <v>576</v>
      </c>
      <c r="E4" t="s">
        <v>151</v>
      </c>
      <c r="F4" s="3">
        <v>460000</v>
      </c>
      <c r="G4" s="3">
        <f t="shared" ref="G4:G14" si="0">F4/D4</f>
        <v>798.61111111111109</v>
      </c>
      <c r="H4">
        <v>419287</v>
      </c>
      <c r="I4">
        <f>Table3[[#This Row],[Column1]]/Table3[[#This Row],[ISI/CTN]]</f>
        <v>727.92881944444446</v>
      </c>
      <c r="J4">
        <f>Table3[[#This Row],[Column2]]/1.11</f>
        <v>655.79172922922919</v>
      </c>
    </row>
    <row r="5" spans="1:10" x14ac:dyDescent="0.25">
      <c r="A5" t="s">
        <v>180</v>
      </c>
      <c r="B5" t="s">
        <v>181</v>
      </c>
      <c r="C5" t="s">
        <v>182</v>
      </c>
      <c r="D5">
        <v>192</v>
      </c>
      <c r="E5" t="s">
        <v>151</v>
      </c>
      <c r="F5" s="3">
        <v>156000</v>
      </c>
      <c r="G5" s="3">
        <f t="shared" si="0"/>
        <v>812.5</v>
      </c>
      <c r="H5">
        <v>142193</v>
      </c>
      <c r="I5">
        <f>Table3[[#This Row],[Column1]]/Table3[[#This Row],[ISI/CTN]]</f>
        <v>740.58854166666663</v>
      </c>
      <c r="J5">
        <f>Table3[[#This Row],[Column2]]/1.11</f>
        <v>667.19688438438425</v>
      </c>
    </row>
    <row r="6" spans="1:10" x14ac:dyDescent="0.25">
      <c r="A6" t="s">
        <v>180</v>
      </c>
      <c r="B6" t="s">
        <v>183</v>
      </c>
      <c r="C6" t="s">
        <v>184</v>
      </c>
      <c r="D6">
        <v>432</v>
      </c>
      <c r="E6" t="s">
        <v>151</v>
      </c>
      <c r="F6" s="3">
        <v>351000</v>
      </c>
      <c r="G6" s="3">
        <f t="shared" si="0"/>
        <v>812.5</v>
      </c>
      <c r="H6">
        <v>319934</v>
      </c>
      <c r="I6">
        <f>Table3[[#This Row],[Column1]]/Table3[[#This Row],[ISI/CTN]]</f>
        <v>740.58796296296293</v>
      </c>
      <c r="J6">
        <f>Table3[[#This Row],[Column2]]/1.11</f>
        <v>667.19636302969627</v>
      </c>
    </row>
    <row r="7" spans="1:10" x14ac:dyDescent="0.25">
      <c r="A7" t="s">
        <v>180</v>
      </c>
      <c r="B7" t="s">
        <v>185</v>
      </c>
      <c r="C7" t="s">
        <v>186</v>
      </c>
      <c r="D7">
        <v>120</v>
      </c>
      <c r="E7" t="s">
        <v>151</v>
      </c>
      <c r="F7" s="3">
        <v>234000</v>
      </c>
      <c r="G7" s="3">
        <f t="shared" si="0"/>
        <v>1950</v>
      </c>
      <c r="H7">
        <v>213289</v>
      </c>
      <c r="I7">
        <f>Table3[[#This Row],[Column1]]/Table3[[#This Row],[ISI/CTN]]</f>
        <v>1777.4083333333333</v>
      </c>
      <c r="J7">
        <f>Table3[[#This Row],[Column2]]/1.11</f>
        <v>1601.2687687687685</v>
      </c>
    </row>
    <row r="8" spans="1:10" x14ac:dyDescent="0.25">
      <c r="A8" t="s">
        <v>180</v>
      </c>
      <c r="B8" t="s">
        <v>187</v>
      </c>
      <c r="C8" t="s">
        <v>188</v>
      </c>
      <c r="D8">
        <v>432</v>
      </c>
      <c r="E8" t="s">
        <v>151</v>
      </c>
      <c r="F8" s="3">
        <v>351000</v>
      </c>
      <c r="G8" s="3">
        <f t="shared" si="0"/>
        <v>812.5</v>
      </c>
      <c r="H8">
        <v>319934</v>
      </c>
      <c r="I8">
        <f>Table3[[#This Row],[Column1]]/Table3[[#This Row],[ISI/CTN]]</f>
        <v>740.58796296296293</v>
      </c>
      <c r="J8">
        <f>Table3[[#This Row],[Column2]]/1.11</f>
        <v>667.19636302969627</v>
      </c>
    </row>
    <row r="9" spans="1:10" x14ac:dyDescent="0.25">
      <c r="A9" t="s">
        <v>180</v>
      </c>
      <c r="B9" t="s">
        <v>189</v>
      </c>
      <c r="C9" t="s">
        <v>190</v>
      </c>
      <c r="D9">
        <v>432</v>
      </c>
      <c r="E9" t="s">
        <v>151</v>
      </c>
      <c r="F9" s="3">
        <v>351000</v>
      </c>
      <c r="G9" s="3">
        <f t="shared" si="0"/>
        <v>812.5</v>
      </c>
      <c r="H9">
        <v>319934</v>
      </c>
      <c r="I9">
        <f>Table3[[#This Row],[Column1]]/Table3[[#This Row],[ISI/CTN]]</f>
        <v>740.58796296296293</v>
      </c>
      <c r="J9">
        <f>Table3[[#This Row],[Column2]]/1.11</f>
        <v>667.19636302969627</v>
      </c>
    </row>
    <row r="10" spans="1:10" x14ac:dyDescent="0.25">
      <c r="A10" t="s">
        <v>191</v>
      </c>
      <c r="B10" t="s">
        <v>192</v>
      </c>
      <c r="C10" t="s">
        <v>193</v>
      </c>
      <c r="D10">
        <v>120</v>
      </c>
      <c r="E10" t="s">
        <v>151</v>
      </c>
      <c r="F10" s="3">
        <v>216000</v>
      </c>
      <c r="G10" s="3">
        <f t="shared" si="0"/>
        <v>1800</v>
      </c>
      <c r="H10">
        <v>196882</v>
      </c>
      <c r="I10">
        <f>Table3[[#This Row],[Column1]]/Table3[[#This Row],[ISI/CTN]]</f>
        <v>1640.6833333333334</v>
      </c>
      <c r="J10">
        <f>Table3[[#This Row],[Column2]]/1.11</f>
        <v>1478.0930930930931</v>
      </c>
    </row>
    <row r="11" spans="1:10" x14ac:dyDescent="0.25">
      <c r="A11" t="s">
        <v>191</v>
      </c>
      <c r="B11" t="s">
        <v>194</v>
      </c>
      <c r="C11" t="s">
        <v>195</v>
      </c>
      <c r="D11">
        <v>120</v>
      </c>
      <c r="E11" t="s">
        <v>151</v>
      </c>
      <c r="F11" s="3">
        <v>216000</v>
      </c>
      <c r="G11" s="3">
        <f t="shared" si="0"/>
        <v>1800</v>
      </c>
      <c r="H11">
        <v>196882</v>
      </c>
      <c r="I11">
        <f>Table3[[#This Row],[Column1]]/Table3[[#This Row],[ISI/CTN]]</f>
        <v>1640.6833333333334</v>
      </c>
      <c r="J11">
        <f>Table3[[#This Row],[Column2]]/1.11</f>
        <v>1478.0930930930931</v>
      </c>
    </row>
    <row r="12" spans="1:10" x14ac:dyDescent="0.25">
      <c r="A12" t="s">
        <v>191</v>
      </c>
      <c r="B12" t="s">
        <v>196</v>
      </c>
      <c r="C12" t="s">
        <v>197</v>
      </c>
      <c r="D12">
        <v>120</v>
      </c>
      <c r="E12" t="s">
        <v>151</v>
      </c>
      <c r="F12" s="3">
        <v>216000</v>
      </c>
      <c r="G12" s="3">
        <f t="shared" si="0"/>
        <v>1800</v>
      </c>
      <c r="H12">
        <v>196882</v>
      </c>
      <c r="I12">
        <f>Table3[[#This Row],[Column1]]/Table3[[#This Row],[ISI/CTN]]</f>
        <v>1640.6833333333334</v>
      </c>
      <c r="J12">
        <f>Table3[[#This Row],[Column2]]/1.11</f>
        <v>1478.0930930930931</v>
      </c>
    </row>
    <row r="13" spans="1:10" x14ac:dyDescent="0.25">
      <c r="A13" t="s">
        <v>191</v>
      </c>
      <c r="B13" t="s">
        <v>198</v>
      </c>
      <c r="C13" t="s">
        <v>199</v>
      </c>
      <c r="D13">
        <v>120</v>
      </c>
      <c r="E13" t="s">
        <v>151</v>
      </c>
      <c r="F13" s="3">
        <v>216000</v>
      </c>
      <c r="G13" s="3">
        <f t="shared" si="0"/>
        <v>1800</v>
      </c>
      <c r="H13">
        <v>196882</v>
      </c>
      <c r="I13">
        <f>Table3[[#This Row],[Column1]]/Table3[[#This Row],[ISI/CTN]]</f>
        <v>1640.6833333333334</v>
      </c>
      <c r="J13">
        <f>Table3[[#This Row],[Column2]]/1.11</f>
        <v>1478.0930930930931</v>
      </c>
    </row>
    <row r="14" spans="1:10" x14ac:dyDescent="0.25">
      <c r="A14" t="s">
        <v>191</v>
      </c>
      <c r="B14" t="s">
        <v>200</v>
      </c>
      <c r="C14" t="s">
        <v>201</v>
      </c>
      <c r="D14">
        <v>120</v>
      </c>
      <c r="E14" t="s">
        <v>151</v>
      </c>
      <c r="F14" s="3">
        <v>216000</v>
      </c>
      <c r="G14" s="3">
        <f t="shared" si="0"/>
        <v>1800</v>
      </c>
      <c r="H14">
        <v>196882</v>
      </c>
      <c r="I14">
        <f>Table3[[#This Row],[Column1]]/Table3[[#This Row],[ISI/CTN]]</f>
        <v>1640.6833333333334</v>
      </c>
      <c r="J14">
        <f>Table3[[#This Row],[Column2]]/1.11</f>
        <v>1478.0930930930931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1814-B209-4CEF-AF20-B062D63632E1}">
  <sheetPr codeName="Sheet2">
    <tabColor rgb="FF00B050"/>
  </sheetPr>
  <dimension ref="A3:L1082"/>
  <sheetViews>
    <sheetView topLeftCell="B1" workbookViewId="0">
      <selection activeCell="B11" sqref="B11"/>
    </sheetView>
  </sheetViews>
  <sheetFormatPr defaultRowHeight="15" x14ac:dyDescent="0.25"/>
  <cols>
    <col min="1" max="1" width="18.5703125" style="4" bestFit="1" customWidth="1"/>
    <col min="2" max="2" width="23.85546875" style="4" bestFit="1" customWidth="1"/>
    <col min="3" max="3" width="45.42578125" style="4" bestFit="1" customWidth="1"/>
    <col min="4" max="5" width="9.140625" style="4"/>
    <col min="6" max="6" width="20.7109375" style="3" bestFit="1" customWidth="1"/>
    <col min="7" max="7" width="16.140625" style="3" bestFit="1" customWidth="1"/>
  </cols>
  <sheetData>
    <row r="3" spans="1:12" ht="40.15" customHeight="1" x14ac:dyDescent="0.25">
      <c r="A3" s="1" t="s">
        <v>4</v>
      </c>
      <c r="B3" s="1" t="s">
        <v>147</v>
      </c>
      <c r="C3" s="1" t="s">
        <v>5</v>
      </c>
      <c r="D3" s="1" t="s">
        <v>6</v>
      </c>
      <c r="E3" s="1" t="s">
        <v>3</v>
      </c>
      <c r="F3" s="2" t="s">
        <v>7</v>
      </c>
      <c r="G3" s="25" t="s">
        <v>8</v>
      </c>
    </row>
    <row r="4" spans="1:12" x14ac:dyDescent="0.25">
      <c r="A4" s="26" t="s">
        <v>178</v>
      </c>
      <c r="B4" s="26" t="s">
        <v>177</v>
      </c>
      <c r="C4" s="26" t="s">
        <v>179</v>
      </c>
      <c r="D4" s="26">
        <v>576</v>
      </c>
      <c r="E4" s="26" t="s">
        <v>151</v>
      </c>
      <c r="F4" s="3">
        <v>460000</v>
      </c>
      <c r="G4" s="3">
        <v>798.61111111111109</v>
      </c>
      <c r="I4">
        <v>8</v>
      </c>
      <c r="J4">
        <v>6</v>
      </c>
      <c r="K4">
        <v>12</v>
      </c>
      <c r="L4">
        <f>I4*J4*K4</f>
        <v>576</v>
      </c>
    </row>
    <row r="5" spans="1:12" x14ac:dyDescent="0.25">
      <c r="A5" s="26" t="s">
        <v>181</v>
      </c>
      <c r="B5" s="26" t="s">
        <v>180</v>
      </c>
      <c r="C5" s="26" t="s">
        <v>182</v>
      </c>
      <c r="D5" s="26">
        <v>192</v>
      </c>
      <c r="E5" s="26" t="s">
        <v>151</v>
      </c>
      <c r="F5" s="3">
        <v>156000</v>
      </c>
      <c r="G5" s="3">
        <v>812.5</v>
      </c>
      <c r="I5">
        <v>8</v>
      </c>
      <c r="J5">
        <v>2</v>
      </c>
      <c r="K5">
        <v>12</v>
      </c>
      <c r="L5">
        <f t="shared" ref="L5:L14" si="0">I5*J5*K5</f>
        <v>192</v>
      </c>
    </row>
    <row r="6" spans="1:12" x14ac:dyDescent="0.25">
      <c r="A6" s="26" t="s">
        <v>183</v>
      </c>
      <c r="B6" s="26" t="s">
        <v>180</v>
      </c>
      <c r="C6" s="26" t="s">
        <v>184</v>
      </c>
      <c r="D6" s="26">
        <v>432</v>
      </c>
      <c r="E6" s="26" t="s">
        <v>151</v>
      </c>
      <c r="F6" s="3">
        <v>351000</v>
      </c>
      <c r="G6" s="3">
        <v>812.5</v>
      </c>
      <c r="I6">
        <v>18</v>
      </c>
      <c r="J6">
        <v>2</v>
      </c>
      <c r="K6">
        <v>12</v>
      </c>
      <c r="L6">
        <f t="shared" si="0"/>
        <v>432</v>
      </c>
    </row>
    <row r="7" spans="1:12" x14ac:dyDescent="0.25">
      <c r="A7" s="26" t="s">
        <v>185</v>
      </c>
      <c r="B7" s="26" t="s">
        <v>180</v>
      </c>
      <c r="C7" s="26" t="s">
        <v>186</v>
      </c>
      <c r="D7" s="26">
        <v>120</v>
      </c>
      <c r="E7" s="26" t="s">
        <v>151</v>
      </c>
      <c r="F7" s="3">
        <v>234000</v>
      </c>
      <c r="G7" s="3">
        <v>1950</v>
      </c>
      <c r="I7">
        <v>12</v>
      </c>
      <c r="J7">
        <v>1</v>
      </c>
      <c r="K7">
        <v>10</v>
      </c>
      <c r="L7">
        <f t="shared" si="0"/>
        <v>120</v>
      </c>
    </row>
    <row r="8" spans="1:12" x14ac:dyDescent="0.25">
      <c r="A8" s="26" t="s">
        <v>187</v>
      </c>
      <c r="B8" s="26" t="s">
        <v>180</v>
      </c>
      <c r="C8" s="26" t="s">
        <v>188</v>
      </c>
      <c r="D8" s="26">
        <v>432</v>
      </c>
      <c r="E8" s="26" t="s">
        <v>151</v>
      </c>
      <c r="F8" s="3">
        <v>351000</v>
      </c>
      <c r="G8" s="3">
        <v>812.5</v>
      </c>
      <c r="I8">
        <v>36</v>
      </c>
      <c r="J8">
        <v>1</v>
      </c>
      <c r="K8">
        <v>12</v>
      </c>
      <c r="L8">
        <f t="shared" si="0"/>
        <v>432</v>
      </c>
    </row>
    <row r="9" spans="1:12" x14ac:dyDescent="0.25">
      <c r="A9" s="26" t="s">
        <v>189</v>
      </c>
      <c r="B9" s="26" t="s">
        <v>180</v>
      </c>
      <c r="C9" s="26" t="s">
        <v>190</v>
      </c>
      <c r="D9" s="26">
        <v>432</v>
      </c>
      <c r="E9" s="26" t="s">
        <v>151</v>
      </c>
      <c r="F9" s="3">
        <v>351000</v>
      </c>
      <c r="G9" s="3">
        <v>812.5</v>
      </c>
      <c r="I9">
        <v>36</v>
      </c>
      <c r="J9">
        <v>1</v>
      </c>
      <c r="K9">
        <v>12</v>
      </c>
      <c r="L9">
        <f t="shared" si="0"/>
        <v>432</v>
      </c>
    </row>
    <row r="10" spans="1:12" x14ac:dyDescent="0.25">
      <c r="A10" s="26" t="s">
        <v>192</v>
      </c>
      <c r="B10" s="26" t="s">
        <v>191</v>
      </c>
      <c r="C10" s="26" t="s">
        <v>193</v>
      </c>
      <c r="D10" s="26">
        <v>120</v>
      </c>
      <c r="E10" s="26" t="s">
        <v>151</v>
      </c>
      <c r="F10" s="3">
        <v>216000</v>
      </c>
      <c r="G10" s="3">
        <v>1800</v>
      </c>
      <c r="I10">
        <v>12</v>
      </c>
      <c r="J10">
        <v>1</v>
      </c>
      <c r="K10">
        <v>10</v>
      </c>
      <c r="L10">
        <f t="shared" si="0"/>
        <v>120</v>
      </c>
    </row>
    <row r="11" spans="1:12" x14ac:dyDescent="0.25">
      <c r="A11" s="26" t="s">
        <v>194</v>
      </c>
      <c r="B11" s="26" t="s">
        <v>191</v>
      </c>
      <c r="C11" s="26" t="s">
        <v>195</v>
      </c>
      <c r="D11" s="26">
        <v>120</v>
      </c>
      <c r="E11" s="26" t="s">
        <v>151</v>
      </c>
      <c r="F11" s="3">
        <v>216000</v>
      </c>
      <c r="G11" s="3">
        <v>1800</v>
      </c>
      <c r="I11">
        <v>12</v>
      </c>
      <c r="J11">
        <v>1</v>
      </c>
      <c r="K11">
        <v>10</v>
      </c>
      <c r="L11">
        <f t="shared" si="0"/>
        <v>120</v>
      </c>
    </row>
    <row r="12" spans="1:12" x14ac:dyDescent="0.25">
      <c r="A12" s="26" t="s">
        <v>196</v>
      </c>
      <c r="B12" s="26" t="s">
        <v>191</v>
      </c>
      <c r="C12" s="26" t="s">
        <v>197</v>
      </c>
      <c r="D12" s="26">
        <v>120</v>
      </c>
      <c r="E12" s="26" t="s">
        <v>151</v>
      </c>
      <c r="F12" s="3">
        <v>216000</v>
      </c>
      <c r="G12" s="3">
        <v>1800</v>
      </c>
      <c r="I12">
        <v>12</v>
      </c>
      <c r="J12">
        <v>1</v>
      </c>
      <c r="K12">
        <v>10</v>
      </c>
      <c r="L12">
        <f t="shared" si="0"/>
        <v>120</v>
      </c>
    </row>
    <row r="13" spans="1:12" x14ac:dyDescent="0.25">
      <c r="A13" s="26" t="s">
        <v>198</v>
      </c>
      <c r="B13" s="26" t="s">
        <v>191</v>
      </c>
      <c r="C13" s="26" t="s">
        <v>199</v>
      </c>
      <c r="D13" s="26">
        <v>120</v>
      </c>
      <c r="E13" s="26" t="s">
        <v>151</v>
      </c>
      <c r="F13" s="3">
        <v>216000</v>
      </c>
      <c r="G13" s="3">
        <v>1800</v>
      </c>
      <c r="I13">
        <v>12</v>
      </c>
      <c r="J13">
        <v>1</v>
      </c>
      <c r="K13">
        <v>10</v>
      </c>
      <c r="L13">
        <f t="shared" si="0"/>
        <v>120</v>
      </c>
    </row>
    <row r="14" spans="1:12" x14ac:dyDescent="0.25">
      <c r="A14" s="26" t="s">
        <v>200</v>
      </c>
      <c r="B14" s="26" t="s">
        <v>191</v>
      </c>
      <c r="C14" s="26" t="s">
        <v>201</v>
      </c>
      <c r="D14" s="26">
        <v>120</v>
      </c>
      <c r="E14" s="26" t="s">
        <v>151</v>
      </c>
      <c r="F14" s="3">
        <v>216000</v>
      </c>
      <c r="G14" s="3">
        <v>1800</v>
      </c>
      <c r="I14">
        <v>12</v>
      </c>
      <c r="J14">
        <v>1</v>
      </c>
      <c r="K14">
        <v>10</v>
      </c>
      <c r="L14">
        <f t="shared" si="0"/>
        <v>120</v>
      </c>
    </row>
    <row r="15" spans="1:12" x14ac:dyDescent="0.25">
      <c r="A15" s="26"/>
      <c r="B15" s="26"/>
      <c r="C15" s="26"/>
      <c r="D15" s="26"/>
      <c r="E15" s="26"/>
    </row>
    <row r="16" spans="1:12" x14ac:dyDescent="0.25">
      <c r="A16" s="26"/>
      <c r="B16" s="26"/>
      <c r="C16" s="26"/>
      <c r="D16" s="26"/>
      <c r="E16" s="26"/>
    </row>
    <row r="17" spans="1:5" x14ac:dyDescent="0.25">
      <c r="A17" s="26"/>
      <c r="B17" s="26"/>
      <c r="C17" s="26"/>
      <c r="D17" s="26"/>
      <c r="E17" s="26"/>
    </row>
    <row r="18" spans="1:5" x14ac:dyDescent="0.25">
      <c r="A18" s="26"/>
      <c r="B18" s="26"/>
      <c r="C18" s="26"/>
      <c r="D18" s="26"/>
      <c r="E18" s="26"/>
    </row>
    <row r="19" spans="1:5" x14ac:dyDescent="0.25">
      <c r="A19" s="26"/>
      <c r="B19" s="26"/>
      <c r="C19" s="26"/>
      <c r="D19" s="26"/>
      <c r="E19" s="26"/>
    </row>
    <row r="20" spans="1:5" x14ac:dyDescent="0.25">
      <c r="A20" s="26"/>
      <c r="B20" s="26"/>
      <c r="C20" s="26"/>
      <c r="D20" s="26"/>
      <c r="E20" s="26"/>
    </row>
    <row r="21" spans="1:5" x14ac:dyDescent="0.25">
      <c r="A21" s="26"/>
      <c r="B21" s="26"/>
      <c r="C21" s="26"/>
      <c r="D21" s="26"/>
      <c r="E21" s="26"/>
    </row>
    <row r="22" spans="1:5" x14ac:dyDescent="0.25">
      <c r="A22" s="26"/>
      <c r="B22" s="26"/>
      <c r="C22" s="26"/>
      <c r="D22" s="26"/>
      <c r="E22" s="26"/>
    </row>
    <row r="23" spans="1:5" x14ac:dyDescent="0.25">
      <c r="A23" s="26"/>
      <c r="B23" s="26"/>
      <c r="C23" s="26"/>
      <c r="D23" s="26"/>
      <c r="E23" s="26"/>
    </row>
    <row r="24" spans="1:5" x14ac:dyDescent="0.25">
      <c r="A24" s="26"/>
      <c r="B24" s="26"/>
      <c r="C24" s="26"/>
      <c r="D24" s="26"/>
      <c r="E24" s="26"/>
    </row>
    <row r="25" spans="1:5" x14ac:dyDescent="0.25">
      <c r="A25" s="26"/>
      <c r="B25" s="26"/>
      <c r="C25" s="26"/>
      <c r="D25" s="26"/>
      <c r="E25" s="26"/>
    </row>
    <row r="26" spans="1:5" x14ac:dyDescent="0.25">
      <c r="A26" s="26"/>
      <c r="B26" s="26"/>
      <c r="C26" s="26"/>
      <c r="D26" s="26"/>
      <c r="E26" s="26"/>
    </row>
    <row r="27" spans="1:5" x14ac:dyDescent="0.25">
      <c r="A27" s="26"/>
      <c r="B27" s="26"/>
      <c r="C27" s="26"/>
      <c r="D27" s="26"/>
      <c r="E27" s="26"/>
    </row>
    <row r="28" spans="1:5" x14ac:dyDescent="0.25">
      <c r="A28" s="26"/>
      <c r="B28" s="26"/>
      <c r="C28" s="26"/>
      <c r="D28" s="26"/>
      <c r="E28" s="26"/>
    </row>
    <row r="29" spans="1:5" x14ac:dyDescent="0.25">
      <c r="A29" s="26"/>
      <c r="B29" s="26"/>
      <c r="C29" s="26"/>
      <c r="D29" s="26"/>
      <c r="E29" s="26"/>
    </row>
    <row r="30" spans="1:5" x14ac:dyDescent="0.25">
      <c r="A30" s="26"/>
      <c r="B30" s="26"/>
      <c r="C30" s="26"/>
      <c r="D30" s="26"/>
      <c r="E30" s="26"/>
    </row>
    <row r="31" spans="1:5" x14ac:dyDescent="0.25">
      <c r="A31" s="26"/>
      <c r="B31" s="26"/>
      <c r="C31" s="26"/>
      <c r="D31" s="26"/>
      <c r="E31" s="26"/>
    </row>
    <row r="32" spans="1:5" x14ac:dyDescent="0.25">
      <c r="A32" s="26"/>
      <c r="B32" s="26"/>
      <c r="C32" s="26"/>
      <c r="D32" s="26"/>
      <c r="E32" s="26"/>
    </row>
    <row r="33" spans="1:5" x14ac:dyDescent="0.25">
      <c r="A33" s="26"/>
      <c r="B33" s="26"/>
      <c r="C33" s="26"/>
      <c r="D33" s="26"/>
      <c r="E33" s="26"/>
    </row>
    <row r="34" spans="1:5" x14ac:dyDescent="0.25">
      <c r="A34" s="26"/>
      <c r="B34" s="26"/>
      <c r="C34" s="26"/>
      <c r="D34" s="26"/>
      <c r="E34" s="26"/>
    </row>
    <row r="35" spans="1:5" x14ac:dyDescent="0.25">
      <c r="A35" s="26"/>
      <c r="B35" s="26"/>
      <c r="C35" s="26"/>
      <c r="D35" s="26"/>
      <c r="E35" s="26"/>
    </row>
    <row r="36" spans="1:5" x14ac:dyDescent="0.25">
      <c r="A36" s="26"/>
      <c r="B36" s="26"/>
      <c r="C36" s="26"/>
      <c r="D36" s="26"/>
      <c r="E36" s="26"/>
    </row>
    <row r="37" spans="1:5" x14ac:dyDescent="0.25">
      <c r="A37" s="26"/>
      <c r="B37" s="26"/>
      <c r="C37" s="26"/>
      <c r="D37" s="26"/>
      <c r="E37" s="26"/>
    </row>
    <row r="38" spans="1:5" x14ac:dyDescent="0.25">
      <c r="A38" s="26"/>
      <c r="B38" s="26"/>
      <c r="C38" s="26"/>
      <c r="D38" s="26"/>
      <c r="E38" s="26"/>
    </row>
    <row r="39" spans="1:5" x14ac:dyDescent="0.25">
      <c r="A39" s="26"/>
      <c r="B39" s="26"/>
      <c r="C39" s="26"/>
      <c r="D39" s="26"/>
      <c r="E39" s="26"/>
    </row>
    <row r="40" spans="1:5" x14ac:dyDescent="0.25">
      <c r="A40" s="26"/>
      <c r="B40" s="26"/>
      <c r="C40" s="26"/>
      <c r="D40" s="26"/>
      <c r="E40" s="26"/>
    </row>
    <row r="41" spans="1:5" x14ac:dyDescent="0.25">
      <c r="A41" s="26"/>
      <c r="B41" s="26"/>
      <c r="C41" s="26"/>
      <c r="D41" s="26"/>
      <c r="E41" s="26"/>
    </row>
    <row r="42" spans="1:5" x14ac:dyDescent="0.25">
      <c r="A42" s="26"/>
      <c r="B42" s="26"/>
      <c r="C42" s="26"/>
      <c r="D42" s="26"/>
      <c r="E42" s="26"/>
    </row>
    <row r="43" spans="1:5" x14ac:dyDescent="0.25">
      <c r="A43" s="26"/>
      <c r="B43" s="26"/>
      <c r="C43" s="26"/>
      <c r="D43" s="26"/>
      <c r="E43" s="26"/>
    </row>
    <row r="44" spans="1:5" x14ac:dyDescent="0.25">
      <c r="A44" s="26"/>
      <c r="B44" s="26"/>
      <c r="C44" s="26"/>
      <c r="D44" s="26"/>
      <c r="E44" s="26"/>
    </row>
    <row r="45" spans="1:5" x14ac:dyDescent="0.25">
      <c r="A45" s="26"/>
      <c r="B45" s="26"/>
      <c r="C45" s="26"/>
      <c r="D45" s="26"/>
      <c r="E45" s="26"/>
    </row>
    <row r="46" spans="1:5" x14ac:dyDescent="0.25">
      <c r="A46" s="26"/>
      <c r="B46" s="26"/>
      <c r="C46" s="26"/>
      <c r="D46" s="26"/>
      <c r="E46" s="26"/>
    </row>
    <row r="47" spans="1:5" x14ac:dyDescent="0.25">
      <c r="A47" s="26"/>
      <c r="B47" s="26"/>
      <c r="C47" s="26"/>
      <c r="D47" s="26"/>
      <c r="E47" s="26"/>
    </row>
    <row r="48" spans="1:5" x14ac:dyDescent="0.25">
      <c r="A48" s="26"/>
      <c r="B48" s="26"/>
      <c r="C48" s="26"/>
      <c r="D48" s="26"/>
      <c r="E48" s="26"/>
    </row>
    <row r="49" spans="1:5" x14ac:dyDescent="0.25">
      <c r="A49" s="26"/>
      <c r="B49" s="26"/>
      <c r="C49" s="26"/>
      <c r="D49" s="26"/>
      <c r="E49" s="26"/>
    </row>
    <row r="50" spans="1:5" x14ac:dyDescent="0.25">
      <c r="A50" s="26"/>
      <c r="B50" s="26"/>
      <c r="C50" s="26"/>
      <c r="D50" s="26"/>
      <c r="E50" s="26"/>
    </row>
    <row r="51" spans="1:5" x14ac:dyDescent="0.25">
      <c r="A51" s="26"/>
      <c r="B51" s="26"/>
      <c r="C51" s="26"/>
      <c r="D51" s="26"/>
      <c r="E51" s="26"/>
    </row>
    <row r="52" spans="1:5" x14ac:dyDescent="0.25">
      <c r="A52" s="26"/>
      <c r="B52" s="26"/>
      <c r="C52" s="26"/>
      <c r="D52" s="26"/>
      <c r="E52" s="26"/>
    </row>
    <row r="53" spans="1:5" x14ac:dyDescent="0.25">
      <c r="A53" s="26"/>
      <c r="B53" s="26"/>
      <c r="C53" s="26"/>
      <c r="D53" s="26"/>
      <c r="E53" s="26"/>
    </row>
    <row r="54" spans="1:5" x14ac:dyDescent="0.25">
      <c r="A54" s="26"/>
      <c r="B54" s="26"/>
      <c r="C54" s="26"/>
      <c r="D54" s="26"/>
      <c r="E54" s="26"/>
    </row>
    <row r="55" spans="1:5" x14ac:dyDescent="0.25">
      <c r="A55" s="26"/>
      <c r="B55" s="26"/>
      <c r="C55" s="26"/>
      <c r="D55" s="26"/>
      <c r="E55" s="26"/>
    </row>
    <row r="56" spans="1:5" x14ac:dyDescent="0.25">
      <c r="A56" s="26"/>
      <c r="B56" s="26"/>
      <c r="C56" s="26"/>
      <c r="D56" s="26"/>
      <c r="E56" s="26"/>
    </row>
    <row r="57" spans="1:5" x14ac:dyDescent="0.25">
      <c r="A57" s="26"/>
      <c r="B57" s="26"/>
      <c r="C57" s="26"/>
      <c r="D57" s="26"/>
      <c r="E57" s="26"/>
    </row>
    <row r="58" spans="1:5" x14ac:dyDescent="0.25">
      <c r="A58" s="26"/>
      <c r="B58" s="26"/>
      <c r="C58" s="26"/>
      <c r="D58" s="26"/>
      <c r="E58" s="26"/>
    </row>
    <row r="59" spans="1:5" x14ac:dyDescent="0.25">
      <c r="A59" s="26"/>
      <c r="B59" s="26"/>
      <c r="C59" s="26"/>
      <c r="D59" s="26"/>
      <c r="E59" s="26"/>
    </row>
    <row r="60" spans="1:5" x14ac:dyDescent="0.25">
      <c r="A60" s="26"/>
      <c r="B60" s="26"/>
      <c r="C60" s="26"/>
      <c r="D60" s="26"/>
      <c r="E60" s="26"/>
    </row>
    <row r="61" spans="1:5" x14ac:dyDescent="0.25">
      <c r="A61" s="26"/>
      <c r="B61" s="26"/>
      <c r="C61" s="26"/>
      <c r="D61" s="26"/>
      <c r="E61" s="26"/>
    </row>
    <row r="62" spans="1:5" x14ac:dyDescent="0.25">
      <c r="A62" s="26"/>
      <c r="B62" s="26"/>
      <c r="C62" s="26"/>
      <c r="D62" s="26"/>
      <c r="E62" s="26"/>
    </row>
    <row r="63" spans="1:5" x14ac:dyDescent="0.25">
      <c r="A63" s="26"/>
      <c r="B63" s="26"/>
      <c r="C63" s="26"/>
      <c r="D63" s="26"/>
      <c r="E63" s="26"/>
    </row>
    <row r="64" spans="1:5" x14ac:dyDescent="0.25">
      <c r="A64" s="26"/>
      <c r="B64" s="26"/>
      <c r="C64" s="26"/>
      <c r="D64" s="26"/>
      <c r="E64" s="26"/>
    </row>
    <row r="65" spans="1:5" x14ac:dyDescent="0.25">
      <c r="A65" s="26"/>
      <c r="B65" s="26"/>
      <c r="C65" s="26"/>
      <c r="D65" s="26"/>
      <c r="E65" s="26"/>
    </row>
    <row r="66" spans="1:5" x14ac:dyDescent="0.25">
      <c r="A66" s="26"/>
      <c r="B66" s="26"/>
      <c r="C66" s="26"/>
      <c r="D66" s="26"/>
      <c r="E66" s="26"/>
    </row>
    <row r="67" spans="1:5" x14ac:dyDescent="0.25">
      <c r="A67" s="26"/>
      <c r="B67" s="26"/>
      <c r="C67" s="26"/>
      <c r="D67" s="26"/>
      <c r="E67" s="26"/>
    </row>
    <row r="68" spans="1:5" x14ac:dyDescent="0.25">
      <c r="A68" s="26"/>
      <c r="B68" s="26"/>
      <c r="C68" s="26"/>
      <c r="D68" s="26"/>
      <c r="E68" s="26"/>
    </row>
    <row r="69" spans="1:5" x14ac:dyDescent="0.25">
      <c r="A69" s="26"/>
      <c r="B69" s="26"/>
      <c r="C69" s="26"/>
      <c r="D69" s="26"/>
      <c r="E69" s="26"/>
    </row>
    <row r="70" spans="1:5" x14ac:dyDescent="0.25">
      <c r="A70" s="26"/>
      <c r="B70" s="26"/>
      <c r="C70" s="26"/>
      <c r="D70" s="26"/>
      <c r="E70" s="26"/>
    </row>
    <row r="71" spans="1:5" x14ac:dyDescent="0.25">
      <c r="A71" s="26"/>
      <c r="B71" s="26"/>
      <c r="C71" s="26"/>
      <c r="D71" s="26"/>
      <c r="E71" s="26"/>
    </row>
    <row r="72" spans="1:5" x14ac:dyDescent="0.25">
      <c r="A72" s="26"/>
      <c r="B72" s="26"/>
      <c r="C72" s="26"/>
      <c r="D72" s="26"/>
      <c r="E72" s="26"/>
    </row>
    <row r="73" spans="1:5" x14ac:dyDescent="0.25">
      <c r="A73" s="26"/>
      <c r="B73" s="26"/>
      <c r="C73" s="26"/>
      <c r="D73" s="26"/>
      <c r="E73" s="26"/>
    </row>
    <row r="74" spans="1:5" x14ac:dyDescent="0.25">
      <c r="A74" s="26"/>
      <c r="B74" s="26"/>
      <c r="C74" s="26"/>
      <c r="D74" s="26"/>
      <c r="E74" s="26"/>
    </row>
    <row r="75" spans="1:5" x14ac:dyDescent="0.25">
      <c r="A75" s="26"/>
      <c r="B75" s="26"/>
      <c r="C75" s="26"/>
      <c r="D75" s="26"/>
      <c r="E75" s="26"/>
    </row>
    <row r="76" spans="1:5" x14ac:dyDescent="0.25">
      <c r="A76" s="26"/>
      <c r="B76" s="26"/>
      <c r="C76" s="26"/>
      <c r="D76" s="26"/>
      <c r="E76" s="26"/>
    </row>
    <row r="77" spans="1:5" x14ac:dyDescent="0.25">
      <c r="A77" s="26"/>
      <c r="B77" s="26"/>
      <c r="C77" s="26"/>
      <c r="D77" s="26"/>
      <c r="E77" s="26"/>
    </row>
    <row r="78" spans="1:5" x14ac:dyDescent="0.25">
      <c r="A78" s="26"/>
      <c r="B78" s="26"/>
      <c r="C78" s="26"/>
      <c r="D78" s="26"/>
      <c r="E78" s="26"/>
    </row>
    <row r="79" spans="1:5" x14ac:dyDescent="0.25">
      <c r="A79" s="26"/>
      <c r="B79" s="26"/>
      <c r="C79" s="26"/>
      <c r="D79" s="26"/>
      <c r="E79" s="26"/>
    </row>
    <row r="80" spans="1:5" x14ac:dyDescent="0.25">
      <c r="A80" s="26"/>
      <c r="B80" s="26"/>
      <c r="C80" s="26"/>
      <c r="D80" s="26"/>
      <c r="E80" s="26"/>
    </row>
    <row r="81" spans="1:5" x14ac:dyDescent="0.25">
      <c r="A81" s="26"/>
      <c r="B81" s="26"/>
      <c r="C81" s="26"/>
      <c r="D81" s="26"/>
      <c r="E81" s="26"/>
    </row>
    <row r="82" spans="1:5" x14ac:dyDescent="0.25">
      <c r="A82" s="26"/>
      <c r="B82" s="26"/>
      <c r="C82" s="26"/>
      <c r="D82" s="26"/>
      <c r="E82" s="26"/>
    </row>
    <row r="83" spans="1:5" x14ac:dyDescent="0.25">
      <c r="A83" s="26"/>
      <c r="B83" s="26"/>
      <c r="C83" s="26"/>
      <c r="D83" s="26"/>
      <c r="E83" s="26"/>
    </row>
    <row r="84" spans="1:5" x14ac:dyDescent="0.25">
      <c r="A84" s="26"/>
      <c r="B84" s="26"/>
      <c r="C84" s="26"/>
      <c r="D84" s="26"/>
      <c r="E84" s="26"/>
    </row>
    <row r="85" spans="1:5" x14ac:dyDescent="0.25">
      <c r="A85" s="26"/>
      <c r="B85" s="26"/>
      <c r="C85" s="26"/>
      <c r="D85" s="26"/>
      <c r="E85" s="26"/>
    </row>
    <row r="86" spans="1:5" x14ac:dyDescent="0.25">
      <c r="A86" s="26"/>
      <c r="B86" s="26"/>
      <c r="C86" s="26"/>
      <c r="D86" s="26"/>
      <c r="E86" s="26"/>
    </row>
    <row r="87" spans="1:5" x14ac:dyDescent="0.25">
      <c r="A87" s="26"/>
      <c r="B87" s="26"/>
      <c r="C87" s="26"/>
      <c r="D87" s="26"/>
      <c r="E87" s="26"/>
    </row>
    <row r="88" spans="1:5" x14ac:dyDescent="0.25">
      <c r="A88" s="26"/>
      <c r="B88" s="26"/>
      <c r="C88" s="26"/>
      <c r="D88" s="26"/>
      <c r="E88" s="26"/>
    </row>
    <row r="89" spans="1:5" x14ac:dyDescent="0.25">
      <c r="A89" s="26"/>
      <c r="B89" s="26"/>
      <c r="C89" s="26"/>
      <c r="D89" s="26"/>
      <c r="E89" s="26"/>
    </row>
    <row r="90" spans="1:5" x14ac:dyDescent="0.25">
      <c r="A90" s="26"/>
      <c r="B90" s="26"/>
      <c r="C90" s="26"/>
      <c r="D90" s="26"/>
      <c r="E90" s="26"/>
    </row>
    <row r="91" spans="1:5" x14ac:dyDescent="0.25">
      <c r="A91" s="26"/>
      <c r="B91" s="26"/>
      <c r="C91" s="26"/>
      <c r="D91" s="26"/>
      <c r="E91" s="26"/>
    </row>
    <row r="92" spans="1:5" x14ac:dyDescent="0.25">
      <c r="A92" s="26"/>
      <c r="B92" s="26"/>
      <c r="C92" s="26"/>
      <c r="D92" s="26"/>
      <c r="E92" s="26"/>
    </row>
    <row r="93" spans="1:5" x14ac:dyDescent="0.25">
      <c r="A93" s="26"/>
      <c r="B93" s="26"/>
      <c r="C93" s="26"/>
      <c r="D93" s="26"/>
      <c r="E93" s="26"/>
    </row>
    <row r="94" spans="1:5" x14ac:dyDescent="0.25">
      <c r="A94" s="26"/>
      <c r="B94" s="26"/>
      <c r="C94" s="26"/>
      <c r="D94" s="26"/>
      <c r="E94" s="26"/>
    </row>
    <row r="95" spans="1:5" x14ac:dyDescent="0.25">
      <c r="A95" s="26"/>
      <c r="B95" s="26"/>
      <c r="C95" s="26"/>
      <c r="D95" s="26"/>
      <c r="E95" s="26"/>
    </row>
    <row r="96" spans="1:5" x14ac:dyDescent="0.25">
      <c r="A96" s="26"/>
      <c r="B96" s="26"/>
      <c r="C96" s="26"/>
      <c r="D96" s="26"/>
      <c r="E96" s="26"/>
    </row>
    <row r="97" spans="1:5" x14ac:dyDescent="0.25">
      <c r="A97" s="26"/>
      <c r="B97" s="26"/>
      <c r="C97" s="26"/>
      <c r="D97" s="26"/>
      <c r="E97" s="26"/>
    </row>
    <row r="98" spans="1:5" x14ac:dyDescent="0.25">
      <c r="A98" s="26"/>
      <c r="B98" s="26"/>
      <c r="C98" s="26"/>
      <c r="D98" s="26"/>
      <c r="E98" s="26"/>
    </row>
    <row r="99" spans="1:5" x14ac:dyDescent="0.25">
      <c r="A99" s="26"/>
      <c r="B99" s="26"/>
      <c r="C99" s="26"/>
      <c r="D99" s="26"/>
      <c r="E99" s="26"/>
    </row>
    <row r="100" spans="1:5" x14ac:dyDescent="0.25">
      <c r="A100" s="26"/>
      <c r="B100" s="26"/>
      <c r="C100" s="26"/>
      <c r="D100" s="26"/>
      <c r="E100" s="26"/>
    </row>
    <row r="101" spans="1:5" x14ac:dyDescent="0.25">
      <c r="A101" s="26"/>
      <c r="B101" s="26"/>
      <c r="C101" s="26"/>
      <c r="D101" s="26"/>
      <c r="E101" s="26"/>
    </row>
    <row r="102" spans="1:5" x14ac:dyDescent="0.25">
      <c r="A102" s="26"/>
      <c r="B102" s="26"/>
      <c r="C102" s="26"/>
      <c r="D102" s="26"/>
      <c r="E102" s="26"/>
    </row>
    <row r="103" spans="1:5" x14ac:dyDescent="0.25">
      <c r="A103" s="26"/>
      <c r="B103" s="26"/>
      <c r="C103" s="26"/>
      <c r="D103" s="26"/>
      <c r="E103" s="26"/>
    </row>
    <row r="104" spans="1:5" x14ac:dyDescent="0.25">
      <c r="A104" s="26"/>
      <c r="B104" s="26"/>
      <c r="C104" s="26"/>
      <c r="D104" s="26"/>
      <c r="E104" s="26"/>
    </row>
    <row r="105" spans="1:5" x14ac:dyDescent="0.25">
      <c r="A105" s="26"/>
      <c r="B105" s="26"/>
      <c r="C105" s="26"/>
      <c r="D105" s="26"/>
      <c r="E105" s="26"/>
    </row>
    <row r="106" spans="1:5" x14ac:dyDescent="0.25">
      <c r="A106" s="26"/>
      <c r="B106" s="26"/>
      <c r="C106" s="26"/>
      <c r="D106" s="26"/>
      <c r="E106" s="26"/>
    </row>
    <row r="107" spans="1:5" x14ac:dyDescent="0.25">
      <c r="A107" s="26"/>
      <c r="B107" s="26"/>
      <c r="C107" s="26"/>
      <c r="D107" s="26"/>
      <c r="E107" s="26"/>
    </row>
    <row r="108" spans="1:5" x14ac:dyDescent="0.25">
      <c r="A108" s="26"/>
      <c r="B108" s="26"/>
      <c r="C108" s="26"/>
      <c r="D108" s="26"/>
      <c r="E108" s="26"/>
    </row>
    <row r="109" spans="1:5" x14ac:dyDescent="0.25">
      <c r="A109" s="26"/>
      <c r="B109" s="26"/>
      <c r="C109" s="26"/>
      <c r="D109" s="26"/>
      <c r="E109" s="26"/>
    </row>
    <row r="110" spans="1:5" x14ac:dyDescent="0.25">
      <c r="A110" s="26"/>
      <c r="B110" s="26"/>
      <c r="C110" s="26"/>
      <c r="D110" s="26"/>
      <c r="E110" s="26"/>
    </row>
    <row r="111" spans="1:5" x14ac:dyDescent="0.25">
      <c r="A111" s="26"/>
      <c r="B111" s="26"/>
      <c r="C111" s="26"/>
      <c r="D111" s="26"/>
      <c r="E111" s="26"/>
    </row>
    <row r="112" spans="1:5" x14ac:dyDescent="0.25">
      <c r="A112" s="26"/>
      <c r="B112" s="26"/>
      <c r="C112" s="26"/>
      <c r="D112" s="26"/>
      <c r="E112" s="26"/>
    </row>
    <row r="113" spans="1:5" x14ac:dyDescent="0.25">
      <c r="A113" s="26"/>
      <c r="B113" s="26"/>
      <c r="C113" s="26"/>
      <c r="D113" s="26"/>
      <c r="E113" s="26"/>
    </row>
    <row r="114" spans="1:5" x14ac:dyDescent="0.25">
      <c r="A114" s="26"/>
      <c r="B114" s="26"/>
      <c r="C114" s="26"/>
      <c r="D114" s="26"/>
      <c r="E114" s="26"/>
    </row>
    <row r="115" spans="1:5" x14ac:dyDescent="0.25">
      <c r="A115" s="26"/>
      <c r="B115" s="26"/>
      <c r="C115" s="26"/>
      <c r="D115" s="26"/>
      <c r="E115" s="26"/>
    </row>
    <row r="116" spans="1:5" x14ac:dyDescent="0.25">
      <c r="A116" s="26"/>
      <c r="B116" s="26"/>
      <c r="C116" s="26"/>
      <c r="D116" s="27"/>
      <c r="E116" s="28"/>
    </row>
    <row r="117" spans="1:5" x14ac:dyDescent="0.25">
      <c r="A117" s="26"/>
      <c r="B117" s="26"/>
      <c r="C117" s="26"/>
      <c r="D117" s="26"/>
      <c r="E117" s="26"/>
    </row>
    <row r="118" spans="1:5" x14ac:dyDescent="0.25">
      <c r="A118" s="26"/>
      <c r="B118" s="26"/>
      <c r="C118" s="26"/>
      <c r="D118" s="26"/>
      <c r="E118" s="26"/>
    </row>
    <row r="119" spans="1:5" x14ac:dyDescent="0.25">
      <c r="A119" s="26"/>
      <c r="B119" s="26"/>
      <c r="C119" s="26"/>
      <c r="D119" s="26"/>
      <c r="E119" s="26"/>
    </row>
    <row r="120" spans="1:5" x14ac:dyDescent="0.25">
      <c r="A120" s="26"/>
      <c r="B120" s="26"/>
      <c r="C120" s="26"/>
      <c r="D120" s="26"/>
      <c r="E120" s="26"/>
    </row>
    <row r="121" spans="1:5" x14ac:dyDescent="0.25">
      <c r="A121" s="26"/>
      <c r="B121" s="26"/>
      <c r="C121" s="26"/>
      <c r="D121" s="26"/>
      <c r="E121" s="26"/>
    </row>
    <row r="122" spans="1:5" x14ac:dyDescent="0.25">
      <c r="A122" s="26"/>
      <c r="B122" s="26"/>
      <c r="C122" s="26"/>
      <c r="D122" s="26"/>
      <c r="E122" s="26"/>
    </row>
    <row r="123" spans="1:5" x14ac:dyDescent="0.25">
      <c r="A123" s="26"/>
      <c r="B123" s="26"/>
      <c r="C123" s="26"/>
      <c r="D123" s="26"/>
      <c r="E123" s="26"/>
    </row>
    <row r="124" spans="1:5" x14ac:dyDescent="0.25">
      <c r="A124" s="26"/>
      <c r="B124" s="26"/>
      <c r="C124" s="26"/>
      <c r="D124" s="26"/>
      <c r="E124" s="26"/>
    </row>
    <row r="125" spans="1:5" x14ac:dyDescent="0.25">
      <c r="A125" s="26"/>
      <c r="B125" s="26"/>
      <c r="C125" s="26"/>
      <c r="D125" s="26"/>
      <c r="E125" s="26"/>
    </row>
    <row r="126" spans="1:5" x14ac:dyDescent="0.25">
      <c r="A126" s="26"/>
      <c r="B126" s="26"/>
      <c r="C126" s="26"/>
      <c r="D126" s="26"/>
      <c r="E126" s="26"/>
    </row>
    <row r="127" spans="1:5" x14ac:dyDescent="0.25">
      <c r="A127" s="26"/>
      <c r="B127" s="26"/>
      <c r="C127" s="26"/>
      <c r="D127" s="26"/>
      <c r="E127" s="26"/>
    </row>
    <row r="128" spans="1:5" x14ac:dyDescent="0.25">
      <c r="A128" s="26"/>
      <c r="B128" s="26"/>
      <c r="C128" s="26"/>
      <c r="D128" s="26"/>
      <c r="E128" s="26"/>
    </row>
    <row r="129" spans="1:5" x14ac:dyDescent="0.25">
      <c r="A129" s="26"/>
      <c r="B129" s="26"/>
      <c r="C129" s="26"/>
      <c r="D129" s="26"/>
      <c r="E129" s="26"/>
    </row>
    <row r="130" spans="1:5" x14ac:dyDescent="0.25">
      <c r="A130" s="26"/>
      <c r="B130" s="26"/>
      <c r="C130" s="26"/>
      <c r="D130" s="26"/>
      <c r="E130" s="26"/>
    </row>
    <row r="131" spans="1:5" x14ac:dyDescent="0.25">
      <c r="A131" s="26"/>
      <c r="B131" s="26"/>
      <c r="C131" s="26"/>
      <c r="D131" s="26"/>
      <c r="E131" s="26"/>
    </row>
    <row r="132" spans="1:5" x14ac:dyDescent="0.25">
      <c r="A132" s="26"/>
      <c r="B132" s="26"/>
      <c r="C132" s="26"/>
      <c r="D132" s="26"/>
      <c r="E132" s="26"/>
    </row>
    <row r="133" spans="1:5" x14ac:dyDescent="0.25">
      <c r="A133" s="26"/>
      <c r="B133" s="26"/>
      <c r="C133" s="26"/>
      <c r="D133" s="26"/>
      <c r="E133" s="26"/>
    </row>
    <row r="134" spans="1:5" x14ac:dyDescent="0.25">
      <c r="A134" s="26"/>
      <c r="B134" s="26"/>
      <c r="C134" s="26"/>
      <c r="D134" s="26"/>
      <c r="E134" s="26"/>
    </row>
    <row r="135" spans="1:5" x14ac:dyDescent="0.25">
      <c r="A135" s="26"/>
      <c r="B135" s="26"/>
      <c r="C135" s="26"/>
      <c r="D135" s="26"/>
      <c r="E135" s="26"/>
    </row>
    <row r="136" spans="1:5" x14ac:dyDescent="0.25">
      <c r="A136" s="26"/>
      <c r="B136" s="26"/>
      <c r="C136" s="26"/>
      <c r="D136" s="26"/>
      <c r="E136" s="26"/>
    </row>
    <row r="137" spans="1:5" x14ac:dyDescent="0.25">
      <c r="A137" s="26"/>
      <c r="B137" s="26"/>
      <c r="C137" s="26"/>
      <c r="D137" s="26"/>
      <c r="E137" s="26"/>
    </row>
    <row r="138" spans="1:5" x14ac:dyDescent="0.25">
      <c r="A138" s="26"/>
      <c r="B138" s="26"/>
      <c r="C138" s="26"/>
      <c r="D138" s="26"/>
      <c r="E138" s="26"/>
    </row>
    <row r="139" spans="1:5" x14ac:dyDescent="0.25">
      <c r="A139" s="26"/>
      <c r="B139" s="26"/>
      <c r="C139" s="26"/>
      <c r="D139" s="26"/>
      <c r="E139" s="26"/>
    </row>
    <row r="140" spans="1:5" x14ac:dyDescent="0.25">
      <c r="A140" s="26"/>
      <c r="B140" s="26"/>
      <c r="C140" s="26"/>
      <c r="D140" s="26"/>
      <c r="E140" s="26"/>
    </row>
    <row r="141" spans="1:5" x14ac:dyDescent="0.25">
      <c r="A141" s="26"/>
      <c r="B141" s="26"/>
      <c r="C141" s="26"/>
      <c r="D141" s="26"/>
      <c r="E141" s="26"/>
    </row>
    <row r="142" spans="1:5" x14ac:dyDescent="0.25">
      <c r="A142" s="26"/>
      <c r="B142" s="26"/>
      <c r="C142" s="26"/>
      <c r="D142" s="26"/>
      <c r="E142" s="26"/>
    </row>
    <row r="143" spans="1:5" x14ac:dyDescent="0.25">
      <c r="A143" s="26"/>
      <c r="B143" s="26"/>
      <c r="C143" s="26"/>
      <c r="D143" s="26"/>
      <c r="E143" s="26"/>
    </row>
    <row r="144" spans="1:5" x14ac:dyDescent="0.25">
      <c r="A144" s="26"/>
      <c r="B144" s="26"/>
      <c r="C144" s="26"/>
      <c r="D144" s="26"/>
      <c r="E144" s="26"/>
    </row>
    <row r="145" spans="1:5" x14ac:dyDescent="0.25">
      <c r="A145" s="26"/>
      <c r="B145" s="26"/>
      <c r="C145" s="26"/>
      <c r="D145" s="26"/>
      <c r="E145" s="26"/>
    </row>
    <row r="146" spans="1:5" x14ac:dyDescent="0.25">
      <c r="A146" s="26"/>
      <c r="B146" s="26"/>
      <c r="C146" s="26"/>
      <c r="D146" s="26"/>
      <c r="E146" s="26"/>
    </row>
    <row r="147" spans="1:5" x14ac:dyDescent="0.25">
      <c r="A147" s="26"/>
      <c r="B147" s="26"/>
      <c r="C147" s="26"/>
      <c r="D147" s="26"/>
      <c r="E147" s="26"/>
    </row>
    <row r="148" spans="1:5" x14ac:dyDescent="0.25">
      <c r="A148" s="26"/>
      <c r="B148" s="26"/>
      <c r="C148" s="26"/>
      <c r="D148" s="26"/>
      <c r="E148" s="26"/>
    </row>
    <row r="149" spans="1:5" x14ac:dyDescent="0.25">
      <c r="A149" s="26"/>
      <c r="B149" s="26"/>
      <c r="C149" s="26"/>
      <c r="D149" s="26"/>
      <c r="E149" s="26"/>
    </row>
    <row r="150" spans="1:5" x14ac:dyDescent="0.25">
      <c r="A150" s="26"/>
      <c r="B150" s="26"/>
      <c r="C150" s="26"/>
      <c r="D150" s="26"/>
      <c r="E150" s="26"/>
    </row>
    <row r="151" spans="1:5" x14ac:dyDescent="0.25">
      <c r="A151" s="26"/>
      <c r="B151" s="26"/>
      <c r="C151" s="26"/>
      <c r="D151" s="26"/>
      <c r="E151" s="26"/>
    </row>
    <row r="152" spans="1:5" x14ac:dyDescent="0.25">
      <c r="A152" s="26"/>
      <c r="B152" s="26"/>
      <c r="C152" s="26"/>
      <c r="D152" s="26"/>
      <c r="E152" s="26"/>
    </row>
    <row r="153" spans="1:5" x14ac:dyDescent="0.25">
      <c r="A153" s="26"/>
      <c r="B153" s="26"/>
      <c r="C153" s="26"/>
      <c r="D153" s="26"/>
      <c r="E153" s="26"/>
    </row>
    <row r="154" spans="1:5" x14ac:dyDescent="0.25">
      <c r="A154" s="26"/>
      <c r="B154" s="26"/>
      <c r="C154" s="26"/>
      <c r="D154" s="26"/>
      <c r="E154" s="26"/>
    </row>
    <row r="155" spans="1:5" x14ac:dyDescent="0.25">
      <c r="A155" s="26"/>
      <c r="B155" s="26"/>
      <c r="C155" s="26"/>
      <c r="D155" s="26"/>
      <c r="E155" s="26"/>
    </row>
    <row r="156" spans="1:5" x14ac:dyDescent="0.25">
      <c r="A156" s="26"/>
      <c r="B156" s="26"/>
      <c r="C156" s="26"/>
      <c r="D156" s="26"/>
      <c r="E156" s="26"/>
    </row>
    <row r="157" spans="1:5" x14ac:dyDescent="0.25">
      <c r="A157" s="26"/>
      <c r="B157" s="26"/>
      <c r="C157" s="26"/>
      <c r="D157" s="26"/>
      <c r="E157" s="26"/>
    </row>
    <row r="158" spans="1:5" x14ac:dyDescent="0.25">
      <c r="A158" s="26"/>
      <c r="B158" s="26"/>
      <c r="C158" s="26"/>
      <c r="D158" s="26"/>
      <c r="E158" s="26"/>
    </row>
    <row r="159" spans="1:5" x14ac:dyDescent="0.25">
      <c r="A159" s="26"/>
      <c r="B159" s="26"/>
      <c r="C159" s="26"/>
      <c r="D159" s="26"/>
      <c r="E159" s="26"/>
    </row>
    <row r="160" spans="1:5" x14ac:dyDescent="0.25">
      <c r="A160" s="26"/>
      <c r="B160" s="26"/>
      <c r="C160" s="26"/>
      <c r="D160" s="26"/>
      <c r="E160" s="26"/>
    </row>
    <row r="161" spans="1:5" x14ac:dyDescent="0.25">
      <c r="A161" s="26"/>
      <c r="B161" s="26"/>
      <c r="C161" s="26"/>
      <c r="D161" s="26"/>
      <c r="E161" s="26"/>
    </row>
    <row r="162" spans="1:5" x14ac:dyDescent="0.25">
      <c r="A162" s="26"/>
      <c r="B162" s="26"/>
      <c r="C162" s="26"/>
      <c r="D162" s="26"/>
      <c r="E162" s="26"/>
    </row>
    <row r="163" spans="1:5" x14ac:dyDescent="0.25">
      <c r="A163" s="26"/>
      <c r="B163" s="26"/>
      <c r="C163" s="26"/>
      <c r="D163" s="26"/>
      <c r="E163" s="26"/>
    </row>
    <row r="164" spans="1:5" x14ac:dyDescent="0.25">
      <c r="A164" s="26"/>
      <c r="B164" s="26"/>
      <c r="C164" s="26"/>
      <c r="D164" s="26"/>
      <c r="E164" s="26"/>
    </row>
    <row r="165" spans="1:5" x14ac:dyDescent="0.25">
      <c r="A165" s="26"/>
      <c r="B165" s="26"/>
      <c r="C165" s="26"/>
      <c r="D165" s="26"/>
      <c r="E165" s="26"/>
    </row>
    <row r="166" spans="1:5" x14ac:dyDescent="0.25">
      <c r="A166" s="26"/>
      <c r="B166" s="26"/>
      <c r="C166" s="26"/>
      <c r="D166" s="26"/>
      <c r="E166" s="26"/>
    </row>
    <row r="167" spans="1:5" x14ac:dyDescent="0.25">
      <c r="A167" s="26"/>
      <c r="B167" s="26"/>
      <c r="C167" s="26"/>
      <c r="D167" s="26"/>
      <c r="E167" s="26"/>
    </row>
    <row r="168" spans="1:5" x14ac:dyDescent="0.25">
      <c r="A168" s="26"/>
      <c r="B168" s="26"/>
      <c r="C168" s="26"/>
      <c r="D168" s="26"/>
      <c r="E168" s="26"/>
    </row>
    <row r="169" spans="1:5" x14ac:dyDescent="0.25">
      <c r="A169" s="26"/>
      <c r="B169" s="26"/>
      <c r="C169" s="26"/>
      <c r="D169" s="26"/>
      <c r="E169" s="26"/>
    </row>
    <row r="170" spans="1:5" x14ac:dyDescent="0.25">
      <c r="A170" s="26"/>
      <c r="B170" s="26"/>
      <c r="C170" s="26"/>
      <c r="D170" s="26"/>
      <c r="E170" s="26"/>
    </row>
    <row r="171" spans="1:5" x14ac:dyDescent="0.25">
      <c r="A171" s="26"/>
      <c r="B171" s="26"/>
      <c r="C171" s="26"/>
      <c r="D171" s="26"/>
      <c r="E171" s="26"/>
    </row>
    <row r="172" spans="1:5" x14ac:dyDescent="0.25">
      <c r="A172" s="26"/>
      <c r="B172" s="26"/>
      <c r="C172" s="26"/>
      <c r="D172" s="26"/>
      <c r="E172" s="26"/>
    </row>
    <row r="173" spans="1:5" x14ac:dyDescent="0.25">
      <c r="A173" s="26"/>
      <c r="B173" s="26"/>
      <c r="C173" s="26"/>
      <c r="D173" s="26"/>
      <c r="E173" s="26"/>
    </row>
    <row r="174" spans="1:5" x14ac:dyDescent="0.25">
      <c r="A174" s="26"/>
      <c r="B174" s="26"/>
      <c r="C174" s="26"/>
      <c r="D174" s="26"/>
      <c r="E174" s="26"/>
    </row>
    <row r="175" spans="1:5" x14ac:dyDescent="0.25">
      <c r="A175" s="26"/>
      <c r="B175" s="26"/>
      <c r="C175" s="26"/>
      <c r="D175" s="26"/>
      <c r="E175" s="26"/>
    </row>
    <row r="176" spans="1:5" x14ac:dyDescent="0.25">
      <c r="A176" s="26"/>
      <c r="B176" s="26"/>
      <c r="C176" s="26"/>
      <c r="D176" s="26"/>
      <c r="E176" s="26"/>
    </row>
    <row r="177" spans="1:7" x14ac:dyDescent="0.25">
      <c r="A177" s="26"/>
      <c r="B177" s="26"/>
      <c r="C177" s="26"/>
      <c r="D177" s="26"/>
      <c r="E177" s="26"/>
    </row>
    <row r="178" spans="1:7" x14ac:dyDescent="0.25">
      <c r="A178" s="26"/>
      <c r="B178" s="26"/>
      <c r="C178" s="26"/>
      <c r="D178" s="26"/>
      <c r="E178" s="26"/>
    </row>
    <row r="179" spans="1:7" x14ac:dyDescent="0.25">
      <c r="A179" s="26"/>
      <c r="B179" s="26"/>
      <c r="C179" s="26"/>
      <c r="D179" s="26"/>
      <c r="E179" s="26"/>
    </row>
    <row r="180" spans="1:7" x14ac:dyDescent="0.25">
      <c r="A180" s="26"/>
      <c r="B180" s="26"/>
      <c r="C180" s="26"/>
      <c r="D180" s="26"/>
      <c r="E180" s="26"/>
    </row>
    <row r="181" spans="1:7" x14ac:dyDescent="0.25">
      <c r="A181" s="26"/>
      <c r="B181" s="26"/>
      <c r="C181" s="26"/>
      <c r="D181" s="26"/>
      <c r="E181" s="26"/>
    </row>
    <row r="182" spans="1:7" x14ac:dyDescent="0.25">
      <c r="A182" s="26"/>
      <c r="B182" s="26"/>
      <c r="C182" s="26"/>
      <c r="D182" s="26"/>
      <c r="E182" s="26"/>
    </row>
    <row r="183" spans="1:7" x14ac:dyDescent="0.25">
      <c r="A183" s="26"/>
      <c r="B183" s="26"/>
      <c r="C183" s="26"/>
      <c r="D183" s="26"/>
      <c r="E183" s="26"/>
    </row>
    <row r="184" spans="1:7" x14ac:dyDescent="0.25">
      <c r="A184" s="26"/>
      <c r="B184" s="26"/>
      <c r="C184" s="26"/>
      <c r="D184" s="26"/>
      <c r="E184" s="26"/>
    </row>
    <row r="185" spans="1:7" x14ac:dyDescent="0.25">
      <c r="A185" s="26"/>
      <c r="B185" s="26"/>
      <c r="C185" s="26"/>
      <c r="D185" s="26"/>
      <c r="E185" s="26"/>
    </row>
    <row r="186" spans="1:7" x14ac:dyDescent="0.25">
      <c r="A186" s="26"/>
      <c r="B186" s="26"/>
      <c r="C186" s="26"/>
      <c r="D186" s="26"/>
      <c r="E186" s="26"/>
    </row>
    <row r="187" spans="1:7" x14ac:dyDescent="0.25">
      <c r="G187" s="3" t="e">
        <f t="shared" ref="G187:G239" si="1">F187/D187</f>
        <v>#DIV/0!</v>
      </c>
    </row>
    <row r="188" spans="1:7" x14ac:dyDescent="0.25">
      <c r="G188" s="3" t="e">
        <f t="shared" si="1"/>
        <v>#DIV/0!</v>
      </c>
    </row>
    <row r="189" spans="1:7" x14ac:dyDescent="0.25">
      <c r="G189" s="3" t="e">
        <f t="shared" si="1"/>
        <v>#DIV/0!</v>
      </c>
    </row>
    <row r="190" spans="1:7" x14ac:dyDescent="0.25">
      <c r="G190" s="3" t="e">
        <f t="shared" si="1"/>
        <v>#DIV/0!</v>
      </c>
    </row>
    <row r="191" spans="1:7" x14ac:dyDescent="0.25">
      <c r="G191" s="3" t="e">
        <f t="shared" si="1"/>
        <v>#DIV/0!</v>
      </c>
    </row>
    <row r="192" spans="1:7" x14ac:dyDescent="0.25">
      <c r="G192" s="3" t="e">
        <f t="shared" si="1"/>
        <v>#DIV/0!</v>
      </c>
    </row>
    <row r="193" spans="7:7" x14ac:dyDescent="0.25">
      <c r="G193" s="3" t="e">
        <f t="shared" si="1"/>
        <v>#DIV/0!</v>
      </c>
    </row>
    <row r="194" spans="7:7" x14ac:dyDescent="0.25">
      <c r="G194" s="3" t="e">
        <f t="shared" si="1"/>
        <v>#DIV/0!</v>
      </c>
    </row>
    <row r="195" spans="7:7" x14ac:dyDescent="0.25">
      <c r="G195" s="3" t="e">
        <f t="shared" si="1"/>
        <v>#DIV/0!</v>
      </c>
    </row>
    <row r="196" spans="7:7" x14ac:dyDescent="0.25">
      <c r="G196" s="3" t="e">
        <f t="shared" si="1"/>
        <v>#DIV/0!</v>
      </c>
    </row>
    <row r="197" spans="7:7" x14ac:dyDescent="0.25">
      <c r="G197" s="3" t="e">
        <f t="shared" si="1"/>
        <v>#DIV/0!</v>
      </c>
    </row>
    <row r="198" spans="7:7" x14ac:dyDescent="0.25">
      <c r="G198" s="3" t="e">
        <f t="shared" si="1"/>
        <v>#DIV/0!</v>
      </c>
    </row>
    <row r="199" spans="7:7" x14ac:dyDescent="0.25">
      <c r="G199" s="3" t="e">
        <f t="shared" si="1"/>
        <v>#DIV/0!</v>
      </c>
    </row>
    <row r="200" spans="7:7" x14ac:dyDescent="0.25">
      <c r="G200" s="3" t="e">
        <f t="shared" si="1"/>
        <v>#DIV/0!</v>
      </c>
    </row>
    <row r="201" spans="7:7" x14ac:dyDescent="0.25">
      <c r="G201" s="3" t="e">
        <f t="shared" si="1"/>
        <v>#DIV/0!</v>
      </c>
    </row>
    <row r="202" spans="7:7" x14ac:dyDescent="0.25">
      <c r="G202" s="3" t="e">
        <f t="shared" si="1"/>
        <v>#DIV/0!</v>
      </c>
    </row>
    <row r="203" spans="7:7" x14ac:dyDescent="0.25">
      <c r="G203" s="3" t="e">
        <f t="shared" si="1"/>
        <v>#DIV/0!</v>
      </c>
    </row>
    <row r="204" spans="7:7" x14ac:dyDescent="0.25">
      <c r="G204" s="3" t="e">
        <f t="shared" si="1"/>
        <v>#DIV/0!</v>
      </c>
    </row>
    <row r="205" spans="7:7" x14ac:dyDescent="0.25">
      <c r="G205" s="3" t="e">
        <f t="shared" si="1"/>
        <v>#DIV/0!</v>
      </c>
    </row>
    <row r="206" spans="7:7" x14ac:dyDescent="0.25">
      <c r="G206" s="3" t="e">
        <f t="shared" si="1"/>
        <v>#DIV/0!</v>
      </c>
    </row>
    <row r="207" spans="7:7" x14ac:dyDescent="0.25">
      <c r="G207" s="3" t="e">
        <f t="shared" si="1"/>
        <v>#DIV/0!</v>
      </c>
    </row>
    <row r="208" spans="7:7" x14ac:dyDescent="0.25">
      <c r="G208" s="3" t="e">
        <f t="shared" si="1"/>
        <v>#DIV/0!</v>
      </c>
    </row>
    <row r="209" spans="7:7" x14ac:dyDescent="0.25">
      <c r="G209" s="3" t="e">
        <f t="shared" si="1"/>
        <v>#DIV/0!</v>
      </c>
    </row>
    <row r="210" spans="7:7" x14ac:dyDescent="0.25">
      <c r="G210" s="3" t="e">
        <f t="shared" si="1"/>
        <v>#DIV/0!</v>
      </c>
    </row>
    <row r="211" spans="7:7" x14ac:dyDescent="0.25">
      <c r="G211" s="3" t="e">
        <f t="shared" si="1"/>
        <v>#DIV/0!</v>
      </c>
    </row>
    <row r="212" spans="7:7" x14ac:dyDescent="0.25">
      <c r="G212" s="3" t="e">
        <f t="shared" si="1"/>
        <v>#DIV/0!</v>
      </c>
    </row>
    <row r="213" spans="7:7" x14ac:dyDescent="0.25">
      <c r="G213" s="3" t="e">
        <f t="shared" si="1"/>
        <v>#DIV/0!</v>
      </c>
    </row>
    <row r="214" spans="7:7" x14ac:dyDescent="0.25">
      <c r="G214" s="3" t="e">
        <f t="shared" si="1"/>
        <v>#DIV/0!</v>
      </c>
    </row>
    <row r="215" spans="7:7" x14ac:dyDescent="0.25">
      <c r="G215" s="3" t="e">
        <f t="shared" si="1"/>
        <v>#DIV/0!</v>
      </c>
    </row>
    <row r="216" spans="7:7" x14ac:dyDescent="0.25">
      <c r="G216" s="3" t="e">
        <f t="shared" si="1"/>
        <v>#DIV/0!</v>
      </c>
    </row>
    <row r="217" spans="7:7" x14ac:dyDescent="0.25">
      <c r="G217" s="3" t="e">
        <f t="shared" si="1"/>
        <v>#DIV/0!</v>
      </c>
    </row>
    <row r="218" spans="7:7" x14ac:dyDescent="0.25">
      <c r="G218" s="3" t="e">
        <f t="shared" si="1"/>
        <v>#DIV/0!</v>
      </c>
    </row>
    <row r="219" spans="7:7" x14ac:dyDescent="0.25">
      <c r="G219" s="3" t="e">
        <f t="shared" si="1"/>
        <v>#DIV/0!</v>
      </c>
    </row>
    <row r="220" spans="7:7" x14ac:dyDescent="0.25">
      <c r="G220" s="3" t="e">
        <f t="shared" si="1"/>
        <v>#DIV/0!</v>
      </c>
    </row>
    <row r="221" spans="7:7" x14ac:dyDescent="0.25">
      <c r="G221" s="3" t="e">
        <f t="shared" si="1"/>
        <v>#DIV/0!</v>
      </c>
    </row>
    <row r="222" spans="7:7" x14ac:dyDescent="0.25">
      <c r="G222" s="3" t="e">
        <f t="shared" si="1"/>
        <v>#DIV/0!</v>
      </c>
    </row>
    <row r="223" spans="7:7" x14ac:dyDescent="0.25">
      <c r="G223" s="3" t="e">
        <f t="shared" si="1"/>
        <v>#DIV/0!</v>
      </c>
    </row>
    <row r="224" spans="7:7" x14ac:dyDescent="0.25">
      <c r="G224" s="3" t="e">
        <f t="shared" si="1"/>
        <v>#DIV/0!</v>
      </c>
    </row>
    <row r="225" spans="7:7" x14ac:dyDescent="0.25">
      <c r="G225" s="3" t="e">
        <f t="shared" si="1"/>
        <v>#DIV/0!</v>
      </c>
    </row>
    <row r="226" spans="7:7" x14ac:dyDescent="0.25">
      <c r="G226" s="3" t="e">
        <f t="shared" si="1"/>
        <v>#DIV/0!</v>
      </c>
    </row>
    <row r="227" spans="7:7" x14ac:dyDescent="0.25">
      <c r="G227" s="3" t="e">
        <f t="shared" si="1"/>
        <v>#DIV/0!</v>
      </c>
    </row>
    <row r="228" spans="7:7" x14ac:dyDescent="0.25">
      <c r="G228" s="3" t="e">
        <f t="shared" si="1"/>
        <v>#DIV/0!</v>
      </c>
    </row>
    <row r="229" spans="7:7" x14ac:dyDescent="0.25">
      <c r="G229" s="3" t="e">
        <f t="shared" si="1"/>
        <v>#DIV/0!</v>
      </c>
    </row>
    <row r="230" spans="7:7" x14ac:dyDescent="0.25">
      <c r="G230" s="3" t="e">
        <f t="shared" si="1"/>
        <v>#DIV/0!</v>
      </c>
    </row>
    <row r="231" spans="7:7" x14ac:dyDescent="0.25">
      <c r="G231" s="3" t="e">
        <f t="shared" si="1"/>
        <v>#DIV/0!</v>
      </c>
    </row>
    <row r="232" spans="7:7" x14ac:dyDescent="0.25">
      <c r="G232" s="3" t="e">
        <f t="shared" si="1"/>
        <v>#DIV/0!</v>
      </c>
    </row>
    <row r="233" spans="7:7" x14ac:dyDescent="0.25">
      <c r="G233" s="3" t="e">
        <f t="shared" si="1"/>
        <v>#DIV/0!</v>
      </c>
    </row>
    <row r="234" spans="7:7" x14ac:dyDescent="0.25">
      <c r="G234" s="3" t="e">
        <f t="shared" si="1"/>
        <v>#DIV/0!</v>
      </c>
    </row>
    <row r="235" spans="7:7" x14ac:dyDescent="0.25">
      <c r="G235" s="3" t="e">
        <f t="shared" si="1"/>
        <v>#DIV/0!</v>
      </c>
    </row>
    <row r="236" spans="7:7" x14ac:dyDescent="0.25">
      <c r="G236" s="3" t="e">
        <f t="shared" si="1"/>
        <v>#DIV/0!</v>
      </c>
    </row>
    <row r="237" spans="7:7" x14ac:dyDescent="0.25">
      <c r="G237" s="3" t="e">
        <f t="shared" si="1"/>
        <v>#DIV/0!</v>
      </c>
    </row>
    <row r="238" spans="7:7" x14ac:dyDescent="0.25">
      <c r="G238" s="3" t="e">
        <f t="shared" si="1"/>
        <v>#DIV/0!</v>
      </c>
    </row>
    <row r="239" spans="7:7" x14ac:dyDescent="0.25">
      <c r="G239" s="3" t="e">
        <f t="shared" si="1"/>
        <v>#DIV/0!</v>
      </c>
    </row>
    <row r="240" spans="7:7" x14ac:dyDescent="0.25">
      <c r="G240" s="3" t="e">
        <f t="shared" ref="G240:G303" si="2">F240/D240</f>
        <v>#DIV/0!</v>
      </c>
    </row>
    <row r="241" spans="7:7" x14ac:dyDescent="0.25">
      <c r="G241" s="3" t="e">
        <f t="shared" si="2"/>
        <v>#DIV/0!</v>
      </c>
    </row>
    <row r="242" spans="7:7" x14ac:dyDescent="0.25">
      <c r="G242" s="3" t="e">
        <f t="shared" si="2"/>
        <v>#DIV/0!</v>
      </c>
    </row>
    <row r="243" spans="7:7" x14ac:dyDescent="0.25">
      <c r="G243" s="3" t="e">
        <f t="shared" si="2"/>
        <v>#DIV/0!</v>
      </c>
    </row>
    <row r="244" spans="7:7" x14ac:dyDescent="0.25">
      <c r="G244" s="3" t="e">
        <f t="shared" si="2"/>
        <v>#DIV/0!</v>
      </c>
    </row>
    <row r="245" spans="7:7" x14ac:dyDescent="0.25">
      <c r="G245" s="3" t="e">
        <f t="shared" si="2"/>
        <v>#DIV/0!</v>
      </c>
    </row>
    <row r="246" spans="7:7" x14ac:dyDescent="0.25">
      <c r="G246" s="3" t="e">
        <f t="shared" si="2"/>
        <v>#DIV/0!</v>
      </c>
    </row>
    <row r="247" spans="7:7" x14ac:dyDescent="0.25">
      <c r="G247" s="3" t="e">
        <f t="shared" si="2"/>
        <v>#DIV/0!</v>
      </c>
    </row>
    <row r="248" spans="7:7" x14ac:dyDescent="0.25">
      <c r="G248" s="3" t="e">
        <f t="shared" si="2"/>
        <v>#DIV/0!</v>
      </c>
    </row>
    <row r="249" spans="7:7" x14ac:dyDescent="0.25">
      <c r="G249" s="3" t="e">
        <f t="shared" si="2"/>
        <v>#DIV/0!</v>
      </c>
    </row>
    <row r="250" spans="7:7" x14ac:dyDescent="0.25">
      <c r="G250" s="3" t="e">
        <f t="shared" si="2"/>
        <v>#DIV/0!</v>
      </c>
    </row>
    <row r="251" spans="7:7" x14ac:dyDescent="0.25">
      <c r="G251" s="3" t="e">
        <f t="shared" si="2"/>
        <v>#DIV/0!</v>
      </c>
    </row>
    <row r="252" spans="7:7" x14ac:dyDescent="0.25">
      <c r="G252" s="3" t="e">
        <f t="shared" si="2"/>
        <v>#DIV/0!</v>
      </c>
    </row>
    <row r="253" spans="7:7" x14ac:dyDescent="0.25">
      <c r="G253" s="3" t="e">
        <f t="shared" si="2"/>
        <v>#DIV/0!</v>
      </c>
    </row>
    <row r="254" spans="7:7" x14ac:dyDescent="0.25">
      <c r="G254" s="3" t="e">
        <f t="shared" si="2"/>
        <v>#DIV/0!</v>
      </c>
    </row>
    <row r="255" spans="7:7" x14ac:dyDescent="0.25">
      <c r="G255" s="3" t="e">
        <f t="shared" si="2"/>
        <v>#DIV/0!</v>
      </c>
    </row>
    <row r="256" spans="7:7" x14ac:dyDescent="0.25">
      <c r="G256" s="3" t="e">
        <f t="shared" si="2"/>
        <v>#DIV/0!</v>
      </c>
    </row>
    <row r="257" spans="7:7" x14ac:dyDescent="0.25">
      <c r="G257" s="3" t="e">
        <f t="shared" si="2"/>
        <v>#DIV/0!</v>
      </c>
    </row>
    <row r="258" spans="7:7" x14ac:dyDescent="0.25">
      <c r="G258" s="3" t="e">
        <f t="shared" si="2"/>
        <v>#DIV/0!</v>
      </c>
    </row>
    <row r="259" spans="7:7" x14ac:dyDescent="0.25">
      <c r="G259" s="3" t="e">
        <f t="shared" si="2"/>
        <v>#DIV/0!</v>
      </c>
    </row>
    <row r="260" spans="7:7" x14ac:dyDescent="0.25">
      <c r="G260" s="3" t="e">
        <f t="shared" si="2"/>
        <v>#DIV/0!</v>
      </c>
    </row>
    <row r="261" spans="7:7" x14ac:dyDescent="0.25">
      <c r="G261" s="3" t="e">
        <f t="shared" si="2"/>
        <v>#DIV/0!</v>
      </c>
    </row>
    <row r="262" spans="7:7" x14ac:dyDescent="0.25">
      <c r="G262" s="3" t="e">
        <f t="shared" si="2"/>
        <v>#DIV/0!</v>
      </c>
    </row>
    <row r="263" spans="7:7" x14ac:dyDescent="0.25">
      <c r="G263" s="3" t="e">
        <f t="shared" si="2"/>
        <v>#DIV/0!</v>
      </c>
    </row>
    <row r="264" spans="7:7" x14ac:dyDescent="0.25">
      <c r="G264" s="3" t="e">
        <f t="shared" si="2"/>
        <v>#DIV/0!</v>
      </c>
    </row>
    <row r="265" spans="7:7" x14ac:dyDescent="0.25">
      <c r="G265" s="3" t="e">
        <f t="shared" si="2"/>
        <v>#DIV/0!</v>
      </c>
    </row>
    <row r="266" spans="7:7" x14ac:dyDescent="0.25">
      <c r="G266" s="3" t="e">
        <f t="shared" si="2"/>
        <v>#DIV/0!</v>
      </c>
    </row>
    <row r="267" spans="7:7" x14ac:dyDescent="0.25">
      <c r="G267" s="3" t="e">
        <f t="shared" si="2"/>
        <v>#DIV/0!</v>
      </c>
    </row>
    <row r="268" spans="7:7" x14ac:dyDescent="0.25">
      <c r="G268" s="3" t="e">
        <f t="shared" si="2"/>
        <v>#DIV/0!</v>
      </c>
    </row>
    <row r="269" spans="7:7" x14ac:dyDescent="0.25">
      <c r="G269" s="3" t="e">
        <f t="shared" si="2"/>
        <v>#DIV/0!</v>
      </c>
    </row>
    <row r="270" spans="7:7" x14ac:dyDescent="0.25">
      <c r="G270" s="3" t="e">
        <f t="shared" si="2"/>
        <v>#DIV/0!</v>
      </c>
    </row>
    <row r="271" spans="7:7" x14ac:dyDescent="0.25">
      <c r="G271" s="3" t="e">
        <f t="shared" si="2"/>
        <v>#DIV/0!</v>
      </c>
    </row>
    <row r="272" spans="7:7" x14ac:dyDescent="0.25">
      <c r="G272" s="3" t="e">
        <f t="shared" si="2"/>
        <v>#DIV/0!</v>
      </c>
    </row>
    <row r="273" spans="7:7" x14ac:dyDescent="0.25">
      <c r="G273" s="3" t="e">
        <f t="shared" si="2"/>
        <v>#DIV/0!</v>
      </c>
    </row>
    <row r="274" spans="7:7" x14ac:dyDescent="0.25">
      <c r="G274" s="3" t="e">
        <f t="shared" si="2"/>
        <v>#DIV/0!</v>
      </c>
    </row>
    <row r="275" spans="7:7" x14ac:dyDescent="0.25">
      <c r="G275" s="3" t="e">
        <f t="shared" si="2"/>
        <v>#DIV/0!</v>
      </c>
    </row>
    <row r="276" spans="7:7" x14ac:dyDescent="0.25">
      <c r="G276" s="3" t="e">
        <f t="shared" si="2"/>
        <v>#DIV/0!</v>
      </c>
    </row>
    <row r="277" spans="7:7" x14ac:dyDescent="0.25">
      <c r="G277" s="3" t="e">
        <f t="shared" si="2"/>
        <v>#DIV/0!</v>
      </c>
    </row>
    <row r="278" spans="7:7" x14ac:dyDescent="0.25">
      <c r="G278" s="3" t="e">
        <f t="shared" si="2"/>
        <v>#DIV/0!</v>
      </c>
    </row>
    <row r="279" spans="7:7" x14ac:dyDescent="0.25">
      <c r="G279" s="3" t="e">
        <f t="shared" si="2"/>
        <v>#DIV/0!</v>
      </c>
    </row>
    <row r="280" spans="7:7" x14ac:dyDescent="0.25">
      <c r="G280" s="3" t="e">
        <f t="shared" si="2"/>
        <v>#DIV/0!</v>
      </c>
    </row>
    <row r="281" spans="7:7" x14ac:dyDescent="0.25">
      <c r="G281" s="3" t="e">
        <f t="shared" si="2"/>
        <v>#DIV/0!</v>
      </c>
    </row>
    <row r="282" spans="7:7" x14ac:dyDescent="0.25">
      <c r="G282" s="3" t="e">
        <f t="shared" si="2"/>
        <v>#DIV/0!</v>
      </c>
    </row>
    <row r="283" spans="7:7" x14ac:dyDescent="0.25">
      <c r="G283" s="3" t="e">
        <f t="shared" si="2"/>
        <v>#DIV/0!</v>
      </c>
    </row>
    <row r="284" spans="7:7" x14ac:dyDescent="0.25">
      <c r="G284" s="3" t="e">
        <f t="shared" si="2"/>
        <v>#DIV/0!</v>
      </c>
    </row>
    <row r="285" spans="7:7" x14ac:dyDescent="0.25">
      <c r="G285" s="3" t="e">
        <f t="shared" si="2"/>
        <v>#DIV/0!</v>
      </c>
    </row>
    <row r="286" spans="7:7" x14ac:dyDescent="0.25">
      <c r="G286" s="3" t="e">
        <f t="shared" si="2"/>
        <v>#DIV/0!</v>
      </c>
    </row>
    <row r="287" spans="7:7" x14ac:dyDescent="0.25">
      <c r="G287" s="3" t="e">
        <f t="shared" si="2"/>
        <v>#DIV/0!</v>
      </c>
    </row>
    <row r="288" spans="7:7" x14ac:dyDescent="0.25">
      <c r="G288" s="3" t="e">
        <f t="shared" si="2"/>
        <v>#DIV/0!</v>
      </c>
    </row>
    <row r="289" spans="7:7" x14ac:dyDescent="0.25">
      <c r="G289" s="3" t="e">
        <f t="shared" si="2"/>
        <v>#DIV/0!</v>
      </c>
    </row>
    <row r="290" spans="7:7" x14ac:dyDescent="0.25">
      <c r="G290" s="3" t="e">
        <f t="shared" si="2"/>
        <v>#DIV/0!</v>
      </c>
    </row>
    <row r="291" spans="7:7" x14ac:dyDescent="0.25">
      <c r="G291" s="3" t="e">
        <f t="shared" si="2"/>
        <v>#DIV/0!</v>
      </c>
    </row>
    <row r="292" spans="7:7" x14ac:dyDescent="0.25">
      <c r="G292" s="3" t="e">
        <f t="shared" si="2"/>
        <v>#DIV/0!</v>
      </c>
    </row>
    <row r="293" spans="7:7" x14ac:dyDescent="0.25">
      <c r="G293" s="3" t="e">
        <f t="shared" si="2"/>
        <v>#DIV/0!</v>
      </c>
    </row>
    <row r="294" spans="7:7" x14ac:dyDescent="0.25">
      <c r="G294" s="3" t="e">
        <f t="shared" si="2"/>
        <v>#DIV/0!</v>
      </c>
    </row>
    <row r="295" spans="7:7" x14ac:dyDescent="0.25">
      <c r="G295" s="3" t="e">
        <f t="shared" si="2"/>
        <v>#DIV/0!</v>
      </c>
    </row>
    <row r="296" spans="7:7" x14ac:dyDescent="0.25">
      <c r="G296" s="3" t="e">
        <f t="shared" si="2"/>
        <v>#DIV/0!</v>
      </c>
    </row>
    <row r="297" spans="7:7" x14ac:dyDescent="0.25">
      <c r="G297" s="3" t="e">
        <f t="shared" si="2"/>
        <v>#DIV/0!</v>
      </c>
    </row>
    <row r="298" spans="7:7" x14ac:dyDescent="0.25">
      <c r="G298" s="3" t="e">
        <f t="shared" si="2"/>
        <v>#DIV/0!</v>
      </c>
    </row>
    <row r="299" spans="7:7" x14ac:dyDescent="0.25">
      <c r="G299" s="3" t="e">
        <f t="shared" si="2"/>
        <v>#DIV/0!</v>
      </c>
    </row>
    <row r="300" spans="7:7" x14ac:dyDescent="0.25">
      <c r="G300" s="3" t="e">
        <f t="shared" si="2"/>
        <v>#DIV/0!</v>
      </c>
    </row>
    <row r="301" spans="7:7" x14ac:dyDescent="0.25">
      <c r="G301" s="3" t="e">
        <f t="shared" si="2"/>
        <v>#DIV/0!</v>
      </c>
    </row>
    <row r="302" spans="7:7" x14ac:dyDescent="0.25">
      <c r="G302" s="3" t="e">
        <f t="shared" si="2"/>
        <v>#DIV/0!</v>
      </c>
    </row>
    <row r="303" spans="7:7" x14ac:dyDescent="0.25">
      <c r="G303" s="3" t="e">
        <f t="shared" si="2"/>
        <v>#DIV/0!</v>
      </c>
    </row>
    <row r="304" spans="7:7" x14ac:dyDescent="0.25">
      <c r="G304" s="3" t="e">
        <f t="shared" ref="G304:G367" si="3">F304/D304</f>
        <v>#DIV/0!</v>
      </c>
    </row>
    <row r="305" spans="7:7" x14ac:dyDescent="0.25">
      <c r="G305" s="3" t="e">
        <f t="shared" si="3"/>
        <v>#DIV/0!</v>
      </c>
    </row>
    <row r="306" spans="7:7" x14ac:dyDescent="0.25">
      <c r="G306" s="3" t="e">
        <f t="shared" si="3"/>
        <v>#DIV/0!</v>
      </c>
    </row>
    <row r="307" spans="7:7" x14ac:dyDescent="0.25">
      <c r="G307" s="3" t="e">
        <f t="shared" si="3"/>
        <v>#DIV/0!</v>
      </c>
    </row>
    <row r="308" spans="7:7" x14ac:dyDescent="0.25">
      <c r="G308" s="3" t="e">
        <f t="shared" si="3"/>
        <v>#DIV/0!</v>
      </c>
    </row>
    <row r="309" spans="7:7" x14ac:dyDescent="0.25">
      <c r="G309" s="3" t="e">
        <f t="shared" si="3"/>
        <v>#DIV/0!</v>
      </c>
    </row>
    <row r="310" spans="7:7" x14ac:dyDescent="0.25">
      <c r="G310" s="3" t="e">
        <f t="shared" si="3"/>
        <v>#DIV/0!</v>
      </c>
    </row>
    <row r="311" spans="7:7" x14ac:dyDescent="0.25">
      <c r="G311" s="3" t="e">
        <f t="shared" si="3"/>
        <v>#DIV/0!</v>
      </c>
    </row>
    <row r="312" spans="7:7" x14ac:dyDescent="0.25">
      <c r="G312" s="3" t="e">
        <f t="shared" si="3"/>
        <v>#DIV/0!</v>
      </c>
    </row>
    <row r="313" spans="7:7" x14ac:dyDescent="0.25">
      <c r="G313" s="3" t="e">
        <f t="shared" si="3"/>
        <v>#DIV/0!</v>
      </c>
    </row>
    <row r="314" spans="7:7" x14ac:dyDescent="0.25">
      <c r="G314" s="3" t="e">
        <f t="shared" si="3"/>
        <v>#DIV/0!</v>
      </c>
    </row>
    <row r="315" spans="7:7" x14ac:dyDescent="0.25">
      <c r="G315" s="3" t="e">
        <f t="shared" si="3"/>
        <v>#DIV/0!</v>
      </c>
    </row>
    <row r="316" spans="7:7" x14ac:dyDescent="0.25">
      <c r="G316" s="3" t="e">
        <f t="shared" si="3"/>
        <v>#DIV/0!</v>
      </c>
    </row>
    <row r="317" spans="7:7" x14ac:dyDescent="0.25">
      <c r="G317" s="3" t="e">
        <f t="shared" si="3"/>
        <v>#DIV/0!</v>
      </c>
    </row>
    <row r="318" spans="7:7" x14ac:dyDescent="0.25">
      <c r="G318" s="3" t="e">
        <f t="shared" si="3"/>
        <v>#DIV/0!</v>
      </c>
    </row>
    <row r="319" spans="7:7" x14ac:dyDescent="0.25">
      <c r="G319" s="3" t="e">
        <f t="shared" si="3"/>
        <v>#DIV/0!</v>
      </c>
    </row>
    <row r="320" spans="7:7" x14ac:dyDescent="0.25">
      <c r="G320" s="3" t="e">
        <f t="shared" si="3"/>
        <v>#DIV/0!</v>
      </c>
    </row>
    <row r="321" spans="7:7" x14ac:dyDescent="0.25">
      <c r="G321" s="3" t="e">
        <f t="shared" si="3"/>
        <v>#DIV/0!</v>
      </c>
    </row>
    <row r="322" spans="7:7" x14ac:dyDescent="0.25">
      <c r="G322" s="3" t="e">
        <f t="shared" si="3"/>
        <v>#DIV/0!</v>
      </c>
    </row>
    <row r="323" spans="7:7" x14ac:dyDescent="0.25">
      <c r="G323" s="3" t="e">
        <f t="shared" si="3"/>
        <v>#DIV/0!</v>
      </c>
    </row>
    <row r="324" spans="7:7" x14ac:dyDescent="0.25">
      <c r="G324" s="3" t="e">
        <f t="shared" si="3"/>
        <v>#DIV/0!</v>
      </c>
    </row>
    <row r="325" spans="7:7" x14ac:dyDescent="0.25">
      <c r="G325" s="3" t="e">
        <f t="shared" si="3"/>
        <v>#DIV/0!</v>
      </c>
    </row>
    <row r="326" spans="7:7" x14ac:dyDescent="0.25">
      <c r="G326" s="3" t="e">
        <f t="shared" si="3"/>
        <v>#DIV/0!</v>
      </c>
    </row>
    <row r="327" spans="7:7" x14ac:dyDescent="0.25">
      <c r="G327" s="3" t="e">
        <f t="shared" si="3"/>
        <v>#DIV/0!</v>
      </c>
    </row>
    <row r="328" spans="7:7" x14ac:dyDescent="0.25">
      <c r="G328" s="3" t="e">
        <f t="shared" si="3"/>
        <v>#DIV/0!</v>
      </c>
    </row>
    <row r="329" spans="7:7" x14ac:dyDescent="0.25">
      <c r="G329" s="3" t="e">
        <f t="shared" si="3"/>
        <v>#DIV/0!</v>
      </c>
    </row>
    <row r="330" spans="7:7" x14ac:dyDescent="0.25">
      <c r="G330" s="3" t="e">
        <f t="shared" si="3"/>
        <v>#DIV/0!</v>
      </c>
    </row>
    <row r="331" spans="7:7" x14ac:dyDescent="0.25">
      <c r="G331" s="3" t="e">
        <f t="shared" si="3"/>
        <v>#DIV/0!</v>
      </c>
    </row>
    <row r="332" spans="7:7" x14ac:dyDescent="0.25">
      <c r="G332" s="3" t="e">
        <f t="shared" si="3"/>
        <v>#DIV/0!</v>
      </c>
    </row>
    <row r="333" spans="7:7" x14ac:dyDescent="0.25">
      <c r="G333" s="3" t="e">
        <f t="shared" si="3"/>
        <v>#DIV/0!</v>
      </c>
    </row>
    <row r="334" spans="7:7" x14ac:dyDescent="0.25">
      <c r="G334" s="3" t="e">
        <f t="shared" si="3"/>
        <v>#DIV/0!</v>
      </c>
    </row>
    <row r="335" spans="7:7" x14ac:dyDescent="0.25">
      <c r="G335" s="3" t="e">
        <f t="shared" si="3"/>
        <v>#DIV/0!</v>
      </c>
    </row>
    <row r="336" spans="7:7" x14ac:dyDescent="0.25">
      <c r="G336" s="3" t="e">
        <f t="shared" si="3"/>
        <v>#DIV/0!</v>
      </c>
    </row>
    <row r="337" spans="7:7" x14ac:dyDescent="0.25">
      <c r="G337" s="3" t="e">
        <f t="shared" si="3"/>
        <v>#DIV/0!</v>
      </c>
    </row>
    <row r="338" spans="7:7" x14ac:dyDescent="0.25">
      <c r="G338" s="3" t="e">
        <f t="shared" si="3"/>
        <v>#DIV/0!</v>
      </c>
    </row>
    <row r="339" spans="7:7" x14ac:dyDescent="0.25">
      <c r="G339" s="3" t="e">
        <f t="shared" si="3"/>
        <v>#DIV/0!</v>
      </c>
    </row>
    <row r="340" spans="7:7" x14ac:dyDescent="0.25">
      <c r="G340" s="3" t="e">
        <f t="shared" si="3"/>
        <v>#DIV/0!</v>
      </c>
    </row>
    <row r="341" spans="7:7" x14ac:dyDescent="0.25">
      <c r="G341" s="3" t="e">
        <f t="shared" si="3"/>
        <v>#DIV/0!</v>
      </c>
    </row>
    <row r="342" spans="7:7" x14ac:dyDescent="0.25">
      <c r="G342" s="3" t="e">
        <f t="shared" si="3"/>
        <v>#DIV/0!</v>
      </c>
    </row>
    <row r="343" spans="7:7" x14ac:dyDescent="0.25">
      <c r="G343" s="3" t="e">
        <f t="shared" si="3"/>
        <v>#DIV/0!</v>
      </c>
    </row>
    <row r="344" spans="7:7" x14ac:dyDescent="0.25">
      <c r="G344" s="3" t="e">
        <f t="shared" si="3"/>
        <v>#DIV/0!</v>
      </c>
    </row>
    <row r="345" spans="7:7" x14ac:dyDescent="0.25">
      <c r="G345" s="3" t="e">
        <f t="shared" si="3"/>
        <v>#DIV/0!</v>
      </c>
    </row>
    <row r="346" spans="7:7" x14ac:dyDescent="0.25">
      <c r="G346" s="3" t="e">
        <f t="shared" si="3"/>
        <v>#DIV/0!</v>
      </c>
    </row>
    <row r="347" spans="7:7" x14ac:dyDescent="0.25">
      <c r="G347" s="3" t="e">
        <f t="shared" si="3"/>
        <v>#DIV/0!</v>
      </c>
    </row>
    <row r="348" spans="7:7" x14ac:dyDescent="0.25">
      <c r="G348" s="3" t="e">
        <f t="shared" si="3"/>
        <v>#DIV/0!</v>
      </c>
    </row>
    <row r="349" spans="7:7" x14ac:dyDescent="0.25">
      <c r="G349" s="3" t="e">
        <f t="shared" si="3"/>
        <v>#DIV/0!</v>
      </c>
    </row>
    <row r="350" spans="7:7" x14ac:dyDescent="0.25">
      <c r="G350" s="3" t="e">
        <f t="shared" si="3"/>
        <v>#DIV/0!</v>
      </c>
    </row>
    <row r="351" spans="7:7" x14ac:dyDescent="0.25">
      <c r="G351" s="3" t="e">
        <f t="shared" si="3"/>
        <v>#DIV/0!</v>
      </c>
    </row>
    <row r="352" spans="7:7" x14ac:dyDescent="0.25">
      <c r="G352" s="3" t="e">
        <f t="shared" si="3"/>
        <v>#DIV/0!</v>
      </c>
    </row>
    <row r="353" spans="7:7" x14ac:dyDescent="0.25">
      <c r="G353" s="3" t="e">
        <f t="shared" si="3"/>
        <v>#DIV/0!</v>
      </c>
    </row>
    <row r="354" spans="7:7" x14ac:dyDescent="0.25">
      <c r="G354" s="3" t="e">
        <f t="shared" si="3"/>
        <v>#DIV/0!</v>
      </c>
    </row>
    <row r="355" spans="7:7" x14ac:dyDescent="0.25">
      <c r="G355" s="3" t="e">
        <f t="shared" si="3"/>
        <v>#DIV/0!</v>
      </c>
    </row>
    <row r="356" spans="7:7" x14ac:dyDescent="0.25">
      <c r="G356" s="3" t="e">
        <f t="shared" si="3"/>
        <v>#DIV/0!</v>
      </c>
    </row>
    <row r="357" spans="7:7" x14ac:dyDescent="0.25">
      <c r="G357" s="3" t="e">
        <f t="shared" si="3"/>
        <v>#DIV/0!</v>
      </c>
    </row>
    <row r="358" spans="7:7" x14ac:dyDescent="0.25">
      <c r="G358" s="3" t="e">
        <f t="shared" si="3"/>
        <v>#DIV/0!</v>
      </c>
    </row>
    <row r="359" spans="7:7" x14ac:dyDescent="0.25">
      <c r="G359" s="3" t="e">
        <f t="shared" si="3"/>
        <v>#DIV/0!</v>
      </c>
    </row>
    <row r="360" spans="7:7" x14ac:dyDescent="0.25">
      <c r="G360" s="3" t="e">
        <f t="shared" si="3"/>
        <v>#DIV/0!</v>
      </c>
    </row>
    <row r="361" spans="7:7" x14ac:dyDescent="0.25">
      <c r="G361" s="3" t="e">
        <f t="shared" si="3"/>
        <v>#DIV/0!</v>
      </c>
    </row>
    <row r="362" spans="7:7" x14ac:dyDescent="0.25">
      <c r="G362" s="3" t="e">
        <f t="shared" si="3"/>
        <v>#DIV/0!</v>
      </c>
    </row>
    <row r="363" spans="7:7" x14ac:dyDescent="0.25">
      <c r="G363" s="3" t="e">
        <f t="shared" si="3"/>
        <v>#DIV/0!</v>
      </c>
    </row>
    <row r="364" spans="7:7" x14ac:dyDescent="0.25">
      <c r="G364" s="3" t="e">
        <f t="shared" si="3"/>
        <v>#DIV/0!</v>
      </c>
    </row>
    <row r="365" spans="7:7" x14ac:dyDescent="0.25">
      <c r="G365" s="3" t="e">
        <f t="shared" si="3"/>
        <v>#DIV/0!</v>
      </c>
    </row>
    <row r="366" spans="7:7" x14ac:dyDescent="0.25">
      <c r="G366" s="3" t="e">
        <f t="shared" si="3"/>
        <v>#DIV/0!</v>
      </c>
    </row>
    <row r="367" spans="7:7" x14ac:dyDescent="0.25">
      <c r="G367" s="3" t="e">
        <f t="shared" si="3"/>
        <v>#DIV/0!</v>
      </c>
    </row>
    <row r="368" spans="7:7" x14ac:dyDescent="0.25">
      <c r="G368" s="3" t="e">
        <f t="shared" ref="G368:G431" si="4">F368/D368</f>
        <v>#DIV/0!</v>
      </c>
    </row>
    <row r="369" spans="7:7" x14ac:dyDescent="0.25">
      <c r="G369" s="3" t="e">
        <f t="shared" si="4"/>
        <v>#DIV/0!</v>
      </c>
    </row>
    <row r="370" spans="7:7" x14ac:dyDescent="0.25">
      <c r="G370" s="3" t="e">
        <f t="shared" si="4"/>
        <v>#DIV/0!</v>
      </c>
    </row>
    <row r="371" spans="7:7" x14ac:dyDescent="0.25">
      <c r="G371" s="3" t="e">
        <f t="shared" si="4"/>
        <v>#DIV/0!</v>
      </c>
    </row>
    <row r="372" spans="7:7" x14ac:dyDescent="0.25">
      <c r="G372" s="3" t="e">
        <f t="shared" si="4"/>
        <v>#DIV/0!</v>
      </c>
    </row>
    <row r="373" spans="7:7" x14ac:dyDescent="0.25">
      <c r="G373" s="3" t="e">
        <f t="shared" si="4"/>
        <v>#DIV/0!</v>
      </c>
    </row>
    <row r="374" spans="7:7" x14ac:dyDescent="0.25">
      <c r="G374" s="3" t="e">
        <f t="shared" si="4"/>
        <v>#DIV/0!</v>
      </c>
    </row>
    <row r="375" spans="7:7" x14ac:dyDescent="0.25">
      <c r="G375" s="3" t="e">
        <f t="shared" si="4"/>
        <v>#DIV/0!</v>
      </c>
    </row>
    <row r="376" spans="7:7" x14ac:dyDescent="0.25">
      <c r="G376" s="3" t="e">
        <f t="shared" si="4"/>
        <v>#DIV/0!</v>
      </c>
    </row>
    <row r="377" spans="7:7" x14ac:dyDescent="0.25">
      <c r="G377" s="3" t="e">
        <f t="shared" si="4"/>
        <v>#DIV/0!</v>
      </c>
    </row>
    <row r="378" spans="7:7" x14ac:dyDescent="0.25">
      <c r="G378" s="3" t="e">
        <f t="shared" si="4"/>
        <v>#DIV/0!</v>
      </c>
    </row>
    <row r="379" spans="7:7" x14ac:dyDescent="0.25">
      <c r="G379" s="3" t="e">
        <f t="shared" si="4"/>
        <v>#DIV/0!</v>
      </c>
    </row>
    <row r="380" spans="7:7" x14ac:dyDescent="0.25">
      <c r="G380" s="3" t="e">
        <f t="shared" si="4"/>
        <v>#DIV/0!</v>
      </c>
    </row>
    <row r="381" spans="7:7" x14ac:dyDescent="0.25">
      <c r="G381" s="3" t="e">
        <f t="shared" si="4"/>
        <v>#DIV/0!</v>
      </c>
    </row>
    <row r="382" spans="7:7" x14ac:dyDescent="0.25">
      <c r="G382" s="3" t="e">
        <f t="shared" si="4"/>
        <v>#DIV/0!</v>
      </c>
    </row>
    <row r="383" spans="7:7" x14ac:dyDescent="0.25">
      <c r="G383" s="3" t="e">
        <f t="shared" si="4"/>
        <v>#DIV/0!</v>
      </c>
    </row>
    <row r="384" spans="7:7" x14ac:dyDescent="0.25">
      <c r="G384" s="3" t="e">
        <f t="shared" si="4"/>
        <v>#DIV/0!</v>
      </c>
    </row>
    <row r="385" spans="7:7" x14ac:dyDescent="0.25">
      <c r="G385" s="3" t="e">
        <f t="shared" si="4"/>
        <v>#DIV/0!</v>
      </c>
    </row>
    <row r="386" spans="7:7" x14ac:dyDescent="0.25">
      <c r="G386" s="3" t="e">
        <f t="shared" si="4"/>
        <v>#DIV/0!</v>
      </c>
    </row>
    <row r="387" spans="7:7" x14ac:dyDescent="0.25">
      <c r="G387" s="3" t="e">
        <f t="shared" si="4"/>
        <v>#DIV/0!</v>
      </c>
    </row>
    <row r="388" spans="7:7" x14ac:dyDescent="0.25">
      <c r="G388" s="3" t="e">
        <f t="shared" si="4"/>
        <v>#DIV/0!</v>
      </c>
    </row>
    <row r="389" spans="7:7" x14ac:dyDescent="0.25">
      <c r="G389" s="3" t="e">
        <f t="shared" si="4"/>
        <v>#DIV/0!</v>
      </c>
    </row>
    <row r="390" spans="7:7" x14ac:dyDescent="0.25">
      <c r="G390" s="3" t="e">
        <f t="shared" si="4"/>
        <v>#DIV/0!</v>
      </c>
    </row>
    <row r="391" spans="7:7" x14ac:dyDescent="0.25">
      <c r="G391" s="3" t="e">
        <f t="shared" si="4"/>
        <v>#DIV/0!</v>
      </c>
    </row>
    <row r="392" spans="7:7" x14ac:dyDescent="0.25">
      <c r="G392" s="3" t="e">
        <f t="shared" si="4"/>
        <v>#DIV/0!</v>
      </c>
    </row>
    <row r="393" spans="7:7" x14ac:dyDescent="0.25">
      <c r="G393" s="3" t="e">
        <f t="shared" si="4"/>
        <v>#DIV/0!</v>
      </c>
    </row>
    <row r="394" spans="7:7" x14ac:dyDescent="0.25">
      <c r="G394" s="3" t="e">
        <f t="shared" si="4"/>
        <v>#DIV/0!</v>
      </c>
    </row>
    <row r="395" spans="7:7" x14ac:dyDescent="0.25">
      <c r="G395" s="3" t="e">
        <f t="shared" si="4"/>
        <v>#DIV/0!</v>
      </c>
    </row>
    <row r="396" spans="7:7" x14ac:dyDescent="0.25">
      <c r="G396" s="3" t="e">
        <f t="shared" si="4"/>
        <v>#DIV/0!</v>
      </c>
    </row>
    <row r="397" spans="7:7" x14ac:dyDescent="0.25">
      <c r="G397" s="3" t="e">
        <f t="shared" si="4"/>
        <v>#DIV/0!</v>
      </c>
    </row>
    <row r="398" spans="7:7" x14ac:dyDescent="0.25">
      <c r="G398" s="3" t="e">
        <f t="shared" si="4"/>
        <v>#DIV/0!</v>
      </c>
    </row>
    <row r="399" spans="7:7" x14ac:dyDescent="0.25">
      <c r="G399" s="3" t="e">
        <f t="shared" si="4"/>
        <v>#DIV/0!</v>
      </c>
    </row>
    <row r="400" spans="7:7" x14ac:dyDescent="0.25">
      <c r="G400" s="3" t="e">
        <f t="shared" si="4"/>
        <v>#DIV/0!</v>
      </c>
    </row>
    <row r="401" spans="7:7" x14ac:dyDescent="0.25">
      <c r="G401" s="3" t="e">
        <f t="shared" si="4"/>
        <v>#DIV/0!</v>
      </c>
    </row>
    <row r="402" spans="7:7" x14ac:dyDescent="0.25">
      <c r="G402" s="3" t="e">
        <f t="shared" si="4"/>
        <v>#DIV/0!</v>
      </c>
    </row>
    <row r="403" spans="7:7" x14ac:dyDescent="0.25">
      <c r="G403" s="3" t="e">
        <f t="shared" si="4"/>
        <v>#DIV/0!</v>
      </c>
    </row>
    <row r="404" spans="7:7" x14ac:dyDescent="0.25">
      <c r="G404" s="3" t="e">
        <f t="shared" si="4"/>
        <v>#DIV/0!</v>
      </c>
    </row>
    <row r="405" spans="7:7" x14ac:dyDescent="0.25">
      <c r="G405" s="3" t="e">
        <f t="shared" si="4"/>
        <v>#DIV/0!</v>
      </c>
    </row>
    <row r="406" spans="7:7" x14ac:dyDescent="0.25">
      <c r="G406" s="3" t="e">
        <f t="shared" si="4"/>
        <v>#DIV/0!</v>
      </c>
    </row>
    <row r="407" spans="7:7" x14ac:dyDescent="0.25">
      <c r="G407" s="3" t="e">
        <f t="shared" si="4"/>
        <v>#DIV/0!</v>
      </c>
    </row>
    <row r="408" spans="7:7" x14ac:dyDescent="0.25">
      <c r="G408" s="3" t="e">
        <f t="shared" si="4"/>
        <v>#DIV/0!</v>
      </c>
    </row>
    <row r="409" spans="7:7" x14ac:dyDescent="0.25">
      <c r="G409" s="3" t="e">
        <f t="shared" si="4"/>
        <v>#DIV/0!</v>
      </c>
    </row>
    <row r="410" spans="7:7" x14ac:dyDescent="0.25">
      <c r="G410" s="3" t="e">
        <f t="shared" si="4"/>
        <v>#DIV/0!</v>
      </c>
    </row>
    <row r="411" spans="7:7" x14ac:dyDescent="0.25">
      <c r="G411" s="3" t="e">
        <f t="shared" si="4"/>
        <v>#DIV/0!</v>
      </c>
    </row>
    <row r="412" spans="7:7" x14ac:dyDescent="0.25">
      <c r="G412" s="3" t="e">
        <f t="shared" si="4"/>
        <v>#DIV/0!</v>
      </c>
    </row>
    <row r="413" spans="7:7" x14ac:dyDescent="0.25">
      <c r="G413" s="3" t="e">
        <f t="shared" si="4"/>
        <v>#DIV/0!</v>
      </c>
    </row>
    <row r="414" spans="7:7" x14ac:dyDescent="0.25">
      <c r="G414" s="3" t="e">
        <f t="shared" si="4"/>
        <v>#DIV/0!</v>
      </c>
    </row>
    <row r="415" spans="7:7" x14ac:dyDescent="0.25">
      <c r="G415" s="3" t="e">
        <f t="shared" si="4"/>
        <v>#DIV/0!</v>
      </c>
    </row>
    <row r="416" spans="7:7" x14ac:dyDescent="0.25">
      <c r="G416" s="3" t="e">
        <f t="shared" si="4"/>
        <v>#DIV/0!</v>
      </c>
    </row>
    <row r="417" spans="7:7" x14ac:dyDescent="0.25">
      <c r="G417" s="3" t="e">
        <f t="shared" si="4"/>
        <v>#DIV/0!</v>
      </c>
    </row>
    <row r="418" spans="7:7" x14ac:dyDescent="0.25">
      <c r="G418" s="3" t="e">
        <f t="shared" si="4"/>
        <v>#DIV/0!</v>
      </c>
    </row>
    <row r="419" spans="7:7" x14ac:dyDescent="0.25">
      <c r="G419" s="3" t="e">
        <f t="shared" si="4"/>
        <v>#DIV/0!</v>
      </c>
    </row>
    <row r="420" spans="7:7" x14ac:dyDescent="0.25">
      <c r="G420" s="3" t="e">
        <f t="shared" si="4"/>
        <v>#DIV/0!</v>
      </c>
    </row>
    <row r="421" spans="7:7" x14ac:dyDescent="0.25">
      <c r="G421" s="3" t="e">
        <f t="shared" si="4"/>
        <v>#DIV/0!</v>
      </c>
    </row>
    <row r="422" spans="7:7" x14ac:dyDescent="0.25">
      <c r="G422" s="3" t="e">
        <f t="shared" si="4"/>
        <v>#DIV/0!</v>
      </c>
    </row>
    <row r="423" spans="7:7" x14ac:dyDescent="0.25">
      <c r="G423" s="3" t="e">
        <f t="shared" si="4"/>
        <v>#DIV/0!</v>
      </c>
    </row>
    <row r="424" spans="7:7" x14ac:dyDescent="0.25">
      <c r="G424" s="3" t="e">
        <f t="shared" si="4"/>
        <v>#DIV/0!</v>
      </c>
    </row>
    <row r="425" spans="7:7" x14ac:dyDescent="0.25">
      <c r="G425" s="3" t="e">
        <f t="shared" si="4"/>
        <v>#DIV/0!</v>
      </c>
    </row>
    <row r="426" spans="7:7" x14ac:dyDescent="0.25">
      <c r="G426" s="3" t="e">
        <f t="shared" si="4"/>
        <v>#DIV/0!</v>
      </c>
    </row>
    <row r="427" spans="7:7" x14ac:dyDescent="0.25">
      <c r="G427" s="3" t="e">
        <f t="shared" si="4"/>
        <v>#DIV/0!</v>
      </c>
    </row>
    <row r="428" spans="7:7" x14ac:dyDescent="0.25">
      <c r="G428" s="3" t="e">
        <f t="shared" si="4"/>
        <v>#DIV/0!</v>
      </c>
    </row>
    <row r="429" spans="7:7" x14ac:dyDescent="0.25">
      <c r="G429" s="3" t="e">
        <f t="shared" si="4"/>
        <v>#DIV/0!</v>
      </c>
    </row>
    <row r="430" spans="7:7" x14ac:dyDescent="0.25">
      <c r="G430" s="3" t="e">
        <f t="shared" si="4"/>
        <v>#DIV/0!</v>
      </c>
    </row>
    <row r="431" spans="7:7" x14ac:dyDescent="0.25">
      <c r="G431" s="3" t="e">
        <f t="shared" si="4"/>
        <v>#DIV/0!</v>
      </c>
    </row>
    <row r="432" spans="7:7" x14ac:dyDescent="0.25">
      <c r="G432" s="3" t="e">
        <f t="shared" ref="G432:G495" si="5">F432/D432</f>
        <v>#DIV/0!</v>
      </c>
    </row>
    <row r="433" spans="7:7" x14ac:dyDescent="0.25">
      <c r="G433" s="3" t="e">
        <f t="shared" si="5"/>
        <v>#DIV/0!</v>
      </c>
    </row>
    <row r="434" spans="7:7" x14ac:dyDescent="0.25">
      <c r="G434" s="3" t="e">
        <f t="shared" si="5"/>
        <v>#DIV/0!</v>
      </c>
    </row>
    <row r="435" spans="7:7" x14ac:dyDescent="0.25">
      <c r="G435" s="3" t="e">
        <f t="shared" si="5"/>
        <v>#DIV/0!</v>
      </c>
    </row>
    <row r="436" spans="7:7" x14ac:dyDescent="0.25">
      <c r="G436" s="3" t="e">
        <f t="shared" si="5"/>
        <v>#DIV/0!</v>
      </c>
    </row>
    <row r="437" spans="7:7" x14ac:dyDescent="0.25">
      <c r="G437" s="3" t="e">
        <f t="shared" si="5"/>
        <v>#DIV/0!</v>
      </c>
    </row>
    <row r="438" spans="7:7" x14ac:dyDescent="0.25">
      <c r="G438" s="3" t="e">
        <f t="shared" si="5"/>
        <v>#DIV/0!</v>
      </c>
    </row>
    <row r="439" spans="7:7" x14ac:dyDescent="0.25">
      <c r="G439" s="3" t="e">
        <f t="shared" si="5"/>
        <v>#DIV/0!</v>
      </c>
    </row>
    <row r="440" spans="7:7" x14ac:dyDescent="0.25">
      <c r="G440" s="3" t="e">
        <f t="shared" si="5"/>
        <v>#DIV/0!</v>
      </c>
    </row>
    <row r="441" spans="7:7" x14ac:dyDescent="0.25">
      <c r="G441" s="3" t="e">
        <f t="shared" si="5"/>
        <v>#DIV/0!</v>
      </c>
    </row>
    <row r="442" spans="7:7" x14ac:dyDescent="0.25">
      <c r="G442" s="3" t="e">
        <f t="shared" si="5"/>
        <v>#DIV/0!</v>
      </c>
    </row>
    <row r="443" spans="7:7" x14ac:dyDescent="0.25">
      <c r="G443" s="3" t="e">
        <f t="shared" si="5"/>
        <v>#DIV/0!</v>
      </c>
    </row>
    <row r="444" spans="7:7" x14ac:dyDescent="0.25">
      <c r="G444" s="3" t="e">
        <f t="shared" si="5"/>
        <v>#DIV/0!</v>
      </c>
    </row>
    <row r="445" spans="7:7" x14ac:dyDescent="0.25">
      <c r="G445" s="3" t="e">
        <f t="shared" si="5"/>
        <v>#DIV/0!</v>
      </c>
    </row>
    <row r="446" spans="7:7" x14ac:dyDescent="0.25">
      <c r="G446" s="3" t="e">
        <f t="shared" si="5"/>
        <v>#DIV/0!</v>
      </c>
    </row>
    <row r="447" spans="7:7" x14ac:dyDescent="0.25">
      <c r="G447" s="3" t="e">
        <f t="shared" si="5"/>
        <v>#DIV/0!</v>
      </c>
    </row>
    <row r="448" spans="7:7" x14ac:dyDescent="0.25">
      <c r="G448" s="3" t="e">
        <f t="shared" si="5"/>
        <v>#DIV/0!</v>
      </c>
    </row>
    <row r="449" spans="7:7" x14ac:dyDescent="0.25">
      <c r="G449" s="3" t="e">
        <f t="shared" si="5"/>
        <v>#DIV/0!</v>
      </c>
    </row>
    <row r="450" spans="7:7" x14ac:dyDescent="0.25">
      <c r="G450" s="3" t="e">
        <f t="shared" si="5"/>
        <v>#DIV/0!</v>
      </c>
    </row>
    <row r="451" spans="7:7" x14ac:dyDescent="0.25">
      <c r="G451" s="3" t="e">
        <f t="shared" si="5"/>
        <v>#DIV/0!</v>
      </c>
    </row>
    <row r="452" spans="7:7" x14ac:dyDescent="0.25">
      <c r="G452" s="3" t="e">
        <f t="shared" si="5"/>
        <v>#DIV/0!</v>
      </c>
    </row>
    <row r="453" spans="7:7" x14ac:dyDescent="0.25">
      <c r="G453" s="3" t="e">
        <f t="shared" si="5"/>
        <v>#DIV/0!</v>
      </c>
    </row>
    <row r="454" spans="7:7" x14ac:dyDescent="0.25">
      <c r="G454" s="3" t="e">
        <f t="shared" si="5"/>
        <v>#DIV/0!</v>
      </c>
    </row>
    <row r="455" spans="7:7" x14ac:dyDescent="0.25">
      <c r="G455" s="3" t="e">
        <f t="shared" si="5"/>
        <v>#DIV/0!</v>
      </c>
    </row>
    <row r="456" spans="7:7" x14ac:dyDescent="0.25">
      <c r="G456" s="3" t="e">
        <f t="shared" si="5"/>
        <v>#DIV/0!</v>
      </c>
    </row>
    <row r="457" spans="7:7" x14ac:dyDescent="0.25">
      <c r="G457" s="3" t="e">
        <f t="shared" si="5"/>
        <v>#DIV/0!</v>
      </c>
    </row>
    <row r="458" spans="7:7" x14ac:dyDescent="0.25">
      <c r="G458" s="3" t="e">
        <f t="shared" si="5"/>
        <v>#DIV/0!</v>
      </c>
    </row>
    <row r="459" spans="7:7" x14ac:dyDescent="0.25">
      <c r="G459" s="3" t="e">
        <f t="shared" si="5"/>
        <v>#DIV/0!</v>
      </c>
    </row>
    <row r="460" spans="7:7" x14ac:dyDescent="0.25">
      <c r="G460" s="3" t="e">
        <f t="shared" si="5"/>
        <v>#DIV/0!</v>
      </c>
    </row>
    <row r="461" spans="7:7" x14ac:dyDescent="0.25">
      <c r="G461" s="3" t="e">
        <f t="shared" si="5"/>
        <v>#DIV/0!</v>
      </c>
    </row>
    <row r="462" spans="7:7" x14ac:dyDescent="0.25">
      <c r="G462" s="3" t="e">
        <f t="shared" si="5"/>
        <v>#DIV/0!</v>
      </c>
    </row>
    <row r="463" spans="7:7" x14ac:dyDescent="0.25">
      <c r="G463" s="3" t="e">
        <f t="shared" si="5"/>
        <v>#DIV/0!</v>
      </c>
    </row>
    <row r="464" spans="7:7" x14ac:dyDescent="0.25">
      <c r="G464" s="3" t="e">
        <f t="shared" si="5"/>
        <v>#DIV/0!</v>
      </c>
    </row>
    <row r="465" spans="7:7" x14ac:dyDescent="0.25">
      <c r="G465" s="3" t="e">
        <f t="shared" si="5"/>
        <v>#DIV/0!</v>
      </c>
    </row>
    <row r="466" spans="7:7" x14ac:dyDescent="0.25">
      <c r="G466" s="3" t="e">
        <f t="shared" si="5"/>
        <v>#DIV/0!</v>
      </c>
    </row>
    <row r="467" spans="7:7" x14ac:dyDescent="0.25">
      <c r="G467" s="3" t="e">
        <f t="shared" si="5"/>
        <v>#DIV/0!</v>
      </c>
    </row>
    <row r="468" spans="7:7" x14ac:dyDescent="0.25">
      <c r="G468" s="3" t="e">
        <f t="shared" si="5"/>
        <v>#DIV/0!</v>
      </c>
    </row>
    <row r="469" spans="7:7" x14ac:dyDescent="0.25">
      <c r="G469" s="3" t="e">
        <f t="shared" si="5"/>
        <v>#DIV/0!</v>
      </c>
    </row>
    <row r="470" spans="7:7" x14ac:dyDescent="0.25">
      <c r="G470" s="3" t="e">
        <f t="shared" si="5"/>
        <v>#DIV/0!</v>
      </c>
    </row>
    <row r="471" spans="7:7" x14ac:dyDescent="0.25">
      <c r="G471" s="3" t="e">
        <f t="shared" si="5"/>
        <v>#DIV/0!</v>
      </c>
    </row>
    <row r="472" spans="7:7" x14ac:dyDescent="0.25">
      <c r="G472" s="3" t="e">
        <f t="shared" si="5"/>
        <v>#DIV/0!</v>
      </c>
    </row>
    <row r="473" spans="7:7" x14ac:dyDescent="0.25">
      <c r="G473" s="3" t="e">
        <f t="shared" si="5"/>
        <v>#DIV/0!</v>
      </c>
    </row>
    <row r="474" spans="7:7" x14ac:dyDescent="0.25">
      <c r="G474" s="3" t="e">
        <f t="shared" si="5"/>
        <v>#DIV/0!</v>
      </c>
    </row>
    <row r="475" spans="7:7" x14ac:dyDescent="0.25">
      <c r="G475" s="3" t="e">
        <f t="shared" si="5"/>
        <v>#DIV/0!</v>
      </c>
    </row>
    <row r="476" spans="7:7" x14ac:dyDescent="0.25">
      <c r="G476" s="3" t="e">
        <f t="shared" si="5"/>
        <v>#DIV/0!</v>
      </c>
    </row>
    <row r="477" spans="7:7" x14ac:dyDescent="0.25">
      <c r="G477" s="3" t="e">
        <f t="shared" si="5"/>
        <v>#DIV/0!</v>
      </c>
    </row>
    <row r="478" spans="7:7" x14ac:dyDescent="0.25">
      <c r="G478" s="3" t="e">
        <f t="shared" si="5"/>
        <v>#DIV/0!</v>
      </c>
    </row>
    <row r="479" spans="7:7" x14ac:dyDescent="0.25">
      <c r="G479" s="3" t="e">
        <f t="shared" si="5"/>
        <v>#DIV/0!</v>
      </c>
    </row>
    <row r="480" spans="7:7" x14ac:dyDescent="0.25">
      <c r="G480" s="3" t="e">
        <f t="shared" si="5"/>
        <v>#DIV/0!</v>
      </c>
    </row>
    <row r="481" spans="7:7" x14ac:dyDescent="0.25">
      <c r="G481" s="3" t="e">
        <f t="shared" si="5"/>
        <v>#DIV/0!</v>
      </c>
    </row>
    <row r="482" spans="7:7" x14ac:dyDescent="0.25">
      <c r="G482" s="3" t="e">
        <f t="shared" si="5"/>
        <v>#DIV/0!</v>
      </c>
    </row>
    <row r="483" spans="7:7" x14ac:dyDescent="0.25">
      <c r="G483" s="3" t="e">
        <f t="shared" si="5"/>
        <v>#DIV/0!</v>
      </c>
    </row>
    <row r="484" spans="7:7" x14ac:dyDescent="0.25">
      <c r="G484" s="3" t="e">
        <f t="shared" si="5"/>
        <v>#DIV/0!</v>
      </c>
    </row>
    <row r="485" spans="7:7" x14ac:dyDescent="0.25">
      <c r="G485" s="3" t="e">
        <f t="shared" si="5"/>
        <v>#DIV/0!</v>
      </c>
    </row>
    <row r="486" spans="7:7" x14ac:dyDescent="0.25">
      <c r="G486" s="3" t="e">
        <f t="shared" si="5"/>
        <v>#DIV/0!</v>
      </c>
    </row>
    <row r="487" spans="7:7" x14ac:dyDescent="0.25">
      <c r="G487" s="3" t="e">
        <f t="shared" si="5"/>
        <v>#DIV/0!</v>
      </c>
    </row>
    <row r="488" spans="7:7" x14ac:dyDescent="0.25">
      <c r="G488" s="3" t="e">
        <f t="shared" si="5"/>
        <v>#DIV/0!</v>
      </c>
    </row>
    <row r="489" spans="7:7" x14ac:dyDescent="0.25">
      <c r="G489" s="3" t="e">
        <f t="shared" si="5"/>
        <v>#DIV/0!</v>
      </c>
    </row>
    <row r="490" spans="7:7" x14ac:dyDescent="0.25">
      <c r="G490" s="3" t="e">
        <f t="shared" si="5"/>
        <v>#DIV/0!</v>
      </c>
    </row>
    <row r="491" spans="7:7" x14ac:dyDescent="0.25">
      <c r="G491" s="3" t="e">
        <f t="shared" si="5"/>
        <v>#DIV/0!</v>
      </c>
    </row>
    <row r="492" spans="7:7" x14ac:dyDescent="0.25">
      <c r="G492" s="3" t="e">
        <f t="shared" si="5"/>
        <v>#DIV/0!</v>
      </c>
    </row>
    <row r="493" spans="7:7" x14ac:dyDescent="0.25">
      <c r="G493" s="3" t="e">
        <f t="shared" si="5"/>
        <v>#DIV/0!</v>
      </c>
    </row>
    <row r="494" spans="7:7" x14ac:dyDescent="0.25">
      <c r="G494" s="3" t="e">
        <f t="shared" si="5"/>
        <v>#DIV/0!</v>
      </c>
    </row>
    <row r="495" spans="7:7" x14ac:dyDescent="0.25">
      <c r="G495" s="3" t="e">
        <f t="shared" si="5"/>
        <v>#DIV/0!</v>
      </c>
    </row>
    <row r="496" spans="7:7" x14ac:dyDescent="0.25">
      <c r="G496" s="3" t="e">
        <f t="shared" ref="G496:G559" si="6">F496/D496</f>
        <v>#DIV/0!</v>
      </c>
    </row>
    <row r="497" spans="7:7" x14ac:dyDescent="0.25">
      <c r="G497" s="3" t="e">
        <f t="shared" si="6"/>
        <v>#DIV/0!</v>
      </c>
    </row>
    <row r="498" spans="7:7" x14ac:dyDescent="0.25">
      <c r="G498" s="3" t="e">
        <f t="shared" si="6"/>
        <v>#DIV/0!</v>
      </c>
    </row>
    <row r="499" spans="7:7" x14ac:dyDescent="0.25">
      <c r="G499" s="3" t="e">
        <f t="shared" si="6"/>
        <v>#DIV/0!</v>
      </c>
    </row>
    <row r="500" spans="7:7" x14ac:dyDescent="0.25">
      <c r="G500" s="3" t="e">
        <f t="shared" si="6"/>
        <v>#DIV/0!</v>
      </c>
    </row>
    <row r="501" spans="7:7" x14ac:dyDescent="0.25">
      <c r="G501" s="3" t="e">
        <f t="shared" si="6"/>
        <v>#DIV/0!</v>
      </c>
    </row>
    <row r="502" spans="7:7" x14ac:dyDescent="0.25">
      <c r="G502" s="3" t="e">
        <f t="shared" si="6"/>
        <v>#DIV/0!</v>
      </c>
    </row>
    <row r="503" spans="7:7" x14ac:dyDescent="0.25">
      <c r="G503" s="3" t="e">
        <f t="shared" si="6"/>
        <v>#DIV/0!</v>
      </c>
    </row>
    <row r="504" spans="7:7" x14ac:dyDescent="0.25">
      <c r="G504" s="3" t="e">
        <f t="shared" si="6"/>
        <v>#DIV/0!</v>
      </c>
    </row>
    <row r="505" spans="7:7" x14ac:dyDescent="0.25">
      <c r="G505" s="3" t="e">
        <f t="shared" si="6"/>
        <v>#DIV/0!</v>
      </c>
    </row>
    <row r="506" spans="7:7" x14ac:dyDescent="0.25">
      <c r="G506" s="3" t="e">
        <f t="shared" si="6"/>
        <v>#DIV/0!</v>
      </c>
    </row>
    <row r="507" spans="7:7" x14ac:dyDescent="0.25">
      <c r="G507" s="3" t="e">
        <f t="shared" si="6"/>
        <v>#DIV/0!</v>
      </c>
    </row>
    <row r="508" spans="7:7" x14ac:dyDescent="0.25">
      <c r="G508" s="3" t="e">
        <f t="shared" si="6"/>
        <v>#DIV/0!</v>
      </c>
    </row>
    <row r="509" spans="7:7" x14ac:dyDescent="0.25">
      <c r="G509" s="3" t="e">
        <f t="shared" si="6"/>
        <v>#DIV/0!</v>
      </c>
    </row>
    <row r="510" spans="7:7" x14ac:dyDescent="0.25">
      <c r="G510" s="3" t="e">
        <f t="shared" si="6"/>
        <v>#DIV/0!</v>
      </c>
    </row>
    <row r="511" spans="7:7" x14ac:dyDescent="0.25">
      <c r="G511" s="3" t="e">
        <f t="shared" si="6"/>
        <v>#DIV/0!</v>
      </c>
    </row>
    <row r="512" spans="7:7" x14ac:dyDescent="0.25">
      <c r="G512" s="3" t="e">
        <f t="shared" si="6"/>
        <v>#DIV/0!</v>
      </c>
    </row>
    <row r="513" spans="7:7" x14ac:dyDescent="0.25">
      <c r="G513" s="3" t="e">
        <f t="shared" si="6"/>
        <v>#DIV/0!</v>
      </c>
    </row>
    <row r="514" spans="7:7" x14ac:dyDescent="0.25">
      <c r="G514" s="3" t="e">
        <f t="shared" si="6"/>
        <v>#DIV/0!</v>
      </c>
    </row>
    <row r="515" spans="7:7" x14ac:dyDescent="0.25">
      <c r="G515" s="3" t="e">
        <f t="shared" si="6"/>
        <v>#DIV/0!</v>
      </c>
    </row>
    <row r="516" spans="7:7" x14ac:dyDescent="0.25">
      <c r="G516" s="3" t="e">
        <f t="shared" si="6"/>
        <v>#DIV/0!</v>
      </c>
    </row>
    <row r="517" spans="7:7" x14ac:dyDescent="0.25">
      <c r="G517" s="3" t="e">
        <f t="shared" si="6"/>
        <v>#DIV/0!</v>
      </c>
    </row>
    <row r="518" spans="7:7" x14ac:dyDescent="0.25">
      <c r="G518" s="3" t="e">
        <f t="shared" si="6"/>
        <v>#DIV/0!</v>
      </c>
    </row>
    <row r="519" spans="7:7" x14ac:dyDescent="0.25">
      <c r="G519" s="3" t="e">
        <f t="shared" si="6"/>
        <v>#DIV/0!</v>
      </c>
    </row>
    <row r="520" spans="7:7" x14ac:dyDescent="0.25">
      <c r="G520" s="3" t="e">
        <f t="shared" si="6"/>
        <v>#DIV/0!</v>
      </c>
    </row>
    <row r="521" spans="7:7" x14ac:dyDescent="0.25">
      <c r="G521" s="3" t="e">
        <f t="shared" si="6"/>
        <v>#DIV/0!</v>
      </c>
    </row>
    <row r="522" spans="7:7" x14ac:dyDescent="0.25">
      <c r="G522" s="3" t="e">
        <f t="shared" si="6"/>
        <v>#DIV/0!</v>
      </c>
    </row>
    <row r="523" spans="7:7" x14ac:dyDescent="0.25">
      <c r="G523" s="3" t="e">
        <f t="shared" si="6"/>
        <v>#DIV/0!</v>
      </c>
    </row>
    <row r="524" spans="7:7" x14ac:dyDescent="0.25">
      <c r="G524" s="3" t="e">
        <f t="shared" si="6"/>
        <v>#DIV/0!</v>
      </c>
    </row>
    <row r="525" spans="7:7" x14ac:dyDescent="0.25">
      <c r="G525" s="3" t="e">
        <f t="shared" si="6"/>
        <v>#DIV/0!</v>
      </c>
    </row>
    <row r="526" spans="7:7" x14ac:dyDescent="0.25">
      <c r="G526" s="3" t="e">
        <f t="shared" si="6"/>
        <v>#DIV/0!</v>
      </c>
    </row>
    <row r="527" spans="7:7" x14ac:dyDescent="0.25">
      <c r="G527" s="3" t="e">
        <f t="shared" si="6"/>
        <v>#DIV/0!</v>
      </c>
    </row>
    <row r="528" spans="7:7" x14ac:dyDescent="0.25">
      <c r="G528" s="3" t="e">
        <f t="shared" si="6"/>
        <v>#DIV/0!</v>
      </c>
    </row>
    <row r="529" spans="7:7" x14ac:dyDescent="0.25">
      <c r="G529" s="3" t="e">
        <f t="shared" si="6"/>
        <v>#DIV/0!</v>
      </c>
    </row>
    <row r="530" spans="7:7" x14ac:dyDescent="0.25">
      <c r="G530" s="3" t="e">
        <f t="shared" si="6"/>
        <v>#DIV/0!</v>
      </c>
    </row>
    <row r="531" spans="7:7" x14ac:dyDescent="0.25">
      <c r="G531" s="3" t="e">
        <f t="shared" si="6"/>
        <v>#DIV/0!</v>
      </c>
    </row>
    <row r="532" spans="7:7" x14ac:dyDescent="0.25">
      <c r="G532" s="3" t="e">
        <f t="shared" si="6"/>
        <v>#DIV/0!</v>
      </c>
    </row>
    <row r="533" spans="7:7" x14ac:dyDescent="0.25">
      <c r="G533" s="3" t="e">
        <f t="shared" si="6"/>
        <v>#DIV/0!</v>
      </c>
    </row>
    <row r="534" spans="7:7" x14ac:dyDescent="0.25">
      <c r="G534" s="3" t="e">
        <f t="shared" si="6"/>
        <v>#DIV/0!</v>
      </c>
    </row>
    <row r="535" spans="7:7" x14ac:dyDescent="0.25">
      <c r="G535" s="3" t="e">
        <f t="shared" si="6"/>
        <v>#DIV/0!</v>
      </c>
    </row>
    <row r="536" spans="7:7" x14ac:dyDescent="0.25">
      <c r="G536" s="3" t="e">
        <f t="shared" si="6"/>
        <v>#DIV/0!</v>
      </c>
    </row>
    <row r="537" spans="7:7" x14ac:dyDescent="0.25">
      <c r="G537" s="3" t="e">
        <f t="shared" si="6"/>
        <v>#DIV/0!</v>
      </c>
    </row>
    <row r="538" spans="7:7" x14ac:dyDescent="0.25">
      <c r="G538" s="3" t="e">
        <f t="shared" si="6"/>
        <v>#DIV/0!</v>
      </c>
    </row>
    <row r="539" spans="7:7" x14ac:dyDescent="0.25">
      <c r="G539" s="3" t="e">
        <f t="shared" si="6"/>
        <v>#DIV/0!</v>
      </c>
    </row>
    <row r="540" spans="7:7" x14ac:dyDescent="0.25">
      <c r="G540" s="3" t="e">
        <f t="shared" si="6"/>
        <v>#DIV/0!</v>
      </c>
    </row>
    <row r="541" spans="7:7" x14ac:dyDescent="0.25">
      <c r="G541" s="3" t="e">
        <f t="shared" si="6"/>
        <v>#DIV/0!</v>
      </c>
    </row>
    <row r="542" spans="7:7" x14ac:dyDescent="0.25">
      <c r="G542" s="3" t="e">
        <f t="shared" si="6"/>
        <v>#DIV/0!</v>
      </c>
    </row>
    <row r="543" spans="7:7" x14ac:dyDescent="0.25">
      <c r="G543" s="3" t="e">
        <f t="shared" si="6"/>
        <v>#DIV/0!</v>
      </c>
    </row>
    <row r="544" spans="7:7" x14ac:dyDescent="0.25">
      <c r="G544" s="3" t="e">
        <f t="shared" si="6"/>
        <v>#DIV/0!</v>
      </c>
    </row>
    <row r="545" spans="7:7" x14ac:dyDescent="0.25">
      <c r="G545" s="3" t="e">
        <f t="shared" si="6"/>
        <v>#DIV/0!</v>
      </c>
    </row>
    <row r="546" spans="7:7" x14ac:dyDescent="0.25">
      <c r="G546" s="3" t="e">
        <f t="shared" si="6"/>
        <v>#DIV/0!</v>
      </c>
    </row>
    <row r="547" spans="7:7" x14ac:dyDescent="0.25">
      <c r="G547" s="3" t="e">
        <f t="shared" si="6"/>
        <v>#DIV/0!</v>
      </c>
    </row>
    <row r="548" spans="7:7" x14ac:dyDescent="0.25">
      <c r="G548" s="3" t="e">
        <f t="shared" si="6"/>
        <v>#DIV/0!</v>
      </c>
    </row>
    <row r="549" spans="7:7" x14ac:dyDescent="0.25">
      <c r="G549" s="3" t="e">
        <f t="shared" si="6"/>
        <v>#DIV/0!</v>
      </c>
    </row>
    <row r="550" spans="7:7" x14ac:dyDescent="0.25">
      <c r="G550" s="3" t="e">
        <f t="shared" si="6"/>
        <v>#DIV/0!</v>
      </c>
    </row>
    <row r="551" spans="7:7" x14ac:dyDescent="0.25">
      <c r="G551" s="3" t="e">
        <f t="shared" si="6"/>
        <v>#DIV/0!</v>
      </c>
    </row>
    <row r="552" spans="7:7" x14ac:dyDescent="0.25">
      <c r="G552" s="3" t="e">
        <f t="shared" si="6"/>
        <v>#DIV/0!</v>
      </c>
    </row>
    <row r="553" spans="7:7" x14ac:dyDescent="0.25">
      <c r="G553" s="3" t="e">
        <f t="shared" si="6"/>
        <v>#DIV/0!</v>
      </c>
    </row>
    <row r="554" spans="7:7" x14ac:dyDescent="0.25">
      <c r="G554" s="3" t="e">
        <f t="shared" si="6"/>
        <v>#DIV/0!</v>
      </c>
    </row>
    <row r="555" spans="7:7" x14ac:dyDescent="0.25">
      <c r="G555" s="3" t="e">
        <f t="shared" si="6"/>
        <v>#DIV/0!</v>
      </c>
    </row>
    <row r="556" spans="7:7" x14ac:dyDescent="0.25">
      <c r="G556" s="3" t="e">
        <f t="shared" si="6"/>
        <v>#DIV/0!</v>
      </c>
    </row>
    <row r="557" spans="7:7" x14ac:dyDescent="0.25">
      <c r="G557" s="3" t="e">
        <f t="shared" si="6"/>
        <v>#DIV/0!</v>
      </c>
    </row>
    <row r="558" spans="7:7" x14ac:dyDescent="0.25">
      <c r="G558" s="3" t="e">
        <f t="shared" si="6"/>
        <v>#DIV/0!</v>
      </c>
    </row>
    <row r="559" spans="7:7" x14ac:dyDescent="0.25">
      <c r="G559" s="3" t="e">
        <f t="shared" si="6"/>
        <v>#DIV/0!</v>
      </c>
    </row>
    <row r="560" spans="7:7" x14ac:dyDescent="0.25">
      <c r="G560" s="3" t="e">
        <f t="shared" ref="G560:G623" si="7">F560/D560</f>
        <v>#DIV/0!</v>
      </c>
    </row>
    <row r="561" spans="7:7" x14ac:dyDescent="0.25">
      <c r="G561" s="3" t="e">
        <f t="shared" si="7"/>
        <v>#DIV/0!</v>
      </c>
    </row>
    <row r="562" spans="7:7" x14ac:dyDescent="0.25">
      <c r="G562" s="3" t="e">
        <f t="shared" si="7"/>
        <v>#DIV/0!</v>
      </c>
    </row>
    <row r="563" spans="7:7" x14ac:dyDescent="0.25">
      <c r="G563" s="3" t="e">
        <f t="shared" si="7"/>
        <v>#DIV/0!</v>
      </c>
    </row>
    <row r="564" spans="7:7" x14ac:dyDescent="0.25">
      <c r="G564" s="3" t="e">
        <f t="shared" si="7"/>
        <v>#DIV/0!</v>
      </c>
    </row>
    <row r="565" spans="7:7" x14ac:dyDescent="0.25">
      <c r="G565" s="3" t="e">
        <f t="shared" si="7"/>
        <v>#DIV/0!</v>
      </c>
    </row>
    <row r="566" spans="7:7" x14ac:dyDescent="0.25">
      <c r="G566" s="3" t="e">
        <f t="shared" si="7"/>
        <v>#DIV/0!</v>
      </c>
    </row>
    <row r="567" spans="7:7" x14ac:dyDescent="0.25">
      <c r="G567" s="3" t="e">
        <f t="shared" si="7"/>
        <v>#DIV/0!</v>
      </c>
    </row>
    <row r="568" spans="7:7" x14ac:dyDescent="0.25">
      <c r="G568" s="3" t="e">
        <f t="shared" si="7"/>
        <v>#DIV/0!</v>
      </c>
    </row>
    <row r="569" spans="7:7" x14ac:dyDescent="0.25">
      <c r="G569" s="3" t="e">
        <f t="shared" si="7"/>
        <v>#DIV/0!</v>
      </c>
    </row>
    <row r="570" spans="7:7" x14ac:dyDescent="0.25">
      <c r="G570" s="3" t="e">
        <f t="shared" si="7"/>
        <v>#DIV/0!</v>
      </c>
    </row>
    <row r="571" spans="7:7" x14ac:dyDescent="0.25">
      <c r="G571" s="3" t="e">
        <f t="shared" si="7"/>
        <v>#DIV/0!</v>
      </c>
    </row>
    <row r="572" spans="7:7" x14ac:dyDescent="0.25">
      <c r="G572" s="3" t="e">
        <f t="shared" si="7"/>
        <v>#DIV/0!</v>
      </c>
    </row>
    <row r="573" spans="7:7" x14ac:dyDescent="0.25">
      <c r="G573" s="3" t="e">
        <f t="shared" si="7"/>
        <v>#DIV/0!</v>
      </c>
    </row>
    <row r="574" spans="7:7" x14ac:dyDescent="0.25">
      <c r="G574" s="3" t="e">
        <f t="shared" si="7"/>
        <v>#DIV/0!</v>
      </c>
    </row>
    <row r="575" spans="7:7" x14ac:dyDescent="0.25">
      <c r="G575" s="3" t="e">
        <f t="shared" si="7"/>
        <v>#DIV/0!</v>
      </c>
    </row>
    <row r="576" spans="7:7" x14ac:dyDescent="0.25">
      <c r="G576" s="3" t="e">
        <f t="shared" si="7"/>
        <v>#DIV/0!</v>
      </c>
    </row>
    <row r="577" spans="7:7" x14ac:dyDescent="0.25">
      <c r="G577" s="3" t="e">
        <f t="shared" si="7"/>
        <v>#DIV/0!</v>
      </c>
    </row>
    <row r="578" spans="7:7" x14ac:dyDescent="0.25">
      <c r="G578" s="3" t="e">
        <f t="shared" si="7"/>
        <v>#DIV/0!</v>
      </c>
    </row>
    <row r="579" spans="7:7" x14ac:dyDescent="0.25">
      <c r="G579" s="3" t="e">
        <f t="shared" si="7"/>
        <v>#DIV/0!</v>
      </c>
    </row>
    <row r="580" spans="7:7" x14ac:dyDescent="0.25">
      <c r="G580" s="3" t="e">
        <f t="shared" si="7"/>
        <v>#DIV/0!</v>
      </c>
    </row>
    <row r="581" spans="7:7" x14ac:dyDescent="0.25">
      <c r="G581" s="3" t="e">
        <f t="shared" si="7"/>
        <v>#DIV/0!</v>
      </c>
    </row>
    <row r="582" spans="7:7" x14ac:dyDescent="0.25">
      <c r="G582" s="3" t="e">
        <f t="shared" si="7"/>
        <v>#DIV/0!</v>
      </c>
    </row>
    <row r="583" spans="7:7" x14ac:dyDescent="0.25">
      <c r="G583" s="3" t="e">
        <f t="shared" si="7"/>
        <v>#DIV/0!</v>
      </c>
    </row>
    <row r="584" spans="7:7" x14ac:dyDescent="0.25">
      <c r="G584" s="3" t="e">
        <f t="shared" si="7"/>
        <v>#DIV/0!</v>
      </c>
    </row>
    <row r="585" spans="7:7" x14ac:dyDescent="0.25">
      <c r="G585" s="3" t="e">
        <f t="shared" si="7"/>
        <v>#DIV/0!</v>
      </c>
    </row>
    <row r="586" spans="7:7" x14ac:dyDescent="0.25">
      <c r="G586" s="3" t="e">
        <f t="shared" si="7"/>
        <v>#DIV/0!</v>
      </c>
    </row>
    <row r="587" spans="7:7" x14ac:dyDescent="0.25">
      <c r="G587" s="3" t="e">
        <f t="shared" si="7"/>
        <v>#DIV/0!</v>
      </c>
    </row>
    <row r="588" spans="7:7" x14ac:dyDescent="0.25">
      <c r="G588" s="3" t="e">
        <f t="shared" si="7"/>
        <v>#DIV/0!</v>
      </c>
    </row>
    <row r="589" spans="7:7" x14ac:dyDescent="0.25">
      <c r="G589" s="3" t="e">
        <f t="shared" si="7"/>
        <v>#DIV/0!</v>
      </c>
    </row>
    <row r="590" spans="7:7" x14ac:dyDescent="0.25">
      <c r="G590" s="3" t="e">
        <f t="shared" si="7"/>
        <v>#DIV/0!</v>
      </c>
    </row>
    <row r="591" spans="7:7" x14ac:dyDescent="0.25">
      <c r="G591" s="3" t="e">
        <f t="shared" si="7"/>
        <v>#DIV/0!</v>
      </c>
    </row>
    <row r="592" spans="7:7" x14ac:dyDescent="0.25">
      <c r="G592" s="3" t="e">
        <f t="shared" si="7"/>
        <v>#DIV/0!</v>
      </c>
    </row>
    <row r="593" spans="7:7" x14ac:dyDescent="0.25">
      <c r="G593" s="3" t="e">
        <f t="shared" si="7"/>
        <v>#DIV/0!</v>
      </c>
    </row>
    <row r="594" spans="7:7" x14ac:dyDescent="0.25">
      <c r="G594" s="3" t="e">
        <f t="shared" si="7"/>
        <v>#DIV/0!</v>
      </c>
    </row>
    <row r="595" spans="7:7" x14ac:dyDescent="0.25">
      <c r="G595" s="3" t="e">
        <f t="shared" si="7"/>
        <v>#DIV/0!</v>
      </c>
    </row>
    <row r="596" spans="7:7" x14ac:dyDescent="0.25">
      <c r="G596" s="3" t="e">
        <f t="shared" si="7"/>
        <v>#DIV/0!</v>
      </c>
    </row>
    <row r="597" spans="7:7" x14ac:dyDescent="0.25">
      <c r="G597" s="3" t="e">
        <f t="shared" si="7"/>
        <v>#DIV/0!</v>
      </c>
    </row>
    <row r="598" spans="7:7" x14ac:dyDescent="0.25">
      <c r="G598" s="3" t="e">
        <f t="shared" si="7"/>
        <v>#DIV/0!</v>
      </c>
    </row>
    <row r="599" spans="7:7" x14ac:dyDescent="0.25">
      <c r="G599" s="3" t="e">
        <f t="shared" si="7"/>
        <v>#DIV/0!</v>
      </c>
    </row>
    <row r="600" spans="7:7" x14ac:dyDescent="0.25">
      <c r="G600" s="3" t="e">
        <f t="shared" si="7"/>
        <v>#DIV/0!</v>
      </c>
    </row>
    <row r="601" spans="7:7" x14ac:dyDescent="0.25">
      <c r="G601" s="3" t="e">
        <f t="shared" si="7"/>
        <v>#DIV/0!</v>
      </c>
    </row>
    <row r="602" spans="7:7" x14ac:dyDescent="0.25">
      <c r="G602" s="3" t="e">
        <f t="shared" si="7"/>
        <v>#DIV/0!</v>
      </c>
    </row>
    <row r="603" spans="7:7" x14ac:dyDescent="0.25">
      <c r="G603" s="3" t="e">
        <f t="shared" si="7"/>
        <v>#DIV/0!</v>
      </c>
    </row>
    <row r="604" spans="7:7" x14ac:dyDescent="0.25">
      <c r="G604" s="3" t="e">
        <f t="shared" si="7"/>
        <v>#DIV/0!</v>
      </c>
    </row>
    <row r="605" spans="7:7" x14ac:dyDescent="0.25">
      <c r="G605" s="3" t="e">
        <f t="shared" si="7"/>
        <v>#DIV/0!</v>
      </c>
    </row>
    <row r="606" spans="7:7" x14ac:dyDescent="0.25">
      <c r="G606" s="3" t="e">
        <f t="shared" si="7"/>
        <v>#DIV/0!</v>
      </c>
    </row>
    <row r="607" spans="7:7" x14ac:dyDescent="0.25">
      <c r="G607" s="3" t="e">
        <f t="shared" si="7"/>
        <v>#DIV/0!</v>
      </c>
    </row>
    <row r="608" spans="7:7" x14ac:dyDescent="0.25">
      <c r="G608" s="3" t="e">
        <f t="shared" si="7"/>
        <v>#DIV/0!</v>
      </c>
    </row>
    <row r="609" spans="7:7" x14ac:dyDescent="0.25">
      <c r="G609" s="3" t="e">
        <f t="shared" si="7"/>
        <v>#DIV/0!</v>
      </c>
    </row>
    <row r="610" spans="7:7" x14ac:dyDescent="0.25">
      <c r="G610" s="3" t="e">
        <f t="shared" si="7"/>
        <v>#DIV/0!</v>
      </c>
    </row>
    <row r="611" spans="7:7" x14ac:dyDescent="0.25">
      <c r="G611" s="3" t="e">
        <f t="shared" si="7"/>
        <v>#DIV/0!</v>
      </c>
    </row>
    <row r="612" spans="7:7" x14ac:dyDescent="0.25">
      <c r="G612" s="3" t="e">
        <f t="shared" si="7"/>
        <v>#DIV/0!</v>
      </c>
    </row>
    <row r="613" spans="7:7" x14ac:dyDescent="0.25">
      <c r="G613" s="3" t="e">
        <f t="shared" si="7"/>
        <v>#DIV/0!</v>
      </c>
    </row>
    <row r="614" spans="7:7" x14ac:dyDescent="0.25">
      <c r="G614" s="3" t="e">
        <f t="shared" si="7"/>
        <v>#DIV/0!</v>
      </c>
    </row>
    <row r="615" spans="7:7" x14ac:dyDescent="0.25">
      <c r="G615" s="3" t="e">
        <f t="shared" si="7"/>
        <v>#DIV/0!</v>
      </c>
    </row>
    <row r="616" spans="7:7" x14ac:dyDescent="0.25">
      <c r="G616" s="3" t="e">
        <f t="shared" si="7"/>
        <v>#DIV/0!</v>
      </c>
    </row>
    <row r="617" spans="7:7" x14ac:dyDescent="0.25">
      <c r="G617" s="3" t="e">
        <f t="shared" si="7"/>
        <v>#DIV/0!</v>
      </c>
    </row>
    <row r="618" spans="7:7" x14ac:dyDescent="0.25">
      <c r="G618" s="3" t="e">
        <f t="shared" si="7"/>
        <v>#DIV/0!</v>
      </c>
    </row>
    <row r="619" spans="7:7" x14ac:dyDescent="0.25">
      <c r="G619" s="3" t="e">
        <f t="shared" si="7"/>
        <v>#DIV/0!</v>
      </c>
    </row>
    <row r="620" spans="7:7" x14ac:dyDescent="0.25">
      <c r="G620" s="3" t="e">
        <f t="shared" si="7"/>
        <v>#DIV/0!</v>
      </c>
    </row>
    <row r="621" spans="7:7" x14ac:dyDescent="0.25">
      <c r="G621" s="3" t="e">
        <f t="shared" si="7"/>
        <v>#DIV/0!</v>
      </c>
    </row>
    <row r="622" spans="7:7" x14ac:dyDescent="0.25">
      <c r="G622" s="3" t="e">
        <f t="shared" si="7"/>
        <v>#DIV/0!</v>
      </c>
    </row>
    <row r="623" spans="7:7" x14ac:dyDescent="0.25">
      <c r="G623" s="3" t="e">
        <f t="shared" si="7"/>
        <v>#DIV/0!</v>
      </c>
    </row>
    <row r="624" spans="7:7" x14ac:dyDescent="0.25">
      <c r="G624" s="3" t="e">
        <f t="shared" ref="G624:G687" si="8">F624/D624</f>
        <v>#DIV/0!</v>
      </c>
    </row>
    <row r="625" spans="7:7" x14ac:dyDescent="0.25">
      <c r="G625" s="3" t="e">
        <f t="shared" si="8"/>
        <v>#DIV/0!</v>
      </c>
    </row>
    <row r="626" spans="7:7" x14ac:dyDescent="0.25">
      <c r="G626" s="3" t="e">
        <f t="shared" si="8"/>
        <v>#DIV/0!</v>
      </c>
    </row>
    <row r="627" spans="7:7" x14ac:dyDescent="0.25">
      <c r="G627" s="3" t="e">
        <f t="shared" si="8"/>
        <v>#DIV/0!</v>
      </c>
    </row>
    <row r="628" spans="7:7" x14ac:dyDescent="0.25">
      <c r="G628" s="3" t="e">
        <f t="shared" si="8"/>
        <v>#DIV/0!</v>
      </c>
    </row>
    <row r="629" spans="7:7" x14ac:dyDescent="0.25">
      <c r="G629" s="3" t="e">
        <f t="shared" si="8"/>
        <v>#DIV/0!</v>
      </c>
    </row>
    <row r="630" spans="7:7" x14ac:dyDescent="0.25">
      <c r="G630" s="3" t="e">
        <f t="shared" si="8"/>
        <v>#DIV/0!</v>
      </c>
    </row>
    <row r="631" spans="7:7" x14ac:dyDescent="0.25">
      <c r="G631" s="3" t="e">
        <f t="shared" si="8"/>
        <v>#DIV/0!</v>
      </c>
    </row>
    <row r="632" spans="7:7" x14ac:dyDescent="0.25">
      <c r="G632" s="3" t="e">
        <f t="shared" si="8"/>
        <v>#DIV/0!</v>
      </c>
    </row>
    <row r="633" spans="7:7" x14ac:dyDescent="0.25">
      <c r="G633" s="3" t="e">
        <f t="shared" si="8"/>
        <v>#DIV/0!</v>
      </c>
    </row>
    <row r="634" spans="7:7" x14ac:dyDescent="0.25">
      <c r="G634" s="3" t="e">
        <f t="shared" si="8"/>
        <v>#DIV/0!</v>
      </c>
    </row>
    <row r="635" spans="7:7" x14ac:dyDescent="0.25">
      <c r="G635" s="3" t="e">
        <f t="shared" si="8"/>
        <v>#DIV/0!</v>
      </c>
    </row>
    <row r="636" spans="7:7" x14ac:dyDescent="0.25">
      <c r="G636" s="3" t="e">
        <f t="shared" si="8"/>
        <v>#DIV/0!</v>
      </c>
    </row>
    <row r="637" spans="7:7" x14ac:dyDescent="0.25">
      <c r="G637" s="3" t="e">
        <f t="shared" si="8"/>
        <v>#DIV/0!</v>
      </c>
    </row>
    <row r="638" spans="7:7" x14ac:dyDescent="0.25">
      <c r="G638" s="3" t="e">
        <f t="shared" si="8"/>
        <v>#DIV/0!</v>
      </c>
    </row>
    <row r="639" spans="7:7" x14ac:dyDescent="0.25">
      <c r="G639" s="3" t="e">
        <f t="shared" si="8"/>
        <v>#DIV/0!</v>
      </c>
    </row>
    <row r="640" spans="7:7" x14ac:dyDescent="0.25">
      <c r="G640" s="3" t="e">
        <f t="shared" si="8"/>
        <v>#DIV/0!</v>
      </c>
    </row>
    <row r="641" spans="7:7" x14ac:dyDescent="0.25">
      <c r="G641" s="3" t="e">
        <f t="shared" si="8"/>
        <v>#DIV/0!</v>
      </c>
    </row>
    <row r="642" spans="7:7" x14ac:dyDescent="0.25">
      <c r="G642" s="3" t="e">
        <f t="shared" si="8"/>
        <v>#DIV/0!</v>
      </c>
    </row>
    <row r="643" spans="7:7" x14ac:dyDescent="0.25">
      <c r="G643" s="3" t="e">
        <f t="shared" si="8"/>
        <v>#DIV/0!</v>
      </c>
    </row>
    <row r="644" spans="7:7" x14ac:dyDescent="0.25">
      <c r="G644" s="3" t="e">
        <f t="shared" si="8"/>
        <v>#DIV/0!</v>
      </c>
    </row>
    <row r="645" spans="7:7" x14ac:dyDescent="0.25">
      <c r="G645" s="3" t="e">
        <f t="shared" si="8"/>
        <v>#DIV/0!</v>
      </c>
    </row>
    <row r="646" spans="7:7" x14ac:dyDescent="0.25">
      <c r="G646" s="3" t="e">
        <f t="shared" si="8"/>
        <v>#DIV/0!</v>
      </c>
    </row>
    <row r="647" spans="7:7" x14ac:dyDescent="0.25">
      <c r="G647" s="3" t="e">
        <f t="shared" si="8"/>
        <v>#DIV/0!</v>
      </c>
    </row>
    <row r="648" spans="7:7" x14ac:dyDescent="0.25">
      <c r="G648" s="3" t="e">
        <f t="shared" si="8"/>
        <v>#DIV/0!</v>
      </c>
    </row>
    <row r="649" spans="7:7" x14ac:dyDescent="0.25">
      <c r="G649" s="3" t="e">
        <f t="shared" si="8"/>
        <v>#DIV/0!</v>
      </c>
    </row>
    <row r="650" spans="7:7" x14ac:dyDescent="0.25">
      <c r="G650" s="3" t="e">
        <f t="shared" si="8"/>
        <v>#DIV/0!</v>
      </c>
    </row>
    <row r="651" spans="7:7" x14ac:dyDescent="0.25">
      <c r="G651" s="3" t="e">
        <f t="shared" si="8"/>
        <v>#DIV/0!</v>
      </c>
    </row>
    <row r="652" spans="7:7" x14ac:dyDescent="0.25">
      <c r="G652" s="3" t="e">
        <f t="shared" si="8"/>
        <v>#DIV/0!</v>
      </c>
    </row>
    <row r="653" spans="7:7" x14ac:dyDescent="0.25">
      <c r="G653" s="3" t="e">
        <f t="shared" si="8"/>
        <v>#DIV/0!</v>
      </c>
    </row>
    <row r="654" spans="7:7" x14ac:dyDescent="0.25">
      <c r="G654" s="3" t="e">
        <f t="shared" si="8"/>
        <v>#DIV/0!</v>
      </c>
    </row>
    <row r="655" spans="7:7" x14ac:dyDescent="0.25">
      <c r="G655" s="3" t="e">
        <f t="shared" si="8"/>
        <v>#DIV/0!</v>
      </c>
    </row>
    <row r="656" spans="7:7" x14ac:dyDescent="0.25">
      <c r="G656" s="3" t="e">
        <f t="shared" si="8"/>
        <v>#DIV/0!</v>
      </c>
    </row>
    <row r="657" spans="7:7" x14ac:dyDescent="0.25">
      <c r="G657" s="3" t="e">
        <f t="shared" si="8"/>
        <v>#DIV/0!</v>
      </c>
    </row>
    <row r="658" spans="7:7" x14ac:dyDescent="0.25">
      <c r="G658" s="3" t="e">
        <f t="shared" si="8"/>
        <v>#DIV/0!</v>
      </c>
    </row>
    <row r="659" spans="7:7" x14ac:dyDescent="0.25">
      <c r="G659" s="3" t="e">
        <f t="shared" si="8"/>
        <v>#DIV/0!</v>
      </c>
    </row>
    <row r="660" spans="7:7" x14ac:dyDescent="0.25">
      <c r="G660" s="3" t="e">
        <f t="shared" si="8"/>
        <v>#DIV/0!</v>
      </c>
    </row>
    <row r="661" spans="7:7" x14ac:dyDescent="0.25">
      <c r="G661" s="3" t="e">
        <f t="shared" si="8"/>
        <v>#DIV/0!</v>
      </c>
    </row>
    <row r="662" spans="7:7" x14ac:dyDescent="0.25">
      <c r="G662" s="3" t="e">
        <f t="shared" si="8"/>
        <v>#DIV/0!</v>
      </c>
    </row>
    <row r="663" spans="7:7" x14ac:dyDescent="0.25">
      <c r="G663" s="3" t="e">
        <f t="shared" si="8"/>
        <v>#DIV/0!</v>
      </c>
    </row>
    <row r="664" spans="7:7" x14ac:dyDescent="0.25">
      <c r="G664" s="3" t="e">
        <f t="shared" si="8"/>
        <v>#DIV/0!</v>
      </c>
    </row>
    <row r="665" spans="7:7" x14ac:dyDescent="0.25">
      <c r="G665" s="3" t="e">
        <f t="shared" si="8"/>
        <v>#DIV/0!</v>
      </c>
    </row>
    <row r="666" spans="7:7" x14ac:dyDescent="0.25">
      <c r="G666" s="3" t="e">
        <f t="shared" si="8"/>
        <v>#DIV/0!</v>
      </c>
    </row>
    <row r="667" spans="7:7" x14ac:dyDescent="0.25">
      <c r="G667" s="3" t="e">
        <f t="shared" si="8"/>
        <v>#DIV/0!</v>
      </c>
    </row>
    <row r="668" spans="7:7" x14ac:dyDescent="0.25">
      <c r="G668" s="3" t="e">
        <f t="shared" si="8"/>
        <v>#DIV/0!</v>
      </c>
    </row>
    <row r="669" spans="7:7" x14ac:dyDescent="0.25">
      <c r="G669" s="3" t="e">
        <f t="shared" si="8"/>
        <v>#DIV/0!</v>
      </c>
    </row>
    <row r="670" spans="7:7" x14ac:dyDescent="0.25">
      <c r="G670" s="3" t="e">
        <f t="shared" si="8"/>
        <v>#DIV/0!</v>
      </c>
    </row>
    <row r="671" spans="7:7" x14ac:dyDescent="0.25">
      <c r="G671" s="3" t="e">
        <f t="shared" si="8"/>
        <v>#DIV/0!</v>
      </c>
    </row>
    <row r="672" spans="7:7" x14ac:dyDescent="0.25">
      <c r="G672" s="3" t="e">
        <f t="shared" si="8"/>
        <v>#DIV/0!</v>
      </c>
    </row>
    <row r="673" spans="7:7" x14ac:dyDescent="0.25">
      <c r="G673" s="3" t="e">
        <f t="shared" si="8"/>
        <v>#DIV/0!</v>
      </c>
    </row>
    <row r="674" spans="7:7" x14ac:dyDescent="0.25">
      <c r="G674" s="3" t="e">
        <f t="shared" si="8"/>
        <v>#DIV/0!</v>
      </c>
    </row>
    <row r="675" spans="7:7" x14ac:dyDescent="0.25">
      <c r="G675" s="3" t="e">
        <f t="shared" si="8"/>
        <v>#DIV/0!</v>
      </c>
    </row>
    <row r="676" spans="7:7" x14ac:dyDescent="0.25">
      <c r="G676" s="3" t="e">
        <f t="shared" si="8"/>
        <v>#DIV/0!</v>
      </c>
    </row>
    <row r="677" spans="7:7" x14ac:dyDescent="0.25">
      <c r="G677" s="3" t="e">
        <f t="shared" si="8"/>
        <v>#DIV/0!</v>
      </c>
    </row>
    <row r="678" spans="7:7" x14ac:dyDescent="0.25">
      <c r="G678" s="3" t="e">
        <f t="shared" si="8"/>
        <v>#DIV/0!</v>
      </c>
    </row>
    <row r="679" spans="7:7" x14ac:dyDescent="0.25">
      <c r="G679" s="3" t="e">
        <f t="shared" si="8"/>
        <v>#DIV/0!</v>
      </c>
    </row>
    <row r="680" spans="7:7" x14ac:dyDescent="0.25">
      <c r="G680" s="3" t="e">
        <f t="shared" si="8"/>
        <v>#DIV/0!</v>
      </c>
    </row>
    <row r="681" spans="7:7" x14ac:dyDescent="0.25">
      <c r="G681" s="3" t="e">
        <f t="shared" si="8"/>
        <v>#DIV/0!</v>
      </c>
    </row>
    <row r="682" spans="7:7" x14ac:dyDescent="0.25">
      <c r="G682" s="3" t="e">
        <f t="shared" si="8"/>
        <v>#DIV/0!</v>
      </c>
    </row>
    <row r="683" spans="7:7" x14ac:dyDescent="0.25">
      <c r="G683" s="3" t="e">
        <f t="shared" si="8"/>
        <v>#DIV/0!</v>
      </c>
    </row>
    <row r="684" spans="7:7" x14ac:dyDescent="0.25">
      <c r="G684" s="3" t="e">
        <f t="shared" si="8"/>
        <v>#DIV/0!</v>
      </c>
    </row>
    <row r="685" spans="7:7" x14ac:dyDescent="0.25">
      <c r="G685" s="3" t="e">
        <f t="shared" si="8"/>
        <v>#DIV/0!</v>
      </c>
    </row>
    <row r="686" spans="7:7" x14ac:dyDescent="0.25">
      <c r="G686" s="3" t="e">
        <f t="shared" si="8"/>
        <v>#DIV/0!</v>
      </c>
    </row>
    <row r="687" spans="7:7" x14ac:dyDescent="0.25">
      <c r="G687" s="3" t="e">
        <f t="shared" si="8"/>
        <v>#DIV/0!</v>
      </c>
    </row>
    <row r="688" spans="7:7" x14ac:dyDescent="0.25">
      <c r="G688" s="3" t="e">
        <f t="shared" ref="G688:G751" si="9">F688/D688</f>
        <v>#DIV/0!</v>
      </c>
    </row>
    <row r="689" spans="7:7" x14ac:dyDescent="0.25">
      <c r="G689" s="3" t="e">
        <f t="shared" si="9"/>
        <v>#DIV/0!</v>
      </c>
    </row>
    <row r="690" spans="7:7" x14ac:dyDescent="0.25">
      <c r="G690" s="3" t="e">
        <f t="shared" si="9"/>
        <v>#DIV/0!</v>
      </c>
    </row>
    <row r="691" spans="7:7" x14ac:dyDescent="0.25">
      <c r="G691" s="3" t="e">
        <f t="shared" si="9"/>
        <v>#DIV/0!</v>
      </c>
    </row>
    <row r="692" spans="7:7" x14ac:dyDescent="0.25">
      <c r="G692" s="3" t="e">
        <f t="shared" si="9"/>
        <v>#DIV/0!</v>
      </c>
    </row>
    <row r="693" spans="7:7" x14ac:dyDescent="0.25">
      <c r="G693" s="3" t="e">
        <f t="shared" si="9"/>
        <v>#DIV/0!</v>
      </c>
    </row>
    <row r="694" spans="7:7" x14ac:dyDescent="0.25">
      <c r="G694" s="3" t="e">
        <f t="shared" si="9"/>
        <v>#DIV/0!</v>
      </c>
    </row>
    <row r="695" spans="7:7" x14ac:dyDescent="0.25">
      <c r="G695" s="3" t="e">
        <f t="shared" si="9"/>
        <v>#DIV/0!</v>
      </c>
    </row>
    <row r="696" spans="7:7" x14ac:dyDescent="0.25">
      <c r="G696" s="3" t="e">
        <f t="shared" si="9"/>
        <v>#DIV/0!</v>
      </c>
    </row>
    <row r="697" spans="7:7" x14ac:dyDescent="0.25">
      <c r="G697" s="3" t="e">
        <f t="shared" si="9"/>
        <v>#DIV/0!</v>
      </c>
    </row>
    <row r="698" spans="7:7" x14ac:dyDescent="0.25">
      <c r="G698" s="3" t="e">
        <f t="shared" si="9"/>
        <v>#DIV/0!</v>
      </c>
    </row>
    <row r="699" spans="7:7" x14ac:dyDescent="0.25">
      <c r="G699" s="3" t="e">
        <f t="shared" si="9"/>
        <v>#DIV/0!</v>
      </c>
    </row>
    <row r="700" spans="7:7" x14ac:dyDescent="0.25">
      <c r="G700" s="3" t="e">
        <f t="shared" si="9"/>
        <v>#DIV/0!</v>
      </c>
    </row>
    <row r="701" spans="7:7" x14ac:dyDescent="0.25">
      <c r="G701" s="3" t="e">
        <f t="shared" si="9"/>
        <v>#DIV/0!</v>
      </c>
    </row>
    <row r="702" spans="7:7" x14ac:dyDescent="0.25">
      <c r="G702" s="3" t="e">
        <f t="shared" si="9"/>
        <v>#DIV/0!</v>
      </c>
    </row>
    <row r="703" spans="7:7" x14ac:dyDescent="0.25">
      <c r="G703" s="3" t="e">
        <f t="shared" si="9"/>
        <v>#DIV/0!</v>
      </c>
    </row>
    <row r="704" spans="7:7" x14ac:dyDescent="0.25">
      <c r="G704" s="3" t="e">
        <f t="shared" si="9"/>
        <v>#DIV/0!</v>
      </c>
    </row>
    <row r="705" spans="7:7" x14ac:dyDescent="0.25">
      <c r="G705" s="3" t="e">
        <f t="shared" si="9"/>
        <v>#DIV/0!</v>
      </c>
    </row>
    <row r="706" spans="7:7" x14ac:dyDescent="0.25">
      <c r="G706" s="3" t="e">
        <f t="shared" si="9"/>
        <v>#DIV/0!</v>
      </c>
    </row>
    <row r="707" spans="7:7" x14ac:dyDescent="0.25">
      <c r="G707" s="3" t="e">
        <f t="shared" si="9"/>
        <v>#DIV/0!</v>
      </c>
    </row>
    <row r="708" spans="7:7" x14ac:dyDescent="0.25">
      <c r="G708" s="3" t="e">
        <f t="shared" si="9"/>
        <v>#DIV/0!</v>
      </c>
    </row>
    <row r="709" spans="7:7" x14ac:dyDescent="0.25">
      <c r="G709" s="3" t="e">
        <f t="shared" si="9"/>
        <v>#DIV/0!</v>
      </c>
    </row>
    <row r="710" spans="7:7" x14ac:dyDescent="0.25">
      <c r="G710" s="3" t="e">
        <f t="shared" si="9"/>
        <v>#DIV/0!</v>
      </c>
    </row>
    <row r="711" spans="7:7" x14ac:dyDescent="0.25">
      <c r="G711" s="3" t="e">
        <f t="shared" si="9"/>
        <v>#DIV/0!</v>
      </c>
    </row>
    <row r="712" spans="7:7" x14ac:dyDescent="0.25">
      <c r="G712" s="3" t="e">
        <f t="shared" si="9"/>
        <v>#DIV/0!</v>
      </c>
    </row>
    <row r="713" spans="7:7" x14ac:dyDescent="0.25">
      <c r="G713" s="3" t="e">
        <f t="shared" si="9"/>
        <v>#DIV/0!</v>
      </c>
    </row>
    <row r="714" spans="7:7" x14ac:dyDescent="0.25">
      <c r="G714" s="3" t="e">
        <f t="shared" si="9"/>
        <v>#DIV/0!</v>
      </c>
    </row>
    <row r="715" spans="7:7" x14ac:dyDescent="0.25">
      <c r="G715" s="3" t="e">
        <f t="shared" si="9"/>
        <v>#DIV/0!</v>
      </c>
    </row>
    <row r="716" spans="7:7" x14ac:dyDescent="0.25">
      <c r="G716" s="3" t="e">
        <f t="shared" si="9"/>
        <v>#DIV/0!</v>
      </c>
    </row>
    <row r="717" spans="7:7" x14ac:dyDescent="0.25">
      <c r="G717" s="3" t="e">
        <f t="shared" si="9"/>
        <v>#DIV/0!</v>
      </c>
    </row>
    <row r="718" spans="7:7" x14ac:dyDescent="0.25">
      <c r="G718" s="3" t="e">
        <f t="shared" si="9"/>
        <v>#DIV/0!</v>
      </c>
    </row>
    <row r="719" spans="7:7" x14ac:dyDescent="0.25">
      <c r="G719" s="3" t="e">
        <f t="shared" si="9"/>
        <v>#DIV/0!</v>
      </c>
    </row>
    <row r="720" spans="7:7" x14ac:dyDescent="0.25">
      <c r="G720" s="3" t="e">
        <f t="shared" si="9"/>
        <v>#DIV/0!</v>
      </c>
    </row>
    <row r="721" spans="7:7" x14ac:dyDescent="0.25">
      <c r="G721" s="3" t="e">
        <f t="shared" si="9"/>
        <v>#DIV/0!</v>
      </c>
    </row>
    <row r="722" spans="7:7" x14ac:dyDescent="0.25">
      <c r="G722" s="3" t="e">
        <f t="shared" si="9"/>
        <v>#DIV/0!</v>
      </c>
    </row>
    <row r="723" spans="7:7" x14ac:dyDescent="0.25">
      <c r="G723" s="3" t="e">
        <f t="shared" si="9"/>
        <v>#DIV/0!</v>
      </c>
    </row>
    <row r="724" spans="7:7" x14ac:dyDescent="0.25">
      <c r="G724" s="3" t="e">
        <f t="shared" si="9"/>
        <v>#DIV/0!</v>
      </c>
    </row>
    <row r="725" spans="7:7" x14ac:dyDescent="0.25">
      <c r="G725" s="3" t="e">
        <f t="shared" si="9"/>
        <v>#DIV/0!</v>
      </c>
    </row>
    <row r="726" spans="7:7" x14ac:dyDescent="0.25">
      <c r="G726" s="3" t="e">
        <f t="shared" si="9"/>
        <v>#DIV/0!</v>
      </c>
    </row>
    <row r="727" spans="7:7" x14ac:dyDescent="0.25">
      <c r="G727" s="3" t="e">
        <f t="shared" si="9"/>
        <v>#DIV/0!</v>
      </c>
    </row>
    <row r="728" spans="7:7" x14ac:dyDescent="0.25">
      <c r="G728" s="3" t="e">
        <f t="shared" si="9"/>
        <v>#DIV/0!</v>
      </c>
    </row>
    <row r="729" spans="7:7" x14ac:dyDescent="0.25">
      <c r="G729" s="3" t="e">
        <f t="shared" si="9"/>
        <v>#DIV/0!</v>
      </c>
    </row>
    <row r="730" spans="7:7" x14ac:dyDescent="0.25">
      <c r="G730" s="3" t="e">
        <f t="shared" si="9"/>
        <v>#DIV/0!</v>
      </c>
    </row>
    <row r="731" spans="7:7" x14ac:dyDescent="0.25">
      <c r="G731" s="3" t="e">
        <f t="shared" si="9"/>
        <v>#DIV/0!</v>
      </c>
    </row>
    <row r="732" spans="7:7" x14ac:dyDescent="0.25">
      <c r="G732" s="3" t="e">
        <f t="shared" si="9"/>
        <v>#DIV/0!</v>
      </c>
    </row>
    <row r="733" spans="7:7" x14ac:dyDescent="0.25">
      <c r="G733" s="3" t="e">
        <f t="shared" si="9"/>
        <v>#DIV/0!</v>
      </c>
    </row>
    <row r="734" spans="7:7" x14ac:dyDescent="0.25">
      <c r="G734" s="3" t="e">
        <f t="shared" si="9"/>
        <v>#DIV/0!</v>
      </c>
    </row>
    <row r="735" spans="7:7" x14ac:dyDescent="0.25">
      <c r="G735" s="3" t="e">
        <f t="shared" si="9"/>
        <v>#DIV/0!</v>
      </c>
    </row>
    <row r="736" spans="7:7" x14ac:dyDescent="0.25">
      <c r="G736" s="3" t="e">
        <f t="shared" si="9"/>
        <v>#DIV/0!</v>
      </c>
    </row>
    <row r="737" spans="7:7" x14ac:dyDescent="0.25">
      <c r="G737" s="3" t="e">
        <f t="shared" si="9"/>
        <v>#DIV/0!</v>
      </c>
    </row>
    <row r="738" spans="7:7" x14ac:dyDescent="0.25">
      <c r="G738" s="3" t="e">
        <f t="shared" si="9"/>
        <v>#DIV/0!</v>
      </c>
    </row>
    <row r="739" spans="7:7" x14ac:dyDescent="0.25">
      <c r="G739" s="3" t="e">
        <f t="shared" si="9"/>
        <v>#DIV/0!</v>
      </c>
    </row>
    <row r="740" spans="7:7" x14ac:dyDescent="0.25">
      <c r="G740" s="3" t="e">
        <f t="shared" si="9"/>
        <v>#DIV/0!</v>
      </c>
    </row>
    <row r="741" spans="7:7" x14ac:dyDescent="0.25">
      <c r="G741" s="3" t="e">
        <f t="shared" si="9"/>
        <v>#DIV/0!</v>
      </c>
    </row>
    <row r="742" spans="7:7" x14ac:dyDescent="0.25">
      <c r="G742" s="3" t="e">
        <f t="shared" si="9"/>
        <v>#DIV/0!</v>
      </c>
    </row>
    <row r="743" spans="7:7" x14ac:dyDescent="0.25">
      <c r="G743" s="3" t="e">
        <f t="shared" si="9"/>
        <v>#DIV/0!</v>
      </c>
    </row>
    <row r="744" spans="7:7" x14ac:dyDescent="0.25">
      <c r="G744" s="3" t="e">
        <f t="shared" si="9"/>
        <v>#DIV/0!</v>
      </c>
    </row>
    <row r="745" spans="7:7" x14ac:dyDescent="0.25">
      <c r="G745" s="3" t="e">
        <f t="shared" si="9"/>
        <v>#DIV/0!</v>
      </c>
    </row>
    <row r="746" spans="7:7" x14ac:dyDescent="0.25">
      <c r="G746" s="3" t="e">
        <f t="shared" si="9"/>
        <v>#DIV/0!</v>
      </c>
    </row>
    <row r="747" spans="7:7" x14ac:dyDescent="0.25">
      <c r="G747" s="3" t="e">
        <f t="shared" si="9"/>
        <v>#DIV/0!</v>
      </c>
    </row>
    <row r="748" spans="7:7" x14ac:dyDescent="0.25">
      <c r="G748" s="3" t="e">
        <f t="shared" si="9"/>
        <v>#DIV/0!</v>
      </c>
    </row>
    <row r="749" spans="7:7" x14ac:dyDescent="0.25">
      <c r="G749" s="3" t="e">
        <f t="shared" si="9"/>
        <v>#DIV/0!</v>
      </c>
    </row>
    <row r="750" spans="7:7" x14ac:dyDescent="0.25">
      <c r="G750" s="3" t="e">
        <f t="shared" si="9"/>
        <v>#DIV/0!</v>
      </c>
    </row>
    <row r="751" spans="7:7" x14ac:dyDescent="0.25">
      <c r="G751" s="3" t="e">
        <f t="shared" si="9"/>
        <v>#DIV/0!</v>
      </c>
    </row>
    <row r="752" spans="7:7" x14ac:dyDescent="0.25">
      <c r="G752" s="3" t="e">
        <f t="shared" ref="G752:G815" si="10">F752/D752</f>
        <v>#DIV/0!</v>
      </c>
    </row>
    <row r="753" spans="7:7" x14ac:dyDescent="0.25">
      <c r="G753" s="3" t="e">
        <f t="shared" si="10"/>
        <v>#DIV/0!</v>
      </c>
    </row>
    <row r="754" spans="7:7" x14ac:dyDescent="0.25">
      <c r="G754" s="3" t="e">
        <f t="shared" si="10"/>
        <v>#DIV/0!</v>
      </c>
    </row>
    <row r="755" spans="7:7" x14ac:dyDescent="0.25">
      <c r="G755" s="3" t="e">
        <f t="shared" si="10"/>
        <v>#DIV/0!</v>
      </c>
    </row>
    <row r="756" spans="7:7" x14ac:dyDescent="0.25">
      <c r="G756" s="3" t="e">
        <f t="shared" si="10"/>
        <v>#DIV/0!</v>
      </c>
    </row>
    <row r="757" spans="7:7" x14ac:dyDescent="0.25">
      <c r="G757" s="3" t="e">
        <f t="shared" si="10"/>
        <v>#DIV/0!</v>
      </c>
    </row>
    <row r="758" spans="7:7" x14ac:dyDescent="0.25">
      <c r="G758" s="3" t="e">
        <f t="shared" si="10"/>
        <v>#DIV/0!</v>
      </c>
    </row>
    <row r="759" spans="7:7" x14ac:dyDescent="0.25">
      <c r="G759" s="3" t="e">
        <f t="shared" si="10"/>
        <v>#DIV/0!</v>
      </c>
    </row>
    <row r="760" spans="7:7" x14ac:dyDescent="0.25">
      <c r="G760" s="3" t="e">
        <f t="shared" si="10"/>
        <v>#DIV/0!</v>
      </c>
    </row>
    <row r="761" spans="7:7" x14ac:dyDescent="0.25">
      <c r="G761" s="3" t="e">
        <f t="shared" si="10"/>
        <v>#DIV/0!</v>
      </c>
    </row>
    <row r="762" spans="7:7" x14ac:dyDescent="0.25">
      <c r="G762" s="3" t="e">
        <f t="shared" si="10"/>
        <v>#DIV/0!</v>
      </c>
    </row>
    <row r="763" spans="7:7" x14ac:dyDescent="0.25">
      <c r="G763" s="3" t="e">
        <f t="shared" si="10"/>
        <v>#DIV/0!</v>
      </c>
    </row>
    <row r="764" spans="7:7" x14ac:dyDescent="0.25">
      <c r="G764" s="3" t="e">
        <f t="shared" si="10"/>
        <v>#DIV/0!</v>
      </c>
    </row>
    <row r="765" spans="7:7" x14ac:dyDescent="0.25">
      <c r="G765" s="3" t="e">
        <f t="shared" si="10"/>
        <v>#DIV/0!</v>
      </c>
    </row>
    <row r="766" spans="7:7" x14ac:dyDescent="0.25">
      <c r="G766" s="3" t="e">
        <f t="shared" si="10"/>
        <v>#DIV/0!</v>
      </c>
    </row>
    <row r="767" spans="7:7" x14ac:dyDescent="0.25">
      <c r="G767" s="3" t="e">
        <f t="shared" si="10"/>
        <v>#DIV/0!</v>
      </c>
    </row>
    <row r="768" spans="7:7" x14ac:dyDescent="0.25">
      <c r="G768" s="3" t="e">
        <f t="shared" si="10"/>
        <v>#DIV/0!</v>
      </c>
    </row>
    <row r="769" spans="7:7" x14ac:dyDescent="0.25">
      <c r="G769" s="3" t="e">
        <f t="shared" si="10"/>
        <v>#DIV/0!</v>
      </c>
    </row>
    <row r="770" spans="7:7" x14ac:dyDescent="0.25">
      <c r="G770" s="3" t="e">
        <f t="shared" si="10"/>
        <v>#DIV/0!</v>
      </c>
    </row>
    <row r="771" spans="7:7" x14ac:dyDescent="0.25">
      <c r="G771" s="3" t="e">
        <f t="shared" si="10"/>
        <v>#DIV/0!</v>
      </c>
    </row>
    <row r="772" spans="7:7" x14ac:dyDescent="0.25">
      <c r="G772" s="3" t="e">
        <f t="shared" si="10"/>
        <v>#DIV/0!</v>
      </c>
    </row>
    <row r="773" spans="7:7" x14ac:dyDescent="0.25">
      <c r="G773" s="3" t="e">
        <f t="shared" si="10"/>
        <v>#DIV/0!</v>
      </c>
    </row>
    <row r="774" spans="7:7" x14ac:dyDescent="0.25">
      <c r="G774" s="3" t="e">
        <f t="shared" si="10"/>
        <v>#DIV/0!</v>
      </c>
    </row>
    <row r="775" spans="7:7" x14ac:dyDescent="0.25">
      <c r="G775" s="3" t="e">
        <f t="shared" si="10"/>
        <v>#DIV/0!</v>
      </c>
    </row>
    <row r="776" spans="7:7" x14ac:dyDescent="0.25">
      <c r="G776" s="3" t="e">
        <f t="shared" si="10"/>
        <v>#DIV/0!</v>
      </c>
    </row>
    <row r="777" spans="7:7" x14ac:dyDescent="0.25">
      <c r="G777" s="3" t="e">
        <f t="shared" si="10"/>
        <v>#DIV/0!</v>
      </c>
    </row>
    <row r="778" spans="7:7" x14ac:dyDescent="0.25">
      <c r="G778" s="3" t="e">
        <f t="shared" si="10"/>
        <v>#DIV/0!</v>
      </c>
    </row>
    <row r="779" spans="7:7" x14ac:dyDescent="0.25">
      <c r="G779" s="3" t="e">
        <f t="shared" si="10"/>
        <v>#DIV/0!</v>
      </c>
    </row>
    <row r="780" spans="7:7" x14ac:dyDescent="0.25">
      <c r="G780" s="3" t="e">
        <f t="shared" si="10"/>
        <v>#DIV/0!</v>
      </c>
    </row>
    <row r="781" spans="7:7" x14ac:dyDescent="0.25">
      <c r="G781" s="3" t="e">
        <f t="shared" si="10"/>
        <v>#DIV/0!</v>
      </c>
    </row>
    <row r="782" spans="7:7" x14ac:dyDescent="0.25">
      <c r="G782" s="3" t="e">
        <f t="shared" si="10"/>
        <v>#DIV/0!</v>
      </c>
    </row>
    <row r="783" spans="7:7" x14ac:dyDescent="0.25">
      <c r="G783" s="3" t="e">
        <f t="shared" si="10"/>
        <v>#DIV/0!</v>
      </c>
    </row>
    <row r="784" spans="7:7" x14ac:dyDescent="0.25">
      <c r="G784" s="3" t="e">
        <f t="shared" si="10"/>
        <v>#DIV/0!</v>
      </c>
    </row>
    <row r="785" spans="7:7" x14ac:dyDescent="0.25">
      <c r="G785" s="3" t="e">
        <f t="shared" si="10"/>
        <v>#DIV/0!</v>
      </c>
    </row>
    <row r="786" spans="7:7" x14ac:dyDescent="0.25">
      <c r="G786" s="3" t="e">
        <f t="shared" si="10"/>
        <v>#DIV/0!</v>
      </c>
    </row>
    <row r="787" spans="7:7" x14ac:dyDescent="0.25">
      <c r="G787" s="3" t="e">
        <f t="shared" si="10"/>
        <v>#DIV/0!</v>
      </c>
    </row>
    <row r="788" spans="7:7" x14ac:dyDescent="0.25">
      <c r="G788" s="3" t="e">
        <f t="shared" si="10"/>
        <v>#DIV/0!</v>
      </c>
    </row>
    <row r="789" spans="7:7" x14ac:dyDescent="0.25">
      <c r="G789" s="3" t="e">
        <f t="shared" si="10"/>
        <v>#DIV/0!</v>
      </c>
    </row>
    <row r="790" spans="7:7" x14ac:dyDescent="0.25">
      <c r="G790" s="3" t="e">
        <f t="shared" si="10"/>
        <v>#DIV/0!</v>
      </c>
    </row>
    <row r="791" spans="7:7" x14ac:dyDescent="0.25">
      <c r="G791" s="3" t="e">
        <f t="shared" si="10"/>
        <v>#DIV/0!</v>
      </c>
    </row>
    <row r="792" spans="7:7" x14ac:dyDescent="0.25">
      <c r="G792" s="3" t="e">
        <f t="shared" si="10"/>
        <v>#DIV/0!</v>
      </c>
    </row>
    <row r="793" spans="7:7" x14ac:dyDescent="0.25">
      <c r="G793" s="3" t="e">
        <f t="shared" si="10"/>
        <v>#DIV/0!</v>
      </c>
    </row>
    <row r="794" spans="7:7" x14ac:dyDescent="0.25">
      <c r="G794" s="3" t="e">
        <f t="shared" si="10"/>
        <v>#DIV/0!</v>
      </c>
    </row>
    <row r="795" spans="7:7" x14ac:dyDescent="0.25">
      <c r="G795" s="3" t="e">
        <f t="shared" si="10"/>
        <v>#DIV/0!</v>
      </c>
    </row>
    <row r="796" spans="7:7" x14ac:dyDescent="0.25">
      <c r="G796" s="3" t="e">
        <f t="shared" si="10"/>
        <v>#DIV/0!</v>
      </c>
    </row>
    <row r="797" spans="7:7" x14ac:dyDescent="0.25">
      <c r="G797" s="3" t="e">
        <f t="shared" si="10"/>
        <v>#DIV/0!</v>
      </c>
    </row>
    <row r="798" spans="7:7" x14ac:dyDescent="0.25">
      <c r="G798" s="3" t="e">
        <f t="shared" si="10"/>
        <v>#DIV/0!</v>
      </c>
    </row>
    <row r="799" spans="7:7" x14ac:dyDescent="0.25">
      <c r="G799" s="3" t="e">
        <f t="shared" si="10"/>
        <v>#DIV/0!</v>
      </c>
    </row>
    <row r="800" spans="7:7" x14ac:dyDescent="0.25">
      <c r="G800" s="3" t="e">
        <f t="shared" si="10"/>
        <v>#DIV/0!</v>
      </c>
    </row>
    <row r="801" spans="7:7" x14ac:dyDescent="0.25">
      <c r="G801" s="3" t="e">
        <f t="shared" si="10"/>
        <v>#DIV/0!</v>
      </c>
    </row>
    <row r="802" spans="7:7" x14ac:dyDescent="0.25">
      <c r="G802" s="3" t="e">
        <f t="shared" si="10"/>
        <v>#DIV/0!</v>
      </c>
    </row>
    <row r="803" spans="7:7" x14ac:dyDescent="0.25">
      <c r="G803" s="3" t="e">
        <f t="shared" si="10"/>
        <v>#DIV/0!</v>
      </c>
    </row>
    <row r="804" spans="7:7" x14ac:dyDescent="0.25">
      <c r="G804" s="3" t="e">
        <f t="shared" si="10"/>
        <v>#DIV/0!</v>
      </c>
    </row>
    <row r="805" spans="7:7" x14ac:dyDescent="0.25">
      <c r="G805" s="3" t="e">
        <f t="shared" si="10"/>
        <v>#DIV/0!</v>
      </c>
    </row>
    <row r="806" spans="7:7" x14ac:dyDescent="0.25">
      <c r="G806" s="3" t="e">
        <f t="shared" si="10"/>
        <v>#DIV/0!</v>
      </c>
    </row>
    <row r="807" spans="7:7" x14ac:dyDescent="0.25">
      <c r="G807" s="3" t="e">
        <f t="shared" si="10"/>
        <v>#DIV/0!</v>
      </c>
    </row>
    <row r="808" spans="7:7" x14ac:dyDescent="0.25">
      <c r="G808" s="3" t="e">
        <f t="shared" si="10"/>
        <v>#DIV/0!</v>
      </c>
    </row>
    <row r="809" spans="7:7" x14ac:dyDescent="0.25">
      <c r="G809" s="3" t="e">
        <f t="shared" si="10"/>
        <v>#DIV/0!</v>
      </c>
    </row>
    <row r="810" spans="7:7" x14ac:dyDescent="0.25">
      <c r="G810" s="3" t="e">
        <f t="shared" si="10"/>
        <v>#DIV/0!</v>
      </c>
    </row>
    <row r="811" spans="7:7" x14ac:dyDescent="0.25">
      <c r="G811" s="3" t="e">
        <f t="shared" si="10"/>
        <v>#DIV/0!</v>
      </c>
    </row>
    <row r="812" spans="7:7" x14ac:dyDescent="0.25">
      <c r="G812" s="3" t="e">
        <f t="shared" si="10"/>
        <v>#DIV/0!</v>
      </c>
    </row>
    <row r="813" spans="7:7" x14ac:dyDescent="0.25">
      <c r="G813" s="3" t="e">
        <f t="shared" si="10"/>
        <v>#DIV/0!</v>
      </c>
    </row>
    <row r="814" spans="7:7" x14ac:dyDescent="0.25">
      <c r="G814" s="3" t="e">
        <f t="shared" si="10"/>
        <v>#DIV/0!</v>
      </c>
    </row>
    <row r="815" spans="7:7" x14ac:dyDescent="0.25">
      <c r="G815" s="3" t="e">
        <f t="shared" si="10"/>
        <v>#DIV/0!</v>
      </c>
    </row>
    <row r="816" spans="7:7" x14ac:dyDescent="0.25">
      <c r="G816" s="3" t="e">
        <f t="shared" ref="G816:G879" si="11">F816/D816</f>
        <v>#DIV/0!</v>
      </c>
    </row>
    <row r="817" spans="7:7" x14ac:dyDescent="0.25">
      <c r="G817" s="3" t="e">
        <f t="shared" si="11"/>
        <v>#DIV/0!</v>
      </c>
    </row>
    <row r="818" spans="7:7" x14ac:dyDescent="0.25">
      <c r="G818" s="3" t="e">
        <f t="shared" si="11"/>
        <v>#DIV/0!</v>
      </c>
    </row>
    <row r="819" spans="7:7" x14ac:dyDescent="0.25">
      <c r="G819" s="3" t="e">
        <f t="shared" si="11"/>
        <v>#DIV/0!</v>
      </c>
    </row>
    <row r="820" spans="7:7" x14ac:dyDescent="0.25">
      <c r="G820" s="3" t="e">
        <f t="shared" si="11"/>
        <v>#DIV/0!</v>
      </c>
    </row>
    <row r="821" spans="7:7" x14ac:dyDescent="0.25">
      <c r="G821" s="3" t="e">
        <f t="shared" si="11"/>
        <v>#DIV/0!</v>
      </c>
    </row>
    <row r="822" spans="7:7" x14ac:dyDescent="0.25">
      <c r="G822" s="3" t="e">
        <f t="shared" si="11"/>
        <v>#DIV/0!</v>
      </c>
    </row>
    <row r="823" spans="7:7" x14ac:dyDescent="0.25">
      <c r="G823" s="3" t="e">
        <f t="shared" si="11"/>
        <v>#DIV/0!</v>
      </c>
    </row>
    <row r="824" spans="7:7" x14ac:dyDescent="0.25">
      <c r="G824" s="3" t="e">
        <f t="shared" si="11"/>
        <v>#DIV/0!</v>
      </c>
    </row>
    <row r="825" spans="7:7" x14ac:dyDescent="0.25">
      <c r="G825" s="3" t="e">
        <f t="shared" si="11"/>
        <v>#DIV/0!</v>
      </c>
    </row>
    <row r="826" spans="7:7" x14ac:dyDescent="0.25">
      <c r="G826" s="3" t="e">
        <f t="shared" si="11"/>
        <v>#DIV/0!</v>
      </c>
    </row>
    <row r="827" spans="7:7" x14ac:dyDescent="0.25">
      <c r="G827" s="3" t="e">
        <f t="shared" si="11"/>
        <v>#DIV/0!</v>
      </c>
    </row>
    <row r="828" spans="7:7" x14ac:dyDescent="0.25">
      <c r="G828" s="3" t="e">
        <f t="shared" si="11"/>
        <v>#DIV/0!</v>
      </c>
    </row>
    <row r="829" spans="7:7" x14ac:dyDescent="0.25">
      <c r="G829" s="3" t="e">
        <f t="shared" si="11"/>
        <v>#DIV/0!</v>
      </c>
    </row>
    <row r="830" spans="7:7" x14ac:dyDescent="0.25">
      <c r="G830" s="3" t="e">
        <f t="shared" si="11"/>
        <v>#DIV/0!</v>
      </c>
    </row>
    <row r="831" spans="7:7" x14ac:dyDescent="0.25">
      <c r="G831" s="3" t="e">
        <f t="shared" si="11"/>
        <v>#DIV/0!</v>
      </c>
    </row>
    <row r="832" spans="7:7" x14ac:dyDescent="0.25">
      <c r="G832" s="3" t="e">
        <f t="shared" si="11"/>
        <v>#DIV/0!</v>
      </c>
    </row>
    <row r="833" spans="7:7" x14ac:dyDescent="0.25">
      <c r="G833" s="3" t="e">
        <f t="shared" si="11"/>
        <v>#DIV/0!</v>
      </c>
    </row>
    <row r="834" spans="7:7" x14ac:dyDescent="0.25">
      <c r="G834" s="3" t="e">
        <f t="shared" si="11"/>
        <v>#DIV/0!</v>
      </c>
    </row>
    <row r="835" spans="7:7" x14ac:dyDescent="0.25">
      <c r="G835" s="3" t="e">
        <f t="shared" si="11"/>
        <v>#DIV/0!</v>
      </c>
    </row>
    <row r="836" spans="7:7" x14ac:dyDescent="0.25">
      <c r="G836" s="3" t="e">
        <f t="shared" si="11"/>
        <v>#DIV/0!</v>
      </c>
    </row>
    <row r="837" spans="7:7" x14ac:dyDescent="0.25">
      <c r="G837" s="3" t="e">
        <f t="shared" si="11"/>
        <v>#DIV/0!</v>
      </c>
    </row>
    <row r="838" spans="7:7" x14ac:dyDescent="0.25">
      <c r="G838" s="3" t="e">
        <f t="shared" si="11"/>
        <v>#DIV/0!</v>
      </c>
    </row>
    <row r="839" spans="7:7" x14ac:dyDescent="0.25">
      <c r="G839" s="3" t="e">
        <f t="shared" si="11"/>
        <v>#DIV/0!</v>
      </c>
    </row>
    <row r="840" spans="7:7" x14ac:dyDescent="0.25">
      <c r="G840" s="3" t="e">
        <f t="shared" si="11"/>
        <v>#DIV/0!</v>
      </c>
    </row>
    <row r="841" spans="7:7" x14ac:dyDescent="0.25">
      <c r="G841" s="3" t="e">
        <f t="shared" si="11"/>
        <v>#DIV/0!</v>
      </c>
    </row>
    <row r="842" spans="7:7" x14ac:dyDescent="0.25">
      <c r="G842" s="3" t="e">
        <f t="shared" si="11"/>
        <v>#DIV/0!</v>
      </c>
    </row>
    <row r="843" spans="7:7" x14ac:dyDescent="0.25">
      <c r="G843" s="3" t="e">
        <f t="shared" si="11"/>
        <v>#DIV/0!</v>
      </c>
    </row>
    <row r="844" spans="7:7" x14ac:dyDescent="0.25">
      <c r="G844" s="3" t="e">
        <f t="shared" si="11"/>
        <v>#DIV/0!</v>
      </c>
    </row>
    <row r="845" spans="7:7" x14ac:dyDescent="0.25">
      <c r="G845" s="3" t="e">
        <f t="shared" si="11"/>
        <v>#DIV/0!</v>
      </c>
    </row>
    <row r="846" spans="7:7" x14ac:dyDescent="0.25">
      <c r="G846" s="3" t="e">
        <f t="shared" si="11"/>
        <v>#DIV/0!</v>
      </c>
    </row>
    <row r="847" spans="7:7" x14ac:dyDescent="0.25">
      <c r="G847" s="3" t="e">
        <f t="shared" si="11"/>
        <v>#DIV/0!</v>
      </c>
    </row>
    <row r="848" spans="7:7" x14ac:dyDescent="0.25">
      <c r="G848" s="3" t="e">
        <f t="shared" si="11"/>
        <v>#DIV/0!</v>
      </c>
    </row>
    <row r="849" spans="7:7" x14ac:dyDescent="0.25">
      <c r="G849" s="3" t="e">
        <f t="shared" si="11"/>
        <v>#DIV/0!</v>
      </c>
    </row>
    <row r="850" spans="7:7" x14ac:dyDescent="0.25">
      <c r="G850" s="3" t="e">
        <f t="shared" si="11"/>
        <v>#DIV/0!</v>
      </c>
    </row>
    <row r="851" spans="7:7" x14ac:dyDescent="0.25">
      <c r="G851" s="3" t="e">
        <f t="shared" si="11"/>
        <v>#DIV/0!</v>
      </c>
    </row>
    <row r="852" spans="7:7" x14ac:dyDescent="0.25">
      <c r="G852" s="3" t="e">
        <f t="shared" si="11"/>
        <v>#DIV/0!</v>
      </c>
    </row>
    <row r="853" spans="7:7" x14ac:dyDescent="0.25">
      <c r="G853" s="3" t="e">
        <f t="shared" si="11"/>
        <v>#DIV/0!</v>
      </c>
    </row>
    <row r="854" spans="7:7" x14ac:dyDescent="0.25">
      <c r="G854" s="3" t="e">
        <f t="shared" si="11"/>
        <v>#DIV/0!</v>
      </c>
    </row>
    <row r="855" spans="7:7" x14ac:dyDescent="0.25">
      <c r="G855" s="3" t="e">
        <f t="shared" si="11"/>
        <v>#DIV/0!</v>
      </c>
    </row>
    <row r="856" spans="7:7" x14ac:dyDescent="0.25">
      <c r="G856" s="3" t="e">
        <f t="shared" si="11"/>
        <v>#DIV/0!</v>
      </c>
    </row>
    <row r="857" spans="7:7" x14ac:dyDescent="0.25">
      <c r="G857" s="3" t="e">
        <f t="shared" si="11"/>
        <v>#DIV/0!</v>
      </c>
    </row>
    <row r="858" spans="7:7" x14ac:dyDescent="0.25">
      <c r="G858" s="3" t="e">
        <f t="shared" si="11"/>
        <v>#DIV/0!</v>
      </c>
    </row>
    <row r="859" spans="7:7" x14ac:dyDescent="0.25">
      <c r="G859" s="3" t="e">
        <f t="shared" si="11"/>
        <v>#DIV/0!</v>
      </c>
    </row>
    <row r="860" spans="7:7" x14ac:dyDescent="0.25">
      <c r="G860" s="3" t="e">
        <f t="shared" si="11"/>
        <v>#DIV/0!</v>
      </c>
    </row>
    <row r="861" spans="7:7" x14ac:dyDescent="0.25">
      <c r="G861" s="3" t="e">
        <f t="shared" si="11"/>
        <v>#DIV/0!</v>
      </c>
    </row>
    <row r="862" spans="7:7" x14ac:dyDescent="0.25">
      <c r="G862" s="3" t="e">
        <f t="shared" si="11"/>
        <v>#DIV/0!</v>
      </c>
    </row>
    <row r="863" spans="7:7" x14ac:dyDescent="0.25">
      <c r="G863" s="3" t="e">
        <f t="shared" si="11"/>
        <v>#DIV/0!</v>
      </c>
    </row>
    <row r="864" spans="7:7" x14ac:dyDescent="0.25">
      <c r="G864" s="3" t="e">
        <f t="shared" si="11"/>
        <v>#DIV/0!</v>
      </c>
    </row>
    <row r="865" spans="7:7" x14ac:dyDescent="0.25">
      <c r="G865" s="3" t="e">
        <f t="shared" si="11"/>
        <v>#DIV/0!</v>
      </c>
    </row>
    <row r="866" spans="7:7" x14ac:dyDescent="0.25">
      <c r="G866" s="3" t="e">
        <f t="shared" si="11"/>
        <v>#DIV/0!</v>
      </c>
    </row>
    <row r="867" spans="7:7" x14ac:dyDescent="0.25">
      <c r="G867" s="3" t="e">
        <f t="shared" si="11"/>
        <v>#DIV/0!</v>
      </c>
    </row>
    <row r="868" spans="7:7" x14ac:dyDescent="0.25">
      <c r="G868" s="3" t="e">
        <f t="shared" si="11"/>
        <v>#DIV/0!</v>
      </c>
    </row>
    <row r="869" spans="7:7" x14ac:dyDescent="0.25">
      <c r="G869" s="3" t="e">
        <f t="shared" si="11"/>
        <v>#DIV/0!</v>
      </c>
    </row>
    <row r="870" spans="7:7" x14ac:dyDescent="0.25">
      <c r="G870" s="3" t="e">
        <f t="shared" si="11"/>
        <v>#DIV/0!</v>
      </c>
    </row>
    <row r="871" spans="7:7" x14ac:dyDescent="0.25">
      <c r="G871" s="3" t="e">
        <f t="shared" si="11"/>
        <v>#DIV/0!</v>
      </c>
    </row>
    <row r="872" spans="7:7" x14ac:dyDescent="0.25">
      <c r="G872" s="3" t="e">
        <f t="shared" si="11"/>
        <v>#DIV/0!</v>
      </c>
    </row>
    <row r="873" spans="7:7" x14ac:dyDescent="0.25">
      <c r="G873" s="3" t="e">
        <f t="shared" si="11"/>
        <v>#DIV/0!</v>
      </c>
    </row>
    <row r="874" spans="7:7" x14ac:dyDescent="0.25">
      <c r="G874" s="3" t="e">
        <f t="shared" si="11"/>
        <v>#DIV/0!</v>
      </c>
    </row>
    <row r="875" spans="7:7" x14ac:dyDescent="0.25">
      <c r="G875" s="3" t="e">
        <f t="shared" si="11"/>
        <v>#DIV/0!</v>
      </c>
    </row>
    <row r="876" spans="7:7" x14ac:dyDescent="0.25">
      <c r="G876" s="3" t="e">
        <f t="shared" si="11"/>
        <v>#DIV/0!</v>
      </c>
    </row>
    <row r="877" spans="7:7" x14ac:dyDescent="0.25">
      <c r="G877" s="3" t="e">
        <f t="shared" si="11"/>
        <v>#DIV/0!</v>
      </c>
    </row>
    <row r="878" spans="7:7" x14ac:dyDescent="0.25">
      <c r="G878" s="3" t="e">
        <f t="shared" si="11"/>
        <v>#DIV/0!</v>
      </c>
    </row>
    <row r="879" spans="7:7" x14ac:dyDescent="0.25">
      <c r="G879" s="3" t="e">
        <f t="shared" si="11"/>
        <v>#DIV/0!</v>
      </c>
    </row>
    <row r="880" spans="7:7" x14ac:dyDescent="0.25">
      <c r="G880" s="3" t="e">
        <f t="shared" ref="G880:G943" si="12">F880/D880</f>
        <v>#DIV/0!</v>
      </c>
    </row>
    <row r="881" spans="7:7" x14ac:dyDescent="0.25">
      <c r="G881" s="3" t="e">
        <f t="shared" si="12"/>
        <v>#DIV/0!</v>
      </c>
    </row>
    <row r="882" spans="7:7" x14ac:dyDescent="0.25">
      <c r="G882" s="3" t="e">
        <f t="shared" si="12"/>
        <v>#DIV/0!</v>
      </c>
    </row>
    <row r="883" spans="7:7" x14ac:dyDescent="0.25">
      <c r="G883" s="3" t="e">
        <f t="shared" si="12"/>
        <v>#DIV/0!</v>
      </c>
    </row>
    <row r="884" spans="7:7" x14ac:dyDescent="0.25">
      <c r="G884" s="3" t="e">
        <f t="shared" si="12"/>
        <v>#DIV/0!</v>
      </c>
    </row>
    <row r="885" spans="7:7" x14ac:dyDescent="0.25">
      <c r="G885" s="3" t="e">
        <f t="shared" si="12"/>
        <v>#DIV/0!</v>
      </c>
    </row>
    <row r="886" spans="7:7" x14ac:dyDescent="0.25">
      <c r="G886" s="3" t="e">
        <f t="shared" si="12"/>
        <v>#DIV/0!</v>
      </c>
    </row>
    <row r="887" spans="7:7" x14ac:dyDescent="0.25">
      <c r="G887" s="3" t="e">
        <f t="shared" si="12"/>
        <v>#DIV/0!</v>
      </c>
    </row>
    <row r="888" spans="7:7" x14ac:dyDescent="0.25">
      <c r="G888" s="3" t="e">
        <f t="shared" si="12"/>
        <v>#DIV/0!</v>
      </c>
    </row>
    <row r="889" spans="7:7" x14ac:dyDescent="0.25">
      <c r="G889" s="3" t="e">
        <f t="shared" si="12"/>
        <v>#DIV/0!</v>
      </c>
    </row>
    <row r="890" spans="7:7" x14ac:dyDescent="0.25">
      <c r="G890" s="3" t="e">
        <f t="shared" si="12"/>
        <v>#DIV/0!</v>
      </c>
    </row>
    <row r="891" spans="7:7" x14ac:dyDescent="0.25">
      <c r="G891" s="3" t="e">
        <f t="shared" si="12"/>
        <v>#DIV/0!</v>
      </c>
    </row>
    <row r="892" spans="7:7" x14ac:dyDescent="0.25">
      <c r="G892" s="3" t="e">
        <f t="shared" si="12"/>
        <v>#DIV/0!</v>
      </c>
    </row>
    <row r="893" spans="7:7" x14ac:dyDescent="0.25">
      <c r="G893" s="3" t="e">
        <f t="shared" si="12"/>
        <v>#DIV/0!</v>
      </c>
    </row>
    <row r="894" spans="7:7" x14ac:dyDescent="0.25">
      <c r="G894" s="3" t="e">
        <f t="shared" si="12"/>
        <v>#DIV/0!</v>
      </c>
    </row>
    <row r="895" spans="7:7" x14ac:dyDescent="0.25">
      <c r="G895" s="3" t="e">
        <f t="shared" si="12"/>
        <v>#DIV/0!</v>
      </c>
    </row>
    <row r="896" spans="7:7" x14ac:dyDescent="0.25">
      <c r="G896" s="3" t="e">
        <f t="shared" si="12"/>
        <v>#DIV/0!</v>
      </c>
    </row>
    <row r="897" spans="7:7" x14ac:dyDescent="0.25">
      <c r="G897" s="3" t="e">
        <f t="shared" si="12"/>
        <v>#DIV/0!</v>
      </c>
    </row>
    <row r="898" spans="7:7" x14ac:dyDescent="0.25">
      <c r="G898" s="3" t="e">
        <f t="shared" si="12"/>
        <v>#DIV/0!</v>
      </c>
    </row>
    <row r="899" spans="7:7" x14ac:dyDescent="0.25">
      <c r="G899" s="3" t="e">
        <f t="shared" si="12"/>
        <v>#DIV/0!</v>
      </c>
    </row>
    <row r="900" spans="7:7" x14ac:dyDescent="0.25">
      <c r="G900" s="3" t="e">
        <f t="shared" si="12"/>
        <v>#DIV/0!</v>
      </c>
    </row>
    <row r="901" spans="7:7" x14ac:dyDescent="0.25">
      <c r="G901" s="3" t="e">
        <f t="shared" si="12"/>
        <v>#DIV/0!</v>
      </c>
    </row>
    <row r="902" spans="7:7" x14ac:dyDescent="0.25">
      <c r="G902" s="3" t="e">
        <f t="shared" si="12"/>
        <v>#DIV/0!</v>
      </c>
    </row>
    <row r="903" spans="7:7" x14ac:dyDescent="0.25">
      <c r="G903" s="3" t="e">
        <f t="shared" si="12"/>
        <v>#DIV/0!</v>
      </c>
    </row>
    <row r="904" spans="7:7" x14ac:dyDescent="0.25">
      <c r="G904" s="3" t="e">
        <f t="shared" si="12"/>
        <v>#DIV/0!</v>
      </c>
    </row>
    <row r="905" spans="7:7" x14ac:dyDescent="0.25">
      <c r="G905" s="3" t="e">
        <f t="shared" si="12"/>
        <v>#DIV/0!</v>
      </c>
    </row>
    <row r="906" spans="7:7" x14ac:dyDescent="0.25">
      <c r="G906" s="3" t="e">
        <f t="shared" si="12"/>
        <v>#DIV/0!</v>
      </c>
    </row>
    <row r="907" spans="7:7" x14ac:dyDescent="0.25">
      <c r="G907" s="3" t="e">
        <f t="shared" si="12"/>
        <v>#DIV/0!</v>
      </c>
    </row>
    <row r="908" spans="7:7" x14ac:dyDescent="0.25">
      <c r="G908" s="3" t="e">
        <f t="shared" si="12"/>
        <v>#DIV/0!</v>
      </c>
    </row>
    <row r="909" spans="7:7" x14ac:dyDescent="0.25">
      <c r="G909" s="3" t="e">
        <f t="shared" si="12"/>
        <v>#DIV/0!</v>
      </c>
    </row>
    <row r="910" spans="7:7" x14ac:dyDescent="0.25">
      <c r="G910" s="3" t="e">
        <f t="shared" si="12"/>
        <v>#DIV/0!</v>
      </c>
    </row>
    <row r="911" spans="7:7" x14ac:dyDescent="0.25">
      <c r="G911" s="3" t="e">
        <f t="shared" si="12"/>
        <v>#DIV/0!</v>
      </c>
    </row>
    <row r="912" spans="7:7" x14ac:dyDescent="0.25">
      <c r="G912" s="3" t="e">
        <f t="shared" si="12"/>
        <v>#DIV/0!</v>
      </c>
    </row>
    <row r="913" spans="7:7" x14ac:dyDescent="0.25">
      <c r="G913" s="3" t="e">
        <f t="shared" si="12"/>
        <v>#DIV/0!</v>
      </c>
    </row>
    <row r="914" spans="7:7" x14ac:dyDescent="0.25">
      <c r="G914" s="3" t="e">
        <f t="shared" si="12"/>
        <v>#DIV/0!</v>
      </c>
    </row>
    <row r="915" spans="7:7" x14ac:dyDescent="0.25">
      <c r="G915" s="3" t="e">
        <f t="shared" si="12"/>
        <v>#DIV/0!</v>
      </c>
    </row>
    <row r="916" spans="7:7" x14ac:dyDescent="0.25">
      <c r="G916" s="3" t="e">
        <f t="shared" si="12"/>
        <v>#DIV/0!</v>
      </c>
    </row>
    <row r="917" spans="7:7" x14ac:dyDescent="0.25">
      <c r="G917" s="3" t="e">
        <f t="shared" si="12"/>
        <v>#DIV/0!</v>
      </c>
    </row>
    <row r="918" spans="7:7" x14ac:dyDescent="0.25">
      <c r="G918" s="3" t="e">
        <f t="shared" si="12"/>
        <v>#DIV/0!</v>
      </c>
    </row>
    <row r="919" spans="7:7" x14ac:dyDescent="0.25">
      <c r="G919" s="3" t="e">
        <f t="shared" si="12"/>
        <v>#DIV/0!</v>
      </c>
    </row>
    <row r="920" spans="7:7" x14ac:dyDescent="0.25">
      <c r="G920" s="3" t="e">
        <f t="shared" si="12"/>
        <v>#DIV/0!</v>
      </c>
    </row>
    <row r="921" spans="7:7" x14ac:dyDescent="0.25">
      <c r="G921" s="3" t="e">
        <f t="shared" si="12"/>
        <v>#DIV/0!</v>
      </c>
    </row>
    <row r="922" spans="7:7" x14ac:dyDescent="0.25">
      <c r="G922" s="3" t="e">
        <f t="shared" si="12"/>
        <v>#DIV/0!</v>
      </c>
    </row>
    <row r="923" spans="7:7" x14ac:dyDescent="0.25">
      <c r="G923" s="3" t="e">
        <f t="shared" si="12"/>
        <v>#DIV/0!</v>
      </c>
    </row>
    <row r="924" spans="7:7" x14ac:dyDescent="0.25">
      <c r="G924" s="3" t="e">
        <f t="shared" si="12"/>
        <v>#DIV/0!</v>
      </c>
    </row>
    <row r="925" spans="7:7" x14ac:dyDescent="0.25">
      <c r="G925" s="3" t="e">
        <f t="shared" si="12"/>
        <v>#DIV/0!</v>
      </c>
    </row>
    <row r="926" spans="7:7" x14ac:dyDescent="0.25">
      <c r="G926" s="3" t="e">
        <f t="shared" si="12"/>
        <v>#DIV/0!</v>
      </c>
    </row>
    <row r="927" spans="7:7" x14ac:dyDescent="0.25">
      <c r="G927" s="3" t="e">
        <f t="shared" si="12"/>
        <v>#DIV/0!</v>
      </c>
    </row>
    <row r="928" spans="7:7" x14ac:dyDescent="0.25">
      <c r="G928" s="3" t="e">
        <f t="shared" si="12"/>
        <v>#DIV/0!</v>
      </c>
    </row>
    <row r="929" spans="7:7" x14ac:dyDescent="0.25">
      <c r="G929" s="3" t="e">
        <f t="shared" si="12"/>
        <v>#DIV/0!</v>
      </c>
    </row>
    <row r="930" spans="7:7" x14ac:dyDescent="0.25">
      <c r="G930" s="3" t="e">
        <f t="shared" si="12"/>
        <v>#DIV/0!</v>
      </c>
    </row>
    <row r="931" spans="7:7" x14ac:dyDescent="0.25">
      <c r="G931" s="3" t="e">
        <f t="shared" si="12"/>
        <v>#DIV/0!</v>
      </c>
    </row>
    <row r="932" spans="7:7" x14ac:dyDescent="0.25">
      <c r="G932" s="3" t="e">
        <f t="shared" si="12"/>
        <v>#DIV/0!</v>
      </c>
    </row>
    <row r="933" spans="7:7" x14ac:dyDescent="0.25">
      <c r="G933" s="3" t="e">
        <f t="shared" si="12"/>
        <v>#DIV/0!</v>
      </c>
    </row>
    <row r="934" spans="7:7" x14ac:dyDescent="0.25">
      <c r="G934" s="3" t="e">
        <f t="shared" si="12"/>
        <v>#DIV/0!</v>
      </c>
    </row>
    <row r="935" spans="7:7" x14ac:dyDescent="0.25">
      <c r="G935" s="3" t="e">
        <f t="shared" si="12"/>
        <v>#DIV/0!</v>
      </c>
    </row>
    <row r="936" spans="7:7" x14ac:dyDescent="0.25">
      <c r="G936" s="3" t="e">
        <f t="shared" si="12"/>
        <v>#DIV/0!</v>
      </c>
    </row>
    <row r="937" spans="7:7" x14ac:dyDescent="0.25">
      <c r="G937" s="3" t="e">
        <f t="shared" si="12"/>
        <v>#DIV/0!</v>
      </c>
    </row>
    <row r="938" spans="7:7" x14ac:dyDescent="0.25">
      <c r="G938" s="3" t="e">
        <f t="shared" si="12"/>
        <v>#DIV/0!</v>
      </c>
    </row>
    <row r="939" spans="7:7" x14ac:dyDescent="0.25">
      <c r="G939" s="3" t="e">
        <f t="shared" si="12"/>
        <v>#DIV/0!</v>
      </c>
    </row>
    <row r="940" spans="7:7" x14ac:dyDescent="0.25">
      <c r="G940" s="3" t="e">
        <f t="shared" si="12"/>
        <v>#DIV/0!</v>
      </c>
    </row>
    <row r="941" spans="7:7" x14ac:dyDescent="0.25">
      <c r="G941" s="3" t="e">
        <f t="shared" si="12"/>
        <v>#DIV/0!</v>
      </c>
    </row>
    <row r="942" spans="7:7" x14ac:dyDescent="0.25">
      <c r="G942" s="3" t="e">
        <f t="shared" si="12"/>
        <v>#DIV/0!</v>
      </c>
    </row>
    <row r="943" spans="7:7" x14ac:dyDescent="0.25">
      <c r="G943" s="3" t="e">
        <f t="shared" si="12"/>
        <v>#DIV/0!</v>
      </c>
    </row>
    <row r="944" spans="7:7" x14ac:dyDescent="0.25">
      <c r="G944" s="3" t="e">
        <f t="shared" ref="G944:G1007" si="13">F944/D944</f>
        <v>#DIV/0!</v>
      </c>
    </row>
    <row r="945" spans="7:7" x14ac:dyDescent="0.25">
      <c r="G945" s="3" t="e">
        <f t="shared" si="13"/>
        <v>#DIV/0!</v>
      </c>
    </row>
    <row r="946" spans="7:7" x14ac:dyDescent="0.25">
      <c r="G946" s="3" t="e">
        <f t="shared" si="13"/>
        <v>#DIV/0!</v>
      </c>
    </row>
    <row r="947" spans="7:7" x14ac:dyDescent="0.25">
      <c r="G947" s="3" t="e">
        <f t="shared" si="13"/>
        <v>#DIV/0!</v>
      </c>
    </row>
    <row r="948" spans="7:7" x14ac:dyDescent="0.25">
      <c r="G948" s="3" t="e">
        <f t="shared" si="13"/>
        <v>#DIV/0!</v>
      </c>
    </row>
    <row r="949" spans="7:7" x14ac:dyDescent="0.25">
      <c r="G949" s="3" t="e">
        <f t="shared" si="13"/>
        <v>#DIV/0!</v>
      </c>
    </row>
    <row r="950" spans="7:7" x14ac:dyDescent="0.25">
      <c r="G950" s="3" t="e">
        <f t="shared" si="13"/>
        <v>#DIV/0!</v>
      </c>
    </row>
    <row r="951" spans="7:7" x14ac:dyDescent="0.25">
      <c r="G951" s="3" t="e">
        <f t="shared" si="13"/>
        <v>#DIV/0!</v>
      </c>
    </row>
    <row r="952" spans="7:7" x14ac:dyDescent="0.25">
      <c r="G952" s="3" t="e">
        <f t="shared" si="13"/>
        <v>#DIV/0!</v>
      </c>
    </row>
    <row r="953" spans="7:7" x14ac:dyDescent="0.25">
      <c r="G953" s="3" t="e">
        <f t="shared" si="13"/>
        <v>#DIV/0!</v>
      </c>
    </row>
    <row r="954" spans="7:7" x14ac:dyDescent="0.25">
      <c r="G954" s="3" t="e">
        <f t="shared" si="13"/>
        <v>#DIV/0!</v>
      </c>
    </row>
    <row r="955" spans="7:7" x14ac:dyDescent="0.25">
      <c r="G955" s="3" t="e">
        <f t="shared" si="13"/>
        <v>#DIV/0!</v>
      </c>
    </row>
    <row r="956" spans="7:7" x14ac:dyDescent="0.25">
      <c r="G956" s="3" t="e">
        <f t="shared" si="13"/>
        <v>#DIV/0!</v>
      </c>
    </row>
    <row r="957" spans="7:7" x14ac:dyDescent="0.25">
      <c r="G957" s="3" t="e">
        <f t="shared" si="13"/>
        <v>#DIV/0!</v>
      </c>
    </row>
    <row r="958" spans="7:7" x14ac:dyDescent="0.25">
      <c r="G958" s="3" t="e">
        <f t="shared" si="13"/>
        <v>#DIV/0!</v>
      </c>
    </row>
    <row r="959" spans="7:7" x14ac:dyDescent="0.25">
      <c r="G959" s="3" t="e">
        <f t="shared" si="13"/>
        <v>#DIV/0!</v>
      </c>
    </row>
    <row r="960" spans="7:7" x14ac:dyDescent="0.25">
      <c r="G960" s="3" t="e">
        <f t="shared" si="13"/>
        <v>#DIV/0!</v>
      </c>
    </row>
    <row r="961" spans="7:7" x14ac:dyDescent="0.25">
      <c r="G961" s="3" t="e">
        <f t="shared" si="13"/>
        <v>#DIV/0!</v>
      </c>
    </row>
    <row r="962" spans="7:7" x14ac:dyDescent="0.25">
      <c r="G962" s="3" t="e">
        <f t="shared" si="13"/>
        <v>#DIV/0!</v>
      </c>
    </row>
    <row r="963" spans="7:7" x14ac:dyDescent="0.25">
      <c r="G963" s="3" t="e">
        <f t="shared" si="13"/>
        <v>#DIV/0!</v>
      </c>
    </row>
    <row r="964" spans="7:7" x14ac:dyDescent="0.25">
      <c r="G964" s="3" t="e">
        <f t="shared" si="13"/>
        <v>#DIV/0!</v>
      </c>
    </row>
    <row r="965" spans="7:7" x14ac:dyDescent="0.25">
      <c r="G965" s="3" t="e">
        <f t="shared" si="13"/>
        <v>#DIV/0!</v>
      </c>
    </row>
    <row r="966" spans="7:7" x14ac:dyDescent="0.25">
      <c r="G966" s="3" t="e">
        <f t="shared" si="13"/>
        <v>#DIV/0!</v>
      </c>
    </row>
    <row r="967" spans="7:7" x14ac:dyDescent="0.25">
      <c r="G967" s="3" t="e">
        <f t="shared" si="13"/>
        <v>#DIV/0!</v>
      </c>
    </row>
    <row r="968" spans="7:7" x14ac:dyDescent="0.25">
      <c r="G968" s="3" t="e">
        <f t="shared" si="13"/>
        <v>#DIV/0!</v>
      </c>
    </row>
    <row r="969" spans="7:7" x14ac:dyDescent="0.25">
      <c r="G969" s="3" t="e">
        <f t="shared" si="13"/>
        <v>#DIV/0!</v>
      </c>
    </row>
    <row r="970" spans="7:7" x14ac:dyDescent="0.25">
      <c r="G970" s="3" t="e">
        <f t="shared" si="13"/>
        <v>#DIV/0!</v>
      </c>
    </row>
    <row r="971" spans="7:7" x14ac:dyDescent="0.25">
      <c r="G971" s="3" t="e">
        <f t="shared" si="13"/>
        <v>#DIV/0!</v>
      </c>
    </row>
    <row r="972" spans="7:7" x14ac:dyDescent="0.25">
      <c r="G972" s="3" t="e">
        <f t="shared" si="13"/>
        <v>#DIV/0!</v>
      </c>
    </row>
    <row r="973" spans="7:7" x14ac:dyDescent="0.25">
      <c r="G973" s="3" t="e">
        <f t="shared" si="13"/>
        <v>#DIV/0!</v>
      </c>
    </row>
    <row r="974" spans="7:7" x14ac:dyDescent="0.25">
      <c r="G974" s="3" t="e">
        <f t="shared" si="13"/>
        <v>#DIV/0!</v>
      </c>
    </row>
    <row r="975" spans="7:7" x14ac:dyDescent="0.25">
      <c r="G975" s="3" t="e">
        <f t="shared" si="13"/>
        <v>#DIV/0!</v>
      </c>
    </row>
    <row r="976" spans="7:7" x14ac:dyDescent="0.25">
      <c r="G976" s="3" t="e">
        <f t="shared" si="13"/>
        <v>#DIV/0!</v>
      </c>
    </row>
    <row r="977" spans="7:7" x14ac:dyDescent="0.25">
      <c r="G977" s="3" t="e">
        <f t="shared" si="13"/>
        <v>#DIV/0!</v>
      </c>
    </row>
    <row r="978" spans="7:7" x14ac:dyDescent="0.25">
      <c r="G978" s="3" t="e">
        <f t="shared" si="13"/>
        <v>#DIV/0!</v>
      </c>
    </row>
    <row r="979" spans="7:7" x14ac:dyDescent="0.25">
      <c r="G979" s="3" t="e">
        <f t="shared" si="13"/>
        <v>#DIV/0!</v>
      </c>
    </row>
    <row r="980" spans="7:7" x14ac:dyDescent="0.25">
      <c r="G980" s="3" t="e">
        <f t="shared" si="13"/>
        <v>#DIV/0!</v>
      </c>
    </row>
    <row r="981" spans="7:7" x14ac:dyDescent="0.25">
      <c r="G981" s="3" t="e">
        <f t="shared" si="13"/>
        <v>#DIV/0!</v>
      </c>
    </row>
    <row r="982" spans="7:7" x14ac:dyDescent="0.25">
      <c r="G982" s="3" t="e">
        <f t="shared" si="13"/>
        <v>#DIV/0!</v>
      </c>
    </row>
    <row r="983" spans="7:7" x14ac:dyDescent="0.25">
      <c r="G983" s="3" t="e">
        <f t="shared" si="13"/>
        <v>#DIV/0!</v>
      </c>
    </row>
    <row r="984" spans="7:7" x14ac:dyDescent="0.25">
      <c r="G984" s="3" t="e">
        <f t="shared" si="13"/>
        <v>#DIV/0!</v>
      </c>
    </row>
    <row r="985" spans="7:7" x14ac:dyDescent="0.25">
      <c r="G985" s="3" t="e">
        <f t="shared" si="13"/>
        <v>#DIV/0!</v>
      </c>
    </row>
    <row r="986" spans="7:7" x14ac:dyDescent="0.25">
      <c r="G986" s="3" t="e">
        <f t="shared" si="13"/>
        <v>#DIV/0!</v>
      </c>
    </row>
    <row r="987" spans="7:7" x14ac:dyDescent="0.25">
      <c r="G987" s="3" t="e">
        <f t="shared" si="13"/>
        <v>#DIV/0!</v>
      </c>
    </row>
    <row r="988" spans="7:7" x14ac:dyDescent="0.25">
      <c r="G988" s="3" t="e">
        <f t="shared" si="13"/>
        <v>#DIV/0!</v>
      </c>
    </row>
    <row r="989" spans="7:7" x14ac:dyDescent="0.25">
      <c r="G989" s="3" t="e">
        <f t="shared" si="13"/>
        <v>#DIV/0!</v>
      </c>
    </row>
    <row r="990" spans="7:7" x14ac:dyDescent="0.25">
      <c r="G990" s="3" t="e">
        <f t="shared" si="13"/>
        <v>#DIV/0!</v>
      </c>
    </row>
    <row r="991" spans="7:7" x14ac:dyDescent="0.25">
      <c r="G991" s="3" t="e">
        <f t="shared" si="13"/>
        <v>#DIV/0!</v>
      </c>
    </row>
    <row r="992" spans="7:7" x14ac:dyDescent="0.25">
      <c r="G992" s="3" t="e">
        <f t="shared" si="13"/>
        <v>#DIV/0!</v>
      </c>
    </row>
    <row r="993" spans="7:7" x14ac:dyDescent="0.25">
      <c r="G993" s="3" t="e">
        <f t="shared" si="13"/>
        <v>#DIV/0!</v>
      </c>
    </row>
    <row r="994" spans="7:7" x14ac:dyDescent="0.25">
      <c r="G994" s="3" t="e">
        <f t="shared" si="13"/>
        <v>#DIV/0!</v>
      </c>
    </row>
    <row r="995" spans="7:7" x14ac:dyDescent="0.25">
      <c r="G995" s="3" t="e">
        <f t="shared" si="13"/>
        <v>#DIV/0!</v>
      </c>
    </row>
    <row r="996" spans="7:7" x14ac:dyDescent="0.25">
      <c r="G996" s="3" t="e">
        <f t="shared" si="13"/>
        <v>#DIV/0!</v>
      </c>
    </row>
    <row r="997" spans="7:7" x14ac:dyDescent="0.25">
      <c r="G997" s="3" t="e">
        <f t="shared" si="13"/>
        <v>#DIV/0!</v>
      </c>
    </row>
    <row r="998" spans="7:7" x14ac:dyDescent="0.25">
      <c r="G998" s="3" t="e">
        <f t="shared" si="13"/>
        <v>#DIV/0!</v>
      </c>
    </row>
    <row r="999" spans="7:7" x14ac:dyDescent="0.25">
      <c r="G999" s="3" t="e">
        <f t="shared" si="13"/>
        <v>#DIV/0!</v>
      </c>
    </row>
    <row r="1000" spans="7:7" x14ac:dyDescent="0.25">
      <c r="G1000" s="3" t="e">
        <f t="shared" si="13"/>
        <v>#DIV/0!</v>
      </c>
    </row>
    <row r="1001" spans="7:7" x14ac:dyDescent="0.25">
      <c r="G1001" s="3" t="e">
        <f t="shared" si="13"/>
        <v>#DIV/0!</v>
      </c>
    </row>
    <row r="1002" spans="7:7" x14ac:dyDescent="0.25">
      <c r="G1002" s="3" t="e">
        <f t="shared" si="13"/>
        <v>#DIV/0!</v>
      </c>
    </row>
    <row r="1003" spans="7:7" x14ac:dyDescent="0.25">
      <c r="G1003" s="3" t="e">
        <f t="shared" si="13"/>
        <v>#DIV/0!</v>
      </c>
    </row>
    <row r="1004" spans="7:7" x14ac:dyDescent="0.25">
      <c r="G1004" s="3" t="e">
        <f t="shared" si="13"/>
        <v>#DIV/0!</v>
      </c>
    </row>
    <row r="1005" spans="7:7" x14ac:dyDescent="0.25">
      <c r="G1005" s="3" t="e">
        <f t="shared" si="13"/>
        <v>#DIV/0!</v>
      </c>
    </row>
    <row r="1006" spans="7:7" x14ac:dyDescent="0.25">
      <c r="G1006" s="3" t="e">
        <f t="shared" si="13"/>
        <v>#DIV/0!</v>
      </c>
    </row>
    <row r="1007" spans="7:7" x14ac:dyDescent="0.25">
      <c r="G1007" s="3" t="e">
        <f t="shared" si="13"/>
        <v>#DIV/0!</v>
      </c>
    </row>
    <row r="1008" spans="7:7" x14ac:dyDescent="0.25">
      <c r="G1008" s="3" t="e">
        <f t="shared" ref="G1008:G1071" si="14">F1008/D1008</f>
        <v>#DIV/0!</v>
      </c>
    </row>
    <row r="1009" spans="7:7" x14ac:dyDescent="0.25">
      <c r="G1009" s="3" t="e">
        <f t="shared" si="14"/>
        <v>#DIV/0!</v>
      </c>
    </row>
    <row r="1010" spans="7:7" x14ac:dyDescent="0.25">
      <c r="G1010" s="3" t="e">
        <f t="shared" si="14"/>
        <v>#DIV/0!</v>
      </c>
    </row>
    <row r="1011" spans="7:7" x14ac:dyDescent="0.25">
      <c r="G1011" s="3" t="e">
        <f t="shared" si="14"/>
        <v>#DIV/0!</v>
      </c>
    </row>
    <row r="1012" spans="7:7" x14ac:dyDescent="0.25">
      <c r="G1012" s="3" t="e">
        <f t="shared" si="14"/>
        <v>#DIV/0!</v>
      </c>
    </row>
    <row r="1013" spans="7:7" x14ac:dyDescent="0.25">
      <c r="G1013" s="3" t="e">
        <f t="shared" si="14"/>
        <v>#DIV/0!</v>
      </c>
    </row>
    <row r="1014" spans="7:7" x14ac:dyDescent="0.25">
      <c r="G1014" s="3" t="e">
        <f t="shared" si="14"/>
        <v>#DIV/0!</v>
      </c>
    </row>
    <row r="1015" spans="7:7" x14ac:dyDescent="0.25">
      <c r="G1015" s="3" t="e">
        <f t="shared" si="14"/>
        <v>#DIV/0!</v>
      </c>
    </row>
    <row r="1016" spans="7:7" x14ac:dyDescent="0.25">
      <c r="G1016" s="3" t="e">
        <f t="shared" si="14"/>
        <v>#DIV/0!</v>
      </c>
    </row>
    <row r="1017" spans="7:7" x14ac:dyDescent="0.25">
      <c r="G1017" s="3" t="e">
        <f t="shared" si="14"/>
        <v>#DIV/0!</v>
      </c>
    </row>
    <row r="1018" spans="7:7" x14ac:dyDescent="0.25">
      <c r="G1018" s="3" t="e">
        <f t="shared" si="14"/>
        <v>#DIV/0!</v>
      </c>
    </row>
    <row r="1019" spans="7:7" x14ac:dyDescent="0.25">
      <c r="G1019" s="3" t="e">
        <f t="shared" si="14"/>
        <v>#DIV/0!</v>
      </c>
    </row>
    <row r="1020" spans="7:7" x14ac:dyDescent="0.25">
      <c r="G1020" s="3" t="e">
        <f t="shared" si="14"/>
        <v>#DIV/0!</v>
      </c>
    </row>
    <row r="1021" spans="7:7" x14ac:dyDescent="0.25">
      <c r="G1021" s="3" t="e">
        <f t="shared" si="14"/>
        <v>#DIV/0!</v>
      </c>
    </row>
    <row r="1022" spans="7:7" x14ac:dyDescent="0.25">
      <c r="G1022" s="3" t="e">
        <f t="shared" si="14"/>
        <v>#DIV/0!</v>
      </c>
    </row>
    <row r="1023" spans="7:7" x14ac:dyDescent="0.25">
      <c r="G1023" s="3" t="e">
        <f t="shared" si="14"/>
        <v>#DIV/0!</v>
      </c>
    </row>
    <row r="1024" spans="7:7" x14ac:dyDescent="0.25">
      <c r="G1024" s="3" t="e">
        <f t="shared" si="14"/>
        <v>#DIV/0!</v>
      </c>
    </row>
    <row r="1025" spans="7:7" x14ac:dyDescent="0.25">
      <c r="G1025" s="3" t="e">
        <f t="shared" si="14"/>
        <v>#DIV/0!</v>
      </c>
    </row>
    <row r="1026" spans="7:7" x14ac:dyDescent="0.25">
      <c r="G1026" s="3" t="e">
        <f t="shared" si="14"/>
        <v>#DIV/0!</v>
      </c>
    </row>
    <row r="1027" spans="7:7" x14ac:dyDescent="0.25">
      <c r="G1027" s="3" t="e">
        <f t="shared" si="14"/>
        <v>#DIV/0!</v>
      </c>
    </row>
    <row r="1028" spans="7:7" x14ac:dyDescent="0.25">
      <c r="G1028" s="3" t="e">
        <f t="shared" si="14"/>
        <v>#DIV/0!</v>
      </c>
    </row>
    <row r="1029" spans="7:7" x14ac:dyDescent="0.25">
      <c r="G1029" s="3" t="e">
        <f t="shared" si="14"/>
        <v>#DIV/0!</v>
      </c>
    </row>
    <row r="1030" spans="7:7" x14ac:dyDescent="0.25">
      <c r="G1030" s="3" t="e">
        <f t="shared" si="14"/>
        <v>#DIV/0!</v>
      </c>
    </row>
    <row r="1031" spans="7:7" x14ac:dyDescent="0.25">
      <c r="G1031" s="3" t="e">
        <f t="shared" si="14"/>
        <v>#DIV/0!</v>
      </c>
    </row>
    <row r="1032" spans="7:7" x14ac:dyDescent="0.25">
      <c r="G1032" s="3" t="e">
        <f t="shared" si="14"/>
        <v>#DIV/0!</v>
      </c>
    </row>
    <row r="1033" spans="7:7" x14ac:dyDescent="0.25">
      <c r="G1033" s="3" t="e">
        <f t="shared" si="14"/>
        <v>#DIV/0!</v>
      </c>
    </row>
    <row r="1034" spans="7:7" x14ac:dyDescent="0.25">
      <c r="G1034" s="3" t="e">
        <f t="shared" si="14"/>
        <v>#DIV/0!</v>
      </c>
    </row>
    <row r="1035" spans="7:7" x14ac:dyDescent="0.25">
      <c r="G1035" s="3" t="e">
        <f t="shared" si="14"/>
        <v>#DIV/0!</v>
      </c>
    </row>
    <row r="1036" spans="7:7" x14ac:dyDescent="0.25">
      <c r="G1036" s="3" t="e">
        <f t="shared" si="14"/>
        <v>#DIV/0!</v>
      </c>
    </row>
    <row r="1037" spans="7:7" x14ac:dyDescent="0.25">
      <c r="G1037" s="3" t="e">
        <f t="shared" si="14"/>
        <v>#DIV/0!</v>
      </c>
    </row>
    <row r="1038" spans="7:7" x14ac:dyDescent="0.25">
      <c r="G1038" s="3" t="e">
        <f t="shared" si="14"/>
        <v>#DIV/0!</v>
      </c>
    </row>
    <row r="1039" spans="7:7" x14ac:dyDescent="0.25">
      <c r="G1039" s="3" t="e">
        <f t="shared" si="14"/>
        <v>#DIV/0!</v>
      </c>
    </row>
    <row r="1040" spans="7:7" x14ac:dyDescent="0.25">
      <c r="G1040" s="3" t="e">
        <f t="shared" si="14"/>
        <v>#DIV/0!</v>
      </c>
    </row>
    <row r="1041" spans="7:7" x14ac:dyDescent="0.25">
      <c r="G1041" s="3" t="e">
        <f t="shared" si="14"/>
        <v>#DIV/0!</v>
      </c>
    </row>
    <row r="1042" spans="7:7" x14ac:dyDescent="0.25">
      <c r="G1042" s="3" t="e">
        <f t="shared" si="14"/>
        <v>#DIV/0!</v>
      </c>
    </row>
    <row r="1043" spans="7:7" x14ac:dyDescent="0.25">
      <c r="G1043" s="3" t="e">
        <f t="shared" si="14"/>
        <v>#DIV/0!</v>
      </c>
    </row>
    <row r="1044" spans="7:7" x14ac:dyDescent="0.25">
      <c r="G1044" s="3" t="e">
        <f t="shared" si="14"/>
        <v>#DIV/0!</v>
      </c>
    </row>
    <row r="1045" spans="7:7" x14ac:dyDescent="0.25">
      <c r="G1045" s="3" t="e">
        <f t="shared" si="14"/>
        <v>#DIV/0!</v>
      </c>
    </row>
    <row r="1046" spans="7:7" x14ac:dyDescent="0.25">
      <c r="G1046" s="3" t="e">
        <f t="shared" si="14"/>
        <v>#DIV/0!</v>
      </c>
    </row>
    <row r="1047" spans="7:7" x14ac:dyDescent="0.25">
      <c r="G1047" s="3" t="e">
        <f t="shared" si="14"/>
        <v>#DIV/0!</v>
      </c>
    </row>
    <row r="1048" spans="7:7" x14ac:dyDescent="0.25">
      <c r="G1048" s="3" t="e">
        <f t="shared" si="14"/>
        <v>#DIV/0!</v>
      </c>
    </row>
    <row r="1049" spans="7:7" x14ac:dyDescent="0.25">
      <c r="G1049" s="3" t="e">
        <f t="shared" si="14"/>
        <v>#DIV/0!</v>
      </c>
    </row>
    <row r="1050" spans="7:7" x14ac:dyDescent="0.25">
      <c r="G1050" s="3" t="e">
        <f t="shared" si="14"/>
        <v>#DIV/0!</v>
      </c>
    </row>
    <row r="1051" spans="7:7" x14ac:dyDescent="0.25">
      <c r="G1051" s="3" t="e">
        <f t="shared" si="14"/>
        <v>#DIV/0!</v>
      </c>
    </row>
    <row r="1052" spans="7:7" x14ac:dyDescent="0.25">
      <c r="G1052" s="3" t="e">
        <f t="shared" si="14"/>
        <v>#DIV/0!</v>
      </c>
    </row>
    <row r="1053" spans="7:7" x14ac:dyDescent="0.25">
      <c r="G1053" s="3" t="e">
        <f t="shared" si="14"/>
        <v>#DIV/0!</v>
      </c>
    </row>
    <row r="1054" spans="7:7" x14ac:dyDescent="0.25">
      <c r="G1054" s="3" t="e">
        <f t="shared" si="14"/>
        <v>#DIV/0!</v>
      </c>
    </row>
    <row r="1055" spans="7:7" x14ac:dyDescent="0.25">
      <c r="G1055" s="3" t="e">
        <f t="shared" si="14"/>
        <v>#DIV/0!</v>
      </c>
    </row>
    <row r="1056" spans="7:7" x14ac:dyDescent="0.25">
      <c r="G1056" s="3" t="e">
        <f t="shared" si="14"/>
        <v>#DIV/0!</v>
      </c>
    </row>
    <row r="1057" spans="7:7" x14ac:dyDescent="0.25">
      <c r="G1057" s="3" t="e">
        <f t="shared" si="14"/>
        <v>#DIV/0!</v>
      </c>
    </row>
    <row r="1058" spans="7:7" x14ac:dyDescent="0.25">
      <c r="G1058" s="3" t="e">
        <f t="shared" si="14"/>
        <v>#DIV/0!</v>
      </c>
    </row>
    <row r="1059" spans="7:7" x14ac:dyDescent="0.25">
      <c r="G1059" s="3" t="e">
        <f t="shared" si="14"/>
        <v>#DIV/0!</v>
      </c>
    </row>
    <row r="1060" spans="7:7" x14ac:dyDescent="0.25">
      <c r="G1060" s="3" t="e">
        <f t="shared" si="14"/>
        <v>#DIV/0!</v>
      </c>
    </row>
    <row r="1061" spans="7:7" x14ac:dyDescent="0.25">
      <c r="G1061" s="3" t="e">
        <f t="shared" si="14"/>
        <v>#DIV/0!</v>
      </c>
    </row>
    <row r="1062" spans="7:7" x14ac:dyDescent="0.25">
      <c r="G1062" s="3" t="e">
        <f t="shared" si="14"/>
        <v>#DIV/0!</v>
      </c>
    </row>
    <row r="1063" spans="7:7" x14ac:dyDescent="0.25">
      <c r="G1063" s="3" t="e">
        <f t="shared" si="14"/>
        <v>#DIV/0!</v>
      </c>
    </row>
    <row r="1064" spans="7:7" x14ac:dyDescent="0.25">
      <c r="G1064" s="3" t="e">
        <f t="shared" si="14"/>
        <v>#DIV/0!</v>
      </c>
    </row>
    <row r="1065" spans="7:7" x14ac:dyDescent="0.25">
      <c r="G1065" s="3" t="e">
        <f t="shared" si="14"/>
        <v>#DIV/0!</v>
      </c>
    </row>
    <row r="1066" spans="7:7" x14ac:dyDescent="0.25">
      <c r="G1066" s="3" t="e">
        <f t="shared" si="14"/>
        <v>#DIV/0!</v>
      </c>
    </row>
    <row r="1067" spans="7:7" x14ac:dyDescent="0.25">
      <c r="G1067" s="3" t="e">
        <f t="shared" si="14"/>
        <v>#DIV/0!</v>
      </c>
    </row>
    <row r="1068" spans="7:7" x14ac:dyDescent="0.25">
      <c r="G1068" s="3" t="e">
        <f t="shared" si="14"/>
        <v>#DIV/0!</v>
      </c>
    </row>
    <row r="1069" spans="7:7" x14ac:dyDescent="0.25">
      <c r="G1069" s="3" t="e">
        <f t="shared" si="14"/>
        <v>#DIV/0!</v>
      </c>
    </row>
    <row r="1070" spans="7:7" x14ac:dyDescent="0.25">
      <c r="G1070" s="3" t="e">
        <f t="shared" si="14"/>
        <v>#DIV/0!</v>
      </c>
    </row>
    <row r="1071" spans="7:7" x14ac:dyDescent="0.25">
      <c r="G1071" s="3" t="e">
        <f t="shared" si="14"/>
        <v>#DIV/0!</v>
      </c>
    </row>
    <row r="1072" spans="7:7" x14ac:dyDescent="0.25">
      <c r="G1072" s="3" t="e">
        <f t="shared" ref="G1072:G1082" si="15">F1072/D1072</f>
        <v>#DIV/0!</v>
      </c>
    </row>
    <row r="1073" spans="7:7" x14ac:dyDescent="0.25">
      <c r="G1073" s="3" t="e">
        <f t="shared" si="15"/>
        <v>#DIV/0!</v>
      </c>
    </row>
    <row r="1074" spans="7:7" x14ac:dyDescent="0.25">
      <c r="G1074" s="3" t="e">
        <f t="shared" si="15"/>
        <v>#DIV/0!</v>
      </c>
    </row>
    <row r="1075" spans="7:7" x14ac:dyDescent="0.25">
      <c r="G1075" s="3" t="e">
        <f t="shared" si="15"/>
        <v>#DIV/0!</v>
      </c>
    </row>
    <row r="1076" spans="7:7" x14ac:dyDescent="0.25">
      <c r="G1076" s="3" t="e">
        <f t="shared" si="15"/>
        <v>#DIV/0!</v>
      </c>
    </row>
    <row r="1077" spans="7:7" x14ac:dyDescent="0.25">
      <c r="G1077" s="3" t="e">
        <f t="shared" si="15"/>
        <v>#DIV/0!</v>
      </c>
    </row>
    <row r="1078" spans="7:7" x14ac:dyDescent="0.25">
      <c r="G1078" s="3" t="e">
        <f t="shared" si="15"/>
        <v>#DIV/0!</v>
      </c>
    </row>
    <row r="1079" spans="7:7" x14ac:dyDescent="0.25">
      <c r="G1079" s="3" t="e">
        <f t="shared" si="15"/>
        <v>#DIV/0!</v>
      </c>
    </row>
    <row r="1080" spans="7:7" x14ac:dyDescent="0.25">
      <c r="G1080" s="3" t="e">
        <f t="shared" si="15"/>
        <v>#DIV/0!</v>
      </c>
    </row>
    <row r="1081" spans="7:7" x14ac:dyDescent="0.25">
      <c r="G1081" s="3" t="e">
        <f t="shared" si="15"/>
        <v>#DIV/0!</v>
      </c>
    </row>
    <row r="1082" spans="7:7" x14ac:dyDescent="0.25">
      <c r="G1082" s="3" t="e">
        <f t="shared" si="15"/>
        <v>#DIV/0!</v>
      </c>
    </row>
  </sheetData>
  <autoFilter ref="A3:G1082" xr:uid="{E5CB3989-4AB1-406A-BBC8-F53A07B30262}"/>
  <conditionalFormatting sqref="A4:A186">
    <cfRule type="duplicateValues" dxfId="9" priority="9"/>
    <cfRule type="duplicateValues" dxfId="8" priority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B7A8-DBE3-4A8A-930D-6B4AEFB2741D}">
  <sheetPr codeName="Sheet3">
    <tabColor rgb="FFFF0000"/>
  </sheetPr>
  <dimension ref="A3:E5"/>
  <sheetViews>
    <sheetView workbookViewId="0">
      <selection activeCell="B5" sqref="B5"/>
    </sheetView>
  </sheetViews>
  <sheetFormatPr defaultRowHeight="15" x14ac:dyDescent="0.25"/>
  <cols>
    <col min="2" max="2" width="64.85546875" bestFit="1" customWidth="1"/>
  </cols>
  <sheetData>
    <row r="3" spans="1:5" x14ac:dyDescent="0.25">
      <c r="A3">
        <v>1</v>
      </c>
      <c r="B3" t="s">
        <v>11</v>
      </c>
      <c r="D3">
        <v>1</v>
      </c>
      <c r="E3" t="s">
        <v>163</v>
      </c>
    </row>
    <row r="4" spans="1:5" x14ac:dyDescent="0.25">
      <c r="A4">
        <v>2</v>
      </c>
      <c r="B4" t="s">
        <v>12</v>
      </c>
      <c r="D4">
        <v>2</v>
      </c>
      <c r="E4" t="s">
        <v>164</v>
      </c>
    </row>
    <row r="5" spans="1:5" x14ac:dyDescent="0.25">
      <c r="A5">
        <v>3</v>
      </c>
      <c r="B5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4C33-9341-4B2D-BCFB-BB0409EAE817}">
  <sheetPr codeName="Sheet5">
    <tabColor rgb="FFFFFF00"/>
  </sheetPr>
  <dimension ref="A3:F307"/>
  <sheetViews>
    <sheetView tabSelected="1" workbookViewId="0">
      <selection activeCell="B28" sqref="B28"/>
    </sheetView>
  </sheetViews>
  <sheetFormatPr defaultRowHeight="15" x14ac:dyDescent="0.25"/>
  <cols>
    <col min="1" max="1" width="21.42578125" bestFit="1" customWidth="1"/>
    <col min="2" max="2" width="18" bestFit="1" customWidth="1"/>
    <col min="3" max="3" width="12" bestFit="1" customWidth="1"/>
    <col min="4" max="4" width="27.85546875" bestFit="1" customWidth="1"/>
    <col min="5" max="5" width="9.85546875" bestFit="1" customWidth="1"/>
    <col min="6" max="6" width="26.140625" bestFit="1" customWidth="1"/>
    <col min="7" max="7" width="10.7109375" bestFit="1" customWidth="1"/>
    <col min="8" max="10" width="7" bestFit="1" customWidth="1"/>
    <col min="11" max="24" width="8" bestFit="1" customWidth="1"/>
    <col min="25" max="30" width="18.42578125" bestFit="1" customWidth="1"/>
    <col min="31" max="31" width="18.140625" bestFit="1" customWidth="1"/>
    <col min="32" max="45" width="18.42578125" bestFit="1" customWidth="1"/>
    <col min="46" max="49" width="11.5703125" bestFit="1" customWidth="1"/>
    <col min="50" max="50" width="6.7109375" bestFit="1" customWidth="1"/>
    <col min="51" max="51" width="7" bestFit="1" customWidth="1"/>
    <col min="52" max="52" width="6.7109375" bestFit="1" customWidth="1"/>
    <col min="53" max="53" width="10.7109375" bestFit="1" customWidth="1"/>
  </cols>
  <sheetData>
    <row r="3" spans="1:6" x14ac:dyDescent="0.25">
      <c r="A3" s="16" t="s">
        <v>32</v>
      </c>
      <c r="B3" s="16" t="s">
        <v>14</v>
      </c>
      <c r="C3" s="16" t="s">
        <v>2</v>
      </c>
      <c r="D3" s="16" t="s">
        <v>228</v>
      </c>
      <c r="E3" s="16" t="s">
        <v>6</v>
      </c>
      <c r="F3" t="s">
        <v>153</v>
      </c>
    </row>
    <row r="4" spans="1:6" x14ac:dyDescent="0.25">
      <c r="A4" t="s">
        <v>658</v>
      </c>
      <c r="B4" t="s">
        <v>486</v>
      </c>
      <c r="C4">
        <v>100191</v>
      </c>
      <c r="D4" t="s">
        <v>2809</v>
      </c>
      <c r="E4">
        <v>12</v>
      </c>
      <c r="F4" s="150">
        <v>1</v>
      </c>
    </row>
    <row r="5" spans="1:6" x14ac:dyDescent="0.25">
      <c r="A5" t="s">
        <v>658</v>
      </c>
      <c r="B5" t="s">
        <v>486</v>
      </c>
      <c r="C5">
        <v>100191</v>
      </c>
      <c r="D5">
        <v>7000003792</v>
      </c>
      <c r="E5">
        <v>12</v>
      </c>
      <c r="F5" s="150">
        <v>2</v>
      </c>
    </row>
    <row r="6" spans="1:6" x14ac:dyDescent="0.25">
      <c r="A6" t="s">
        <v>659</v>
      </c>
      <c r="B6" t="s">
        <v>479</v>
      </c>
      <c r="C6">
        <v>100156</v>
      </c>
      <c r="D6" t="s">
        <v>2810</v>
      </c>
      <c r="E6">
        <v>12</v>
      </c>
      <c r="F6" s="150">
        <v>1</v>
      </c>
    </row>
    <row r="7" spans="1:6" x14ac:dyDescent="0.25">
      <c r="A7" t="s">
        <v>659</v>
      </c>
      <c r="B7" t="s">
        <v>479</v>
      </c>
      <c r="C7" t="s">
        <v>1102</v>
      </c>
      <c r="D7">
        <v>7000003778</v>
      </c>
      <c r="E7">
        <v>12</v>
      </c>
      <c r="F7" s="150"/>
    </row>
    <row r="8" spans="1:6" x14ac:dyDescent="0.25">
      <c r="A8" t="s">
        <v>660</v>
      </c>
      <c r="B8" t="s">
        <v>479</v>
      </c>
      <c r="C8">
        <v>100180</v>
      </c>
      <c r="D8" t="s">
        <v>2806</v>
      </c>
      <c r="E8">
        <v>12</v>
      </c>
      <c r="F8" s="150">
        <v>1</v>
      </c>
    </row>
    <row r="9" spans="1:6" x14ac:dyDescent="0.25">
      <c r="A9" t="s">
        <v>661</v>
      </c>
      <c r="B9" t="s">
        <v>479</v>
      </c>
      <c r="C9">
        <v>100151</v>
      </c>
      <c r="D9">
        <v>0</v>
      </c>
      <c r="E9">
        <v>12</v>
      </c>
      <c r="F9" s="150">
        <v>1</v>
      </c>
    </row>
    <row r="10" spans="1:6" x14ac:dyDescent="0.25">
      <c r="A10" t="s">
        <v>662</v>
      </c>
      <c r="B10" t="s">
        <v>479</v>
      </c>
      <c r="C10">
        <v>100174</v>
      </c>
      <c r="D10">
        <v>0</v>
      </c>
      <c r="E10">
        <v>12</v>
      </c>
      <c r="F10" s="150">
        <v>1</v>
      </c>
    </row>
    <row r="11" spans="1:6" x14ac:dyDescent="0.25">
      <c r="A11" t="s">
        <v>663</v>
      </c>
      <c r="B11" t="s">
        <v>486</v>
      </c>
      <c r="C11">
        <v>100192</v>
      </c>
      <c r="D11" t="s">
        <v>2744</v>
      </c>
      <c r="E11">
        <v>48</v>
      </c>
      <c r="F11" s="150">
        <v>1</v>
      </c>
    </row>
    <row r="12" spans="1:6" x14ac:dyDescent="0.25">
      <c r="A12" t="s">
        <v>663</v>
      </c>
      <c r="B12" t="s">
        <v>486</v>
      </c>
      <c r="C12">
        <v>100201</v>
      </c>
      <c r="D12" t="s">
        <v>2718</v>
      </c>
      <c r="E12">
        <v>48</v>
      </c>
      <c r="F12" s="150">
        <v>2</v>
      </c>
    </row>
    <row r="13" spans="1:6" x14ac:dyDescent="0.25">
      <c r="A13" t="s">
        <v>664</v>
      </c>
      <c r="B13" t="s">
        <v>486</v>
      </c>
      <c r="C13">
        <v>100194</v>
      </c>
      <c r="D13" t="s">
        <v>2721</v>
      </c>
      <c r="E13">
        <v>48</v>
      </c>
      <c r="F13" s="150">
        <v>1</v>
      </c>
    </row>
    <row r="14" spans="1:6" x14ac:dyDescent="0.25">
      <c r="A14" t="s">
        <v>664</v>
      </c>
      <c r="B14" t="s">
        <v>486</v>
      </c>
      <c r="C14">
        <v>100203</v>
      </c>
      <c r="D14" t="s">
        <v>2713</v>
      </c>
      <c r="E14">
        <v>48</v>
      </c>
      <c r="F14" s="150">
        <v>2</v>
      </c>
    </row>
    <row r="15" spans="1:6" x14ac:dyDescent="0.25">
      <c r="A15" t="s">
        <v>664</v>
      </c>
      <c r="B15" t="s">
        <v>486</v>
      </c>
      <c r="C15">
        <v>100215</v>
      </c>
      <c r="D15" t="s">
        <v>2649</v>
      </c>
      <c r="E15">
        <v>48</v>
      </c>
      <c r="F15" s="150">
        <v>3</v>
      </c>
    </row>
    <row r="16" spans="1:6" x14ac:dyDescent="0.25">
      <c r="A16" t="s">
        <v>665</v>
      </c>
      <c r="B16" t="s">
        <v>486</v>
      </c>
      <c r="C16">
        <v>100193</v>
      </c>
      <c r="D16" t="s">
        <v>2743</v>
      </c>
      <c r="E16">
        <v>24</v>
      </c>
      <c r="F16" s="150">
        <v>1</v>
      </c>
    </row>
    <row r="17" spans="1:6" x14ac:dyDescent="0.25">
      <c r="A17" t="s">
        <v>665</v>
      </c>
      <c r="B17" t="s">
        <v>486</v>
      </c>
      <c r="C17">
        <v>100202</v>
      </c>
      <c r="D17" t="s">
        <v>2717</v>
      </c>
      <c r="E17">
        <v>24</v>
      </c>
      <c r="F17" s="150">
        <v>2</v>
      </c>
    </row>
    <row r="18" spans="1:6" x14ac:dyDescent="0.25">
      <c r="A18" t="s">
        <v>665</v>
      </c>
      <c r="B18" t="s">
        <v>486</v>
      </c>
      <c r="C18">
        <v>100231</v>
      </c>
      <c r="D18" t="s">
        <v>2647</v>
      </c>
      <c r="E18">
        <v>24</v>
      </c>
      <c r="F18" s="150">
        <v>3</v>
      </c>
    </row>
    <row r="19" spans="1:6" x14ac:dyDescent="0.25">
      <c r="A19" t="s">
        <v>666</v>
      </c>
      <c r="B19" t="s">
        <v>479</v>
      </c>
      <c r="C19">
        <v>100204</v>
      </c>
      <c r="D19" t="s">
        <v>2712</v>
      </c>
      <c r="E19">
        <v>48</v>
      </c>
      <c r="F19" s="150">
        <v>1</v>
      </c>
    </row>
    <row r="20" spans="1:6" x14ac:dyDescent="0.25">
      <c r="A20" t="s">
        <v>667</v>
      </c>
      <c r="B20" t="s">
        <v>479</v>
      </c>
      <c r="C20">
        <v>100189</v>
      </c>
      <c r="D20" t="s">
        <v>2736</v>
      </c>
      <c r="E20">
        <v>48</v>
      </c>
      <c r="F20" s="150">
        <v>1</v>
      </c>
    </row>
    <row r="21" spans="1:6" x14ac:dyDescent="0.25">
      <c r="A21" t="s">
        <v>667</v>
      </c>
      <c r="B21" t="s">
        <v>479</v>
      </c>
      <c r="C21">
        <v>100222</v>
      </c>
      <c r="D21" t="s">
        <v>2734</v>
      </c>
      <c r="E21">
        <v>48</v>
      </c>
      <c r="F21" s="150">
        <v>2</v>
      </c>
    </row>
    <row r="22" spans="1:6" x14ac:dyDescent="0.25">
      <c r="A22" t="s">
        <v>667</v>
      </c>
      <c r="B22" t="s">
        <v>479</v>
      </c>
      <c r="C22">
        <v>100240</v>
      </c>
      <c r="D22" t="s">
        <v>2664</v>
      </c>
      <c r="E22">
        <v>48</v>
      </c>
      <c r="F22" s="150">
        <v>3</v>
      </c>
    </row>
    <row r="23" spans="1:6" x14ac:dyDescent="0.25">
      <c r="A23" t="s">
        <v>668</v>
      </c>
      <c r="B23" t="s">
        <v>479</v>
      </c>
      <c r="C23">
        <v>100986</v>
      </c>
      <c r="D23" t="s">
        <v>2747</v>
      </c>
      <c r="E23">
        <v>48</v>
      </c>
      <c r="F23" s="150">
        <v>1</v>
      </c>
    </row>
    <row r="24" spans="1:6" x14ac:dyDescent="0.25">
      <c r="A24" t="s">
        <v>669</v>
      </c>
      <c r="B24" t="s">
        <v>479</v>
      </c>
      <c r="C24">
        <v>100179</v>
      </c>
      <c r="D24">
        <v>0</v>
      </c>
      <c r="E24">
        <v>48</v>
      </c>
      <c r="F24" s="150">
        <v>1</v>
      </c>
    </row>
    <row r="25" spans="1:6" x14ac:dyDescent="0.25">
      <c r="A25" t="s">
        <v>670</v>
      </c>
      <c r="B25" t="s">
        <v>479</v>
      </c>
      <c r="C25">
        <v>100158</v>
      </c>
      <c r="D25" t="s">
        <v>2749</v>
      </c>
      <c r="E25">
        <v>24</v>
      </c>
      <c r="F25" s="150">
        <v>1</v>
      </c>
    </row>
    <row r="26" spans="1:6" x14ac:dyDescent="0.25">
      <c r="A26" t="s">
        <v>670</v>
      </c>
      <c r="B26" t="s">
        <v>479</v>
      </c>
      <c r="C26">
        <v>100172</v>
      </c>
      <c r="D26" t="s">
        <v>2732</v>
      </c>
      <c r="E26">
        <v>24</v>
      </c>
      <c r="F26" s="150">
        <v>2</v>
      </c>
    </row>
    <row r="27" spans="1:6" x14ac:dyDescent="0.25">
      <c r="A27" t="s">
        <v>671</v>
      </c>
      <c r="B27" t="s">
        <v>479</v>
      </c>
      <c r="C27">
        <v>100220</v>
      </c>
      <c r="D27" t="s">
        <v>2731</v>
      </c>
      <c r="E27">
        <v>24</v>
      </c>
      <c r="F27" s="150">
        <v>1</v>
      </c>
    </row>
    <row r="28" spans="1:6" x14ac:dyDescent="0.25">
      <c r="A28" t="s">
        <v>671</v>
      </c>
      <c r="B28" t="s">
        <v>479</v>
      </c>
      <c r="C28">
        <v>100238</v>
      </c>
      <c r="D28" t="s">
        <v>2656</v>
      </c>
      <c r="E28">
        <v>24</v>
      </c>
      <c r="F28" s="150">
        <v>2</v>
      </c>
    </row>
    <row r="29" spans="1:6" x14ac:dyDescent="0.25">
      <c r="A29" t="s">
        <v>672</v>
      </c>
      <c r="B29" t="s">
        <v>479</v>
      </c>
      <c r="C29">
        <v>100165</v>
      </c>
      <c r="D29" t="s">
        <v>2748</v>
      </c>
      <c r="E29">
        <v>12</v>
      </c>
      <c r="F29" s="150">
        <v>2</v>
      </c>
    </row>
    <row r="30" spans="1:6" x14ac:dyDescent="0.25">
      <c r="A30" t="s">
        <v>672</v>
      </c>
      <c r="B30" t="s">
        <v>479</v>
      </c>
      <c r="C30">
        <v>100187</v>
      </c>
      <c r="D30">
        <v>0</v>
      </c>
      <c r="E30">
        <v>12</v>
      </c>
      <c r="F30" s="150">
        <v>1</v>
      </c>
    </row>
    <row r="31" spans="1:6" x14ac:dyDescent="0.25">
      <c r="A31" t="s">
        <v>673</v>
      </c>
      <c r="B31" t="s">
        <v>479</v>
      </c>
      <c r="C31">
        <v>100976</v>
      </c>
      <c r="D31">
        <v>0</v>
      </c>
      <c r="E31">
        <v>12</v>
      </c>
      <c r="F31" s="150">
        <v>1</v>
      </c>
    </row>
    <row r="32" spans="1:6" x14ac:dyDescent="0.25">
      <c r="A32" t="s">
        <v>673</v>
      </c>
      <c r="B32" t="s">
        <v>479</v>
      </c>
      <c r="C32">
        <v>100981</v>
      </c>
      <c r="D32">
        <v>0</v>
      </c>
      <c r="E32">
        <v>12</v>
      </c>
      <c r="F32" s="150">
        <v>2</v>
      </c>
    </row>
    <row r="33" spans="1:6" x14ac:dyDescent="0.25">
      <c r="A33" t="s">
        <v>674</v>
      </c>
      <c r="B33" t="s">
        <v>479</v>
      </c>
      <c r="C33">
        <v>100225</v>
      </c>
      <c r="D33" t="s">
        <v>2728</v>
      </c>
      <c r="E33">
        <v>12</v>
      </c>
      <c r="F33" s="150">
        <v>1</v>
      </c>
    </row>
    <row r="34" spans="1:6" x14ac:dyDescent="0.25">
      <c r="A34" t="s">
        <v>674</v>
      </c>
      <c r="B34" t="s">
        <v>479</v>
      </c>
      <c r="C34">
        <v>100242</v>
      </c>
      <c r="D34" t="s">
        <v>2669</v>
      </c>
      <c r="E34">
        <v>12</v>
      </c>
      <c r="F34" s="150">
        <v>2</v>
      </c>
    </row>
    <row r="35" spans="1:6" x14ac:dyDescent="0.25">
      <c r="A35" t="s">
        <v>675</v>
      </c>
      <c r="B35" t="s">
        <v>479</v>
      </c>
      <c r="C35">
        <v>100176</v>
      </c>
      <c r="D35" t="s">
        <v>2729</v>
      </c>
      <c r="E35">
        <v>12</v>
      </c>
      <c r="F35" s="150">
        <v>1</v>
      </c>
    </row>
    <row r="36" spans="1:6" x14ac:dyDescent="0.25">
      <c r="A36" t="s">
        <v>675</v>
      </c>
      <c r="B36" t="s">
        <v>479</v>
      </c>
      <c r="C36">
        <v>100188</v>
      </c>
      <c r="D36" t="s">
        <v>2730</v>
      </c>
      <c r="E36">
        <v>12</v>
      </c>
      <c r="F36" s="150">
        <v>2</v>
      </c>
    </row>
    <row r="37" spans="1:6" x14ac:dyDescent="0.25">
      <c r="A37" t="s">
        <v>676</v>
      </c>
      <c r="B37" t="s">
        <v>479</v>
      </c>
      <c r="C37">
        <v>100221</v>
      </c>
      <c r="D37">
        <v>0</v>
      </c>
      <c r="E37">
        <v>12</v>
      </c>
      <c r="F37" s="150">
        <v>1</v>
      </c>
    </row>
    <row r="38" spans="1:6" x14ac:dyDescent="0.25">
      <c r="A38" t="s">
        <v>676</v>
      </c>
      <c r="B38" t="s">
        <v>479</v>
      </c>
      <c r="C38">
        <v>100252</v>
      </c>
      <c r="D38" t="s">
        <v>2680</v>
      </c>
      <c r="E38">
        <v>12</v>
      </c>
      <c r="F38" s="150">
        <v>2</v>
      </c>
    </row>
    <row r="39" spans="1:6" x14ac:dyDescent="0.25">
      <c r="A39" t="s">
        <v>676</v>
      </c>
      <c r="B39" t="s">
        <v>479</v>
      </c>
      <c r="C39">
        <v>100239</v>
      </c>
      <c r="D39" t="s">
        <v>2679</v>
      </c>
      <c r="E39">
        <v>12</v>
      </c>
      <c r="F39" s="150">
        <v>3</v>
      </c>
    </row>
    <row r="40" spans="1:6" x14ac:dyDescent="0.25">
      <c r="A40" t="s">
        <v>676</v>
      </c>
      <c r="B40" t="s">
        <v>479</v>
      </c>
      <c r="C40">
        <v>100267</v>
      </c>
      <c r="D40" t="s">
        <v>2678</v>
      </c>
      <c r="E40">
        <v>12</v>
      </c>
      <c r="F40" s="150">
        <v>4</v>
      </c>
    </row>
    <row r="41" spans="1:6" x14ac:dyDescent="0.25">
      <c r="A41" t="s">
        <v>677</v>
      </c>
      <c r="B41" t="s">
        <v>506</v>
      </c>
      <c r="C41">
        <v>100181</v>
      </c>
      <c r="D41" t="s">
        <v>2723</v>
      </c>
      <c r="E41">
        <v>1</v>
      </c>
      <c r="F41" s="150">
        <v>1</v>
      </c>
    </row>
    <row r="42" spans="1:6" x14ac:dyDescent="0.25">
      <c r="A42" t="s">
        <v>677</v>
      </c>
      <c r="B42" t="s">
        <v>506</v>
      </c>
      <c r="C42">
        <v>100228</v>
      </c>
      <c r="D42" t="s">
        <v>2658</v>
      </c>
      <c r="E42">
        <v>1</v>
      </c>
      <c r="F42" s="150">
        <v>2</v>
      </c>
    </row>
    <row r="43" spans="1:6" x14ac:dyDescent="0.25">
      <c r="A43" t="s">
        <v>678</v>
      </c>
      <c r="B43" t="s">
        <v>486</v>
      </c>
      <c r="C43">
        <v>100161</v>
      </c>
      <c r="D43">
        <v>0</v>
      </c>
      <c r="E43">
        <v>48</v>
      </c>
      <c r="F43" s="150">
        <v>1</v>
      </c>
    </row>
    <row r="44" spans="1:6" x14ac:dyDescent="0.25">
      <c r="A44" t="s">
        <v>679</v>
      </c>
      <c r="B44" t="s">
        <v>486</v>
      </c>
      <c r="C44">
        <v>100162</v>
      </c>
      <c r="D44">
        <v>0</v>
      </c>
      <c r="E44">
        <v>24</v>
      </c>
      <c r="F44" s="150">
        <v>1</v>
      </c>
    </row>
    <row r="45" spans="1:6" x14ac:dyDescent="0.25">
      <c r="A45" t="s">
        <v>679</v>
      </c>
      <c r="B45" t="s">
        <v>486</v>
      </c>
      <c r="C45">
        <v>100236</v>
      </c>
      <c r="D45" t="s">
        <v>2683</v>
      </c>
      <c r="E45">
        <v>24</v>
      </c>
      <c r="F45" s="150">
        <v>2</v>
      </c>
    </row>
    <row r="46" spans="1:6" x14ac:dyDescent="0.25">
      <c r="A46" t="s">
        <v>680</v>
      </c>
      <c r="B46" t="s">
        <v>486</v>
      </c>
      <c r="C46">
        <v>100166</v>
      </c>
      <c r="D46">
        <v>0</v>
      </c>
      <c r="E46">
        <v>12</v>
      </c>
      <c r="F46" s="150">
        <v>1</v>
      </c>
    </row>
    <row r="47" spans="1:6" x14ac:dyDescent="0.25">
      <c r="A47" t="s">
        <v>681</v>
      </c>
      <c r="B47" t="s">
        <v>486</v>
      </c>
      <c r="C47">
        <v>100163</v>
      </c>
      <c r="D47">
        <v>0</v>
      </c>
      <c r="E47">
        <v>12</v>
      </c>
      <c r="F47" s="150">
        <v>1</v>
      </c>
    </row>
    <row r="48" spans="1:6" x14ac:dyDescent="0.25">
      <c r="A48" t="s">
        <v>681</v>
      </c>
      <c r="B48" t="s">
        <v>486</v>
      </c>
      <c r="C48">
        <v>100226</v>
      </c>
      <c r="D48" t="s">
        <v>2663</v>
      </c>
      <c r="E48">
        <v>12</v>
      </c>
      <c r="F48" s="150">
        <v>2</v>
      </c>
    </row>
    <row r="49" spans="1:6" x14ac:dyDescent="0.25">
      <c r="A49" t="s">
        <v>682</v>
      </c>
      <c r="B49" t="s">
        <v>486</v>
      </c>
      <c r="C49">
        <v>110013</v>
      </c>
      <c r="D49" t="s">
        <v>2645</v>
      </c>
      <c r="E49">
        <v>12</v>
      </c>
      <c r="F49" s="150">
        <v>1</v>
      </c>
    </row>
    <row r="50" spans="1:6" x14ac:dyDescent="0.25">
      <c r="A50" t="s">
        <v>682</v>
      </c>
      <c r="B50" t="s">
        <v>486</v>
      </c>
      <c r="C50">
        <v>110019</v>
      </c>
      <c r="D50" t="s">
        <v>2636</v>
      </c>
      <c r="E50">
        <v>12</v>
      </c>
      <c r="F50" s="150">
        <v>2</v>
      </c>
    </row>
    <row r="51" spans="1:6" x14ac:dyDescent="0.25">
      <c r="A51" t="s">
        <v>683</v>
      </c>
      <c r="B51" t="s">
        <v>486</v>
      </c>
      <c r="C51">
        <v>120011</v>
      </c>
      <c r="D51" t="s">
        <v>2922</v>
      </c>
      <c r="E51">
        <v>24</v>
      </c>
      <c r="F51" s="150">
        <v>1</v>
      </c>
    </row>
    <row r="52" spans="1:6" x14ac:dyDescent="0.25">
      <c r="A52" t="s">
        <v>683</v>
      </c>
      <c r="B52" t="s">
        <v>486</v>
      </c>
      <c r="C52">
        <v>120029</v>
      </c>
      <c r="D52">
        <v>0</v>
      </c>
      <c r="E52">
        <v>24</v>
      </c>
      <c r="F52" s="150">
        <v>2</v>
      </c>
    </row>
    <row r="53" spans="1:6" x14ac:dyDescent="0.25">
      <c r="A53" t="s">
        <v>683</v>
      </c>
      <c r="B53" t="s">
        <v>486</v>
      </c>
      <c r="C53">
        <v>120041</v>
      </c>
      <c r="D53" t="s">
        <v>2920</v>
      </c>
      <c r="E53">
        <v>24</v>
      </c>
      <c r="F53" s="150">
        <v>3</v>
      </c>
    </row>
    <row r="54" spans="1:6" x14ac:dyDescent="0.25">
      <c r="A54" t="s">
        <v>684</v>
      </c>
      <c r="B54" t="s">
        <v>486</v>
      </c>
      <c r="C54">
        <v>120031</v>
      </c>
      <c r="D54" t="s">
        <v>2903</v>
      </c>
      <c r="E54">
        <v>24</v>
      </c>
      <c r="F54" s="150">
        <v>1</v>
      </c>
    </row>
    <row r="55" spans="1:6" x14ac:dyDescent="0.25">
      <c r="A55" t="s">
        <v>684</v>
      </c>
      <c r="B55" t="s">
        <v>486</v>
      </c>
      <c r="C55">
        <v>120033</v>
      </c>
      <c r="D55">
        <v>0</v>
      </c>
      <c r="E55">
        <v>24</v>
      </c>
      <c r="F55" s="150">
        <v>2</v>
      </c>
    </row>
    <row r="56" spans="1:6" x14ac:dyDescent="0.25">
      <c r="A56" t="s">
        <v>684</v>
      </c>
      <c r="B56" t="s">
        <v>486</v>
      </c>
      <c r="C56">
        <v>120040</v>
      </c>
      <c r="D56" t="s">
        <v>2895</v>
      </c>
      <c r="E56">
        <v>24</v>
      </c>
      <c r="F56" s="150">
        <v>3</v>
      </c>
    </row>
    <row r="57" spans="1:6" x14ac:dyDescent="0.25">
      <c r="A57" t="s">
        <v>685</v>
      </c>
      <c r="B57" t="s">
        <v>486</v>
      </c>
      <c r="C57">
        <v>120030</v>
      </c>
      <c r="D57" t="s">
        <v>2910</v>
      </c>
      <c r="E57">
        <v>48</v>
      </c>
      <c r="F57" s="150">
        <v>1</v>
      </c>
    </row>
    <row r="58" spans="1:6" x14ac:dyDescent="0.25">
      <c r="A58" t="s">
        <v>685</v>
      </c>
      <c r="B58" t="s">
        <v>486</v>
      </c>
      <c r="C58">
        <v>120035</v>
      </c>
      <c r="D58" t="s">
        <v>2911</v>
      </c>
      <c r="E58">
        <v>48</v>
      </c>
      <c r="F58" s="150">
        <v>2</v>
      </c>
    </row>
    <row r="59" spans="1:6" x14ac:dyDescent="0.25">
      <c r="A59" t="s">
        <v>686</v>
      </c>
      <c r="B59" t="s">
        <v>486</v>
      </c>
      <c r="C59">
        <v>120032</v>
      </c>
      <c r="D59" t="s">
        <v>2980</v>
      </c>
      <c r="E59">
        <v>24</v>
      </c>
      <c r="F59" s="150">
        <v>1</v>
      </c>
    </row>
    <row r="60" spans="1:6" x14ac:dyDescent="0.25">
      <c r="A60" t="s">
        <v>686</v>
      </c>
      <c r="B60" t="s">
        <v>486</v>
      </c>
      <c r="C60">
        <v>120037</v>
      </c>
      <c r="D60" t="s">
        <v>2979</v>
      </c>
      <c r="E60">
        <v>24</v>
      </c>
      <c r="F60" s="150">
        <v>2</v>
      </c>
    </row>
    <row r="61" spans="1:6" x14ac:dyDescent="0.25">
      <c r="A61" t="s">
        <v>687</v>
      </c>
      <c r="B61" t="s">
        <v>486</v>
      </c>
      <c r="C61">
        <v>120034</v>
      </c>
      <c r="D61">
        <v>0</v>
      </c>
      <c r="E61">
        <v>24</v>
      </c>
      <c r="F61" s="150">
        <v>1</v>
      </c>
    </row>
    <row r="62" spans="1:6" x14ac:dyDescent="0.25">
      <c r="A62" t="s">
        <v>687</v>
      </c>
      <c r="B62" t="s">
        <v>486</v>
      </c>
      <c r="C62">
        <v>120038</v>
      </c>
      <c r="D62" t="s">
        <v>2894</v>
      </c>
      <c r="E62">
        <v>24</v>
      </c>
      <c r="F62" s="150">
        <v>2</v>
      </c>
    </row>
    <row r="63" spans="1:6" x14ac:dyDescent="0.25">
      <c r="A63" t="s">
        <v>688</v>
      </c>
      <c r="B63" t="s">
        <v>486</v>
      </c>
      <c r="C63">
        <v>120028</v>
      </c>
      <c r="D63">
        <v>0</v>
      </c>
      <c r="E63">
        <v>24</v>
      </c>
      <c r="F63" s="150">
        <v>1</v>
      </c>
    </row>
    <row r="64" spans="1:6" x14ac:dyDescent="0.25">
      <c r="A64" t="s">
        <v>688</v>
      </c>
      <c r="B64" t="s">
        <v>486</v>
      </c>
      <c r="C64">
        <v>120043</v>
      </c>
      <c r="D64" t="s">
        <v>2923</v>
      </c>
      <c r="E64">
        <v>24</v>
      </c>
      <c r="F64" s="150">
        <v>2</v>
      </c>
    </row>
    <row r="65" spans="1:6" x14ac:dyDescent="0.25">
      <c r="A65" t="s">
        <v>689</v>
      </c>
      <c r="B65" t="s">
        <v>552</v>
      </c>
      <c r="C65">
        <v>460166</v>
      </c>
      <c r="D65" t="s">
        <v>2880</v>
      </c>
      <c r="E65">
        <v>48</v>
      </c>
      <c r="F65" s="150">
        <v>1</v>
      </c>
    </row>
    <row r="66" spans="1:6" x14ac:dyDescent="0.25">
      <c r="A66" t="s">
        <v>690</v>
      </c>
      <c r="B66" t="s">
        <v>552</v>
      </c>
      <c r="C66">
        <v>460167</v>
      </c>
      <c r="D66" t="s">
        <v>2883</v>
      </c>
      <c r="E66">
        <v>48</v>
      </c>
      <c r="F66" s="150">
        <v>1</v>
      </c>
    </row>
    <row r="67" spans="1:6" x14ac:dyDescent="0.25">
      <c r="A67" t="s">
        <v>691</v>
      </c>
      <c r="B67" t="s">
        <v>552</v>
      </c>
      <c r="C67">
        <v>460168</v>
      </c>
      <c r="D67" t="s">
        <v>2881</v>
      </c>
      <c r="E67">
        <v>48</v>
      </c>
      <c r="F67" s="150">
        <v>1</v>
      </c>
    </row>
    <row r="68" spans="1:6" x14ac:dyDescent="0.25">
      <c r="A68" t="s">
        <v>692</v>
      </c>
      <c r="B68" t="s">
        <v>552</v>
      </c>
      <c r="C68">
        <v>460169</v>
      </c>
      <c r="D68" t="s">
        <v>2882</v>
      </c>
      <c r="E68">
        <v>48</v>
      </c>
      <c r="F68" s="150">
        <v>1</v>
      </c>
    </row>
    <row r="69" spans="1:6" x14ac:dyDescent="0.25">
      <c r="A69" t="s">
        <v>693</v>
      </c>
      <c r="B69" t="s">
        <v>552</v>
      </c>
      <c r="C69">
        <v>460170</v>
      </c>
      <c r="D69" t="s">
        <v>2878</v>
      </c>
      <c r="E69">
        <v>48</v>
      </c>
      <c r="F69" s="150">
        <v>1</v>
      </c>
    </row>
    <row r="70" spans="1:6" x14ac:dyDescent="0.25">
      <c r="A70" t="s">
        <v>694</v>
      </c>
      <c r="B70" t="s">
        <v>552</v>
      </c>
      <c r="C70">
        <v>460171</v>
      </c>
      <c r="D70" t="s">
        <v>2879</v>
      </c>
      <c r="E70">
        <v>48</v>
      </c>
      <c r="F70" s="150">
        <v>1</v>
      </c>
    </row>
    <row r="71" spans="1:6" x14ac:dyDescent="0.25">
      <c r="A71" t="s">
        <v>695</v>
      </c>
      <c r="B71" t="s">
        <v>552</v>
      </c>
      <c r="C71">
        <v>460172</v>
      </c>
      <c r="D71" t="s">
        <v>2877</v>
      </c>
      <c r="E71">
        <v>48</v>
      </c>
      <c r="F71" s="150">
        <v>1</v>
      </c>
    </row>
    <row r="72" spans="1:6" x14ac:dyDescent="0.25">
      <c r="A72" t="s">
        <v>696</v>
      </c>
      <c r="B72" t="s">
        <v>552</v>
      </c>
      <c r="C72">
        <v>460179</v>
      </c>
      <c r="D72" t="s">
        <v>2893</v>
      </c>
      <c r="E72">
        <v>24</v>
      </c>
      <c r="F72" s="150">
        <v>1</v>
      </c>
    </row>
    <row r="73" spans="1:6" x14ac:dyDescent="0.25">
      <c r="A73" t="s">
        <v>697</v>
      </c>
      <c r="B73" t="s">
        <v>552</v>
      </c>
      <c r="C73">
        <v>460056</v>
      </c>
      <c r="D73">
        <v>0</v>
      </c>
      <c r="E73">
        <v>24</v>
      </c>
      <c r="F73" s="150">
        <v>1</v>
      </c>
    </row>
    <row r="74" spans="1:6" x14ac:dyDescent="0.25">
      <c r="A74" t="s">
        <v>697</v>
      </c>
      <c r="B74" t="s">
        <v>552</v>
      </c>
      <c r="C74">
        <v>460178</v>
      </c>
      <c r="D74" t="s">
        <v>2892</v>
      </c>
      <c r="E74">
        <v>24</v>
      </c>
      <c r="F74" s="150">
        <v>2</v>
      </c>
    </row>
    <row r="75" spans="1:6" x14ac:dyDescent="0.25">
      <c r="A75" t="s">
        <v>698</v>
      </c>
      <c r="B75" t="s">
        <v>552</v>
      </c>
      <c r="C75">
        <v>460918</v>
      </c>
      <c r="D75" t="s">
        <v>2889</v>
      </c>
      <c r="E75">
        <v>24</v>
      </c>
      <c r="F75" s="150">
        <v>1</v>
      </c>
    </row>
    <row r="76" spans="1:6" x14ac:dyDescent="0.25">
      <c r="A76" t="s">
        <v>699</v>
      </c>
      <c r="B76" t="s">
        <v>561</v>
      </c>
      <c r="C76">
        <v>460917</v>
      </c>
      <c r="D76">
        <v>0</v>
      </c>
      <c r="E76">
        <v>8</v>
      </c>
      <c r="F76" s="150">
        <v>1</v>
      </c>
    </row>
    <row r="77" spans="1:6" x14ac:dyDescent="0.25">
      <c r="A77" t="s">
        <v>699</v>
      </c>
      <c r="B77" t="s">
        <v>561</v>
      </c>
      <c r="C77">
        <v>460921</v>
      </c>
      <c r="D77" t="s">
        <v>2891</v>
      </c>
      <c r="E77">
        <v>8</v>
      </c>
      <c r="F77" s="150">
        <v>2</v>
      </c>
    </row>
    <row r="78" spans="1:6" x14ac:dyDescent="0.25">
      <c r="A78" t="s">
        <v>700</v>
      </c>
      <c r="B78" t="s">
        <v>552</v>
      </c>
      <c r="C78">
        <v>460194</v>
      </c>
      <c r="D78">
        <v>0</v>
      </c>
      <c r="E78">
        <v>24</v>
      </c>
      <c r="F78" s="150">
        <v>1</v>
      </c>
    </row>
    <row r="79" spans="1:6" x14ac:dyDescent="0.25">
      <c r="A79" t="s">
        <v>701</v>
      </c>
      <c r="B79" t="s">
        <v>552</v>
      </c>
      <c r="C79">
        <v>460195</v>
      </c>
      <c r="D79">
        <v>0</v>
      </c>
      <c r="E79">
        <v>24</v>
      </c>
      <c r="F79" s="150">
        <v>1</v>
      </c>
    </row>
    <row r="80" spans="1:6" x14ac:dyDescent="0.25">
      <c r="A80" t="s">
        <v>702</v>
      </c>
      <c r="B80" t="s">
        <v>552</v>
      </c>
      <c r="C80">
        <v>460183</v>
      </c>
      <c r="D80" t="s">
        <v>2827</v>
      </c>
      <c r="E80">
        <v>24</v>
      </c>
      <c r="F80" s="150">
        <v>1</v>
      </c>
    </row>
    <row r="81" spans="1:6" x14ac:dyDescent="0.25">
      <c r="A81" t="s">
        <v>702</v>
      </c>
      <c r="B81" t="s">
        <v>552</v>
      </c>
      <c r="C81">
        <v>460174</v>
      </c>
      <c r="D81">
        <v>0</v>
      </c>
      <c r="E81">
        <v>24</v>
      </c>
      <c r="F81" s="150">
        <v>2</v>
      </c>
    </row>
    <row r="82" spans="1:6" x14ac:dyDescent="0.25">
      <c r="A82" t="s">
        <v>703</v>
      </c>
      <c r="B82" t="s">
        <v>552</v>
      </c>
      <c r="C82">
        <v>460164</v>
      </c>
      <c r="D82">
        <v>0</v>
      </c>
      <c r="E82">
        <v>24</v>
      </c>
      <c r="F82" s="150">
        <v>1</v>
      </c>
    </row>
    <row r="83" spans="1:6" x14ac:dyDescent="0.25">
      <c r="A83" t="s">
        <v>703</v>
      </c>
      <c r="B83" t="s">
        <v>552</v>
      </c>
      <c r="C83">
        <v>460190</v>
      </c>
      <c r="D83" t="s">
        <v>2869</v>
      </c>
      <c r="E83">
        <v>24</v>
      </c>
      <c r="F83" s="150">
        <v>2</v>
      </c>
    </row>
    <row r="84" spans="1:6" x14ac:dyDescent="0.25">
      <c r="A84" t="s">
        <v>704</v>
      </c>
      <c r="B84" t="s">
        <v>552</v>
      </c>
      <c r="C84">
        <v>460061</v>
      </c>
      <c r="D84">
        <v>0</v>
      </c>
      <c r="E84">
        <v>24</v>
      </c>
      <c r="F84" s="150">
        <v>1</v>
      </c>
    </row>
    <row r="85" spans="1:6" x14ac:dyDescent="0.25">
      <c r="A85" t="s">
        <v>704</v>
      </c>
      <c r="B85" t="s">
        <v>552</v>
      </c>
      <c r="C85">
        <v>460188</v>
      </c>
      <c r="D85" t="s">
        <v>2871</v>
      </c>
      <c r="E85">
        <v>24</v>
      </c>
      <c r="F85" s="150">
        <v>2</v>
      </c>
    </row>
    <row r="86" spans="1:6" x14ac:dyDescent="0.25">
      <c r="A86" t="s">
        <v>705</v>
      </c>
      <c r="B86" t="s">
        <v>552</v>
      </c>
      <c r="C86">
        <v>460192</v>
      </c>
      <c r="D86" t="s">
        <v>2868</v>
      </c>
      <c r="E86">
        <v>24</v>
      </c>
      <c r="F86" s="150">
        <v>1</v>
      </c>
    </row>
    <row r="87" spans="1:6" x14ac:dyDescent="0.25">
      <c r="A87" t="s">
        <v>706</v>
      </c>
      <c r="B87" t="s">
        <v>552</v>
      </c>
      <c r="C87">
        <v>460060</v>
      </c>
      <c r="D87">
        <v>0</v>
      </c>
      <c r="E87">
        <v>24</v>
      </c>
      <c r="F87" s="150">
        <v>1</v>
      </c>
    </row>
    <row r="88" spans="1:6" x14ac:dyDescent="0.25">
      <c r="A88" t="s">
        <v>706</v>
      </c>
      <c r="B88" t="s">
        <v>552</v>
      </c>
      <c r="C88">
        <v>460187</v>
      </c>
      <c r="D88" t="s">
        <v>2870</v>
      </c>
      <c r="E88">
        <v>24</v>
      </c>
      <c r="F88" s="150">
        <v>2</v>
      </c>
    </row>
    <row r="89" spans="1:6" x14ac:dyDescent="0.25">
      <c r="A89" t="s">
        <v>707</v>
      </c>
      <c r="B89" t="s">
        <v>552</v>
      </c>
      <c r="C89">
        <v>460054</v>
      </c>
      <c r="D89">
        <v>0</v>
      </c>
      <c r="E89">
        <v>24</v>
      </c>
      <c r="F89" s="150">
        <v>1</v>
      </c>
    </row>
    <row r="90" spans="1:6" x14ac:dyDescent="0.25">
      <c r="A90" t="s">
        <v>707</v>
      </c>
      <c r="B90" t="s">
        <v>552</v>
      </c>
      <c r="C90">
        <v>460185</v>
      </c>
      <c r="D90" t="s">
        <v>2872</v>
      </c>
      <c r="E90">
        <v>24</v>
      </c>
      <c r="F90" s="150">
        <v>2</v>
      </c>
    </row>
    <row r="91" spans="1:6" x14ac:dyDescent="0.25">
      <c r="A91" t="s">
        <v>708</v>
      </c>
      <c r="B91" t="s">
        <v>552</v>
      </c>
      <c r="C91">
        <v>460055</v>
      </c>
      <c r="D91">
        <v>0</v>
      </c>
      <c r="E91">
        <v>24</v>
      </c>
      <c r="F91" s="150">
        <v>1</v>
      </c>
    </row>
    <row r="92" spans="1:6" x14ac:dyDescent="0.25">
      <c r="A92" t="s">
        <v>708</v>
      </c>
      <c r="B92" t="s">
        <v>552</v>
      </c>
      <c r="C92">
        <v>460186</v>
      </c>
      <c r="D92" t="s">
        <v>2873</v>
      </c>
      <c r="E92">
        <v>24</v>
      </c>
      <c r="F92" s="150">
        <v>2</v>
      </c>
    </row>
    <row r="93" spans="1:6" x14ac:dyDescent="0.25">
      <c r="A93" t="s">
        <v>709</v>
      </c>
      <c r="B93" t="s">
        <v>486</v>
      </c>
      <c r="C93">
        <v>410066</v>
      </c>
      <c r="D93" t="s">
        <v>2432</v>
      </c>
      <c r="E93">
        <v>12</v>
      </c>
      <c r="F93" s="150">
        <v>1</v>
      </c>
    </row>
    <row r="94" spans="1:6" x14ac:dyDescent="0.25">
      <c r="A94" t="s">
        <v>709</v>
      </c>
      <c r="B94" t="s">
        <v>486</v>
      </c>
      <c r="C94">
        <v>410072</v>
      </c>
      <c r="D94" t="s">
        <v>2430</v>
      </c>
      <c r="E94">
        <v>12</v>
      </c>
      <c r="F94" s="150">
        <v>2</v>
      </c>
    </row>
    <row r="95" spans="1:6" x14ac:dyDescent="0.25">
      <c r="A95" t="s">
        <v>709</v>
      </c>
      <c r="B95" t="s">
        <v>486</v>
      </c>
      <c r="C95">
        <v>410075</v>
      </c>
      <c r="D95" t="s">
        <v>2427</v>
      </c>
      <c r="E95">
        <v>12</v>
      </c>
      <c r="F95" s="150">
        <v>2</v>
      </c>
    </row>
    <row r="96" spans="1:6" x14ac:dyDescent="0.25">
      <c r="A96" t="s">
        <v>710</v>
      </c>
      <c r="B96" t="s">
        <v>486</v>
      </c>
      <c r="C96">
        <v>410068</v>
      </c>
      <c r="D96" t="s">
        <v>2433</v>
      </c>
      <c r="E96">
        <v>12</v>
      </c>
      <c r="F96" s="150">
        <v>1</v>
      </c>
    </row>
    <row r="97" spans="1:6" x14ac:dyDescent="0.25">
      <c r="A97" t="s">
        <v>710</v>
      </c>
      <c r="B97" t="s">
        <v>486</v>
      </c>
      <c r="C97">
        <v>410073</v>
      </c>
      <c r="D97" t="s">
        <v>2426</v>
      </c>
      <c r="E97">
        <v>12</v>
      </c>
      <c r="F97" s="150">
        <v>2</v>
      </c>
    </row>
    <row r="98" spans="1:6" x14ac:dyDescent="0.25">
      <c r="A98" t="s">
        <v>711</v>
      </c>
      <c r="B98" t="s">
        <v>486</v>
      </c>
      <c r="C98">
        <v>400129</v>
      </c>
      <c r="D98" t="s">
        <v>2445</v>
      </c>
      <c r="E98">
        <v>12</v>
      </c>
      <c r="F98" s="150">
        <v>1</v>
      </c>
    </row>
    <row r="99" spans="1:6" x14ac:dyDescent="0.25">
      <c r="A99" t="s">
        <v>711</v>
      </c>
      <c r="B99" t="s">
        <v>486</v>
      </c>
      <c r="C99">
        <v>400135</v>
      </c>
      <c r="D99" t="s">
        <v>2446</v>
      </c>
      <c r="E99">
        <v>12</v>
      </c>
      <c r="F99" s="150">
        <v>2</v>
      </c>
    </row>
    <row r="100" spans="1:6" x14ac:dyDescent="0.25">
      <c r="A100" t="s">
        <v>712</v>
      </c>
      <c r="B100" t="s">
        <v>486</v>
      </c>
      <c r="C100">
        <v>400132</v>
      </c>
      <c r="D100" t="s">
        <v>2448</v>
      </c>
      <c r="E100">
        <v>12</v>
      </c>
      <c r="F100" s="150">
        <v>1</v>
      </c>
    </row>
    <row r="101" spans="1:6" x14ac:dyDescent="0.25">
      <c r="A101" t="s">
        <v>712</v>
      </c>
      <c r="B101" t="s">
        <v>486</v>
      </c>
      <c r="C101">
        <v>400138</v>
      </c>
      <c r="D101" t="s">
        <v>2449</v>
      </c>
      <c r="E101">
        <v>12</v>
      </c>
      <c r="F101" s="150">
        <v>2</v>
      </c>
    </row>
    <row r="102" spans="1:6" x14ac:dyDescent="0.25">
      <c r="A102" t="s">
        <v>713</v>
      </c>
      <c r="B102" t="s">
        <v>486</v>
      </c>
      <c r="C102">
        <v>400133</v>
      </c>
      <c r="D102" t="s">
        <v>2434</v>
      </c>
      <c r="E102">
        <v>12</v>
      </c>
      <c r="F102" s="150">
        <v>1</v>
      </c>
    </row>
    <row r="103" spans="1:6" x14ac:dyDescent="0.25">
      <c r="A103" t="s">
        <v>713</v>
      </c>
      <c r="B103" t="s">
        <v>486</v>
      </c>
      <c r="C103">
        <v>400139</v>
      </c>
      <c r="D103" t="s">
        <v>2436</v>
      </c>
      <c r="E103">
        <v>12</v>
      </c>
      <c r="F103" s="150">
        <v>2</v>
      </c>
    </row>
    <row r="104" spans="1:6" x14ac:dyDescent="0.25">
      <c r="A104" t="s">
        <v>714</v>
      </c>
      <c r="B104" t="s">
        <v>486</v>
      </c>
      <c r="C104">
        <v>400131</v>
      </c>
      <c r="D104">
        <v>0</v>
      </c>
      <c r="E104">
        <v>12</v>
      </c>
      <c r="F104" s="150">
        <v>1</v>
      </c>
    </row>
    <row r="105" spans="1:6" x14ac:dyDescent="0.25">
      <c r="A105" t="s">
        <v>714</v>
      </c>
      <c r="B105" t="s">
        <v>486</v>
      </c>
      <c r="C105">
        <v>400137</v>
      </c>
      <c r="D105" t="s">
        <v>2435</v>
      </c>
      <c r="E105">
        <v>12</v>
      </c>
      <c r="F105" s="150">
        <v>2</v>
      </c>
    </row>
    <row r="106" spans="1:6" x14ac:dyDescent="0.25">
      <c r="A106" t="s">
        <v>715</v>
      </c>
      <c r="B106" t="s">
        <v>486</v>
      </c>
      <c r="C106">
        <v>400130</v>
      </c>
      <c r="D106">
        <v>0</v>
      </c>
      <c r="E106">
        <v>12</v>
      </c>
      <c r="F106" s="150">
        <v>1</v>
      </c>
    </row>
    <row r="107" spans="1:6" x14ac:dyDescent="0.25">
      <c r="A107" t="s">
        <v>715</v>
      </c>
      <c r="B107" t="s">
        <v>486</v>
      </c>
      <c r="C107">
        <v>400136</v>
      </c>
      <c r="D107" t="s">
        <v>2438</v>
      </c>
      <c r="E107">
        <v>12</v>
      </c>
      <c r="F107" s="150">
        <v>2</v>
      </c>
    </row>
    <row r="108" spans="1:6" x14ac:dyDescent="0.25">
      <c r="A108" t="s">
        <v>716</v>
      </c>
      <c r="B108" t="s">
        <v>486</v>
      </c>
      <c r="C108">
        <v>400134</v>
      </c>
      <c r="D108" t="s">
        <v>2442</v>
      </c>
      <c r="E108">
        <v>12</v>
      </c>
      <c r="F108" s="150">
        <v>1</v>
      </c>
    </row>
    <row r="109" spans="1:6" x14ac:dyDescent="0.25">
      <c r="A109" t="s">
        <v>716</v>
      </c>
      <c r="B109" t="s">
        <v>486</v>
      </c>
      <c r="C109">
        <v>400140</v>
      </c>
      <c r="D109" t="s">
        <v>2443</v>
      </c>
      <c r="E109">
        <v>12</v>
      </c>
      <c r="F109" s="150">
        <v>2</v>
      </c>
    </row>
    <row r="110" spans="1:6" x14ac:dyDescent="0.25">
      <c r="A110" t="s">
        <v>717</v>
      </c>
      <c r="B110" t="s">
        <v>206</v>
      </c>
      <c r="C110">
        <v>612045</v>
      </c>
      <c r="D110" t="s">
        <v>2960</v>
      </c>
      <c r="E110">
        <v>60</v>
      </c>
      <c r="F110" s="150">
        <v>1</v>
      </c>
    </row>
    <row r="111" spans="1:6" x14ac:dyDescent="0.25">
      <c r="A111" t="s">
        <v>718</v>
      </c>
      <c r="B111" t="s">
        <v>206</v>
      </c>
      <c r="C111">
        <v>612953</v>
      </c>
      <c r="D111">
        <v>0</v>
      </c>
      <c r="E111">
        <v>30</v>
      </c>
      <c r="F111" s="150">
        <v>1</v>
      </c>
    </row>
    <row r="112" spans="1:6" x14ac:dyDescent="0.25">
      <c r="A112" t="s">
        <v>719</v>
      </c>
      <c r="B112" t="s">
        <v>206</v>
      </c>
      <c r="C112">
        <v>612042</v>
      </c>
      <c r="D112" t="s">
        <v>2961</v>
      </c>
      <c r="E112">
        <v>24</v>
      </c>
      <c r="F112" s="150">
        <v>1</v>
      </c>
    </row>
    <row r="113" spans="1:6" x14ac:dyDescent="0.25">
      <c r="A113" t="s">
        <v>719</v>
      </c>
      <c r="B113" t="s">
        <v>206</v>
      </c>
      <c r="C113">
        <v>612149</v>
      </c>
      <c r="D113" t="s">
        <v>2977</v>
      </c>
      <c r="E113">
        <v>24</v>
      </c>
      <c r="F113" s="150"/>
    </row>
    <row r="114" spans="1:6" x14ac:dyDescent="0.25">
      <c r="A114" t="s">
        <v>720</v>
      </c>
      <c r="B114" t="s">
        <v>206</v>
      </c>
      <c r="C114">
        <v>612046</v>
      </c>
      <c r="D114" t="s">
        <v>2956</v>
      </c>
      <c r="E114">
        <v>60</v>
      </c>
      <c r="F114" s="150">
        <v>1</v>
      </c>
    </row>
    <row r="115" spans="1:6" x14ac:dyDescent="0.25">
      <c r="A115" t="s">
        <v>721</v>
      </c>
      <c r="B115" t="s">
        <v>206</v>
      </c>
      <c r="C115">
        <v>612043</v>
      </c>
      <c r="D115" t="s">
        <v>2957</v>
      </c>
      <c r="E115">
        <v>24</v>
      </c>
      <c r="F115" s="150">
        <v>1</v>
      </c>
    </row>
    <row r="116" spans="1:6" x14ac:dyDescent="0.25">
      <c r="A116" t="s">
        <v>721</v>
      </c>
      <c r="B116" t="s">
        <v>206</v>
      </c>
      <c r="C116">
        <v>612150</v>
      </c>
      <c r="D116" t="s">
        <v>2974</v>
      </c>
      <c r="E116">
        <v>24</v>
      </c>
      <c r="F116" s="150">
        <v>1</v>
      </c>
    </row>
    <row r="117" spans="1:6" x14ac:dyDescent="0.25">
      <c r="A117" t="s">
        <v>722</v>
      </c>
      <c r="B117" t="s">
        <v>206</v>
      </c>
      <c r="C117">
        <v>612141</v>
      </c>
      <c r="D117" t="s">
        <v>2955</v>
      </c>
      <c r="E117">
        <v>24</v>
      </c>
      <c r="F117" s="150">
        <v>1</v>
      </c>
    </row>
    <row r="118" spans="1:6" x14ac:dyDescent="0.25">
      <c r="A118" t="s">
        <v>722</v>
      </c>
      <c r="B118" t="s">
        <v>206</v>
      </c>
      <c r="C118">
        <v>612148</v>
      </c>
      <c r="D118" t="s">
        <v>2954</v>
      </c>
      <c r="E118">
        <v>24</v>
      </c>
      <c r="F118" s="150">
        <v>2</v>
      </c>
    </row>
    <row r="119" spans="1:6" x14ac:dyDescent="0.25">
      <c r="A119" t="s">
        <v>722</v>
      </c>
      <c r="B119" t="s">
        <v>206</v>
      </c>
      <c r="C119">
        <v>612155</v>
      </c>
      <c r="D119" t="s">
        <v>2972</v>
      </c>
      <c r="E119">
        <v>24</v>
      </c>
      <c r="F119" s="150">
        <v>3</v>
      </c>
    </row>
    <row r="120" spans="1:6" x14ac:dyDescent="0.25">
      <c r="A120" t="s">
        <v>723</v>
      </c>
      <c r="B120" t="s">
        <v>206</v>
      </c>
      <c r="C120">
        <v>612047</v>
      </c>
      <c r="D120" t="s">
        <v>2958</v>
      </c>
      <c r="E120">
        <v>60</v>
      </c>
      <c r="F120" s="150">
        <v>1</v>
      </c>
    </row>
    <row r="121" spans="1:6" x14ac:dyDescent="0.25">
      <c r="A121" t="s">
        <v>723</v>
      </c>
      <c r="B121" t="s">
        <v>206</v>
      </c>
      <c r="C121">
        <v>612154</v>
      </c>
      <c r="D121">
        <v>7000003612</v>
      </c>
      <c r="E121">
        <v>60</v>
      </c>
      <c r="F121" s="150">
        <v>2</v>
      </c>
    </row>
    <row r="122" spans="1:6" x14ac:dyDescent="0.25">
      <c r="A122" t="s">
        <v>724</v>
      </c>
      <c r="B122" t="s">
        <v>206</v>
      </c>
      <c r="C122">
        <v>612044</v>
      </c>
      <c r="D122" t="s">
        <v>2959</v>
      </c>
      <c r="E122">
        <v>24</v>
      </c>
      <c r="F122" s="150">
        <v>1</v>
      </c>
    </row>
    <row r="123" spans="1:6" x14ac:dyDescent="0.25">
      <c r="A123" t="s">
        <v>724</v>
      </c>
      <c r="B123" t="s">
        <v>206</v>
      </c>
      <c r="C123">
        <v>612151</v>
      </c>
      <c r="D123" t="s">
        <v>2959</v>
      </c>
      <c r="E123">
        <v>24</v>
      </c>
      <c r="F123" s="150">
        <v>2</v>
      </c>
    </row>
    <row r="124" spans="1:6" x14ac:dyDescent="0.25">
      <c r="A124" t="s">
        <v>725</v>
      </c>
      <c r="B124" t="s">
        <v>206</v>
      </c>
      <c r="C124">
        <v>612134</v>
      </c>
      <c r="D124">
        <v>0</v>
      </c>
      <c r="E124">
        <v>60</v>
      </c>
      <c r="F124" s="150">
        <v>1</v>
      </c>
    </row>
    <row r="125" spans="1:6" x14ac:dyDescent="0.25">
      <c r="A125" t="s">
        <v>726</v>
      </c>
      <c r="B125" t="s">
        <v>206</v>
      </c>
      <c r="C125">
        <v>612091</v>
      </c>
      <c r="D125">
        <v>0</v>
      </c>
      <c r="E125">
        <v>24</v>
      </c>
      <c r="F125" s="150">
        <v>1</v>
      </c>
    </row>
    <row r="126" spans="1:6" x14ac:dyDescent="0.25">
      <c r="A126" t="s">
        <v>727</v>
      </c>
      <c r="B126" t="s">
        <v>206</v>
      </c>
      <c r="C126">
        <v>612958</v>
      </c>
      <c r="D126">
        <v>0</v>
      </c>
      <c r="E126">
        <v>60</v>
      </c>
      <c r="F126" s="150">
        <v>1</v>
      </c>
    </row>
    <row r="127" spans="1:6" x14ac:dyDescent="0.25">
      <c r="A127" t="s">
        <v>728</v>
      </c>
      <c r="B127" t="s">
        <v>486</v>
      </c>
      <c r="C127">
        <v>190047</v>
      </c>
      <c r="D127">
        <v>0</v>
      </c>
      <c r="E127">
        <v>24</v>
      </c>
      <c r="F127" s="150">
        <v>1</v>
      </c>
    </row>
    <row r="128" spans="1:6" x14ac:dyDescent="0.25">
      <c r="A128" t="s">
        <v>728</v>
      </c>
      <c r="B128" t="s">
        <v>486</v>
      </c>
      <c r="C128">
        <v>190057</v>
      </c>
      <c r="D128" t="s">
        <v>2931</v>
      </c>
      <c r="E128">
        <v>24</v>
      </c>
      <c r="F128" s="150">
        <v>2</v>
      </c>
    </row>
    <row r="129" spans="1:6" x14ac:dyDescent="0.25">
      <c r="A129" t="s">
        <v>729</v>
      </c>
      <c r="B129" t="s">
        <v>479</v>
      </c>
      <c r="C129">
        <v>190039</v>
      </c>
      <c r="D129">
        <v>0</v>
      </c>
      <c r="E129">
        <v>48</v>
      </c>
      <c r="F129" s="150">
        <v>1</v>
      </c>
    </row>
    <row r="130" spans="1:6" x14ac:dyDescent="0.25">
      <c r="A130" t="s">
        <v>730</v>
      </c>
      <c r="B130" t="s">
        <v>591</v>
      </c>
      <c r="C130">
        <v>190034</v>
      </c>
      <c r="D130" t="s">
        <v>2830</v>
      </c>
      <c r="E130">
        <v>21</v>
      </c>
      <c r="F130" s="150">
        <v>1</v>
      </c>
    </row>
    <row r="131" spans="1:6" x14ac:dyDescent="0.25">
      <c r="A131" t="s">
        <v>730</v>
      </c>
      <c r="B131" t="s">
        <v>591</v>
      </c>
      <c r="C131">
        <v>190050</v>
      </c>
      <c r="D131" t="s">
        <v>2831</v>
      </c>
      <c r="E131">
        <v>21</v>
      </c>
      <c r="F131" s="150">
        <v>2</v>
      </c>
    </row>
    <row r="132" spans="1:6" x14ac:dyDescent="0.25">
      <c r="A132" t="s">
        <v>730</v>
      </c>
      <c r="B132" t="s">
        <v>591</v>
      </c>
      <c r="C132">
        <v>190065</v>
      </c>
      <c r="D132" t="s">
        <v>2828</v>
      </c>
      <c r="E132">
        <v>21</v>
      </c>
      <c r="F132" s="150">
        <v>3</v>
      </c>
    </row>
    <row r="133" spans="1:6" x14ac:dyDescent="0.25">
      <c r="A133" t="s">
        <v>731</v>
      </c>
      <c r="B133" t="s">
        <v>486</v>
      </c>
      <c r="C133">
        <v>190040</v>
      </c>
      <c r="D133" t="s">
        <v>2852</v>
      </c>
      <c r="E133">
        <v>48</v>
      </c>
      <c r="F133" s="150">
        <v>1</v>
      </c>
    </row>
    <row r="134" spans="1:6" x14ac:dyDescent="0.25">
      <c r="A134" t="s">
        <v>731</v>
      </c>
      <c r="B134" t="s">
        <v>486</v>
      </c>
      <c r="C134">
        <v>190067</v>
      </c>
      <c r="D134" t="s">
        <v>2848</v>
      </c>
      <c r="E134">
        <v>48</v>
      </c>
      <c r="F134" s="150">
        <v>2</v>
      </c>
    </row>
    <row r="135" spans="1:6" x14ac:dyDescent="0.25">
      <c r="A135" t="s">
        <v>732</v>
      </c>
      <c r="B135" t="s">
        <v>486</v>
      </c>
      <c r="C135">
        <v>190041</v>
      </c>
      <c r="D135" t="s">
        <v>2851</v>
      </c>
      <c r="E135">
        <v>24</v>
      </c>
      <c r="F135" s="150">
        <v>1</v>
      </c>
    </row>
    <row r="136" spans="1:6" x14ac:dyDescent="0.25">
      <c r="A136" t="s">
        <v>732</v>
      </c>
      <c r="B136" t="s">
        <v>486</v>
      </c>
      <c r="C136">
        <v>190068</v>
      </c>
      <c r="D136" t="s">
        <v>2849</v>
      </c>
      <c r="E136">
        <v>24</v>
      </c>
      <c r="F136" s="150">
        <v>2</v>
      </c>
    </row>
    <row r="137" spans="1:6" x14ac:dyDescent="0.25">
      <c r="A137" t="s">
        <v>733</v>
      </c>
      <c r="B137" t="s">
        <v>486</v>
      </c>
      <c r="C137">
        <v>190031</v>
      </c>
      <c r="D137" t="s">
        <v>2857</v>
      </c>
      <c r="E137">
        <v>24</v>
      </c>
      <c r="F137" s="150">
        <v>1</v>
      </c>
    </row>
    <row r="138" spans="1:6" x14ac:dyDescent="0.25">
      <c r="A138" t="s">
        <v>733</v>
      </c>
      <c r="B138" t="s">
        <v>486</v>
      </c>
      <c r="C138">
        <v>190066</v>
      </c>
      <c r="D138" t="s">
        <v>2850</v>
      </c>
      <c r="E138">
        <v>24</v>
      </c>
      <c r="F138" s="150">
        <v>2</v>
      </c>
    </row>
    <row r="139" spans="1:6" x14ac:dyDescent="0.25">
      <c r="A139" t="s">
        <v>734</v>
      </c>
      <c r="B139" t="s">
        <v>627</v>
      </c>
      <c r="C139">
        <v>150190</v>
      </c>
      <c r="D139">
        <v>0</v>
      </c>
      <c r="E139">
        <v>21</v>
      </c>
      <c r="F139" s="150">
        <v>1</v>
      </c>
    </row>
    <row r="140" spans="1:6" x14ac:dyDescent="0.25">
      <c r="A140" t="s">
        <v>735</v>
      </c>
      <c r="B140" t="s">
        <v>552</v>
      </c>
      <c r="C140">
        <v>150189</v>
      </c>
      <c r="D140">
        <v>0</v>
      </c>
      <c r="E140">
        <v>6</v>
      </c>
      <c r="F140" s="150">
        <v>1</v>
      </c>
    </row>
    <row r="141" spans="1:6" x14ac:dyDescent="0.25">
      <c r="A141" t="s">
        <v>735</v>
      </c>
      <c r="B141" t="s">
        <v>552</v>
      </c>
      <c r="C141">
        <v>150209</v>
      </c>
      <c r="D141">
        <v>0</v>
      </c>
      <c r="E141">
        <v>6</v>
      </c>
      <c r="F141" s="150">
        <v>2</v>
      </c>
    </row>
    <row r="142" spans="1:6" x14ac:dyDescent="0.25">
      <c r="A142" t="s">
        <v>736</v>
      </c>
      <c r="B142" t="s">
        <v>605</v>
      </c>
      <c r="C142">
        <v>150194</v>
      </c>
      <c r="D142" t="s">
        <v>2949</v>
      </c>
      <c r="E142">
        <v>10</v>
      </c>
      <c r="F142" s="150">
        <v>2</v>
      </c>
    </row>
    <row r="143" spans="1:6" x14ac:dyDescent="0.25">
      <c r="A143" t="s">
        <v>736</v>
      </c>
      <c r="B143" t="s">
        <v>605</v>
      </c>
      <c r="C143">
        <v>612096</v>
      </c>
      <c r="D143" t="s">
        <v>2948</v>
      </c>
      <c r="E143">
        <v>10</v>
      </c>
      <c r="F143" s="150">
        <v>1</v>
      </c>
    </row>
    <row r="144" spans="1:6" x14ac:dyDescent="0.25">
      <c r="A144" t="s">
        <v>736</v>
      </c>
      <c r="B144" t="s">
        <v>605</v>
      </c>
      <c r="C144">
        <v>150365</v>
      </c>
      <c r="D144" t="s">
        <v>2943</v>
      </c>
      <c r="E144">
        <v>10</v>
      </c>
      <c r="F144" s="150">
        <v>3</v>
      </c>
    </row>
    <row r="145" spans="1:6" x14ac:dyDescent="0.25">
      <c r="A145" t="s">
        <v>737</v>
      </c>
      <c r="B145" t="s">
        <v>605</v>
      </c>
      <c r="C145">
        <v>150960</v>
      </c>
      <c r="D145">
        <v>0</v>
      </c>
      <c r="E145">
        <v>10</v>
      </c>
      <c r="F145" s="150">
        <v>1</v>
      </c>
    </row>
    <row r="146" spans="1:6" x14ac:dyDescent="0.25">
      <c r="A146" t="s">
        <v>737</v>
      </c>
      <c r="B146" t="s">
        <v>605</v>
      </c>
      <c r="C146">
        <v>150971</v>
      </c>
      <c r="D146">
        <v>0</v>
      </c>
      <c r="E146">
        <v>10</v>
      </c>
      <c r="F146" s="150">
        <v>2</v>
      </c>
    </row>
    <row r="147" spans="1:6" x14ac:dyDescent="0.25">
      <c r="A147" t="s">
        <v>738</v>
      </c>
      <c r="B147" t="s">
        <v>479</v>
      </c>
      <c r="C147">
        <v>150193</v>
      </c>
      <c r="D147" t="s">
        <v>2947</v>
      </c>
      <c r="E147">
        <v>24</v>
      </c>
      <c r="F147" s="150">
        <v>1</v>
      </c>
    </row>
    <row r="148" spans="1:6" x14ac:dyDescent="0.25">
      <c r="A148" t="s">
        <v>738</v>
      </c>
      <c r="B148" t="s">
        <v>479</v>
      </c>
      <c r="C148">
        <v>150360</v>
      </c>
      <c r="D148" t="s">
        <v>2941</v>
      </c>
      <c r="E148">
        <v>24</v>
      </c>
      <c r="F148" s="150">
        <v>2</v>
      </c>
    </row>
    <row r="149" spans="1:6" x14ac:dyDescent="0.25">
      <c r="A149" t="s">
        <v>739</v>
      </c>
      <c r="B149" t="s">
        <v>479</v>
      </c>
      <c r="C149">
        <v>150961</v>
      </c>
      <c r="D149">
        <v>0</v>
      </c>
      <c r="E149">
        <v>12</v>
      </c>
      <c r="F149" s="150">
        <v>1</v>
      </c>
    </row>
    <row r="150" spans="1:6" x14ac:dyDescent="0.25">
      <c r="A150" t="s">
        <v>740</v>
      </c>
      <c r="B150" t="s">
        <v>479</v>
      </c>
      <c r="C150">
        <v>150319</v>
      </c>
      <c r="D150" t="s">
        <v>2938</v>
      </c>
      <c r="E150">
        <v>48</v>
      </c>
      <c r="F150" s="150">
        <v>1</v>
      </c>
    </row>
    <row r="151" spans="1:6" x14ac:dyDescent="0.25">
      <c r="A151" t="s">
        <v>740</v>
      </c>
      <c r="B151" t="s">
        <v>479</v>
      </c>
      <c r="C151">
        <v>150375</v>
      </c>
      <c r="D151" t="s">
        <v>2939</v>
      </c>
      <c r="E151">
        <v>48</v>
      </c>
      <c r="F151" s="150">
        <v>2</v>
      </c>
    </row>
    <row r="152" spans="1:6" x14ac:dyDescent="0.25">
      <c r="A152" t="s">
        <v>741</v>
      </c>
      <c r="B152" t="s">
        <v>486</v>
      </c>
      <c r="C152">
        <v>612095</v>
      </c>
      <c r="D152">
        <v>0</v>
      </c>
      <c r="E152">
        <v>24</v>
      </c>
      <c r="F152" s="150">
        <v>1</v>
      </c>
    </row>
    <row r="153" spans="1:6" x14ac:dyDescent="0.25">
      <c r="A153" t="s">
        <v>742</v>
      </c>
      <c r="B153" t="s">
        <v>605</v>
      </c>
      <c r="C153">
        <v>150978</v>
      </c>
      <c r="D153">
        <v>0</v>
      </c>
      <c r="E153">
        <v>10</v>
      </c>
      <c r="F153" s="150">
        <v>2</v>
      </c>
    </row>
    <row r="154" spans="1:6" x14ac:dyDescent="0.25">
      <c r="A154" t="s">
        <v>742</v>
      </c>
      <c r="B154" t="s">
        <v>605</v>
      </c>
      <c r="C154">
        <v>612954</v>
      </c>
      <c r="D154">
        <v>0</v>
      </c>
      <c r="E154">
        <v>10</v>
      </c>
      <c r="F154" s="150">
        <v>1</v>
      </c>
    </row>
    <row r="155" spans="1:6" x14ac:dyDescent="0.25">
      <c r="A155" t="s">
        <v>743</v>
      </c>
      <c r="B155" t="s">
        <v>605</v>
      </c>
      <c r="C155">
        <v>150196</v>
      </c>
      <c r="D155">
        <v>0</v>
      </c>
      <c r="E155">
        <v>10</v>
      </c>
      <c r="F155" s="150">
        <v>2</v>
      </c>
    </row>
    <row r="156" spans="1:6" x14ac:dyDescent="0.25">
      <c r="A156" t="s">
        <v>743</v>
      </c>
      <c r="B156" t="s">
        <v>605</v>
      </c>
      <c r="C156">
        <v>612098</v>
      </c>
      <c r="D156">
        <v>0</v>
      </c>
      <c r="E156">
        <v>10</v>
      </c>
      <c r="F156" s="150">
        <v>1</v>
      </c>
    </row>
    <row r="157" spans="1:6" x14ac:dyDescent="0.25">
      <c r="A157" t="s">
        <v>744</v>
      </c>
      <c r="B157" t="s">
        <v>605</v>
      </c>
      <c r="C157">
        <v>612955</v>
      </c>
      <c r="D157">
        <v>0</v>
      </c>
      <c r="E157">
        <v>10</v>
      </c>
      <c r="F157" s="150">
        <v>1</v>
      </c>
    </row>
    <row r="158" spans="1:6" x14ac:dyDescent="0.25">
      <c r="A158" t="s">
        <v>745</v>
      </c>
      <c r="B158" t="s">
        <v>605</v>
      </c>
      <c r="C158">
        <v>612128</v>
      </c>
      <c r="D158">
        <v>0</v>
      </c>
      <c r="E158">
        <v>10</v>
      </c>
      <c r="F158" s="150">
        <v>1</v>
      </c>
    </row>
    <row r="159" spans="1:6" x14ac:dyDescent="0.25">
      <c r="A159" t="s">
        <v>746</v>
      </c>
      <c r="B159" t="s">
        <v>605</v>
      </c>
      <c r="C159">
        <v>612957</v>
      </c>
      <c r="D159">
        <v>0</v>
      </c>
      <c r="E159">
        <v>10</v>
      </c>
      <c r="F159" s="150">
        <v>1</v>
      </c>
    </row>
    <row r="160" spans="1:6" x14ac:dyDescent="0.25">
      <c r="A160" t="s">
        <v>747</v>
      </c>
      <c r="B160" t="s">
        <v>605</v>
      </c>
      <c r="C160">
        <v>150202</v>
      </c>
      <c r="D160">
        <v>0</v>
      </c>
      <c r="E160">
        <v>10</v>
      </c>
      <c r="F160" s="150">
        <v>2</v>
      </c>
    </row>
    <row r="161" spans="1:6" x14ac:dyDescent="0.25">
      <c r="A161" t="s">
        <v>747</v>
      </c>
      <c r="B161" t="s">
        <v>605</v>
      </c>
      <c r="C161">
        <v>612130</v>
      </c>
      <c r="D161">
        <v>0</v>
      </c>
      <c r="E161">
        <v>10</v>
      </c>
      <c r="F161" s="150">
        <v>1</v>
      </c>
    </row>
    <row r="162" spans="1:6" x14ac:dyDescent="0.25">
      <c r="A162" t="s">
        <v>748</v>
      </c>
      <c r="B162" t="s">
        <v>605</v>
      </c>
      <c r="C162">
        <v>612956</v>
      </c>
      <c r="D162">
        <v>0</v>
      </c>
      <c r="E162">
        <v>10</v>
      </c>
      <c r="F162" s="150">
        <v>1</v>
      </c>
    </row>
    <row r="163" spans="1:6" x14ac:dyDescent="0.25">
      <c r="A163" t="s">
        <v>749</v>
      </c>
      <c r="B163" t="s">
        <v>605</v>
      </c>
      <c r="C163">
        <v>612100</v>
      </c>
      <c r="D163">
        <v>0</v>
      </c>
      <c r="E163">
        <v>10</v>
      </c>
      <c r="F163" s="150">
        <v>1</v>
      </c>
    </row>
    <row r="164" spans="1:6" x14ac:dyDescent="0.25">
      <c r="A164" t="s">
        <v>750</v>
      </c>
      <c r="B164" t="s">
        <v>486</v>
      </c>
      <c r="C164">
        <v>100234</v>
      </c>
      <c r="D164" t="s">
        <v>2659</v>
      </c>
      <c r="E164">
        <v>48</v>
      </c>
      <c r="F164" s="150">
        <v>1</v>
      </c>
    </row>
    <row r="165" spans="1:6" x14ac:dyDescent="0.25">
      <c r="A165" t="s">
        <v>751</v>
      </c>
      <c r="B165" t="s">
        <v>479</v>
      </c>
      <c r="C165">
        <v>100991</v>
      </c>
      <c r="D165" t="s">
        <v>2666</v>
      </c>
      <c r="E165">
        <v>12</v>
      </c>
      <c r="F165" s="150">
        <v>1</v>
      </c>
    </row>
    <row r="166" spans="1:6" x14ac:dyDescent="0.25">
      <c r="A166" t="s">
        <v>751</v>
      </c>
      <c r="B166" t="s">
        <v>479</v>
      </c>
      <c r="C166">
        <v>109002</v>
      </c>
      <c r="D166" t="s">
        <v>2671</v>
      </c>
      <c r="E166">
        <v>12</v>
      </c>
      <c r="F166" s="150">
        <v>2</v>
      </c>
    </row>
    <row r="167" spans="1:6" x14ac:dyDescent="0.25">
      <c r="A167" t="s">
        <v>751</v>
      </c>
      <c r="B167" t="s">
        <v>479</v>
      </c>
      <c r="C167">
        <v>109001</v>
      </c>
      <c r="D167" t="s">
        <v>2814</v>
      </c>
      <c r="E167">
        <v>12</v>
      </c>
      <c r="F167" s="150">
        <v>3</v>
      </c>
    </row>
    <row r="168" spans="1:6" x14ac:dyDescent="0.25">
      <c r="A168" t="s">
        <v>752</v>
      </c>
      <c r="B168" t="s">
        <v>506</v>
      </c>
      <c r="C168">
        <v>100186</v>
      </c>
      <c r="D168" t="s">
        <v>2657</v>
      </c>
      <c r="E168">
        <v>1</v>
      </c>
      <c r="F168" s="150">
        <v>1</v>
      </c>
    </row>
    <row r="169" spans="1:6" x14ac:dyDescent="0.25">
      <c r="A169" t="s">
        <v>752</v>
      </c>
      <c r="B169" t="s">
        <v>506</v>
      </c>
      <c r="C169">
        <v>100229</v>
      </c>
      <c r="D169" t="s">
        <v>2657</v>
      </c>
      <c r="E169">
        <v>1</v>
      </c>
      <c r="F169" s="150">
        <v>2</v>
      </c>
    </row>
    <row r="170" spans="1:6" x14ac:dyDescent="0.25">
      <c r="A170" t="s">
        <v>753</v>
      </c>
      <c r="B170" t="s">
        <v>524</v>
      </c>
      <c r="C170">
        <v>100168</v>
      </c>
      <c r="D170" t="s">
        <v>2750</v>
      </c>
      <c r="E170">
        <v>24</v>
      </c>
      <c r="F170" s="150">
        <v>1</v>
      </c>
    </row>
    <row r="171" spans="1:6" x14ac:dyDescent="0.25">
      <c r="A171" t="s">
        <v>753</v>
      </c>
      <c r="B171" t="s">
        <v>524</v>
      </c>
      <c r="C171">
        <v>100205</v>
      </c>
      <c r="D171" t="s">
        <v>2740</v>
      </c>
      <c r="E171">
        <v>24</v>
      </c>
      <c r="F171" s="150">
        <v>2</v>
      </c>
    </row>
    <row r="172" spans="1:6" x14ac:dyDescent="0.25">
      <c r="A172" t="s">
        <v>753</v>
      </c>
      <c r="B172" t="s">
        <v>524</v>
      </c>
      <c r="C172">
        <v>100233</v>
      </c>
      <c r="D172" t="s">
        <v>2650</v>
      </c>
      <c r="E172">
        <v>24</v>
      </c>
      <c r="F172" s="150">
        <v>3</v>
      </c>
    </row>
    <row r="173" spans="1:6" x14ac:dyDescent="0.25">
      <c r="A173" t="s">
        <v>753</v>
      </c>
      <c r="B173" t="s">
        <v>524</v>
      </c>
      <c r="C173">
        <v>100265</v>
      </c>
      <c r="D173" t="s">
        <v>2653</v>
      </c>
      <c r="E173">
        <v>24</v>
      </c>
      <c r="F173" s="150">
        <v>4</v>
      </c>
    </row>
    <row r="174" spans="1:6" x14ac:dyDescent="0.25">
      <c r="A174" t="s">
        <v>754</v>
      </c>
      <c r="B174" t="s">
        <v>524</v>
      </c>
      <c r="C174">
        <v>100987</v>
      </c>
      <c r="D174" t="s">
        <v>2746</v>
      </c>
      <c r="E174">
        <v>24</v>
      </c>
      <c r="F174" s="150">
        <v>1</v>
      </c>
    </row>
    <row r="175" spans="1:6" x14ac:dyDescent="0.25">
      <c r="A175" t="s">
        <v>755</v>
      </c>
      <c r="B175" t="s">
        <v>524</v>
      </c>
      <c r="C175">
        <v>100195</v>
      </c>
      <c r="D175">
        <v>0</v>
      </c>
      <c r="E175">
        <v>12</v>
      </c>
      <c r="F175" s="150">
        <v>1</v>
      </c>
    </row>
    <row r="176" spans="1:6" x14ac:dyDescent="0.25">
      <c r="A176" t="s">
        <v>756</v>
      </c>
      <c r="B176" t="s">
        <v>524</v>
      </c>
      <c r="C176">
        <v>100975</v>
      </c>
      <c r="D176">
        <v>0</v>
      </c>
      <c r="E176">
        <v>12</v>
      </c>
      <c r="F176" s="150">
        <v>1</v>
      </c>
    </row>
    <row r="177" spans="1:6" x14ac:dyDescent="0.25">
      <c r="A177" t="s">
        <v>757</v>
      </c>
      <c r="B177" t="s">
        <v>486</v>
      </c>
      <c r="C177">
        <v>110016</v>
      </c>
      <c r="D177" t="s">
        <v>2640</v>
      </c>
      <c r="E177">
        <v>48</v>
      </c>
      <c r="F177" s="150">
        <v>1</v>
      </c>
    </row>
    <row r="178" spans="1:6" x14ac:dyDescent="0.25">
      <c r="A178" t="s">
        <v>757</v>
      </c>
      <c r="B178" t="s">
        <v>486</v>
      </c>
      <c r="C178">
        <v>110017</v>
      </c>
      <c r="D178">
        <v>0</v>
      </c>
      <c r="E178">
        <v>48</v>
      </c>
      <c r="F178" s="150">
        <v>2</v>
      </c>
    </row>
    <row r="179" spans="1:6" x14ac:dyDescent="0.25">
      <c r="A179" t="s">
        <v>757</v>
      </c>
      <c r="B179" t="s">
        <v>486</v>
      </c>
      <c r="C179">
        <v>110018</v>
      </c>
      <c r="D179">
        <v>0</v>
      </c>
      <c r="E179">
        <v>48</v>
      </c>
      <c r="F179" s="150">
        <v>3</v>
      </c>
    </row>
    <row r="180" spans="1:6" x14ac:dyDescent="0.25">
      <c r="A180" t="s">
        <v>757</v>
      </c>
      <c r="B180" t="s">
        <v>486</v>
      </c>
      <c r="C180">
        <v>110021</v>
      </c>
      <c r="D180" t="s">
        <v>2638</v>
      </c>
      <c r="E180">
        <v>48</v>
      </c>
      <c r="F180" s="150">
        <v>4</v>
      </c>
    </row>
    <row r="181" spans="1:6" x14ac:dyDescent="0.25">
      <c r="A181" t="s">
        <v>758</v>
      </c>
      <c r="B181" t="s">
        <v>506</v>
      </c>
      <c r="C181">
        <v>110014</v>
      </c>
      <c r="D181">
        <v>0</v>
      </c>
      <c r="E181">
        <v>1</v>
      </c>
      <c r="F181" s="150">
        <v>1</v>
      </c>
    </row>
    <row r="182" spans="1:6" x14ac:dyDescent="0.25">
      <c r="A182" t="s">
        <v>758</v>
      </c>
      <c r="B182" t="s">
        <v>506</v>
      </c>
      <c r="C182">
        <v>110020</v>
      </c>
      <c r="D182" t="s">
        <v>2637</v>
      </c>
      <c r="E182">
        <v>1</v>
      </c>
      <c r="F182" s="150">
        <v>2</v>
      </c>
    </row>
    <row r="183" spans="1:6" x14ac:dyDescent="0.25">
      <c r="A183" t="s">
        <v>759</v>
      </c>
      <c r="B183" t="s">
        <v>545</v>
      </c>
      <c r="C183">
        <v>612087</v>
      </c>
      <c r="D183" t="s">
        <v>2988</v>
      </c>
      <c r="E183">
        <v>36</v>
      </c>
      <c r="F183" s="150">
        <v>1</v>
      </c>
    </row>
    <row r="184" spans="1:6" x14ac:dyDescent="0.25">
      <c r="A184" t="s">
        <v>759</v>
      </c>
      <c r="B184" t="s">
        <v>545</v>
      </c>
      <c r="C184">
        <v>612137</v>
      </c>
      <c r="D184" t="s">
        <v>2987</v>
      </c>
      <c r="E184">
        <v>36</v>
      </c>
      <c r="F184" s="150">
        <v>2</v>
      </c>
    </row>
    <row r="185" spans="1:6" x14ac:dyDescent="0.25">
      <c r="A185" t="s">
        <v>759</v>
      </c>
      <c r="B185" t="s">
        <v>545</v>
      </c>
      <c r="C185">
        <v>612147</v>
      </c>
      <c r="D185" t="s">
        <v>2982</v>
      </c>
      <c r="E185">
        <v>36</v>
      </c>
      <c r="F185" s="150">
        <v>3</v>
      </c>
    </row>
    <row r="186" spans="1:6" x14ac:dyDescent="0.25">
      <c r="A186" t="s">
        <v>760</v>
      </c>
      <c r="B186" t="s">
        <v>552</v>
      </c>
      <c r="C186">
        <v>460165</v>
      </c>
      <c r="D186">
        <v>0</v>
      </c>
      <c r="E186">
        <v>12</v>
      </c>
      <c r="F186" s="150">
        <v>1</v>
      </c>
    </row>
    <row r="187" spans="1:6" x14ac:dyDescent="0.25">
      <c r="A187" t="s">
        <v>760</v>
      </c>
      <c r="B187" t="s">
        <v>552</v>
      </c>
      <c r="C187">
        <v>460191</v>
      </c>
      <c r="D187">
        <v>0</v>
      </c>
      <c r="E187">
        <v>12</v>
      </c>
      <c r="F187" s="150">
        <v>2</v>
      </c>
    </row>
    <row r="188" spans="1:6" x14ac:dyDescent="0.25">
      <c r="A188" t="s">
        <v>761</v>
      </c>
      <c r="B188" t="s">
        <v>552</v>
      </c>
      <c r="C188">
        <v>460189</v>
      </c>
      <c r="D188">
        <v>0</v>
      </c>
      <c r="E188">
        <v>12</v>
      </c>
      <c r="F188" s="150">
        <v>1</v>
      </c>
    </row>
    <row r="189" spans="1:6" x14ac:dyDescent="0.25">
      <c r="A189" t="s">
        <v>762</v>
      </c>
      <c r="B189" t="s">
        <v>552</v>
      </c>
      <c r="C189">
        <v>460193</v>
      </c>
      <c r="D189">
        <v>0</v>
      </c>
      <c r="E189">
        <v>12</v>
      </c>
      <c r="F189" s="150">
        <v>1</v>
      </c>
    </row>
    <row r="190" spans="1:6" x14ac:dyDescent="0.25">
      <c r="A190" t="s">
        <v>763</v>
      </c>
      <c r="B190" t="s">
        <v>552</v>
      </c>
      <c r="C190">
        <v>460182</v>
      </c>
      <c r="D190" t="s">
        <v>2866</v>
      </c>
      <c r="E190">
        <v>24</v>
      </c>
      <c r="F190" s="150">
        <v>1</v>
      </c>
    </row>
    <row r="191" spans="1:6" x14ac:dyDescent="0.25">
      <c r="A191" t="s">
        <v>764</v>
      </c>
      <c r="B191" t="s">
        <v>506</v>
      </c>
      <c r="C191">
        <v>190035</v>
      </c>
      <c r="D191" t="s">
        <v>2842</v>
      </c>
      <c r="E191">
        <v>1</v>
      </c>
      <c r="F191" s="150">
        <v>1</v>
      </c>
    </row>
    <row r="192" spans="1:6" x14ac:dyDescent="0.25">
      <c r="A192" t="s">
        <v>764</v>
      </c>
      <c r="B192" t="s">
        <v>506</v>
      </c>
      <c r="C192">
        <v>190051</v>
      </c>
      <c r="D192" t="s">
        <v>2843</v>
      </c>
      <c r="E192">
        <v>1</v>
      </c>
      <c r="F192" s="150">
        <v>2</v>
      </c>
    </row>
    <row r="193" spans="1:6" x14ac:dyDescent="0.25">
      <c r="A193" t="s">
        <v>764</v>
      </c>
      <c r="B193" t="s">
        <v>506</v>
      </c>
      <c r="C193">
        <v>190070</v>
      </c>
      <c r="D193" t="s">
        <v>2837</v>
      </c>
      <c r="E193">
        <v>1</v>
      </c>
      <c r="F193" s="150">
        <v>3</v>
      </c>
    </row>
    <row r="194" spans="1:6" x14ac:dyDescent="0.25">
      <c r="A194" t="s">
        <v>765</v>
      </c>
      <c r="B194" t="s">
        <v>552</v>
      </c>
      <c r="C194">
        <v>190036</v>
      </c>
      <c r="D194" t="s">
        <v>2853</v>
      </c>
      <c r="E194">
        <v>6</v>
      </c>
      <c r="F194" s="150">
        <v>1</v>
      </c>
    </row>
    <row r="195" spans="1:6" x14ac:dyDescent="0.25">
      <c r="A195" t="s">
        <v>765</v>
      </c>
      <c r="B195" t="s">
        <v>552</v>
      </c>
      <c r="C195">
        <v>190043</v>
      </c>
      <c r="D195" t="s">
        <v>2844</v>
      </c>
      <c r="E195">
        <v>6</v>
      </c>
      <c r="F195" s="150">
        <v>2</v>
      </c>
    </row>
    <row r="196" spans="1:6" x14ac:dyDescent="0.25">
      <c r="A196" t="s">
        <v>765</v>
      </c>
      <c r="B196" t="s">
        <v>552</v>
      </c>
      <c r="C196">
        <v>190069</v>
      </c>
      <c r="D196" t="s">
        <v>2838</v>
      </c>
      <c r="E196">
        <v>6</v>
      </c>
      <c r="F196" s="150">
        <v>3</v>
      </c>
    </row>
    <row r="197" spans="1:6" x14ac:dyDescent="0.25">
      <c r="A197" t="s">
        <v>766</v>
      </c>
      <c r="B197" t="s">
        <v>591</v>
      </c>
      <c r="C197">
        <v>150129</v>
      </c>
      <c r="D197" t="s">
        <v>2569</v>
      </c>
      <c r="E197">
        <v>21</v>
      </c>
      <c r="F197" s="150">
        <v>1</v>
      </c>
    </row>
    <row r="198" spans="1:6" x14ac:dyDescent="0.25">
      <c r="A198" t="s">
        <v>767</v>
      </c>
      <c r="B198" t="s">
        <v>605</v>
      </c>
      <c r="C198">
        <v>150132</v>
      </c>
      <c r="D198">
        <v>0</v>
      </c>
      <c r="E198">
        <v>30</v>
      </c>
      <c r="F198" s="150">
        <v>1</v>
      </c>
    </row>
    <row r="199" spans="1:6" x14ac:dyDescent="0.25">
      <c r="A199" t="s">
        <v>767</v>
      </c>
      <c r="B199" t="s">
        <v>605</v>
      </c>
      <c r="C199">
        <v>150206</v>
      </c>
      <c r="D199" t="s">
        <v>2546</v>
      </c>
      <c r="E199">
        <v>30</v>
      </c>
      <c r="F199" s="150">
        <v>2</v>
      </c>
    </row>
    <row r="200" spans="1:6" x14ac:dyDescent="0.25">
      <c r="A200" t="s">
        <v>767</v>
      </c>
      <c r="B200" t="s">
        <v>605</v>
      </c>
      <c r="C200">
        <v>150210</v>
      </c>
      <c r="D200" t="s">
        <v>2544</v>
      </c>
      <c r="E200">
        <v>30</v>
      </c>
      <c r="F200" s="150">
        <v>3</v>
      </c>
    </row>
    <row r="201" spans="1:6" x14ac:dyDescent="0.25">
      <c r="A201" t="s">
        <v>767</v>
      </c>
      <c r="B201" t="s">
        <v>605</v>
      </c>
      <c r="C201">
        <v>150230</v>
      </c>
      <c r="D201" t="s">
        <v>2545</v>
      </c>
      <c r="E201">
        <v>30</v>
      </c>
      <c r="F201" s="150">
        <v>4</v>
      </c>
    </row>
    <row r="202" spans="1:6" x14ac:dyDescent="0.25">
      <c r="A202" t="s">
        <v>767</v>
      </c>
      <c r="B202" t="s">
        <v>605</v>
      </c>
      <c r="C202">
        <v>150328</v>
      </c>
      <c r="D202" t="s">
        <v>2486</v>
      </c>
      <c r="E202">
        <v>30</v>
      </c>
      <c r="F202" s="150">
        <v>5</v>
      </c>
    </row>
    <row r="203" spans="1:6" x14ac:dyDescent="0.25">
      <c r="A203" t="s">
        <v>768</v>
      </c>
      <c r="B203" t="s">
        <v>479</v>
      </c>
      <c r="C203">
        <v>150180</v>
      </c>
      <c r="D203" t="s">
        <v>2558</v>
      </c>
      <c r="E203">
        <v>48</v>
      </c>
      <c r="F203" s="150">
        <v>1</v>
      </c>
    </row>
    <row r="204" spans="1:6" x14ac:dyDescent="0.25">
      <c r="A204" t="s">
        <v>768</v>
      </c>
      <c r="B204" t="s">
        <v>479</v>
      </c>
      <c r="C204">
        <v>150308</v>
      </c>
      <c r="D204" t="s">
        <v>2480</v>
      </c>
      <c r="E204">
        <v>48</v>
      </c>
      <c r="F204" s="150">
        <v>2</v>
      </c>
    </row>
    <row r="205" spans="1:6" x14ac:dyDescent="0.25">
      <c r="A205" t="s">
        <v>769</v>
      </c>
      <c r="B205" t="s">
        <v>486</v>
      </c>
      <c r="C205">
        <v>150294</v>
      </c>
      <c r="D205" t="s">
        <v>2539</v>
      </c>
      <c r="E205">
        <v>48</v>
      </c>
      <c r="F205" s="150">
        <v>1</v>
      </c>
    </row>
    <row r="206" spans="1:6" x14ac:dyDescent="0.25">
      <c r="A206" t="s">
        <v>769</v>
      </c>
      <c r="B206" t="s">
        <v>486</v>
      </c>
      <c r="C206">
        <v>150373</v>
      </c>
      <c r="D206" t="s">
        <v>2462</v>
      </c>
      <c r="E206">
        <v>48</v>
      </c>
      <c r="F206" s="150">
        <v>2</v>
      </c>
    </row>
    <row r="207" spans="1:6" x14ac:dyDescent="0.25">
      <c r="A207" t="s">
        <v>769</v>
      </c>
      <c r="B207" t="s">
        <v>486</v>
      </c>
      <c r="C207">
        <v>150364</v>
      </c>
      <c r="D207" t="s">
        <v>2631</v>
      </c>
      <c r="E207">
        <v>48</v>
      </c>
      <c r="F207" s="150">
        <v>1</v>
      </c>
    </row>
    <row r="208" spans="1:6" x14ac:dyDescent="0.25">
      <c r="A208" t="s">
        <v>769</v>
      </c>
      <c r="B208" t="s">
        <v>486</v>
      </c>
      <c r="C208">
        <v>150330</v>
      </c>
      <c r="D208" t="s">
        <v>2464</v>
      </c>
      <c r="E208">
        <v>48</v>
      </c>
      <c r="F208" s="150">
        <v>1</v>
      </c>
    </row>
    <row r="209" spans="1:6" x14ac:dyDescent="0.25">
      <c r="A209" t="s">
        <v>770</v>
      </c>
      <c r="B209" t="s">
        <v>486</v>
      </c>
      <c r="C209">
        <v>150975</v>
      </c>
      <c r="D209" t="s">
        <v>2460</v>
      </c>
      <c r="E209">
        <v>48</v>
      </c>
      <c r="F209" s="150">
        <v>1</v>
      </c>
    </row>
    <row r="210" spans="1:6" x14ac:dyDescent="0.25">
      <c r="A210" t="s">
        <v>771</v>
      </c>
      <c r="B210" t="s">
        <v>486</v>
      </c>
      <c r="C210">
        <v>150164</v>
      </c>
      <c r="D210" t="s">
        <v>2564</v>
      </c>
      <c r="E210">
        <v>48</v>
      </c>
      <c r="F210" s="150">
        <v>1</v>
      </c>
    </row>
    <row r="211" spans="1:6" x14ac:dyDescent="0.25">
      <c r="A211" t="s">
        <v>771</v>
      </c>
      <c r="B211" t="s">
        <v>486</v>
      </c>
      <c r="C211">
        <v>150186</v>
      </c>
      <c r="D211" t="s">
        <v>2565</v>
      </c>
      <c r="E211">
        <v>48</v>
      </c>
      <c r="F211" s="150">
        <v>2</v>
      </c>
    </row>
    <row r="212" spans="1:6" x14ac:dyDescent="0.25">
      <c r="A212" t="s">
        <v>772</v>
      </c>
      <c r="B212" t="s">
        <v>486</v>
      </c>
      <c r="C212">
        <v>150168</v>
      </c>
      <c r="D212" t="s">
        <v>2562</v>
      </c>
      <c r="E212">
        <v>24</v>
      </c>
      <c r="F212" s="150">
        <v>1</v>
      </c>
    </row>
    <row r="213" spans="1:6" x14ac:dyDescent="0.25">
      <c r="A213" t="s">
        <v>772</v>
      </c>
      <c r="B213" t="s">
        <v>486</v>
      </c>
      <c r="C213">
        <v>150187</v>
      </c>
      <c r="D213" t="s">
        <v>2563</v>
      </c>
      <c r="E213">
        <v>24</v>
      </c>
      <c r="F213" s="150">
        <v>2</v>
      </c>
    </row>
    <row r="214" spans="1:6" x14ac:dyDescent="0.25">
      <c r="A214" t="s">
        <v>772</v>
      </c>
      <c r="B214" t="s">
        <v>486</v>
      </c>
      <c r="C214">
        <v>150349</v>
      </c>
      <c r="D214" t="s">
        <v>2538</v>
      </c>
      <c r="E214">
        <v>24</v>
      </c>
      <c r="F214" s="150">
        <v>3</v>
      </c>
    </row>
    <row r="215" spans="1:6" x14ac:dyDescent="0.25">
      <c r="A215" t="s">
        <v>772</v>
      </c>
      <c r="B215" t="s">
        <v>486</v>
      </c>
      <c r="C215">
        <v>150331</v>
      </c>
      <c r="D215" t="s">
        <v>2471</v>
      </c>
      <c r="E215">
        <v>24</v>
      </c>
      <c r="F215" s="150">
        <v>4</v>
      </c>
    </row>
    <row r="216" spans="1:6" x14ac:dyDescent="0.25">
      <c r="A216" t="s">
        <v>773</v>
      </c>
      <c r="B216" t="s">
        <v>486</v>
      </c>
      <c r="C216">
        <v>150171</v>
      </c>
      <c r="D216">
        <v>0</v>
      </c>
      <c r="E216">
        <v>24</v>
      </c>
      <c r="F216" s="150">
        <v>1</v>
      </c>
    </row>
    <row r="217" spans="1:6" x14ac:dyDescent="0.25">
      <c r="A217" t="s">
        <v>773</v>
      </c>
      <c r="B217" t="s">
        <v>486</v>
      </c>
      <c r="C217">
        <v>150329</v>
      </c>
      <c r="D217" t="s">
        <v>2475</v>
      </c>
      <c r="E217">
        <v>24</v>
      </c>
      <c r="F217" s="150">
        <v>2</v>
      </c>
    </row>
    <row r="218" spans="1:6" x14ac:dyDescent="0.25">
      <c r="A218" t="s">
        <v>774</v>
      </c>
      <c r="B218" t="s">
        <v>479</v>
      </c>
      <c r="C218">
        <v>150177</v>
      </c>
      <c r="D218" t="s">
        <v>2556</v>
      </c>
      <c r="E218">
        <v>12</v>
      </c>
      <c r="F218" s="150">
        <v>1</v>
      </c>
    </row>
    <row r="219" spans="1:6" x14ac:dyDescent="0.25">
      <c r="A219" t="s">
        <v>774</v>
      </c>
      <c r="B219" t="s">
        <v>479</v>
      </c>
      <c r="C219">
        <v>150221</v>
      </c>
      <c r="D219" t="s">
        <v>2536</v>
      </c>
      <c r="E219">
        <v>12</v>
      </c>
      <c r="F219" s="150">
        <v>2</v>
      </c>
    </row>
    <row r="220" spans="1:6" x14ac:dyDescent="0.25">
      <c r="A220" t="s">
        <v>774</v>
      </c>
      <c r="B220" t="s">
        <v>479</v>
      </c>
      <c r="C220">
        <v>150325</v>
      </c>
      <c r="D220" t="s">
        <v>2479</v>
      </c>
      <c r="E220">
        <v>12</v>
      </c>
      <c r="F220" s="150">
        <v>3</v>
      </c>
    </row>
    <row r="221" spans="1:6" x14ac:dyDescent="0.25">
      <c r="A221" t="s">
        <v>775</v>
      </c>
      <c r="B221" t="s">
        <v>486</v>
      </c>
      <c r="C221">
        <v>150188</v>
      </c>
      <c r="D221" t="s">
        <v>2561</v>
      </c>
      <c r="E221">
        <v>12</v>
      </c>
      <c r="F221" s="150">
        <v>1</v>
      </c>
    </row>
    <row r="222" spans="1:6" x14ac:dyDescent="0.25">
      <c r="A222" t="s">
        <v>775</v>
      </c>
      <c r="B222" t="s">
        <v>486</v>
      </c>
      <c r="C222">
        <v>150332</v>
      </c>
      <c r="D222" t="s">
        <v>2473</v>
      </c>
      <c r="E222">
        <v>12</v>
      </c>
      <c r="F222" s="150">
        <v>2</v>
      </c>
    </row>
    <row r="223" spans="1:6" x14ac:dyDescent="0.25">
      <c r="A223" t="s">
        <v>776</v>
      </c>
      <c r="B223" t="s">
        <v>552</v>
      </c>
      <c r="C223">
        <v>150320</v>
      </c>
      <c r="D223">
        <v>0</v>
      </c>
      <c r="E223">
        <v>6</v>
      </c>
      <c r="F223" s="150">
        <v>1</v>
      </c>
    </row>
    <row r="224" spans="1:6" x14ac:dyDescent="0.25">
      <c r="A224" t="s">
        <v>777</v>
      </c>
      <c r="B224" t="s">
        <v>506</v>
      </c>
      <c r="C224">
        <v>150162</v>
      </c>
      <c r="D224">
        <v>0</v>
      </c>
      <c r="E224">
        <v>1</v>
      </c>
      <c r="F224" s="150">
        <v>1</v>
      </c>
    </row>
    <row r="225" spans="1:6" x14ac:dyDescent="0.25">
      <c r="A225" t="s">
        <v>777</v>
      </c>
      <c r="B225" t="s">
        <v>506</v>
      </c>
      <c r="C225">
        <v>150333</v>
      </c>
      <c r="D225" t="s">
        <v>2457</v>
      </c>
      <c r="E225">
        <v>1</v>
      </c>
      <c r="F225" s="150">
        <v>2</v>
      </c>
    </row>
    <row r="226" spans="1:6" x14ac:dyDescent="0.25">
      <c r="A226" t="s">
        <v>778</v>
      </c>
      <c r="B226" t="s">
        <v>506</v>
      </c>
      <c r="C226">
        <v>150163</v>
      </c>
      <c r="D226" t="s">
        <v>2549</v>
      </c>
      <c r="E226">
        <v>1</v>
      </c>
      <c r="F226" s="150">
        <v>1</v>
      </c>
    </row>
    <row r="227" spans="1:6" x14ac:dyDescent="0.25">
      <c r="A227" t="s">
        <v>778</v>
      </c>
      <c r="B227" t="s">
        <v>506</v>
      </c>
      <c r="C227">
        <v>150334</v>
      </c>
      <c r="D227" t="s">
        <v>2458</v>
      </c>
      <c r="E227">
        <v>1</v>
      </c>
      <c r="F227" s="150">
        <v>2</v>
      </c>
    </row>
    <row r="228" spans="1:6" x14ac:dyDescent="0.25">
      <c r="A228" t="s">
        <v>779</v>
      </c>
      <c r="B228" t="s">
        <v>552</v>
      </c>
      <c r="C228">
        <v>150119</v>
      </c>
      <c r="D228" t="s">
        <v>2566</v>
      </c>
      <c r="E228">
        <v>6</v>
      </c>
      <c r="F228" s="150">
        <v>1</v>
      </c>
    </row>
    <row r="229" spans="1:6" x14ac:dyDescent="0.25">
      <c r="A229" t="s">
        <v>779</v>
      </c>
      <c r="B229" t="s">
        <v>552</v>
      </c>
      <c r="C229">
        <v>150231</v>
      </c>
      <c r="D229" t="s">
        <v>2540</v>
      </c>
      <c r="E229">
        <v>6</v>
      </c>
      <c r="F229" s="150">
        <v>2</v>
      </c>
    </row>
    <row r="230" spans="1:6" x14ac:dyDescent="0.25">
      <c r="A230" t="s">
        <v>779</v>
      </c>
      <c r="B230" t="s">
        <v>552</v>
      </c>
      <c r="C230">
        <v>150335</v>
      </c>
      <c r="D230" t="s">
        <v>2459</v>
      </c>
      <c r="E230">
        <v>6</v>
      </c>
      <c r="F230" s="150">
        <v>3</v>
      </c>
    </row>
    <row r="231" spans="1:6" x14ac:dyDescent="0.25">
      <c r="A231" t="s">
        <v>780</v>
      </c>
      <c r="B231" t="s">
        <v>591</v>
      </c>
      <c r="C231">
        <v>150154</v>
      </c>
      <c r="D231" t="s">
        <v>2605</v>
      </c>
      <c r="E231">
        <v>21</v>
      </c>
      <c r="F231" s="150">
        <v>1</v>
      </c>
    </row>
    <row r="232" spans="1:6" x14ac:dyDescent="0.25">
      <c r="A232" t="s">
        <v>780</v>
      </c>
      <c r="B232" t="s">
        <v>591</v>
      </c>
      <c r="C232">
        <v>150241</v>
      </c>
      <c r="D232" t="s">
        <v>2606</v>
      </c>
      <c r="E232">
        <v>21</v>
      </c>
      <c r="F232" s="150">
        <v>6</v>
      </c>
    </row>
    <row r="233" spans="1:6" x14ac:dyDescent="0.25">
      <c r="A233" t="s">
        <v>780</v>
      </c>
      <c r="B233" t="s">
        <v>591</v>
      </c>
      <c r="C233">
        <v>150339</v>
      </c>
      <c r="D233" t="s">
        <v>2483</v>
      </c>
      <c r="E233">
        <v>21</v>
      </c>
      <c r="F233" s="150">
        <v>3</v>
      </c>
    </row>
    <row r="234" spans="1:6" x14ac:dyDescent="0.25">
      <c r="A234" t="s">
        <v>781</v>
      </c>
      <c r="B234" t="s">
        <v>605</v>
      </c>
      <c r="C234">
        <v>150153</v>
      </c>
      <c r="D234">
        <v>0</v>
      </c>
      <c r="E234">
        <v>30</v>
      </c>
      <c r="F234" s="150">
        <v>1</v>
      </c>
    </row>
    <row r="235" spans="1:6" x14ac:dyDescent="0.25">
      <c r="A235" t="s">
        <v>781</v>
      </c>
      <c r="B235" t="s">
        <v>605</v>
      </c>
      <c r="C235">
        <v>150211</v>
      </c>
      <c r="D235" t="s">
        <v>2608</v>
      </c>
      <c r="E235">
        <v>30</v>
      </c>
      <c r="F235" s="150">
        <v>2</v>
      </c>
    </row>
    <row r="236" spans="1:6" x14ac:dyDescent="0.25">
      <c r="A236" t="s">
        <v>781</v>
      </c>
      <c r="B236" t="s">
        <v>605</v>
      </c>
      <c r="C236">
        <v>150240</v>
      </c>
      <c r="D236" t="s">
        <v>2609</v>
      </c>
      <c r="E236">
        <v>30</v>
      </c>
      <c r="F236" s="150">
        <v>3</v>
      </c>
    </row>
    <row r="237" spans="1:6" x14ac:dyDescent="0.25">
      <c r="A237" t="s">
        <v>781</v>
      </c>
      <c r="B237" t="s">
        <v>605</v>
      </c>
      <c r="C237">
        <v>150340</v>
      </c>
      <c r="D237" t="s">
        <v>2485</v>
      </c>
      <c r="E237">
        <v>30</v>
      </c>
      <c r="F237" s="150">
        <v>4</v>
      </c>
    </row>
    <row r="238" spans="1:6" x14ac:dyDescent="0.25">
      <c r="A238" t="s">
        <v>782</v>
      </c>
      <c r="B238" t="s">
        <v>479</v>
      </c>
      <c r="C238">
        <v>150181</v>
      </c>
      <c r="D238" t="s">
        <v>2586</v>
      </c>
      <c r="E238">
        <v>48</v>
      </c>
      <c r="F238" s="150">
        <v>1</v>
      </c>
    </row>
    <row r="239" spans="1:6" x14ac:dyDescent="0.25">
      <c r="A239" t="s">
        <v>782</v>
      </c>
      <c r="B239" t="s">
        <v>479</v>
      </c>
      <c r="C239">
        <v>150233</v>
      </c>
      <c r="D239" t="s">
        <v>2587</v>
      </c>
      <c r="E239">
        <v>48</v>
      </c>
      <c r="F239" s="150">
        <v>2</v>
      </c>
    </row>
    <row r="240" spans="1:6" x14ac:dyDescent="0.25">
      <c r="A240" t="s">
        <v>782</v>
      </c>
      <c r="B240" t="s">
        <v>479</v>
      </c>
      <c r="C240">
        <v>150309</v>
      </c>
      <c r="D240" t="s">
        <v>2482</v>
      </c>
      <c r="E240">
        <v>48</v>
      </c>
      <c r="F240" s="150">
        <v>3</v>
      </c>
    </row>
    <row r="241" spans="1:6" x14ac:dyDescent="0.25">
      <c r="A241" t="s">
        <v>783</v>
      </c>
      <c r="B241" t="s">
        <v>486</v>
      </c>
      <c r="C241">
        <v>150295</v>
      </c>
      <c r="D241" t="s">
        <v>2592</v>
      </c>
      <c r="E241">
        <v>48</v>
      </c>
      <c r="F241" s="150">
        <v>1</v>
      </c>
    </row>
    <row r="242" spans="1:6" x14ac:dyDescent="0.25">
      <c r="A242" t="s">
        <v>783</v>
      </c>
      <c r="B242" t="s">
        <v>486</v>
      </c>
      <c r="C242">
        <v>150374</v>
      </c>
      <c r="D242" t="s">
        <v>2467</v>
      </c>
      <c r="E242">
        <v>48</v>
      </c>
      <c r="F242" s="150">
        <v>2</v>
      </c>
    </row>
    <row r="243" spans="1:6" x14ac:dyDescent="0.25">
      <c r="A243" t="s">
        <v>783</v>
      </c>
      <c r="B243" t="s">
        <v>486</v>
      </c>
      <c r="C243">
        <v>150363</v>
      </c>
      <c r="D243" t="s">
        <v>2633</v>
      </c>
      <c r="E243">
        <v>48</v>
      </c>
      <c r="F243" s="150"/>
    </row>
    <row r="244" spans="1:6" x14ac:dyDescent="0.25">
      <c r="A244" t="s">
        <v>784</v>
      </c>
      <c r="B244" t="s">
        <v>486</v>
      </c>
      <c r="C244">
        <v>150976</v>
      </c>
      <c r="D244" t="s">
        <v>2466</v>
      </c>
      <c r="E244">
        <v>48</v>
      </c>
      <c r="F244" s="150">
        <v>1</v>
      </c>
    </row>
    <row r="245" spans="1:6" x14ac:dyDescent="0.25">
      <c r="A245" t="s">
        <v>785</v>
      </c>
      <c r="B245" t="s">
        <v>486</v>
      </c>
      <c r="C245">
        <v>150191</v>
      </c>
      <c r="D245" t="s">
        <v>2594</v>
      </c>
      <c r="E245">
        <v>48</v>
      </c>
      <c r="F245" s="150">
        <v>1</v>
      </c>
    </row>
    <row r="246" spans="1:6" x14ac:dyDescent="0.25">
      <c r="A246" t="s">
        <v>785</v>
      </c>
      <c r="B246" t="s">
        <v>486</v>
      </c>
      <c r="C246">
        <v>150234</v>
      </c>
      <c r="D246" t="s">
        <v>2595</v>
      </c>
      <c r="E246">
        <v>48</v>
      </c>
      <c r="F246" s="150">
        <v>2</v>
      </c>
    </row>
    <row r="247" spans="1:6" x14ac:dyDescent="0.25">
      <c r="A247" t="s">
        <v>786</v>
      </c>
      <c r="B247" t="s">
        <v>486</v>
      </c>
      <c r="C247">
        <v>150192</v>
      </c>
      <c r="D247" t="s">
        <v>2590</v>
      </c>
      <c r="E247">
        <v>24</v>
      </c>
      <c r="F247" s="150">
        <v>1</v>
      </c>
    </row>
    <row r="248" spans="1:6" x14ac:dyDescent="0.25">
      <c r="A248" t="s">
        <v>786</v>
      </c>
      <c r="B248" t="s">
        <v>486</v>
      </c>
      <c r="C248">
        <v>150235</v>
      </c>
      <c r="D248" t="s">
        <v>2591</v>
      </c>
      <c r="E248">
        <v>24</v>
      </c>
      <c r="F248" s="150">
        <v>2</v>
      </c>
    </row>
    <row r="249" spans="1:6" x14ac:dyDescent="0.25">
      <c r="A249" t="s">
        <v>786</v>
      </c>
      <c r="B249" t="s">
        <v>486</v>
      </c>
      <c r="C249">
        <v>150350</v>
      </c>
      <c r="D249" t="s">
        <v>2588</v>
      </c>
      <c r="E249">
        <v>24</v>
      </c>
      <c r="F249" s="150">
        <v>3</v>
      </c>
    </row>
    <row r="250" spans="1:6" x14ac:dyDescent="0.25">
      <c r="A250" t="s">
        <v>786</v>
      </c>
      <c r="B250" t="s">
        <v>486</v>
      </c>
      <c r="C250">
        <v>150343</v>
      </c>
      <c r="D250" t="s">
        <v>2472</v>
      </c>
      <c r="E250">
        <v>24</v>
      </c>
      <c r="F250" s="150">
        <v>4</v>
      </c>
    </row>
    <row r="251" spans="1:6" x14ac:dyDescent="0.25">
      <c r="A251" t="s">
        <v>787</v>
      </c>
      <c r="B251" t="s">
        <v>486</v>
      </c>
      <c r="C251">
        <v>150081</v>
      </c>
      <c r="D251" t="s">
        <v>2615</v>
      </c>
      <c r="E251">
        <v>24</v>
      </c>
      <c r="F251" s="150">
        <v>1</v>
      </c>
    </row>
    <row r="252" spans="1:6" x14ac:dyDescent="0.25">
      <c r="A252" t="s">
        <v>787</v>
      </c>
      <c r="B252" t="s">
        <v>486</v>
      </c>
      <c r="C252">
        <v>150172</v>
      </c>
      <c r="D252" t="s">
        <v>2580</v>
      </c>
      <c r="E252">
        <v>24</v>
      </c>
      <c r="F252" s="150">
        <v>2</v>
      </c>
    </row>
    <row r="253" spans="1:6" x14ac:dyDescent="0.25">
      <c r="A253" t="s">
        <v>787</v>
      </c>
      <c r="B253" t="s">
        <v>486</v>
      </c>
      <c r="C253">
        <v>150226</v>
      </c>
      <c r="D253">
        <v>0</v>
      </c>
      <c r="E253">
        <v>24</v>
      </c>
      <c r="F253" s="150">
        <v>3</v>
      </c>
    </row>
    <row r="254" spans="1:6" x14ac:dyDescent="0.25">
      <c r="A254" t="s">
        <v>787</v>
      </c>
      <c r="B254" t="s">
        <v>486</v>
      </c>
      <c r="C254">
        <v>150341</v>
      </c>
      <c r="D254" t="s">
        <v>2476</v>
      </c>
      <c r="E254">
        <v>24</v>
      </c>
      <c r="F254" s="150">
        <v>4</v>
      </c>
    </row>
    <row r="255" spans="1:6" x14ac:dyDescent="0.25">
      <c r="A255" t="s">
        <v>788</v>
      </c>
      <c r="B255" t="s">
        <v>479</v>
      </c>
      <c r="C255">
        <v>150178</v>
      </c>
      <c r="D255" t="s">
        <v>2582</v>
      </c>
      <c r="E255">
        <v>12</v>
      </c>
      <c r="F255" s="150">
        <v>1</v>
      </c>
    </row>
    <row r="256" spans="1:6" x14ac:dyDescent="0.25">
      <c r="A256" t="s">
        <v>788</v>
      </c>
      <c r="B256" t="s">
        <v>479</v>
      </c>
      <c r="C256">
        <v>150232</v>
      </c>
      <c r="D256" t="s">
        <v>2583</v>
      </c>
      <c r="E256">
        <v>12</v>
      </c>
      <c r="F256" s="150">
        <v>2</v>
      </c>
    </row>
    <row r="257" spans="1:6" x14ac:dyDescent="0.25">
      <c r="A257" t="s">
        <v>788</v>
      </c>
      <c r="B257" t="s">
        <v>479</v>
      </c>
      <c r="C257">
        <v>150346</v>
      </c>
      <c r="D257" t="s">
        <v>2481</v>
      </c>
      <c r="E257">
        <v>12</v>
      </c>
      <c r="F257" s="150">
        <v>3</v>
      </c>
    </row>
    <row r="258" spans="1:6" x14ac:dyDescent="0.25">
      <c r="A258" t="s">
        <v>789</v>
      </c>
      <c r="B258" t="s">
        <v>552</v>
      </c>
      <c r="C258">
        <v>150150</v>
      </c>
      <c r="D258" t="s">
        <v>2596</v>
      </c>
      <c r="E258">
        <v>6</v>
      </c>
      <c r="F258" s="150">
        <v>1</v>
      </c>
    </row>
    <row r="259" spans="1:6" x14ac:dyDescent="0.25">
      <c r="A259" t="s">
        <v>789</v>
      </c>
      <c r="B259" t="s">
        <v>552</v>
      </c>
      <c r="C259">
        <v>150239</v>
      </c>
      <c r="D259" t="s">
        <v>2597</v>
      </c>
      <c r="E259">
        <v>6</v>
      </c>
      <c r="F259" s="150">
        <v>2</v>
      </c>
    </row>
    <row r="260" spans="1:6" x14ac:dyDescent="0.25">
      <c r="A260" t="s">
        <v>789</v>
      </c>
      <c r="B260" t="s">
        <v>552</v>
      </c>
      <c r="C260">
        <v>150344</v>
      </c>
      <c r="D260" t="s">
        <v>2474</v>
      </c>
      <c r="E260">
        <v>6</v>
      </c>
      <c r="F260" s="150">
        <v>3</v>
      </c>
    </row>
    <row r="261" spans="1:6" x14ac:dyDescent="0.25">
      <c r="A261" t="s">
        <v>790</v>
      </c>
      <c r="B261" t="s">
        <v>479</v>
      </c>
      <c r="C261">
        <v>150298</v>
      </c>
      <c r="D261">
        <v>0</v>
      </c>
      <c r="E261">
        <v>48</v>
      </c>
      <c r="F261" s="150">
        <v>1</v>
      </c>
    </row>
    <row r="262" spans="1:6" x14ac:dyDescent="0.25">
      <c r="A262" t="s">
        <v>791</v>
      </c>
      <c r="B262" t="s">
        <v>486</v>
      </c>
      <c r="C262">
        <v>150299</v>
      </c>
      <c r="D262">
        <v>0</v>
      </c>
      <c r="E262">
        <v>48</v>
      </c>
      <c r="F262" s="150">
        <v>1</v>
      </c>
    </row>
    <row r="263" spans="1:6" x14ac:dyDescent="0.25">
      <c r="A263" t="s">
        <v>792</v>
      </c>
      <c r="B263" t="s">
        <v>486</v>
      </c>
      <c r="C263">
        <v>150166</v>
      </c>
      <c r="D263" t="s">
        <v>2619</v>
      </c>
      <c r="E263">
        <v>48</v>
      </c>
      <c r="F263" s="150">
        <v>1</v>
      </c>
    </row>
    <row r="264" spans="1:6" x14ac:dyDescent="0.25">
      <c r="A264" t="s">
        <v>792</v>
      </c>
      <c r="B264" t="s">
        <v>486</v>
      </c>
      <c r="C264">
        <v>150291</v>
      </c>
      <c r="D264" t="s">
        <v>2469</v>
      </c>
      <c r="E264">
        <v>48</v>
      </c>
      <c r="F264" s="150">
        <v>2</v>
      </c>
    </row>
    <row r="265" spans="1:6" x14ac:dyDescent="0.25">
      <c r="A265" t="s">
        <v>793</v>
      </c>
      <c r="B265" t="s">
        <v>486</v>
      </c>
      <c r="C265">
        <v>150173</v>
      </c>
      <c r="D265">
        <v>0</v>
      </c>
      <c r="E265">
        <v>24</v>
      </c>
      <c r="F265" s="150">
        <v>1</v>
      </c>
    </row>
    <row r="266" spans="1:6" x14ac:dyDescent="0.25">
      <c r="A266" t="s">
        <v>793</v>
      </c>
      <c r="B266" t="s">
        <v>486</v>
      </c>
      <c r="C266">
        <v>150347</v>
      </c>
      <c r="D266" t="s">
        <v>2477</v>
      </c>
      <c r="E266">
        <v>24</v>
      </c>
      <c r="F266" s="150">
        <v>2</v>
      </c>
    </row>
    <row r="267" spans="1:6" x14ac:dyDescent="0.25">
      <c r="A267" t="s">
        <v>794</v>
      </c>
      <c r="B267" t="s">
        <v>486</v>
      </c>
      <c r="C267">
        <v>150167</v>
      </c>
      <c r="D267" t="s">
        <v>2576</v>
      </c>
      <c r="E267">
        <v>48</v>
      </c>
      <c r="F267" s="150">
        <v>1</v>
      </c>
    </row>
    <row r="268" spans="1:6" x14ac:dyDescent="0.25">
      <c r="A268" t="s">
        <v>794</v>
      </c>
      <c r="B268" t="s">
        <v>486</v>
      </c>
      <c r="C268">
        <v>150292</v>
      </c>
      <c r="D268" t="s">
        <v>2470</v>
      </c>
      <c r="E268">
        <v>48</v>
      </c>
      <c r="F268" s="150">
        <v>2</v>
      </c>
    </row>
    <row r="269" spans="1:6" x14ac:dyDescent="0.25">
      <c r="A269" t="s">
        <v>795</v>
      </c>
      <c r="B269" t="s">
        <v>486</v>
      </c>
      <c r="C269">
        <v>150174</v>
      </c>
      <c r="D269" t="s">
        <v>2575</v>
      </c>
      <c r="E269">
        <v>24</v>
      </c>
      <c r="F269" s="150">
        <v>1</v>
      </c>
    </row>
    <row r="270" spans="1:6" x14ac:dyDescent="0.25">
      <c r="A270" t="s">
        <v>795</v>
      </c>
      <c r="B270" t="s">
        <v>486</v>
      </c>
      <c r="C270">
        <v>150336</v>
      </c>
      <c r="D270" t="s">
        <v>2478</v>
      </c>
      <c r="E270">
        <v>24</v>
      </c>
      <c r="F270" s="150">
        <v>2</v>
      </c>
    </row>
    <row r="271" spans="1:6" x14ac:dyDescent="0.25">
      <c r="A271" t="s">
        <v>796</v>
      </c>
      <c r="B271" t="s">
        <v>486</v>
      </c>
      <c r="C271">
        <v>150175</v>
      </c>
      <c r="D271">
        <v>0</v>
      </c>
      <c r="E271">
        <v>48</v>
      </c>
      <c r="F271" s="150">
        <v>1</v>
      </c>
    </row>
    <row r="272" spans="1:6" x14ac:dyDescent="0.25">
      <c r="A272" t="s">
        <v>797</v>
      </c>
      <c r="B272" t="s">
        <v>486</v>
      </c>
      <c r="C272">
        <v>150176</v>
      </c>
      <c r="D272" t="s">
        <v>2579</v>
      </c>
      <c r="E272">
        <v>24</v>
      </c>
      <c r="F272" s="150">
        <v>1</v>
      </c>
    </row>
    <row r="273" spans="1:6" x14ac:dyDescent="0.25">
      <c r="A273" t="s">
        <v>797</v>
      </c>
      <c r="B273" t="s">
        <v>486</v>
      </c>
      <c r="C273">
        <v>150371</v>
      </c>
      <c r="D273" t="s">
        <v>2632</v>
      </c>
      <c r="E273">
        <v>24</v>
      </c>
      <c r="F273" s="150">
        <v>2</v>
      </c>
    </row>
    <row r="274" spans="1:6" x14ac:dyDescent="0.25">
      <c r="A274" t="s">
        <v>798</v>
      </c>
      <c r="B274" t="s">
        <v>479</v>
      </c>
      <c r="C274">
        <v>150148</v>
      </c>
      <c r="D274">
        <v>0</v>
      </c>
      <c r="E274">
        <v>48</v>
      </c>
      <c r="F274" s="150">
        <v>1</v>
      </c>
    </row>
    <row r="275" spans="1:6" x14ac:dyDescent="0.25">
      <c r="A275" t="s">
        <v>798</v>
      </c>
      <c r="B275" t="s">
        <v>479</v>
      </c>
      <c r="C275">
        <v>150218</v>
      </c>
      <c r="D275">
        <v>0</v>
      </c>
      <c r="E275">
        <v>48</v>
      </c>
      <c r="F275" s="150">
        <v>2</v>
      </c>
    </row>
    <row r="276" spans="1:6" x14ac:dyDescent="0.25">
      <c r="A276" t="s">
        <v>799</v>
      </c>
      <c r="B276" t="s">
        <v>479</v>
      </c>
      <c r="C276">
        <v>150217</v>
      </c>
      <c r="D276">
        <v>0</v>
      </c>
      <c r="E276">
        <v>48</v>
      </c>
      <c r="F276" s="150">
        <v>1</v>
      </c>
    </row>
    <row r="277" spans="1:6" x14ac:dyDescent="0.25">
      <c r="A277" t="s">
        <v>800</v>
      </c>
      <c r="B277" t="s">
        <v>479</v>
      </c>
      <c r="C277">
        <v>150219</v>
      </c>
      <c r="D277">
        <v>0</v>
      </c>
      <c r="E277">
        <v>48</v>
      </c>
      <c r="F277" s="150">
        <v>1</v>
      </c>
    </row>
    <row r="278" spans="1:6" x14ac:dyDescent="0.25">
      <c r="A278" t="s">
        <v>801</v>
      </c>
      <c r="B278" t="s">
        <v>486</v>
      </c>
      <c r="C278">
        <v>150159</v>
      </c>
      <c r="D278">
        <v>0</v>
      </c>
      <c r="E278">
        <v>48</v>
      </c>
      <c r="F278" s="150">
        <v>1</v>
      </c>
    </row>
    <row r="279" spans="1:6" x14ac:dyDescent="0.25">
      <c r="A279" t="s">
        <v>802</v>
      </c>
      <c r="B279" t="s">
        <v>486</v>
      </c>
      <c r="C279">
        <v>100141</v>
      </c>
      <c r="D279">
        <v>0</v>
      </c>
      <c r="E279">
        <v>48</v>
      </c>
      <c r="F279" s="150">
        <v>1</v>
      </c>
    </row>
    <row r="280" spans="1:6" x14ac:dyDescent="0.25">
      <c r="A280" t="s">
        <v>803</v>
      </c>
      <c r="B280" t="s">
        <v>486</v>
      </c>
      <c r="C280">
        <v>100173</v>
      </c>
      <c r="D280">
        <v>0</v>
      </c>
      <c r="E280">
        <v>48</v>
      </c>
      <c r="F280" s="150">
        <v>1</v>
      </c>
    </row>
    <row r="281" spans="1:6" x14ac:dyDescent="0.25">
      <c r="A281" t="s">
        <v>804</v>
      </c>
      <c r="B281" t="s">
        <v>651</v>
      </c>
      <c r="C281">
        <v>900005</v>
      </c>
      <c r="D281">
        <v>0</v>
      </c>
      <c r="E281">
        <v>48</v>
      </c>
      <c r="F281" s="150">
        <v>1</v>
      </c>
    </row>
    <row r="282" spans="1:6" x14ac:dyDescent="0.25">
      <c r="A282" t="s">
        <v>805</v>
      </c>
      <c r="B282" t="s">
        <v>486</v>
      </c>
      <c r="C282">
        <v>150184</v>
      </c>
      <c r="D282">
        <v>0</v>
      </c>
      <c r="E282">
        <v>48</v>
      </c>
      <c r="F282" s="150">
        <v>1</v>
      </c>
    </row>
    <row r="283" spans="1:6" x14ac:dyDescent="0.25">
      <c r="A283" t="s">
        <v>990</v>
      </c>
      <c r="B283" t="s">
        <v>206</v>
      </c>
      <c r="C283">
        <v>612961</v>
      </c>
      <c r="D283" t="s">
        <v>2951</v>
      </c>
      <c r="E283">
        <v>60</v>
      </c>
      <c r="F283" s="150">
        <v>2</v>
      </c>
    </row>
    <row r="284" spans="1:6" x14ac:dyDescent="0.25">
      <c r="A284" t="s">
        <v>990</v>
      </c>
      <c r="B284" t="s">
        <v>206</v>
      </c>
      <c r="C284">
        <v>612157</v>
      </c>
      <c r="D284" t="s">
        <v>2971</v>
      </c>
      <c r="E284">
        <v>60</v>
      </c>
      <c r="F284" s="150">
        <v>1</v>
      </c>
    </row>
    <row r="285" spans="1:6" x14ac:dyDescent="0.25">
      <c r="A285" t="s">
        <v>991</v>
      </c>
      <c r="B285" t="s">
        <v>206</v>
      </c>
      <c r="C285">
        <v>612158</v>
      </c>
      <c r="D285" t="s">
        <v>2969</v>
      </c>
      <c r="E285">
        <v>60</v>
      </c>
      <c r="F285" s="150">
        <v>1</v>
      </c>
    </row>
    <row r="286" spans="1:6" x14ac:dyDescent="0.25">
      <c r="A286" t="s">
        <v>991</v>
      </c>
      <c r="B286" t="s">
        <v>206</v>
      </c>
      <c r="C286">
        <v>612161</v>
      </c>
      <c r="D286" t="s">
        <v>2963</v>
      </c>
      <c r="E286">
        <v>60</v>
      </c>
      <c r="F286" s="150">
        <v>1</v>
      </c>
    </row>
    <row r="287" spans="1:6" x14ac:dyDescent="0.25">
      <c r="A287" t="s">
        <v>992</v>
      </c>
      <c r="B287" t="s">
        <v>206</v>
      </c>
      <c r="C287">
        <v>612963</v>
      </c>
      <c r="D287" t="s">
        <v>2953</v>
      </c>
      <c r="E287">
        <v>60</v>
      </c>
      <c r="F287" s="150">
        <v>1</v>
      </c>
    </row>
    <row r="288" spans="1:6" x14ac:dyDescent="0.25">
      <c r="A288" t="s">
        <v>992</v>
      </c>
      <c r="B288" t="s">
        <v>206</v>
      </c>
      <c r="C288">
        <v>612159</v>
      </c>
      <c r="D288" t="s">
        <v>2970</v>
      </c>
      <c r="E288">
        <v>60</v>
      </c>
      <c r="F288" s="150">
        <v>2</v>
      </c>
    </row>
    <row r="289" spans="1:6" x14ac:dyDescent="0.25">
      <c r="A289" t="s">
        <v>999</v>
      </c>
      <c r="B289" t="s">
        <v>605</v>
      </c>
      <c r="C289">
        <v>150990</v>
      </c>
      <c r="D289" t="s">
        <v>2942</v>
      </c>
      <c r="E289">
        <v>10</v>
      </c>
      <c r="F289" s="150">
        <v>1</v>
      </c>
    </row>
    <row r="290" spans="1:6" x14ac:dyDescent="0.25">
      <c r="A290" t="s">
        <v>1008</v>
      </c>
      <c r="B290" t="s">
        <v>552</v>
      </c>
      <c r="C290">
        <v>900053</v>
      </c>
      <c r="D290">
        <v>0</v>
      </c>
      <c r="E290">
        <v>1</v>
      </c>
      <c r="F290" s="150">
        <v>1</v>
      </c>
    </row>
    <row r="291" spans="1:6" x14ac:dyDescent="0.25">
      <c r="A291" t="s">
        <v>1013</v>
      </c>
      <c r="B291" t="s">
        <v>479</v>
      </c>
      <c r="C291">
        <v>100992</v>
      </c>
      <c r="D291" t="s">
        <v>2655</v>
      </c>
      <c r="E291">
        <v>24</v>
      </c>
      <c r="F291" s="150">
        <v>1</v>
      </c>
    </row>
    <row r="292" spans="1:6" x14ac:dyDescent="0.25">
      <c r="A292" t="s">
        <v>1032</v>
      </c>
      <c r="B292" t="s">
        <v>479</v>
      </c>
      <c r="C292">
        <v>101001</v>
      </c>
      <c r="D292" t="s">
        <v>2665</v>
      </c>
      <c r="E292">
        <v>60</v>
      </c>
      <c r="F292" s="150">
        <v>1</v>
      </c>
    </row>
    <row r="293" spans="1:6" x14ac:dyDescent="0.25">
      <c r="A293" t="s">
        <v>1042</v>
      </c>
      <c r="B293" t="s">
        <v>605</v>
      </c>
      <c r="C293">
        <v>120045</v>
      </c>
      <c r="D293" t="s">
        <v>2899</v>
      </c>
      <c r="E293">
        <v>12</v>
      </c>
      <c r="F293" s="150">
        <v>1</v>
      </c>
    </row>
    <row r="294" spans="1:6" x14ac:dyDescent="0.25">
      <c r="A294" t="s">
        <v>1043</v>
      </c>
      <c r="B294" t="s">
        <v>552</v>
      </c>
      <c r="C294">
        <v>460197</v>
      </c>
      <c r="D294" t="s">
        <v>2888</v>
      </c>
      <c r="E294">
        <v>48</v>
      </c>
      <c r="F294" s="150">
        <v>1</v>
      </c>
    </row>
    <row r="295" spans="1:6" x14ac:dyDescent="0.25">
      <c r="A295" t="s">
        <v>1044</v>
      </c>
      <c r="B295" t="s">
        <v>605</v>
      </c>
      <c r="C295">
        <v>150994</v>
      </c>
      <c r="D295" t="s">
        <v>2945</v>
      </c>
      <c r="E295">
        <v>12</v>
      </c>
      <c r="F295" s="150">
        <v>1</v>
      </c>
    </row>
    <row r="296" spans="1:6" x14ac:dyDescent="0.25">
      <c r="A296" t="s">
        <v>1044</v>
      </c>
      <c r="B296" t="s">
        <v>605</v>
      </c>
      <c r="C296">
        <v>150995</v>
      </c>
      <c r="D296" t="s">
        <v>2946</v>
      </c>
      <c r="E296">
        <v>12</v>
      </c>
      <c r="F296" s="150">
        <v>2</v>
      </c>
    </row>
    <row r="297" spans="1:6" x14ac:dyDescent="0.25">
      <c r="A297" t="s">
        <v>1056</v>
      </c>
      <c r="B297" t="s">
        <v>506</v>
      </c>
      <c r="C297">
        <v>120042</v>
      </c>
      <c r="D297" t="s">
        <v>2921</v>
      </c>
      <c r="E297">
        <v>6</v>
      </c>
      <c r="F297" s="150">
        <v>2</v>
      </c>
    </row>
    <row r="298" spans="1:6" x14ac:dyDescent="0.25">
      <c r="A298" t="s">
        <v>1071</v>
      </c>
      <c r="B298" t="s">
        <v>486</v>
      </c>
      <c r="C298">
        <v>120036</v>
      </c>
      <c r="D298" t="s">
        <v>2896</v>
      </c>
      <c r="E298">
        <v>48</v>
      </c>
      <c r="F298" s="150">
        <v>3</v>
      </c>
    </row>
    <row r="299" spans="1:6" x14ac:dyDescent="0.25">
      <c r="A299" t="s">
        <v>1079</v>
      </c>
      <c r="B299" t="s">
        <v>479</v>
      </c>
      <c r="C299">
        <v>100241</v>
      </c>
      <c r="D299" t="s">
        <v>2682</v>
      </c>
      <c r="E299">
        <v>12</v>
      </c>
      <c r="F299" s="150">
        <v>1</v>
      </c>
    </row>
    <row r="300" spans="1:6" x14ac:dyDescent="0.25">
      <c r="A300" t="s">
        <v>1085</v>
      </c>
      <c r="B300" t="s">
        <v>545</v>
      </c>
      <c r="C300">
        <v>410076</v>
      </c>
      <c r="D300" t="s">
        <v>2431</v>
      </c>
      <c r="E300">
        <v>6</v>
      </c>
      <c r="F300" s="150">
        <v>1</v>
      </c>
    </row>
    <row r="301" spans="1:6" x14ac:dyDescent="0.25">
      <c r="A301" t="s">
        <v>1090</v>
      </c>
      <c r="B301" t="s">
        <v>486</v>
      </c>
      <c r="C301">
        <v>400154</v>
      </c>
      <c r="D301" t="s">
        <v>2450</v>
      </c>
      <c r="E301">
        <v>12</v>
      </c>
      <c r="F301" s="150">
        <v>3</v>
      </c>
    </row>
    <row r="302" spans="1:6" x14ac:dyDescent="0.25">
      <c r="A302" t="s">
        <v>1093</v>
      </c>
      <c r="B302" t="s">
        <v>479</v>
      </c>
      <c r="C302" t="s">
        <v>1102</v>
      </c>
      <c r="D302">
        <v>0</v>
      </c>
      <c r="E302" t="s">
        <v>1102</v>
      </c>
      <c r="F302" s="150">
        <v>1</v>
      </c>
    </row>
    <row r="303" spans="1:6" x14ac:dyDescent="0.25">
      <c r="A303" t="s">
        <v>1095</v>
      </c>
      <c r="B303" t="s">
        <v>486</v>
      </c>
      <c r="C303">
        <v>150984</v>
      </c>
      <c r="D303" t="s">
        <v>2628</v>
      </c>
      <c r="E303">
        <v>24</v>
      </c>
      <c r="F303" s="150">
        <v>1</v>
      </c>
    </row>
    <row r="304" spans="1:6" x14ac:dyDescent="0.25">
      <c r="A304" t="s">
        <v>1103</v>
      </c>
      <c r="B304" t="s">
        <v>552</v>
      </c>
      <c r="C304">
        <v>900044</v>
      </c>
      <c r="D304">
        <v>0</v>
      </c>
      <c r="E304">
        <v>1</v>
      </c>
      <c r="F304" s="150">
        <v>1</v>
      </c>
    </row>
    <row r="305" spans="1:6" x14ac:dyDescent="0.25">
      <c r="A305" t="s">
        <v>2995</v>
      </c>
      <c r="B305" t="s">
        <v>591</v>
      </c>
      <c r="C305">
        <v>150204</v>
      </c>
      <c r="D305" t="s">
        <v>2570</v>
      </c>
      <c r="E305">
        <v>21</v>
      </c>
      <c r="F305" s="150">
        <v>2</v>
      </c>
    </row>
    <row r="306" spans="1:6" x14ac:dyDescent="0.25">
      <c r="A306" t="s">
        <v>2995</v>
      </c>
      <c r="B306" t="s">
        <v>591</v>
      </c>
      <c r="C306">
        <v>150326</v>
      </c>
      <c r="D306" t="s">
        <v>2484</v>
      </c>
      <c r="E306">
        <v>21</v>
      </c>
      <c r="F306" s="150">
        <v>3</v>
      </c>
    </row>
    <row r="307" spans="1:6" x14ac:dyDescent="0.25">
      <c r="A307" t="s">
        <v>2995</v>
      </c>
      <c r="B307" t="s">
        <v>591</v>
      </c>
      <c r="C307">
        <v>150409</v>
      </c>
      <c r="D307">
        <v>7000003676</v>
      </c>
      <c r="E307">
        <v>21</v>
      </c>
      <c r="F307" s="150">
        <v>1</v>
      </c>
    </row>
  </sheetData>
  <conditionalFormatting sqref="A1:A1048576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3788-73D9-44DC-993A-5237164DC59A}">
  <sheetPr>
    <tabColor rgb="FFFFFF00"/>
  </sheetPr>
  <dimension ref="A1:E305"/>
  <sheetViews>
    <sheetView workbookViewId="0">
      <selection activeCell="C325" sqref="C325"/>
    </sheetView>
  </sheetViews>
  <sheetFormatPr defaultRowHeight="15" x14ac:dyDescent="0.25"/>
  <cols>
    <col min="1" max="1" width="18.5703125" bestFit="1" customWidth="1"/>
    <col min="2" max="2" width="12" bestFit="1" customWidth="1"/>
    <col min="3" max="3" width="18" bestFit="1" customWidth="1"/>
    <col min="4" max="4" width="9.85546875" bestFit="1" customWidth="1"/>
    <col min="5" max="5" width="22.42578125" bestFit="1" customWidth="1"/>
    <col min="6" max="6" width="22.42578125" customWidth="1"/>
  </cols>
  <sheetData>
    <row r="1" spans="1:5" x14ac:dyDescent="0.25">
      <c r="A1" t="s">
        <v>154</v>
      </c>
      <c r="B1" t="s">
        <v>2</v>
      </c>
      <c r="C1" t="s">
        <v>14</v>
      </c>
      <c r="D1" t="s">
        <v>6</v>
      </c>
      <c r="E1" t="s">
        <v>155</v>
      </c>
    </row>
    <row r="2" spans="1:5" x14ac:dyDescent="0.25">
      <c r="A2" t="s">
        <v>658</v>
      </c>
      <c r="B2">
        <v>100191</v>
      </c>
      <c r="C2" t="s">
        <v>486</v>
      </c>
      <c r="D2">
        <v>12</v>
      </c>
      <c r="E2">
        <v>1</v>
      </c>
    </row>
    <row r="3" spans="1:5" x14ac:dyDescent="0.25">
      <c r="A3" t="s">
        <v>658</v>
      </c>
      <c r="B3">
        <v>100191</v>
      </c>
      <c r="C3" t="s">
        <v>486</v>
      </c>
      <c r="D3">
        <v>12</v>
      </c>
      <c r="E3">
        <v>2</v>
      </c>
    </row>
    <row r="4" spans="1:5" hidden="1" x14ac:dyDescent="0.25">
      <c r="A4" t="s">
        <v>659</v>
      </c>
      <c r="B4">
        <v>100156</v>
      </c>
      <c r="C4" t="s">
        <v>479</v>
      </c>
      <c r="D4">
        <v>12</v>
      </c>
      <c r="E4">
        <v>1</v>
      </c>
    </row>
    <row r="5" spans="1:5" hidden="1" x14ac:dyDescent="0.25">
      <c r="A5" t="s">
        <v>659</v>
      </c>
      <c r="B5" t="s">
        <v>1102</v>
      </c>
      <c r="C5" t="s">
        <v>479</v>
      </c>
      <c r="D5">
        <v>12</v>
      </c>
    </row>
    <row r="6" spans="1:5" hidden="1" x14ac:dyDescent="0.25">
      <c r="A6" t="s">
        <v>660</v>
      </c>
      <c r="B6">
        <v>100180</v>
      </c>
      <c r="C6" t="s">
        <v>479</v>
      </c>
      <c r="D6">
        <v>12</v>
      </c>
      <c r="E6">
        <v>1</v>
      </c>
    </row>
    <row r="7" spans="1:5" hidden="1" x14ac:dyDescent="0.25">
      <c r="A7" t="s">
        <v>661</v>
      </c>
      <c r="B7">
        <v>100151</v>
      </c>
      <c r="C7" t="s">
        <v>479</v>
      </c>
      <c r="D7">
        <v>12</v>
      </c>
      <c r="E7">
        <v>1</v>
      </c>
    </row>
    <row r="8" spans="1:5" hidden="1" x14ac:dyDescent="0.25">
      <c r="A8" t="s">
        <v>662</v>
      </c>
      <c r="B8">
        <v>100174</v>
      </c>
      <c r="C8" t="s">
        <v>479</v>
      </c>
      <c r="D8">
        <v>12</v>
      </c>
      <c r="E8">
        <v>1</v>
      </c>
    </row>
    <row r="9" spans="1:5" hidden="1" x14ac:dyDescent="0.25">
      <c r="A9" t="s">
        <v>663</v>
      </c>
      <c r="B9">
        <v>100192</v>
      </c>
      <c r="C9" t="s">
        <v>486</v>
      </c>
      <c r="D9">
        <v>48</v>
      </c>
      <c r="E9">
        <v>1</v>
      </c>
    </row>
    <row r="10" spans="1:5" hidden="1" x14ac:dyDescent="0.25">
      <c r="A10" t="s">
        <v>663</v>
      </c>
      <c r="B10">
        <v>100201</v>
      </c>
      <c r="C10" t="s">
        <v>486</v>
      </c>
      <c r="D10">
        <v>48</v>
      </c>
      <c r="E10">
        <v>2</v>
      </c>
    </row>
    <row r="11" spans="1:5" hidden="1" x14ac:dyDescent="0.25">
      <c r="A11" t="s">
        <v>664</v>
      </c>
      <c r="B11">
        <v>100194</v>
      </c>
      <c r="C11" t="s">
        <v>486</v>
      </c>
      <c r="D11">
        <v>48</v>
      </c>
      <c r="E11">
        <v>1</v>
      </c>
    </row>
    <row r="12" spans="1:5" hidden="1" x14ac:dyDescent="0.25">
      <c r="A12" t="s">
        <v>664</v>
      </c>
      <c r="B12">
        <v>100203</v>
      </c>
      <c r="C12" t="s">
        <v>486</v>
      </c>
      <c r="D12">
        <v>48</v>
      </c>
      <c r="E12">
        <v>2</v>
      </c>
    </row>
    <row r="13" spans="1:5" hidden="1" x14ac:dyDescent="0.25">
      <c r="A13" t="s">
        <v>664</v>
      </c>
      <c r="B13">
        <v>100215</v>
      </c>
      <c r="C13" t="s">
        <v>486</v>
      </c>
      <c r="D13">
        <v>48</v>
      </c>
      <c r="E13">
        <v>3</v>
      </c>
    </row>
    <row r="14" spans="1:5" hidden="1" x14ac:dyDescent="0.25">
      <c r="A14" t="s">
        <v>665</v>
      </c>
      <c r="B14">
        <v>100193</v>
      </c>
      <c r="C14" t="s">
        <v>486</v>
      </c>
      <c r="D14">
        <v>24</v>
      </c>
      <c r="E14">
        <v>1</v>
      </c>
    </row>
    <row r="15" spans="1:5" hidden="1" x14ac:dyDescent="0.25">
      <c r="A15" t="s">
        <v>665</v>
      </c>
      <c r="B15">
        <v>100202</v>
      </c>
      <c r="C15" t="s">
        <v>486</v>
      </c>
      <c r="D15">
        <v>24</v>
      </c>
      <c r="E15">
        <v>2</v>
      </c>
    </row>
    <row r="16" spans="1:5" hidden="1" x14ac:dyDescent="0.25">
      <c r="A16" t="s">
        <v>665</v>
      </c>
      <c r="B16">
        <v>100231</v>
      </c>
      <c r="C16" t="s">
        <v>486</v>
      </c>
      <c r="D16">
        <v>24</v>
      </c>
      <c r="E16">
        <v>3</v>
      </c>
    </row>
    <row r="17" spans="1:5" hidden="1" x14ac:dyDescent="0.25">
      <c r="A17" t="s">
        <v>666</v>
      </c>
      <c r="B17">
        <v>100204</v>
      </c>
      <c r="C17" t="s">
        <v>479</v>
      </c>
      <c r="D17">
        <v>48</v>
      </c>
      <c r="E17">
        <v>1</v>
      </c>
    </row>
    <row r="18" spans="1:5" hidden="1" x14ac:dyDescent="0.25">
      <c r="A18" t="s">
        <v>667</v>
      </c>
      <c r="B18">
        <v>100189</v>
      </c>
      <c r="C18" t="s">
        <v>479</v>
      </c>
      <c r="D18">
        <v>48</v>
      </c>
      <c r="E18">
        <v>1</v>
      </c>
    </row>
    <row r="19" spans="1:5" hidden="1" x14ac:dyDescent="0.25">
      <c r="A19" t="s">
        <v>667</v>
      </c>
      <c r="B19">
        <v>100222</v>
      </c>
      <c r="C19" t="s">
        <v>479</v>
      </c>
      <c r="D19">
        <v>48</v>
      </c>
      <c r="E19">
        <v>2</v>
      </c>
    </row>
    <row r="20" spans="1:5" hidden="1" x14ac:dyDescent="0.25">
      <c r="A20" t="s">
        <v>667</v>
      </c>
      <c r="B20">
        <v>100240</v>
      </c>
      <c r="C20" t="s">
        <v>479</v>
      </c>
      <c r="D20">
        <v>48</v>
      </c>
      <c r="E20">
        <v>3</v>
      </c>
    </row>
    <row r="21" spans="1:5" hidden="1" x14ac:dyDescent="0.25">
      <c r="A21" t="s">
        <v>668</v>
      </c>
      <c r="B21">
        <v>100986</v>
      </c>
      <c r="C21" t="s">
        <v>479</v>
      </c>
      <c r="D21">
        <v>48</v>
      </c>
      <c r="E21">
        <v>1</v>
      </c>
    </row>
    <row r="22" spans="1:5" hidden="1" x14ac:dyDescent="0.25">
      <c r="A22" t="s">
        <v>669</v>
      </c>
      <c r="B22">
        <v>100179</v>
      </c>
      <c r="C22" t="s">
        <v>479</v>
      </c>
      <c r="D22">
        <v>48</v>
      </c>
      <c r="E22">
        <v>1</v>
      </c>
    </row>
    <row r="23" spans="1:5" hidden="1" x14ac:dyDescent="0.25">
      <c r="A23" t="s">
        <v>670</v>
      </c>
      <c r="B23">
        <v>100158</v>
      </c>
      <c r="C23" t="s">
        <v>479</v>
      </c>
      <c r="D23">
        <v>24</v>
      </c>
      <c r="E23">
        <v>1</v>
      </c>
    </row>
    <row r="24" spans="1:5" hidden="1" x14ac:dyDescent="0.25">
      <c r="A24" t="s">
        <v>670</v>
      </c>
      <c r="B24">
        <v>100172</v>
      </c>
      <c r="C24" t="s">
        <v>479</v>
      </c>
      <c r="D24">
        <v>24</v>
      </c>
      <c r="E24">
        <v>2</v>
      </c>
    </row>
    <row r="25" spans="1:5" hidden="1" x14ac:dyDescent="0.25">
      <c r="A25" t="s">
        <v>671</v>
      </c>
      <c r="B25">
        <v>100220</v>
      </c>
      <c r="C25" t="s">
        <v>479</v>
      </c>
      <c r="D25">
        <v>24</v>
      </c>
      <c r="E25">
        <v>1</v>
      </c>
    </row>
    <row r="26" spans="1:5" hidden="1" x14ac:dyDescent="0.25">
      <c r="A26" t="s">
        <v>671</v>
      </c>
      <c r="B26">
        <v>100238</v>
      </c>
      <c r="C26" t="s">
        <v>479</v>
      </c>
      <c r="D26">
        <v>24</v>
      </c>
      <c r="E26">
        <v>2</v>
      </c>
    </row>
    <row r="27" spans="1:5" hidden="1" x14ac:dyDescent="0.25">
      <c r="A27" t="s">
        <v>672</v>
      </c>
      <c r="B27">
        <v>100165</v>
      </c>
      <c r="C27" t="s">
        <v>479</v>
      </c>
      <c r="D27">
        <v>12</v>
      </c>
      <c r="E27">
        <v>2</v>
      </c>
    </row>
    <row r="28" spans="1:5" hidden="1" x14ac:dyDescent="0.25">
      <c r="A28" t="s">
        <v>672</v>
      </c>
      <c r="B28">
        <v>100187</v>
      </c>
      <c r="C28" t="s">
        <v>479</v>
      </c>
      <c r="D28">
        <v>12</v>
      </c>
      <c r="E28">
        <v>1</v>
      </c>
    </row>
    <row r="29" spans="1:5" hidden="1" x14ac:dyDescent="0.25">
      <c r="A29" t="s">
        <v>673</v>
      </c>
      <c r="B29">
        <v>100976</v>
      </c>
      <c r="C29" t="s">
        <v>479</v>
      </c>
      <c r="D29">
        <v>12</v>
      </c>
      <c r="E29">
        <v>1</v>
      </c>
    </row>
    <row r="30" spans="1:5" hidden="1" x14ac:dyDescent="0.25">
      <c r="A30" t="s">
        <v>673</v>
      </c>
      <c r="B30">
        <v>100981</v>
      </c>
      <c r="C30" t="s">
        <v>479</v>
      </c>
      <c r="D30">
        <v>12</v>
      </c>
      <c r="E30">
        <v>2</v>
      </c>
    </row>
    <row r="31" spans="1:5" hidden="1" x14ac:dyDescent="0.25">
      <c r="A31" t="s">
        <v>674</v>
      </c>
      <c r="B31">
        <v>100225</v>
      </c>
      <c r="C31" t="s">
        <v>479</v>
      </c>
      <c r="D31">
        <v>12</v>
      </c>
      <c r="E31">
        <v>1</v>
      </c>
    </row>
    <row r="32" spans="1:5" hidden="1" x14ac:dyDescent="0.25">
      <c r="A32" t="s">
        <v>674</v>
      </c>
      <c r="B32">
        <v>100242</v>
      </c>
      <c r="C32" t="s">
        <v>479</v>
      </c>
      <c r="D32">
        <v>12</v>
      </c>
      <c r="E32">
        <v>2</v>
      </c>
    </row>
    <row r="33" spans="1:5" hidden="1" x14ac:dyDescent="0.25">
      <c r="A33" t="s">
        <v>675</v>
      </c>
      <c r="B33">
        <v>100176</v>
      </c>
      <c r="C33" t="s">
        <v>479</v>
      </c>
      <c r="D33">
        <v>12</v>
      </c>
      <c r="E33">
        <v>1</v>
      </c>
    </row>
    <row r="34" spans="1:5" hidden="1" x14ac:dyDescent="0.25">
      <c r="A34" t="s">
        <v>675</v>
      </c>
      <c r="B34">
        <v>100188</v>
      </c>
      <c r="C34" t="s">
        <v>479</v>
      </c>
      <c r="D34">
        <v>12</v>
      </c>
      <c r="E34">
        <v>2</v>
      </c>
    </row>
    <row r="35" spans="1:5" hidden="1" x14ac:dyDescent="0.25">
      <c r="A35" t="s">
        <v>676</v>
      </c>
      <c r="B35">
        <v>100221</v>
      </c>
      <c r="C35" t="s">
        <v>479</v>
      </c>
      <c r="D35">
        <v>12</v>
      </c>
      <c r="E35">
        <v>1</v>
      </c>
    </row>
    <row r="36" spans="1:5" hidden="1" x14ac:dyDescent="0.25">
      <c r="A36" t="s">
        <v>676</v>
      </c>
      <c r="B36">
        <v>100252</v>
      </c>
      <c r="C36" t="s">
        <v>479</v>
      </c>
      <c r="D36">
        <v>12</v>
      </c>
      <c r="E36">
        <v>2</v>
      </c>
    </row>
    <row r="37" spans="1:5" hidden="1" x14ac:dyDescent="0.25">
      <c r="A37" t="s">
        <v>676</v>
      </c>
      <c r="B37">
        <v>100239</v>
      </c>
      <c r="C37" t="s">
        <v>479</v>
      </c>
      <c r="D37">
        <v>12</v>
      </c>
      <c r="E37">
        <v>3</v>
      </c>
    </row>
    <row r="38" spans="1:5" hidden="1" x14ac:dyDescent="0.25">
      <c r="A38" t="s">
        <v>676</v>
      </c>
      <c r="B38">
        <v>100267</v>
      </c>
      <c r="C38" t="s">
        <v>479</v>
      </c>
      <c r="D38">
        <v>12</v>
      </c>
      <c r="E38">
        <v>4</v>
      </c>
    </row>
    <row r="39" spans="1:5" hidden="1" x14ac:dyDescent="0.25">
      <c r="A39" t="s">
        <v>677</v>
      </c>
      <c r="B39">
        <v>100181</v>
      </c>
      <c r="C39" t="s">
        <v>506</v>
      </c>
      <c r="D39">
        <v>1</v>
      </c>
      <c r="E39">
        <v>1</v>
      </c>
    </row>
    <row r="40" spans="1:5" hidden="1" x14ac:dyDescent="0.25">
      <c r="A40" t="s">
        <v>677</v>
      </c>
      <c r="B40">
        <v>100228</v>
      </c>
      <c r="C40" t="s">
        <v>506</v>
      </c>
      <c r="D40">
        <v>1</v>
      </c>
      <c r="E40">
        <v>2</v>
      </c>
    </row>
    <row r="41" spans="1:5" hidden="1" x14ac:dyDescent="0.25">
      <c r="A41" t="s">
        <v>678</v>
      </c>
      <c r="B41">
        <v>100161</v>
      </c>
      <c r="C41" t="s">
        <v>486</v>
      </c>
      <c r="D41">
        <v>48</v>
      </c>
      <c r="E41">
        <v>1</v>
      </c>
    </row>
    <row r="42" spans="1:5" hidden="1" x14ac:dyDescent="0.25">
      <c r="A42" t="s">
        <v>679</v>
      </c>
      <c r="B42">
        <v>100162</v>
      </c>
      <c r="C42" t="s">
        <v>486</v>
      </c>
      <c r="D42">
        <v>24</v>
      </c>
      <c r="E42">
        <v>1</v>
      </c>
    </row>
    <row r="43" spans="1:5" hidden="1" x14ac:dyDescent="0.25">
      <c r="A43" t="s">
        <v>679</v>
      </c>
      <c r="B43">
        <v>100236</v>
      </c>
      <c r="C43" t="s">
        <v>486</v>
      </c>
      <c r="D43">
        <v>24</v>
      </c>
      <c r="E43">
        <v>2</v>
      </c>
    </row>
    <row r="44" spans="1:5" hidden="1" x14ac:dyDescent="0.25">
      <c r="A44" t="s">
        <v>680</v>
      </c>
      <c r="B44">
        <v>100166</v>
      </c>
      <c r="C44" t="s">
        <v>486</v>
      </c>
      <c r="D44">
        <v>12</v>
      </c>
      <c r="E44">
        <v>1</v>
      </c>
    </row>
    <row r="45" spans="1:5" hidden="1" x14ac:dyDescent="0.25">
      <c r="A45" t="s">
        <v>681</v>
      </c>
      <c r="B45">
        <v>100163</v>
      </c>
      <c r="C45" t="s">
        <v>486</v>
      </c>
      <c r="D45">
        <v>12</v>
      </c>
      <c r="E45">
        <v>1</v>
      </c>
    </row>
    <row r="46" spans="1:5" hidden="1" x14ac:dyDescent="0.25">
      <c r="A46" t="s">
        <v>681</v>
      </c>
      <c r="B46">
        <v>100226</v>
      </c>
      <c r="C46" t="s">
        <v>486</v>
      </c>
      <c r="D46">
        <v>12</v>
      </c>
      <c r="E46">
        <v>2</v>
      </c>
    </row>
    <row r="47" spans="1:5" hidden="1" x14ac:dyDescent="0.25">
      <c r="A47" t="s">
        <v>682</v>
      </c>
      <c r="B47">
        <v>110013</v>
      </c>
      <c r="C47" t="s">
        <v>486</v>
      </c>
      <c r="D47">
        <v>12</v>
      </c>
      <c r="E47">
        <v>1</v>
      </c>
    </row>
    <row r="48" spans="1:5" hidden="1" x14ac:dyDescent="0.25">
      <c r="A48" t="s">
        <v>682</v>
      </c>
      <c r="B48">
        <v>110019</v>
      </c>
      <c r="C48" t="s">
        <v>486</v>
      </c>
      <c r="D48">
        <v>12</v>
      </c>
      <c r="E48">
        <v>2</v>
      </c>
    </row>
    <row r="49" spans="1:5" hidden="1" x14ac:dyDescent="0.25">
      <c r="A49" t="s">
        <v>683</v>
      </c>
      <c r="B49">
        <v>120011</v>
      </c>
      <c r="C49" t="s">
        <v>486</v>
      </c>
      <c r="D49">
        <v>24</v>
      </c>
      <c r="E49">
        <v>1</v>
      </c>
    </row>
    <row r="50" spans="1:5" hidden="1" x14ac:dyDescent="0.25">
      <c r="A50" t="s">
        <v>683</v>
      </c>
      <c r="B50">
        <v>120029</v>
      </c>
      <c r="C50" t="s">
        <v>486</v>
      </c>
      <c r="D50">
        <v>24</v>
      </c>
      <c r="E50">
        <v>2</v>
      </c>
    </row>
    <row r="51" spans="1:5" hidden="1" x14ac:dyDescent="0.25">
      <c r="A51" t="s">
        <v>683</v>
      </c>
      <c r="B51">
        <v>120041</v>
      </c>
      <c r="C51" t="s">
        <v>486</v>
      </c>
      <c r="D51">
        <v>24</v>
      </c>
      <c r="E51">
        <v>3</v>
      </c>
    </row>
    <row r="52" spans="1:5" hidden="1" x14ac:dyDescent="0.25">
      <c r="A52" t="s">
        <v>684</v>
      </c>
      <c r="B52">
        <v>120031</v>
      </c>
      <c r="C52" t="s">
        <v>486</v>
      </c>
      <c r="D52">
        <v>24</v>
      </c>
      <c r="E52">
        <v>1</v>
      </c>
    </row>
    <row r="53" spans="1:5" hidden="1" x14ac:dyDescent="0.25">
      <c r="A53" t="s">
        <v>684</v>
      </c>
      <c r="B53">
        <v>120033</v>
      </c>
      <c r="C53" t="s">
        <v>486</v>
      </c>
      <c r="D53">
        <v>24</v>
      </c>
      <c r="E53">
        <v>2</v>
      </c>
    </row>
    <row r="54" spans="1:5" hidden="1" x14ac:dyDescent="0.25">
      <c r="A54" t="s">
        <v>684</v>
      </c>
      <c r="B54">
        <v>120040</v>
      </c>
      <c r="C54" t="s">
        <v>486</v>
      </c>
      <c r="D54">
        <v>24</v>
      </c>
      <c r="E54">
        <v>3</v>
      </c>
    </row>
    <row r="55" spans="1:5" hidden="1" x14ac:dyDescent="0.25">
      <c r="A55" t="s">
        <v>685</v>
      </c>
      <c r="B55">
        <v>120030</v>
      </c>
      <c r="C55" t="s">
        <v>486</v>
      </c>
      <c r="D55">
        <v>48</v>
      </c>
      <c r="E55">
        <v>1</v>
      </c>
    </row>
    <row r="56" spans="1:5" hidden="1" x14ac:dyDescent="0.25">
      <c r="A56" t="s">
        <v>685</v>
      </c>
      <c r="B56">
        <v>120035</v>
      </c>
      <c r="C56" t="s">
        <v>486</v>
      </c>
      <c r="D56">
        <v>48</v>
      </c>
      <c r="E56">
        <v>2</v>
      </c>
    </row>
    <row r="57" spans="1:5" hidden="1" x14ac:dyDescent="0.25">
      <c r="A57" t="s">
        <v>686</v>
      </c>
      <c r="B57">
        <v>120032</v>
      </c>
      <c r="C57" t="s">
        <v>486</v>
      </c>
      <c r="D57">
        <v>24</v>
      </c>
      <c r="E57">
        <v>1</v>
      </c>
    </row>
    <row r="58" spans="1:5" hidden="1" x14ac:dyDescent="0.25">
      <c r="A58" t="s">
        <v>686</v>
      </c>
      <c r="B58">
        <v>120037</v>
      </c>
      <c r="C58" t="s">
        <v>486</v>
      </c>
      <c r="D58">
        <v>24</v>
      </c>
      <c r="E58">
        <v>2</v>
      </c>
    </row>
    <row r="59" spans="1:5" hidden="1" x14ac:dyDescent="0.25">
      <c r="A59" t="s">
        <v>687</v>
      </c>
      <c r="B59">
        <v>120034</v>
      </c>
      <c r="C59" t="s">
        <v>486</v>
      </c>
      <c r="D59">
        <v>24</v>
      </c>
      <c r="E59">
        <v>1</v>
      </c>
    </row>
    <row r="60" spans="1:5" hidden="1" x14ac:dyDescent="0.25">
      <c r="A60" t="s">
        <v>687</v>
      </c>
      <c r="B60">
        <v>120038</v>
      </c>
      <c r="C60" t="s">
        <v>486</v>
      </c>
      <c r="D60">
        <v>24</v>
      </c>
      <c r="E60">
        <v>2</v>
      </c>
    </row>
    <row r="61" spans="1:5" hidden="1" x14ac:dyDescent="0.25">
      <c r="A61" t="s">
        <v>688</v>
      </c>
      <c r="B61">
        <v>120028</v>
      </c>
      <c r="C61" t="s">
        <v>486</v>
      </c>
      <c r="D61">
        <v>24</v>
      </c>
      <c r="E61">
        <v>1</v>
      </c>
    </row>
    <row r="62" spans="1:5" hidden="1" x14ac:dyDescent="0.25">
      <c r="A62" t="s">
        <v>688</v>
      </c>
      <c r="B62">
        <v>120043</v>
      </c>
      <c r="C62" t="s">
        <v>486</v>
      </c>
      <c r="D62">
        <v>24</v>
      </c>
      <c r="E62">
        <v>2</v>
      </c>
    </row>
    <row r="63" spans="1:5" hidden="1" x14ac:dyDescent="0.25">
      <c r="A63" t="s">
        <v>689</v>
      </c>
      <c r="B63">
        <v>460166</v>
      </c>
      <c r="C63" t="s">
        <v>552</v>
      </c>
      <c r="D63">
        <v>48</v>
      </c>
      <c r="E63">
        <v>1</v>
      </c>
    </row>
    <row r="64" spans="1:5" hidden="1" x14ac:dyDescent="0.25">
      <c r="A64" t="s">
        <v>690</v>
      </c>
      <c r="B64">
        <v>460167</v>
      </c>
      <c r="C64" t="s">
        <v>552</v>
      </c>
      <c r="D64">
        <v>48</v>
      </c>
      <c r="E64">
        <v>1</v>
      </c>
    </row>
    <row r="65" spans="1:5" hidden="1" x14ac:dyDescent="0.25">
      <c r="A65" t="s">
        <v>691</v>
      </c>
      <c r="B65">
        <v>460168</v>
      </c>
      <c r="C65" t="s">
        <v>552</v>
      </c>
      <c r="D65">
        <v>48</v>
      </c>
      <c r="E65">
        <v>1</v>
      </c>
    </row>
    <row r="66" spans="1:5" hidden="1" x14ac:dyDescent="0.25">
      <c r="A66" t="s">
        <v>692</v>
      </c>
      <c r="B66">
        <v>460169</v>
      </c>
      <c r="C66" t="s">
        <v>552</v>
      </c>
      <c r="D66">
        <v>48</v>
      </c>
      <c r="E66">
        <v>1</v>
      </c>
    </row>
    <row r="67" spans="1:5" hidden="1" x14ac:dyDescent="0.25">
      <c r="A67" t="s">
        <v>693</v>
      </c>
      <c r="B67">
        <v>460170</v>
      </c>
      <c r="C67" t="s">
        <v>552</v>
      </c>
      <c r="D67">
        <v>48</v>
      </c>
      <c r="E67">
        <v>1</v>
      </c>
    </row>
    <row r="68" spans="1:5" hidden="1" x14ac:dyDescent="0.25">
      <c r="A68" t="s">
        <v>694</v>
      </c>
      <c r="B68">
        <v>460171</v>
      </c>
      <c r="C68" t="s">
        <v>552</v>
      </c>
      <c r="D68">
        <v>48</v>
      </c>
      <c r="E68">
        <v>1</v>
      </c>
    </row>
    <row r="69" spans="1:5" hidden="1" x14ac:dyDescent="0.25">
      <c r="A69" t="s">
        <v>695</v>
      </c>
      <c r="B69">
        <v>460172</v>
      </c>
      <c r="C69" t="s">
        <v>552</v>
      </c>
      <c r="D69">
        <v>48</v>
      </c>
      <c r="E69">
        <v>1</v>
      </c>
    </row>
    <row r="70" spans="1:5" hidden="1" x14ac:dyDescent="0.25">
      <c r="A70" t="s">
        <v>696</v>
      </c>
      <c r="B70">
        <v>460179</v>
      </c>
      <c r="C70" t="s">
        <v>552</v>
      </c>
      <c r="D70">
        <v>24</v>
      </c>
      <c r="E70">
        <v>1</v>
      </c>
    </row>
    <row r="71" spans="1:5" hidden="1" x14ac:dyDescent="0.25">
      <c r="A71" t="s">
        <v>697</v>
      </c>
      <c r="B71">
        <v>460056</v>
      </c>
      <c r="C71" t="s">
        <v>552</v>
      </c>
      <c r="D71">
        <v>24</v>
      </c>
      <c r="E71">
        <v>1</v>
      </c>
    </row>
    <row r="72" spans="1:5" hidden="1" x14ac:dyDescent="0.25">
      <c r="A72" t="s">
        <v>697</v>
      </c>
      <c r="B72">
        <v>460178</v>
      </c>
      <c r="C72" t="s">
        <v>552</v>
      </c>
      <c r="D72">
        <v>24</v>
      </c>
      <c r="E72">
        <v>2</v>
      </c>
    </row>
    <row r="73" spans="1:5" hidden="1" x14ac:dyDescent="0.25">
      <c r="A73" t="s">
        <v>698</v>
      </c>
      <c r="B73">
        <v>460918</v>
      </c>
      <c r="C73" t="s">
        <v>552</v>
      </c>
      <c r="D73">
        <v>24</v>
      </c>
      <c r="E73">
        <v>1</v>
      </c>
    </row>
    <row r="74" spans="1:5" hidden="1" x14ac:dyDescent="0.25">
      <c r="A74" t="s">
        <v>699</v>
      </c>
      <c r="B74">
        <v>460917</v>
      </c>
      <c r="C74" t="s">
        <v>561</v>
      </c>
      <c r="D74">
        <v>8</v>
      </c>
      <c r="E74">
        <v>1</v>
      </c>
    </row>
    <row r="75" spans="1:5" hidden="1" x14ac:dyDescent="0.25">
      <c r="A75" t="s">
        <v>699</v>
      </c>
      <c r="B75">
        <v>460921</v>
      </c>
      <c r="C75" t="s">
        <v>561</v>
      </c>
      <c r="D75">
        <v>8</v>
      </c>
      <c r="E75">
        <v>2</v>
      </c>
    </row>
    <row r="76" spans="1:5" hidden="1" x14ac:dyDescent="0.25">
      <c r="A76" t="s">
        <v>700</v>
      </c>
      <c r="B76">
        <v>460194</v>
      </c>
      <c r="C76" t="s">
        <v>552</v>
      </c>
      <c r="D76">
        <v>24</v>
      </c>
      <c r="E76">
        <v>1</v>
      </c>
    </row>
    <row r="77" spans="1:5" hidden="1" x14ac:dyDescent="0.25">
      <c r="A77" t="s">
        <v>701</v>
      </c>
      <c r="B77">
        <v>460195</v>
      </c>
      <c r="C77" t="s">
        <v>552</v>
      </c>
      <c r="D77">
        <v>24</v>
      </c>
      <c r="E77">
        <v>1</v>
      </c>
    </row>
    <row r="78" spans="1:5" hidden="1" x14ac:dyDescent="0.25">
      <c r="A78" t="s">
        <v>702</v>
      </c>
      <c r="B78">
        <v>460183</v>
      </c>
      <c r="C78" t="s">
        <v>552</v>
      </c>
      <c r="D78">
        <v>24</v>
      </c>
      <c r="E78">
        <v>1</v>
      </c>
    </row>
    <row r="79" spans="1:5" hidden="1" x14ac:dyDescent="0.25">
      <c r="A79" t="s">
        <v>702</v>
      </c>
      <c r="B79">
        <v>460174</v>
      </c>
      <c r="C79" t="s">
        <v>552</v>
      </c>
      <c r="D79">
        <v>24</v>
      </c>
      <c r="E79">
        <v>2</v>
      </c>
    </row>
    <row r="80" spans="1:5" hidden="1" x14ac:dyDescent="0.25">
      <c r="A80" t="s">
        <v>703</v>
      </c>
      <c r="B80">
        <v>460164</v>
      </c>
      <c r="C80" t="s">
        <v>552</v>
      </c>
      <c r="D80">
        <v>24</v>
      </c>
      <c r="E80">
        <v>1</v>
      </c>
    </row>
    <row r="81" spans="1:5" hidden="1" x14ac:dyDescent="0.25">
      <c r="A81" t="s">
        <v>703</v>
      </c>
      <c r="B81">
        <v>460190</v>
      </c>
      <c r="C81" t="s">
        <v>552</v>
      </c>
      <c r="D81">
        <v>24</v>
      </c>
      <c r="E81">
        <v>2</v>
      </c>
    </row>
    <row r="82" spans="1:5" hidden="1" x14ac:dyDescent="0.25">
      <c r="A82" t="s">
        <v>704</v>
      </c>
      <c r="B82">
        <v>460061</v>
      </c>
      <c r="C82" t="s">
        <v>552</v>
      </c>
      <c r="D82">
        <v>24</v>
      </c>
      <c r="E82">
        <v>1</v>
      </c>
    </row>
    <row r="83" spans="1:5" hidden="1" x14ac:dyDescent="0.25">
      <c r="A83" t="s">
        <v>704</v>
      </c>
      <c r="B83">
        <v>460188</v>
      </c>
      <c r="C83" t="s">
        <v>552</v>
      </c>
      <c r="D83">
        <v>24</v>
      </c>
      <c r="E83">
        <v>2</v>
      </c>
    </row>
    <row r="84" spans="1:5" hidden="1" x14ac:dyDescent="0.25">
      <c r="A84" t="s">
        <v>705</v>
      </c>
      <c r="B84">
        <v>460192</v>
      </c>
      <c r="C84" t="s">
        <v>552</v>
      </c>
      <c r="D84">
        <v>24</v>
      </c>
      <c r="E84">
        <v>1</v>
      </c>
    </row>
    <row r="85" spans="1:5" hidden="1" x14ac:dyDescent="0.25">
      <c r="A85" t="s">
        <v>706</v>
      </c>
      <c r="B85">
        <v>460060</v>
      </c>
      <c r="C85" t="s">
        <v>552</v>
      </c>
      <c r="D85">
        <v>24</v>
      </c>
      <c r="E85">
        <v>1</v>
      </c>
    </row>
    <row r="86" spans="1:5" hidden="1" x14ac:dyDescent="0.25">
      <c r="A86" t="s">
        <v>706</v>
      </c>
      <c r="B86">
        <v>460187</v>
      </c>
      <c r="C86" t="s">
        <v>552</v>
      </c>
      <c r="D86">
        <v>24</v>
      </c>
      <c r="E86">
        <v>2</v>
      </c>
    </row>
    <row r="87" spans="1:5" hidden="1" x14ac:dyDescent="0.25">
      <c r="A87" t="s">
        <v>707</v>
      </c>
      <c r="B87">
        <v>460054</v>
      </c>
      <c r="C87" t="s">
        <v>552</v>
      </c>
      <c r="D87">
        <v>24</v>
      </c>
      <c r="E87">
        <v>1</v>
      </c>
    </row>
    <row r="88" spans="1:5" hidden="1" x14ac:dyDescent="0.25">
      <c r="A88" t="s">
        <v>707</v>
      </c>
      <c r="B88">
        <v>460185</v>
      </c>
      <c r="C88" t="s">
        <v>552</v>
      </c>
      <c r="D88">
        <v>24</v>
      </c>
      <c r="E88">
        <v>2</v>
      </c>
    </row>
    <row r="89" spans="1:5" hidden="1" x14ac:dyDescent="0.25">
      <c r="A89" t="s">
        <v>708</v>
      </c>
      <c r="B89">
        <v>460055</v>
      </c>
      <c r="C89" t="s">
        <v>552</v>
      </c>
      <c r="D89">
        <v>24</v>
      </c>
      <c r="E89">
        <v>1</v>
      </c>
    </row>
    <row r="90" spans="1:5" hidden="1" x14ac:dyDescent="0.25">
      <c r="A90" t="s">
        <v>708</v>
      </c>
      <c r="B90">
        <v>460186</v>
      </c>
      <c r="C90" t="s">
        <v>552</v>
      </c>
      <c r="D90">
        <v>24</v>
      </c>
      <c r="E90">
        <v>2</v>
      </c>
    </row>
    <row r="91" spans="1:5" hidden="1" x14ac:dyDescent="0.25">
      <c r="A91" t="s">
        <v>709</v>
      </c>
      <c r="B91">
        <v>410066</v>
      </c>
      <c r="C91" t="s">
        <v>486</v>
      </c>
      <c r="D91">
        <v>12</v>
      </c>
      <c r="E91">
        <v>1</v>
      </c>
    </row>
    <row r="92" spans="1:5" hidden="1" x14ac:dyDescent="0.25">
      <c r="A92" t="s">
        <v>709</v>
      </c>
      <c r="B92">
        <v>410072</v>
      </c>
      <c r="C92" t="s">
        <v>486</v>
      </c>
      <c r="D92">
        <v>12</v>
      </c>
      <c r="E92">
        <v>2</v>
      </c>
    </row>
    <row r="93" spans="1:5" hidden="1" x14ac:dyDescent="0.25">
      <c r="A93" t="s">
        <v>709</v>
      </c>
      <c r="B93">
        <v>410075</v>
      </c>
      <c r="C93" t="s">
        <v>486</v>
      </c>
      <c r="D93">
        <v>12</v>
      </c>
      <c r="E93">
        <v>2</v>
      </c>
    </row>
    <row r="94" spans="1:5" hidden="1" x14ac:dyDescent="0.25">
      <c r="A94" t="s">
        <v>710</v>
      </c>
      <c r="B94">
        <v>410068</v>
      </c>
      <c r="C94" t="s">
        <v>486</v>
      </c>
      <c r="D94">
        <v>12</v>
      </c>
      <c r="E94">
        <v>1</v>
      </c>
    </row>
    <row r="95" spans="1:5" hidden="1" x14ac:dyDescent="0.25">
      <c r="A95" t="s">
        <v>710</v>
      </c>
      <c r="B95">
        <v>410073</v>
      </c>
      <c r="C95" t="s">
        <v>486</v>
      </c>
      <c r="D95">
        <v>12</v>
      </c>
      <c r="E95">
        <v>2</v>
      </c>
    </row>
    <row r="96" spans="1:5" hidden="1" x14ac:dyDescent="0.25">
      <c r="A96" t="s">
        <v>711</v>
      </c>
      <c r="B96">
        <v>400129</v>
      </c>
      <c r="C96" t="s">
        <v>486</v>
      </c>
      <c r="D96">
        <v>12</v>
      </c>
      <c r="E96">
        <v>1</v>
      </c>
    </row>
    <row r="97" spans="1:5" hidden="1" x14ac:dyDescent="0.25">
      <c r="A97" t="s">
        <v>711</v>
      </c>
      <c r="B97">
        <v>400135</v>
      </c>
      <c r="C97" t="s">
        <v>486</v>
      </c>
      <c r="D97">
        <v>12</v>
      </c>
      <c r="E97">
        <v>2</v>
      </c>
    </row>
    <row r="98" spans="1:5" hidden="1" x14ac:dyDescent="0.25">
      <c r="A98" t="s">
        <v>712</v>
      </c>
      <c r="B98">
        <v>400132</v>
      </c>
      <c r="C98" t="s">
        <v>486</v>
      </c>
      <c r="D98">
        <v>12</v>
      </c>
      <c r="E98">
        <v>1</v>
      </c>
    </row>
    <row r="99" spans="1:5" hidden="1" x14ac:dyDescent="0.25">
      <c r="A99" t="s">
        <v>712</v>
      </c>
      <c r="B99">
        <v>400138</v>
      </c>
      <c r="C99" t="s">
        <v>486</v>
      </c>
      <c r="D99">
        <v>12</v>
      </c>
      <c r="E99">
        <v>2</v>
      </c>
    </row>
    <row r="100" spans="1:5" hidden="1" x14ac:dyDescent="0.25">
      <c r="A100" t="s">
        <v>713</v>
      </c>
      <c r="B100">
        <v>400133</v>
      </c>
      <c r="C100" t="s">
        <v>486</v>
      </c>
      <c r="D100">
        <v>12</v>
      </c>
      <c r="E100">
        <v>1</v>
      </c>
    </row>
    <row r="101" spans="1:5" hidden="1" x14ac:dyDescent="0.25">
      <c r="A101" t="s">
        <v>713</v>
      </c>
      <c r="B101">
        <v>400139</v>
      </c>
      <c r="C101" t="s">
        <v>486</v>
      </c>
      <c r="D101">
        <v>12</v>
      </c>
      <c r="E101">
        <v>2</v>
      </c>
    </row>
    <row r="102" spans="1:5" hidden="1" x14ac:dyDescent="0.25">
      <c r="A102" t="s">
        <v>714</v>
      </c>
      <c r="B102">
        <v>400131</v>
      </c>
      <c r="C102" t="s">
        <v>486</v>
      </c>
      <c r="D102">
        <v>12</v>
      </c>
      <c r="E102">
        <v>1</v>
      </c>
    </row>
    <row r="103" spans="1:5" hidden="1" x14ac:dyDescent="0.25">
      <c r="A103" t="s">
        <v>714</v>
      </c>
      <c r="B103">
        <v>400137</v>
      </c>
      <c r="C103" t="s">
        <v>486</v>
      </c>
      <c r="D103">
        <v>12</v>
      </c>
      <c r="E103">
        <v>2</v>
      </c>
    </row>
    <row r="104" spans="1:5" hidden="1" x14ac:dyDescent="0.25">
      <c r="A104" t="s">
        <v>715</v>
      </c>
      <c r="B104">
        <v>400130</v>
      </c>
      <c r="C104" t="s">
        <v>486</v>
      </c>
      <c r="D104">
        <v>12</v>
      </c>
      <c r="E104">
        <v>1</v>
      </c>
    </row>
    <row r="105" spans="1:5" hidden="1" x14ac:dyDescent="0.25">
      <c r="A105" t="s">
        <v>715</v>
      </c>
      <c r="B105">
        <v>400136</v>
      </c>
      <c r="C105" t="s">
        <v>486</v>
      </c>
      <c r="D105">
        <v>12</v>
      </c>
      <c r="E105">
        <v>2</v>
      </c>
    </row>
    <row r="106" spans="1:5" hidden="1" x14ac:dyDescent="0.25">
      <c r="A106" t="s">
        <v>716</v>
      </c>
      <c r="B106">
        <v>400134</v>
      </c>
      <c r="C106" t="s">
        <v>486</v>
      </c>
      <c r="D106">
        <v>12</v>
      </c>
      <c r="E106">
        <v>1</v>
      </c>
    </row>
    <row r="107" spans="1:5" hidden="1" x14ac:dyDescent="0.25">
      <c r="A107" t="s">
        <v>716</v>
      </c>
      <c r="B107">
        <v>400140</v>
      </c>
      <c r="C107" t="s">
        <v>486</v>
      </c>
      <c r="D107">
        <v>12</v>
      </c>
      <c r="E107">
        <v>2</v>
      </c>
    </row>
    <row r="108" spans="1:5" hidden="1" x14ac:dyDescent="0.25">
      <c r="A108" t="s">
        <v>717</v>
      </c>
      <c r="B108">
        <v>612045</v>
      </c>
      <c r="C108" t="s">
        <v>206</v>
      </c>
      <c r="D108">
        <v>60</v>
      </c>
      <c r="E108">
        <v>1</v>
      </c>
    </row>
    <row r="109" spans="1:5" hidden="1" x14ac:dyDescent="0.25">
      <c r="A109" t="s">
        <v>718</v>
      </c>
      <c r="B109">
        <v>612953</v>
      </c>
      <c r="C109" t="s">
        <v>206</v>
      </c>
      <c r="D109">
        <v>30</v>
      </c>
      <c r="E109">
        <v>1</v>
      </c>
    </row>
    <row r="110" spans="1:5" hidden="1" x14ac:dyDescent="0.25">
      <c r="A110" t="s">
        <v>719</v>
      </c>
      <c r="B110">
        <v>612042</v>
      </c>
      <c r="C110" t="s">
        <v>206</v>
      </c>
      <c r="D110">
        <v>24</v>
      </c>
      <c r="E110">
        <v>1</v>
      </c>
    </row>
    <row r="111" spans="1:5" hidden="1" x14ac:dyDescent="0.25">
      <c r="A111" t="s">
        <v>719</v>
      </c>
      <c r="B111">
        <v>612149</v>
      </c>
      <c r="C111" t="s">
        <v>206</v>
      </c>
      <c r="D111">
        <v>24</v>
      </c>
    </row>
    <row r="112" spans="1:5" hidden="1" x14ac:dyDescent="0.25">
      <c r="A112" t="s">
        <v>720</v>
      </c>
      <c r="B112">
        <v>612046</v>
      </c>
      <c r="C112" t="s">
        <v>206</v>
      </c>
      <c r="D112">
        <v>60</v>
      </c>
      <c r="E112">
        <v>1</v>
      </c>
    </row>
    <row r="113" spans="1:5" hidden="1" x14ac:dyDescent="0.25">
      <c r="A113" t="s">
        <v>721</v>
      </c>
      <c r="B113">
        <v>612043</v>
      </c>
      <c r="C113" t="s">
        <v>206</v>
      </c>
      <c r="D113">
        <v>24</v>
      </c>
      <c r="E113">
        <v>1</v>
      </c>
    </row>
    <row r="114" spans="1:5" hidden="1" x14ac:dyDescent="0.25">
      <c r="A114" t="s">
        <v>721</v>
      </c>
      <c r="B114">
        <v>612150</v>
      </c>
      <c r="C114" t="s">
        <v>206</v>
      </c>
      <c r="D114">
        <v>24</v>
      </c>
      <c r="E114">
        <v>1</v>
      </c>
    </row>
    <row r="115" spans="1:5" hidden="1" x14ac:dyDescent="0.25">
      <c r="A115" t="s">
        <v>722</v>
      </c>
      <c r="B115">
        <v>612141</v>
      </c>
      <c r="C115" t="s">
        <v>206</v>
      </c>
      <c r="D115">
        <v>24</v>
      </c>
      <c r="E115">
        <v>1</v>
      </c>
    </row>
    <row r="116" spans="1:5" hidden="1" x14ac:dyDescent="0.25">
      <c r="A116" t="s">
        <v>722</v>
      </c>
      <c r="B116">
        <v>612148</v>
      </c>
      <c r="C116" t="s">
        <v>206</v>
      </c>
      <c r="D116">
        <v>24</v>
      </c>
      <c r="E116">
        <v>2</v>
      </c>
    </row>
    <row r="117" spans="1:5" hidden="1" x14ac:dyDescent="0.25">
      <c r="A117" t="s">
        <v>722</v>
      </c>
      <c r="B117">
        <v>612155</v>
      </c>
      <c r="C117" t="s">
        <v>206</v>
      </c>
      <c r="D117">
        <v>24</v>
      </c>
      <c r="E117">
        <v>3</v>
      </c>
    </row>
    <row r="118" spans="1:5" hidden="1" x14ac:dyDescent="0.25">
      <c r="A118" t="s">
        <v>723</v>
      </c>
      <c r="B118">
        <v>612047</v>
      </c>
      <c r="C118" t="s">
        <v>206</v>
      </c>
      <c r="D118">
        <v>60</v>
      </c>
      <c r="E118">
        <v>1</v>
      </c>
    </row>
    <row r="119" spans="1:5" hidden="1" x14ac:dyDescent="0.25">
      <c r="A119" t="s">
        <v>723</v>
      </c>
      <c r="B119">
        <v>612154</v>
      </c>
      <c r="C119" t="s">
        <v>206</v>
      </c>
      <c r="D119">
        <v>60</v>
      </c>
      <c r="E119">
        <v>2</v>
      </c>
    </row>
    <row r="120" spans="1:5" hidden="1" x14ac:dyDescent="0.25">
      <c r="A120" t="s">
        <v>724</v>
      </c>
      <c r="B120">
        <v>612044</v>
      </c>
      <c r="C120" t="s">
        <v>206</v>
      </c>
      <c r="D120">
        <v>24</v>
      </c>
      <c r="E120">
        <v>1</v>
      </c>
    </row>
    <row r="121" spans="1:5" hidden="1" x14ac:dyDescent="0.25">
      <c r="A121" t="s">
        <v>724</v>
      </c>
      <c r="B121">
        <v>612151</v>
      </c>
      <c r="C121" t="s">
        <v>206</v>
      </c>
      <c r="D121">
        <v>24</v>
      </c>
      <c r="E121">
        <v>2</v>
      </c>
    </row>
    <row r="122" spans="1:5" hidden="1" x14ac:dyDescent="0.25">
      <c r="A122" t="s">
        <v>725</v>
      </c>
      <c r="B122">
        <v>612134</v>
      </c>
      <c r="C122" t="s">
        <v>206</v>
      </c>
      <c r="D122">
        <v>60</v>
      </c>
      <c r="E122">
        <v>1</v>
      </c>
    </row>
    <row r="123" spans="1:5" hidden="1" x14ac:dyDescent="0.25">
      <c r="A123" t="s">
        <v>726</v>
      </c>
      <c r="B123">
        <v>612091</v>
      </c>
      <c r="C123" t="s">
        <v>206</v>
      </c>
      <c r="D123">
        <v>24</v>
      </c>
      <c r="E123">
        <v>1</v>
      </c>
    </row>
    <row r="124" spans="1:5" hidden="1" x14ac:dyDescent="0.25">
      <c r="A124" t="s">
        <v>727</v>
      </c>
      <c r="B124">
        <v>612958</v>
      </c>
      <c r="C124" t="s">
        <v>206</v>
      </c>
      <c r="D124">
        <v>60</v>
      </c>
      <c r="E124">
        <v>1</v>
      </c>
    </row>
    <row r="125" spans="1:5" hidden="1" x14ac:dyDescent="0.25">
      <c r="A125" t="s">
        <v>728</v>
      </c>
      <c r="B125">
        <v>190047</v>
      </c>
      <c r="C125" t="s">
        <v>486</v>
      </c>
      <c r="D125">
        <v>24</v>
      </c>
      <c r="E125">
        <v>1</v>
      </c>
    </row>
    <row r="126" spans="1:5" hidden="1" x14ac:dyDescent="0.25">
      <c r="A126" t="s">
        <v>728</v>
      </c>
      <c r="B126">
        <v>190057</v>
      </c>
      <c r="C126" t="s">
        <v>486</v>
      </c>
      <c r="D126">
        <v>24</v>
      </c>
      <c r="E126">
        <v>2</v>
      </c>
    </row>
    <row r="127" spans="1:5" hidden="1" x14ac:dyDescent="0.25">
      <c r="A127" t="s">
        <v>729</v>
      </c>
      <c r="B127">
        <v>190039</v>
      </c>
      <c r="C127" t="s">
        <v>479</v>
      </c>
      <c r="D127">
        <v>48</v>
      </c>
      <c r="E127">
        <v>1</v>
      </c>
    </row>
    <row r="128" spans="1:5" hidden="1" x14ac:dyDescent="0.25">
      <c r="A128" t="s">
        <v>730</v>
      </c>
      <c r="B128">
        <v>190034</v>
      </c>
      <c r="C128" t="s">
        <v>591</v>
      </c>
      <c r="D128">
        <v>21</v>
      </c>
      <c r="E128">
        <v>1</v>
      </c>
    </row>
    <row r="129" spans="1:5" hidden="1" x14ac:dyDescent="0.25">
      <c r="A129" t="s">
        <v>730</v>
      </c>
      <c r="B129">
        <v>190050</v>
      </c>
      <c r="C129" t="s">
        <v>591</v>
      </c>
      <c r="D129">
        <v>21</v>
      </c>
      <c r="E129">
        <v>2</v>
      </c>
    </row>
    <row r="130" spans="1:5" hidden="1" x14ac:dyDescent="0.25">
      <c r="A130" t="s">
        <v>730</v>
      </c>
      <c r="B130">
        <v>190065</v>
      </c>
      <c r="C130" t="s">
        <v>591</v>
      </c>
      <c r="D130">
        <v>21</v>
      </c>
      <c r="E130">
        <v>3</v>
      </c>
    </row>
    <row r="131" spans="1:5" hidden="1" x14ac:dyDescent="0.25">
      <c r="A131" t="s">
        <v>731</v>
      </c>
      <c r="B131">
        <v>190040</v>
      </c>
      <c r="C131" t="s">
        <v>486</v>
      </c>
      <c r="D131">
        <v>48</v>
      </c>
      <c r="E131">
        <v>1</v>
      </c>
    </row>
    <row r="132" spans="1:5" hidden="1" x14ac:dyDescent="0.25">
      <c r="A132" t="s">
        <v>731</v>
      </c>
      <c r="B132">
        <v>190067</v>
      </c>
      <c r="C132" t="s">
        <v>486</v>
      </c>
      <c r="D132">
        <v>48</v>
      </c>
      <c r="E132">
        <v>2</v>
      </c>
    </row>
    <row r="133" spans="1:5" hidden="1" x14ac:dyDescent="0.25">
      <c r="A133" t="s">
        <v>732</v>
      </c>
      <c r="B133">
        <v>190041</v>
      </c>
      <c r="C133" t="s">
        <v>486</v>
      </c>
      <c r="D133">
        <v>24</v>
      </c>
      <c r="E133">
        <v>1</v>
      </c>
    </row>
    <row r="134" spans="1:5" hidden="1" x14ac:dyDescent="0.25">
      <c r="A134" t="s">
        <v>732</v>
      </c>
      <c r="B134">
        <v>190068</v>
      </c>
      <c r="C134" t="s">
        <v>486</v>
      </c>
      <c r="D134">
        <v>24</v>
      </c>
      <c r="E134">
        <v>2</v>
      </c>
    </row>
    <row r="135" spans="1:5" hidden="1" x14ac:dyDescent="0.25">
      <c r="A135" t="s">
        <v>733</v>
      </c>
      <c r="B135">
        <v>190031</v>
      </c>
      <c r="C135" t="s">
        <v>486</v>
      </c>
      <c r="D135">
        <v>24</v>
      </c>
      <c r="E135">
        <v>1</v>
      </c>
    </row>
    <row r="136" spans="1:5" hidden="1" x14ac:dyDescent="0.25">
      <c r="A136" t="s">
        <v>733</v>
      </c>
      <c r="B136">
        <v>190066</v>
      </c>
      <c r="C136" t="s">
        <v>486</v>
      </c>
      <c r="D136">
        <v>24</v>
      </c>
      <c r="E136">
        <v>2</v>
      </c>
    </row>
    <row r="137" spans="1:5" hidden="1" x14ac:dyDescent="0.25">
      <c r="A137" t="s">
        <v>734</v>
      </c>
      <c r="B137">
        <v>150190</v>
      </c>
      <c r="C137" t="s">
        <v>627</v>
      </c>
      <c r="D137">
        <v>21</v>
      </c>
      <c r="E137">
        <v>1</v>
      </c>
    </row>
    <row r="138" spans="1:5" hidden="1" x14ac:dyDescent="0.25">
      <c r="A138" t="s">
        <v>735</v>
      </c>
      <c r="B138">
        <v>150189</v>
      </c>
      <c r="C138" t="s">
        <v>552</v>
      </c>
      <c r="D138">
        <v>6</v>
      </c>
      <c r="E138">
        <v>1</v>
      </c>
    </row>
    <row r="139" spans="1:5" hidden="1" x14ac:dyDescent="0.25">
      <c r="A139" t="s">
        <v>735</v>
      </c>
      <c r="B139">
        <v>150209</v>
      </c>
      <c r="C139" t="s">
        <v>552</v>
      </c>
      <c r="D139">
        <v>6</v>
      </c>
      <c r="E139">
        <v>2</v>
      </c>
    </row>
    <row r="140" spans="1:5" hidden="1" x14ac:dyDescent="0.25">
      <c r="A140" t="s">
        <v>736</v>
      </c>
      <c r="B140">
        <v>150194</v>
      </c>
      <c r="C140" t="s">
        <v>605</v>
      </c>
      <c r="D140">
        <v>10</v>
      </c>
      <c r="E140">
        <v>2</v>
      </c>
    </row>
    <row r="141" spans="1:5" hidden="1" x14ac:dyDescent="0.25">
      <c r="A141" t="s">
        <v>736</v>
      </c>
      <c r="B141">
        <v>612096</v>
      </c>
      <c r="C141" t="s">
        <v>605</v>
      </c>
      <c r="D141">
        <v>10</v>
      </c>
      <c r="E141">
        <v>1</v>
      </c>
    </row>
    <row r="142" spans="1:5" hidden="1" x14ac:dyDescent="0.25">
      <c r="A142" t="s">
        <v>736</v>
      </c>
      <c r="B142">
        <v>150365</v>
      </c>
      <c r="C142" t="s">
        <v>605</v>
      </c>
      <c r="D142">
        <v>10</v>
      </c>
      <c r="E142">
        <v>3</v>
      </c>
    </row>
    <row r="143" spans="1:5" hidden="1" x14ac:dyDescent="0.25">
      <c r="A143" t="s">
        <v>737</v>
      </c>
      <c r="B143">
        <v>150960</v>
      </c>
      <c r="C143" t="s">
        <v>605</v>
      </c>
      <c r="D143">
        <v>10</v>
      </c>
      <c r="E143">
        <v>1</v>
      </c>
    </row>
    <row r="144" spans="1:5" hidden="1" x14ac:dyDescent="0.25">
      <c r="A144" t="s">
        <v>737</v>
      </c>
      <c r="B144">
        <v>150971</v>
      </c>
      <c r="C144" t="s">
        <v>605</v>
      </c>
      <c r="D144">
        <v>10</v>
      </c>
      <c r="E144">
        <v>2</v>
      </c>
    </row>
    <row r="145" spans="1:5" hidden="1" x14ac:dyDescent="0.25">
      <c r="A145" t="s">
        <v>738</v>
      </c>
      <c r="B145">
        <v>150193</v>
      </c>
      <c r="C145" t="s">
        <v>479</v>
      </c>
      <c r="D145">
        <v>24</v>
      </c>
      <c r="E145">
        <v>1</v>
      </c>
    </row>
    <row r="146" spans="1:5" hidden="1" x14ac:dyDescent="0.25">
      <c r="A146" t="s">
        <v>738</v>
      </c>
      <c r="B146">
        <v>150360</v>
      </c>
      <c r="C146" t="s">
        <v>479</v>
      </c>
      <c r="D146">
        <v>24</v>
      </c>
      <c r="E146">
        <v>2</v>
      </c>
    </row>
    <row r="147" spans="1:5" hidden="1" x14ac:dyDescent="0.25">
      <c r="A147" t="s">
        <v>739</v>
      </c>
      <c r="B147">
        <v>150961</v>
      </c>
      <c r="C147" t="s">
        <v>479</v>
      </c>
      <c r="D147">
        <v>12</v>
      </c>
      <c r="E147">
        <v>1</v>
      </c>
    </row>
    <row r="148" spans="1:5" hidden="1" x14ac:dyDescent="0.25">
      <c r="A148" t="s">
        <v>740</v>
      </c>
      <c r="B148">
        <v>150319</v>
      </c>
      <c r="C148" t="s">
        <v>479</v>
      </c>
      <c r="D148">
        <v>48</v>
      </c>
      <c r="E148">
        <v>1</v>
      </c>
    </row>
    <row r="149" spans="1:5" hidden="1" x14ac:dyDescent="0.25">
      <c r="A149" t="s">
        <v>740</v>
      </c>
      <c r="B149">
        <v>150375</v>
      </c>
      <c r="C149" t="s">
        <v>479</v>
      </c>
      <c r="D149">
        <v>48</v>
      </c>
      <c r="E149">
        <v>2</v>
      </c>
    </row>
    <row r="150" spans="1:5" hidden="1" x14ac:dyDescent="0.25">
      <c r="A150" t="s">
        <v>741</v>
      </c>
      <c r="B150">
        <v>612095</v>
      </c>
      <c r="C150" t="s">
        <v>486</v>
      </c>
      <c r="D150">
        <v>24</v>
      </c>
      <c r="E150">
        <v>1</v>
      </c>
    </row>
    <row r="151" spans="1:5" hidden="1" x14ac:dyDescent="0.25">
      <c r="A151" t="s">
        <v>742</v>
      </c>
      <c r="B151">
        <v>150978</v>
      </c>
      <c r="C151" t="s">
        <v>605</v>
      </c>
      <c r="D151">
        <v>10</v>
      </c>
      <c r="E151">
        <v>2</v>
      </c>
    </row>
    <row r="152" spans="1:5" hidden="1" x14ac:dyDescent="0.25">
      <c r="A152" t="s">
        <v>742</v>
      </c>
      <c r="B152">
        <v>612954</v>
      </c>
      <c r="C152" t="s">
        <v>605</v>
      </c>
      <c r="D152">
        <v>10</v>
      </c>
      <c r="E152">
        <v>1</v>
      </c>
    </row>
    <row r="153" spans="1:5" hidden="1" x14ac:dyDescent="0.25">
      <c r="A153" t="s">
        <v>743</v>
      </c>
      <c r="B153">
        <v>150196</v>
      </c>
      <c r="C153" t="s">
        <v>605</v>
      </c>
      <c r="D153">
        <v>10</v>
      </c>
      <c r="E153">
        <v>2</v>
      </c>
    </row>
    <row r="154" spans="1:5" hidden="1" x14ac:dyDescent="0.25">
      <c r="A154" t="s">
        <v>743</v>
      </c>
      <c r="B154">
        <v>612098</v>
      </c>
      <c r="C154" t="s">
        <v>605</v>
      </c>
      <c r="D154">
        <v>10</v>
      </c>
      <c r="E154">
        <v>1</v>
      </c>
    </row>
    <row r="155" spans="1:5" hidden="1" x14ac:dyDescent="0.25">
      <c r="A155" t="s">
        <v>744</v>
      </c>
      <c r="B155">
        <v>612955</v>
      </c>
      <c r="C155" t="s">
        <v>605</v>
      </c>
      <c r="D155">
        <v>10</v>
      </c>
      <c r="E155">
        <v>1</v>
      </c>
    </row>
    <row r="156" spans="1:5" hidden="1" x14ac:dyDescent="0.25">
      <c r="A156" t="s">
        <v>745</v>
      </c>
      <c r="B156">
        <v>612128</v>
      </c>
      <c r="C156" t="s">
        <v>605</v>
      </c>
      <c r="D156">
        <v>10</v>
      </c>
      <c r="E156">
        <v>1</v>
      </c>
    </row>
    <row r="157" spans="1:5" hidden="1" x14ac:dyDescent="0.25">
      <c r="A157" t="s">
        <v>746</v>
      </c>
      <c r="B157">
        <v>612957</v>
      </c>
      <c r="C157" t="s">
        <v>605</v>
      </c>
      <c r="D157">
        <v>10</v>
      </c>
      <c r="E157">
        <v>1</v>
      </c>
    </row>
    <row r="158" spans="1:5" hidden="1" x14ac:dyDescent="0.25">
      <c r="A158" t="s">
        <v>747</v>
      </c>
      <c r="B158">
        <v>150202</v>
      </c>
      <c r="C158" t="s">
        <v>605</v>
      </c>
      <c r="D158">
        <v>10</v>
      </c>
      <c r="E158">
        <v>2</v>
      </c>
    </row>
    <row r="159" spans="1:5" hidden="1" x14ac:dyDescent="0.25">
      <c r="A159" t="s">
        <v>747</v>
      </c>
      <c r="B159">
        <v>612130</v>
      </c>
      <c r="C159" t="s">
        <v>605</v>
      </c>
      <c r="D159">
        <v>10</v>
      </c>
      <c r="E159">
        <v>1</v>
      </c>
    </row>
    <row r="160" spans="1:5" hidden="1" x14ac:dyDescent="0.25">
      <c r="A160" t="s">
        <v>748</v>
      </c>
      <c r="B160">
        <v>612956</v>
      </c>
      <c r="C160" t="s">
        <v>605</v>
      </c>
      <c r="D160">
        <v>10</v>
      </c>
      <c r="E160">
        <v>1</v>
      </c>
    </row>
    <row r="161" spans="1:5" hidden="1" x14ac:dyDescent="0.25">
      <c r="A161" t="s">
        <v>749</v>
      </c>
      <c r="B161">
        <v>612100</v>
      </c>
      <c r="C161" t="s">
        <v>605</v>
      </c>
      <c r="D161">
        <v>10</v>
      </c>
      <c r="E161">
        <v>1</v>
      </c>
    </row>
    <row r="162" spans="1:5" hidden="1" x14ac:dyDescent="0.25">
      <c r="A162" t="s">
        <v>750</v>
      </c>
      <c r="B162">
        <v>100234</v>
      </c>
      <c r="C162" t="s">
        <v>486</v>
      </c>
      <c r="D162">
        <v>48</v>
      </c>
      <c r="E162">
        <v>1</v>
      </c>
    </row>
    <row r="163" spans="1:5" hidden="1" x14ac:dyDescent="0.25">
      <c r="A163" t="s">
        <v>751</v>
      </c>
      <c r="B163">
        <v>100991</v>
      </c>
      <c r="C163" t="s">
        <v>479</v>
      </c>
      <c r="D163">
        <v>12</v>
      </c>
      <c r="E163">
        <v>1</v>
      </c>
    </row>
    <row r="164" spans="1:5" hidden="1" x14ac:dyDescent="0.25">
      <c r="A164" t="s">
        <v>751</v>
      </c>
      <c r="B164">
        <v>109002</v>
      </c>
      <c r="C164" t="s">
        <v>479</v>
      </c>
      <c r="D164">
        <v>12</v>
      </c>
      <c r="E164">
        <v>2</v>
      </c>
    </row>
    <row r="165" spans="1:5" hidden="1" x14ac:dyDescent="0.25">
      <c r="A165" t="s">
        <v>751</v>
      </c>
      <c r="B165">
        <v>109001</v>
      </c>
      <c r="C165" t="s">
        <v>479</v>
      </c>
      <c r="D165">
        <v>12</v>
      </c>
      <c r="E165">
        <v>3</v>
      </c>
    </row>
    <row r="166" spans="1:5" hidden="1" x14ac:dyDescent="0.25">
      <c r="A166" t="s">
        <v>752</v>
      </c>
      <c r="B166">
        <v>100186</v>
      </c>
      <c r="C166" t="s">
        <v>506</v>
      </c>
      <c r="D166">
        <v>1</v>
      </c>
      <c r="E166">
        <v>1</v>
      </c>
    </row>
    <row r="167" spans="1:5" hidden="1" x14ac:dyDescent="0.25">
      <c r="A167" t="s">
        <v>752</v>
      </c>
      <c r="B167">
        <v>100229</v>
      </c>
      <c r="C167" t="s">
        <v>506</v>
      </c>
      <c r="D167">
        <v>1</v>
      </c>
      <c r="E167">
        <v>2</v>
      </c>
    </row>
    <row r="168" spans="1:5" hidden="1" x14ac:dyDescent="0.25">
      <c r="A168" t="s">
        <v>753</v>
      </c>
      <c r="B168">
        <v>100168</v>
      </c>
      <c r="C168" t="s">
        <v>524</v>
      </c>
      <c r="D168">
        <v>24</v>
      </c>
      <c r="E168">
        <v>1</v>
      </c>
    </row>
    <row r="169" spans="1:5" hidden="1" x14ac:dyDescent="0.25">
      <c r="A169" t="s">
        <v>753</v>
      </c>
      <c r="B169">
        <v>100205</v>
      </c>
      <c r="C169" t="s">
        <v>524</v>
      </c>
      <c r="D169">
        <v>24</v>
      </c>
      <c r="E169">
        <v>2</v>
      </c>
    </row>
    <row r="170" spans="1:5" hidden="1" x14ac:dyDescent="0.25">
      <c r="A170" t="s">
        <v>753</v>
      </c>
      <c r="B170">
        <v>100233</v>
      </c>
      <c r="C170" t="s">
        <v>524</v>
      </c>
      <c r="D170">
        <v>24</v>
      </c>
      <c r="E170">
        <v>3</v>
      </c>
    </row>
    <row r="171" spans="1:5" hidden="1" x14ac:dyDescent="0.25">
      <c r="A171" t="s">
        <v>753</v>
      </c>
      <c r="B171">
        <v>100265</v>
      </c>
      <c r="C171" t="s">
        <v>524</v>
      </c>
      <c r="D171">
        <v>24</v>
      </c>
      <c r="E171">
        <v>4</v>
      </c>
    </row>
    <row r="172" spans="1:5" hidden="1" x14ac:dyDescent="0.25">
      <c r="A172" t="s">
        <v>754</v>
      </c>
      <c r="B172">
        <v>100987</v>
      </c>
      <c r="C172" t="s">
        <v>524</v>
      </c>
      <c r="D172">
        <v>24</v>
      </c>
      <c r="E172">
        <v>1</v>
      </c>
    </row>
    <row r="173" spans="1:5" hidden="1" x14ac:dyDescent="0.25">
      <c r="A173" t="s">
        <v>755</v>
      </c>
      <c r="B173">
        <v>100195</v>
      </c>
      <c r="C173" t="s">
        <v>524</v>
      </c>
      <c r="D173">
        <v>12</v>
      </c>
      <c r="E173">
        <v>1</v>
      </c>
    </row>
    <row r="174" spans="1:5" hidden="1" x14ac:dyDescent="0.25">
      <c r="A174" t="s">
        <v>756</v>
      </c>
      <c r="B174">
        <v>100975</v>
      </c>
      <c r="C174" t="s">
        <v>524</v>
      </c>
      <c r="D174">
        <v>12</v>
      </c>
      <c r="E174">
        <v>1</v>
      </c>
    </row>
    <row r="175" spans="1:5" hidden="1" x14ac:dyDescent="0.25">
      <c r="A175" t="s">
        <v>757</v>
      </c>
      <c r="B175">
        <v>110016</v>
      </c>
      <c r="C175" t="s">
        <v>486</v>
      </c>
      <c r="D175">
        <v>48</v>
      </c>
      <c r="E175">
        <v>1</v>
      </c>
    </row>
    <row r="176" spans="1:5" hidden="1" x14ac:dyDescent="0.25">
      <c r="A176" t="s">
        <v>757</v>
      </c>
      <c r="B176">
        <v>110017</v>
      </c>
      <c r="C176" t="s">
        <v>486</v>
      </c>
      <c r="D176">
        <v>48</v>
      </c>
      <c r="E176">
        <v>2</v>
      </c>
    </row>
    <row r="177" spans="1:5" hidden="1" x14ac:dyDescent="0.25">
      <c r="A177" t="s">
        <v>757</v>
      </c>
      <c r="B177">
        <v>110018</v>
      </c>
      <c r="C177" t="s">
        <v>486</v>
      </c>
      <c r="D177">
        <v>48</v>
      </c>
      <c r="E177">
        <v>3</v>
      </c>
    </row>
    <row r="178" spans="1:5" hidden="1" x14ac:dyDescent="0.25">
      <c r="A178" t="s">
        <v>757</v>
      </c>
      <c r="B178">
        <v>110021</v>
      </c>
      <c r="C178" t="s">
        <v>486</v>
      </c>
      <c r="D178">
        <v>48</v>
      </c>
      <c r="E178">
        <v>4</v>
      </c>
    </row>
    <row r="179" spans="1:5" hidden="1" x14ac:dyDescent="0.25">
      <c r="A179" t="s">
        <v>758</v>
      </c>
      <c r="B179">
        <v>110014</v>
      </c>
      <c r="C179" t="s">
        <v>506</v>
      </c>
      <c r="D179">
        <v>1</v>
      </c>
      <c r="E179">
        <v>1</v>
      </c>
    </row>
    <row r="180" spans="1:5" hidden="1" x14ac:dyDescent="0.25">
      <c r="A180" t="s">
        <v>758</v>
      </c>
      <c r="B180">
        <v>110020</v>
      </c>
      <c r="C180" t="s">
        <v>506</v>
      </c>
      <c r="D180">
        <v>1</v>
      </c>
      <c r="E180">
        <v>2</v>
      </c>
    </row>
    <row r="181" spans="1:5" hidden="1" x14ac:dyDescent="0.25">
      <c r="A181" t="s">
        <v>759</v>
      </c>
      <c r="B181">
        <v>612087</v>
      </c>
      <c r="C181" t="s">
        <v>545</v>
      </c>
      <c r="D181">
        <v>36</v>
      </c>
      <c r="E181">
        <v>1</v>
      </c>
    </row>
    <row r="182" spans="1:5" hidden="1" x14ac:dyDescent="0.25">
      <c r="A182" t="s">
        <v>759</v>
      </c>
      <c r="B182">
        <v>612137</v>
      </c>
      <c r="C182" t="s">
        <v>545</v>
      </c>
      <c r="D182">
        <v>36</v>
      </c>
      <c r="E182">
        <v>2</v>
      </c>
    </row>
    <row r="183" spans="1:5" hidden="1" x14ac:dyDescent="0.25">
      <c r="A183" t="s">
        <v>759</v>
      </c>
      <c r="B183">
        <v>612147</v>
      </c>
      <c r="C183" t="s">
        <v>545</v>
      </c>
      <c r="D183">
        <v>36</v>
      </c>
      <c r="E183">
        <v>3</v>
      </c>
    </row>
    <row r="184" spans="1:5" hidden="1" x14ac:dyDescent="0.25">
      <c r="A184" t="s">
        <v>760</v>
      </c>
      <c r="B184">
        <v>460165</v>
      </c>
      <c r="C184" t="s">
        <v>552</v>
      </c>
      <c r="D184">
        <v>12</v>
      </c>
      <c r="E184">
        <v>1</v>
      </c>
    </row>
    <row r="185" spans="1:5" hidden="1" x14ac:dyDescent="0.25">
      <c r="A185" t="s">
        <v>760</v>
      </c>
      <c r="B185">
        <v>460191</v>
      </c>
      <c r="C185" t="s">
        <v>552</v>
      </c>
      <c r="D185">
        <v>12</v>
      </c>
      <c r="E185">
        <v>2</v>
      </c>
    </row>
    <row r="186" spans="1:5" hidden="1" x14ac:dyDescent="0.25">
      <c r="A186" t="s">
        <v>761</v>
      </c>
      <c r="B186">
        <v>460189</v>
      </c>
      <c r="C186" t="s">
        <v>552</v>
      </c>
      <c r="D186">
        <v>12</v>
      </c>
      <c r="E186">
        <v>1</v>
      </c>
    </row>
    <row r="187" spans="1:5" hidden="1" x14ac:dyDescent="0.25">
      <c r="A187" t="s">
        <v>762</v>
      </c>
      <c r="B187">
        <v>460193</v>
      </c>
      <c r="C187" t="s">
        <v>552</v>
      </c>
      <c r="D187">
        <v>12</v>
      </c>
      <c r="E187">
        <v>1</v>
      </c>
    </row>
    <row r="188" spans="1:5" hidden="1" x14ac:dyDescent="0.25">
      <c r="A188" t="s">
        <v>763</v>
      </c>
      <c r="B188">
        <v>460182</v>
      </c>
      <c r="C188" t="s">
        <v>552</v>
      </c>
      <c r="D188">
        <v>24</v>
      </c>
      <c r="E188">
        <v>1</v>
      </c>
    </row>
    <row r="189" spans="1:5" hidden="1" x14ac:dyDescent="0.25">
      <c r="A189" t="s">
        <v>764</v>
      </c>
      <c r="B189">
        <v>190035</v>
      </c>
      <c r="C189" t="s">
        <v>506</v>
      </c>
      <c r="D189">
        <v>1</v>
      </c>
      <c r="E189">
        <v>1</v>
      </c>
    </row>
    <row r="190" spans="1:5" hidden="1" x14ac:dyDescent="0.25">
      <c r="A190" t="s">
        <v>764</v>
      </c>
      <c r="B190">
        <v>190051</v>
      </c>
      <c r="C190" t="s">
        <v>506</v>
      </c>
      <c r="D190">
        <v>1</v>
      </c>
      <c r="E190">
        <v>2</v>
      </c>
    </row>
    <row r="191" spans="1:5" hidden="1" x14ac:dyDescent="0.25">
      <c r="A191" t="s">
        <v>764</v>
      </c>
      <c r="B191">
        <v>190070</v>
      </c>
      <c r="C191" t="s">
        <v>506</v>
      </c>
      <c r="D191">
        <v>1</v>
      </c>
      <c r="E191">
        <v>3</v>
      </c>
    </row>
    <row r="192" spans="1:5" hidden="1" x14ac:dyDescent="0.25">
      <c r="A192" t="s">
        <v>765</v>
      </c>
      <c r="B192">
        <v>190036</v>
      </c>
      <c r="C192" t="s">
        <v>552</v>
      </c>
      <c r="D192">
        <v>6</v>
      </c>
      <c r="E192">
        <v>1</v>
      </c>
    </row>
    <row r="193" spans="1:5" hidden="1" x14ac:dyDescent="0.25">
      <c r="A193" t="s">
        <v>765</v>
      </c>
      <c r="B193">
        <v>190043</v>
      </c>
      <c r="C193" t="s">
        <v>552</v>
      </c>
      <c r="D193">
        <v>6</v>
      </c>
      <c r="E193">
        <v>2</v>
      </c>
    </row>
    <row r="194" spans="1:5" hidden="1" x14ac:dyDescent="0.25">
      <c r="A194" t="s">
        <v>765</v>
      </c>
      <c r="B194">
        <v>190069</v>
      </c>
      <c r="C194" t="s">
        <v>552</v>
      </c>
      <c r="D194">
        <v>6</v>
      </c>
      <c r="E194">
        <v>3</v>
      </c>
    </row>
    <row r="195" spans="1:5" hidden="1" x14ac:dyDescent="0.25">
      <c r="A195" t="s">
        <v>766</v>
      </c>
      <c r="B195">
        <v>150129</v>
      </c>
      <c r="C195" t="s">
        <v>591</v>
      </c>
      <c r="D195">
        <v>21</v>
      </c>
      <c r="E195">
        <v>1</v>
      </c>
    </row>
    <row r="196" spans="1:5" hidden="1" x14ac:dyDescent="0.25">
      <c r="A196" t="s">
        <v>767</v>
      </c>
      <c r="B196">
        <v>150132</v>
      </c>
      <c r="C196" t="s">
        <v>605</v>
      </c>
      <c r="D196">
        <v>30</v>
      </c>
      <c r="E196">
        <v>1</v>
      </c>
    </row>
    <row r="197" spans="1:5" hidden="1" x14ac:dyDescent="0.25">
      <c r="A197" t="s">
        <v>767</v>
      </c>
      <c r="B197">
        <v>150206</v>
      </c>
      <c r="C197" t="s">
        <v>605</v>
      </c>
      <c r="D197">
        <v>30</v>
      </c>
      <c r="E197">
        <v>2</v>
      </c>
    </row>
    <row r="198" spans="1:5" hidden="1" x14ac:dyDescent="0.25">
      <c r="A198" t="s">
        <v>767</v>
      </c>
      <c r="B198">
        <v>150210</v>
      </c>
      <c r="C198" t="s">
        <v>605</v>
      </c>
      <c r="D198">
        <v>30</v>
      </c>
      <c r="E198">
        <v>3</v>
      </c>
    </row>
    <row r="199" spans="1:5" hidden="1" x14ac:dyDescent="0.25">
      <c r="A199" t="s">
        <v>767</v>
      </c>
      <c r="B199">
        <v>150230</v>
      </c>
      <c r="C199" t="s">
        <v>605</v>
      </c>
      <c r="D199">
        <v>30</v>
      </c>
      <c r="E199">
        <v>4</v>
      </c>
    </row>
    <row r="200" spans="1:5" hidden="1" x14ac:dyDescent="0.25">
      <c r="A200" t="s">
        <v>767</v>
      </c>
      <c r="B200">
        <v>150328</v>
      </c>
      <c r="C200" t="s">
        <v>605</v>
      </c>
      <c r="D200">
        <v>30</v>
      </c>
      <c r="E200">
        <v>5</v>
      </c>
    </row>
    <row r="201" spans="1:5" hidden="1" x14ac:dyDescent="0.25">
      <c r="A201" t="s">
        <v>768</v>
      </c>
      <c r="B201">
        <v>150180</v>
      </c>
      <c r="C201" t="s">
        <v>479</v>
      </c>
      <c r="D201">
        <v>48</v>
      </c>
      <c r="E201">
        <v>1</v>
      </c>
    </row>
    <row r="202" spans="1:5" hidden="1" x14ac:dyDescent="0.25">
      <c r="A202" t="s">
        <v>768</v>
      </c>
      <c r="B202">
        <v>150308</v>
      </c>
      <c r="C202" t="s">
        <v>479</v>
      </c>
      <c r="D202">
        <v>48</v>
      </c>
      <c r="E202">
        <v>2</v>
      </c>
    </row>
    <row r="203" spans="1:5" hidden="1" x14ac:dyDescent="0.25">
      <c r="A203" t="s">
        <v>769</v>
      </c>
      <c r="B203">
        <v>150294</v>
      </c>
      <c r="C203" t="s">
        <v>486</v>
      </c>
      <c r="D203">
        <v>48</v>
      </c>
      <c r="E203">
        <v>1</v>
      </c>
    </row>
    <row r="204" spans="1:5" hidden="1" x14ac:dyDescent="0.25">
      <c r="A204" t="s">
        <v>769</v>
      </c>
      <c r="B204">
        <v>150373</v>
      </c>
      <c r="C204" t="s">
        <v>486</v>
      </c>
      <c r="D204">
        <v>48</v>
      </c>
      <c r="E204">
        <v>2</v>
      </c>
    </row>
    <row r="205" spans="1:5" hidden="1" x14ac:dyDescent="0.25">
      <c r="A205" t="s">
        <v>769</v>
      </c>
      <c r="B205">
        <v>150364</v>
      </c>
      <c r="C205" t="s">
        <v>486</v>
      </c>
      <c r="D205">
        <v>48</v>
      </c>
      <c r="E205">
        <v>1</v>
      </c>
    </row>
    <row r="206" spans="1:5" hidden="1" x14ac:dyDescent="0.25">
      <c r="A206" t="s">
        <v>769</v>
      </c>
      <c r="B206">
        <v>150330</v>
      </c>
      <c r="C206" t="s">
        <v>486</v>
      </c>
      <c r="D206">
        <v>48</v>
      </c>
      <c r="E206">
        <v>1</v>
      </c>
    </row>
    <row r="207" spans="1:5" hidden="1" x14ac:dyDescent="0.25">
      <c r="A207" t="s">
        <v>770</v>
      </c>
      <c r="B207">
        <v>150975</v>
      </c>
      <c r="C207" t="s">
        <v>486</v>
      </c>
      <c r="D207">
        <v>48</v>
      </c>
      <c r="E207">
        <v>1</v>
      </c>
    </row>
    <row r="208" spans="1:5" hidden="1" x14ac:dyDescent="0.25">
      <c r="A208" t="s">
        <v>771</v>
      </c>
      <c r="B208">
        <v>150164</v>
      </c>
      <c r="C208" t="s">
        <v>486</v>
      </c>
      <c r="D208">
        <v>48</v>
      </c>
      <c r="E208">
        <v>1</v>
      </c>
    </row>
    <row r="209" spans="1:5" hidden="1" x14ac:dyDescent="0.25">
      <c r="A209" t="s">
        <v>771</v>
      </c>
      <c r="B209">
        <v>150186</v>
      </c>
      <c r="C209" t="s">
        <v>486</v>
      </c>
      <c r="D209">
        <v>48</v>
      </c>
      <c r="E209">
        <v>2</v>
      </c>
    </row>
    <row r="210" spans="1:5" hidden="1" x14ac:dyDescent="0.25">
      <c r="A210" t="s">
        <v>772</v>
      </c>
      <c r="B210">
        <v>150168</v>
      </c>
      <c r="C210" t="s">
        <v>486</v>
      </c>
      <c r="D210">
        <v>24</v>
      </c>
      <c r="E210">
        <v>1</v>
      </c>
    </row>
    <row r="211" spans="1:5" hidden="1" x14ac:dyDescent="0.25">
      <c r="A211" t="s">
        <v>772</v>
      </c>
      <c r="B211">
        <v>150187</v>
      </c>
      <c r="C211" t="s">
        <v>486</v>
      </c>
      <c r="D211">
        <v>24</v>
      </c>
      <c r="E211">
        <v>2</v>
      </c>
    </row>
    <row r="212" spans="1:5" hidden="1" x14ac:dyDescent="0.25">
      <c r="A212" t="s">
        <v>772</v>
      </c>
      <c r="B212">
        <v>150349</v>
      </c>
      <c r="C212" t="s">
        <v>486</v>
      </c>
      <c r="D212">
        <v>24</v>
      </c>
      <c r="E212">
        <v>3</v>
      </c>
    </row>
    <row r="213" spans="1:5" hidden="1" x14ac:dyDescent="0.25">
      <c r="A213" t="s">
        <v>772</v>
      </c>
      <c r="B213">
        <v>150331</v>
      </c>
      <c r="C213" t="s">
        <v>486</v>
      </c>
      <c r="D213">
        <v>24</v>
      </c>
      <c r="E213">
        <v>4</v>
      </c>
    </row>
    <row r="214" spans="1:5" hidden="1" x14ac:dyDescent="0.25">
      <c r="A214" t="s">
        <v>773</v>
      </c>
      <c r="B214">
        <v>150171</v>
      </c>
      <c r="C214" t="s">
        <v>486</v>
      </c>
      <c r="D214">
        <v>24</v>
      </c>
      <c r="E214">
        <v>1</v>
      </c>
    </row>
    <row r="215" spans="1:5" hidden="1" x14ac:dyDescent="0.25">
      <c r="A215" t="s">
        <v>773</v>
      </c>
      <c r="B215">
        <v>150329</v>
      </c>
      <c r="C215" t="s">
        <v>486</v>
      </c>
      <c r="D215">
        <v>24</v>
      </c>
      <c r="E215">
        <v>2</v>
      </c>
    </row>
    <row r="216" spans="1:5" hidden="1" x14ac:dyDescent="0.25">
      <c r="A216" t="s">
        <v>774</v>
      </c>
      <c r="B216">
        <v>150177</v>
      </c>
      <c r="C216" t="s">
        <v>479</v>
      </c>
      <c r="D216">
        <v>12</v>
      </c>
      <c r="E216">
        <v>1</v>
      </c>
    </row>
    <row r="217" spans="1:5" hidden="1" x14ac:dyDescent="0.25">
      <c r="A217" t="s">
        <v>774</v>
      </c>
      <c r="B217">
        <v>150221</v>
      </c>
      <c r="C217" t="s">
        <v>479</v>
      </c>
      <c r="D217">
        <v>12</v>
      </c>
      <c r="E217">
        <v>2</v>
      </c>
    </row>
    <row r="218" spans="1:5" hidden="1" x14ac:dyDescent="0.25">
      <c r="A218" t="s">
        <v>774</v>
      </c>
      <c r="B218">
        <v>150325</v>
      </c>
      <c r="C218" t="s">
        <v>479</v>
      </c>
      <c r="D218">
        <v>12</v>
      </c>
      <c r="E218">
        <v>3</v>
      </c>
    </row>
    <row r="219" spans="1:5" hidden="1" x14ac:dyDescent="0.25">
      <c r="A219" t="s">
        <v>775</v>
      </c>
      <c r="B219">
        <v>150188</v>
      </c>
      <c r="C219" t="s">
        <v>486</v>
      </c>
      <c r="D219">
        <v>12</v>
      </c>
      <c r="E219">
        <v>1</v>
      </c>
    </row>
    <row r="220" spans="1:5" hidden="1" x14ac:dyDescent="0.25">
      <c r="A220" t="s">
        <v>775</v>
      </c>
      <c r="B220">
        <v>150332</v>
      </c>
      <c r="C220" t="s">
        <v>486</v>
      </c>
      <c r="D220">
        <v>12</v>
      </c>
      <c r="E220">
        <v>2</v>
      </c>
    </row>
    <row r="221" spans="1:5" hidden="1" x14ac:dyDescent="0.25">
      <c r="A221" t="s">
        <v>776</v>
      </c>
      <c r="B221">
        <v>150320</v>
      </c>
      <c r="C221" t="s">
        <v>552</v>
      </c>
      <c r="D221">
        <v>6</v>
      </c>
      <c r="E221">
        <v>1</v>
      </c>
    </row>
    <row r="222" spans="1:5" hidden="1" x14ac:dyDescent="0.25">
      <c r="A222" t="s">
        <v>777</v>
      </c>
      <c r="B222">
        <v>150162</v>
      </c>
      <c r="C222" t="s">
        <v>506</v>
      </c>
      <c r="D222">
        <v>1</v>
      </c>
      <c r="E222">
        <v>1</v>
      </c>
    </row>
    <row r="223" spans="1:5" hidden="1" x14ac:dyDescent="0.25">
      <c r="A223" t="s">
        <v>777</v>
      </c>
      <c r="B223">
        <v>150333</v>
      </c>
      <c r="C223" t="s">
        <v>506</v>
      </c>
      <c r="D223">
        <v>1</v>
      </c>
      <c r="E223">
        <v>2</v>
      </c>
    </row>
    <row r="224" spans="1:5" hidden="1" x14ac:dyDescent="0.25">
      <c r="A224" t="s">
        <v>778</v>
      </c>
      <c r="B224">
        <v>150163</v>
      </c>
      <c r="C224" t="s">
        <v>506</v>
      </c>
      <c r="D224">
        <v>1</v>
      </c>
      <c r="E224">
        <v>1</v>
      </c>
    </row>
    <row r="225" spans="1:5" hidden="1" x14ac:dyDescent="0.25">
      <c r="A225" t="s">
        <v>778</v>
      </c>
      <c r="B225">
        <v>150334</v>
      </c>
      <c r="C225" t="s">
        <v>506</v>
      </c>
      <c r="D225">
        <v>1</v>
      </c>
      <c r="E225">
        <v>2</v>
      </c>
    </row>
    <row r="226" spans="1:5" hidden="1" x14ac:dyDescent="0.25">
      <c r="A226" t="s">
        <v>779</v>
      </c>
      <c r="B226">
        <v>150119</v>
      </c>
      <c r="C226" t="s">
        <v>552</v>
      </c>
      <c r="D226">
        <v>6</v>
      </c>
      <c r="E226">
        <v>1</v>
      </c>
    </row>
    <row r="227" spans="1:5" hidden="1" x14ac:dyDescent="0.25">
      <c r="A227" t="s">
        <v>779</v>
      </c>
      <c r="B227">
        <v>150231</v>
      </c>
      <c r="C227" t="s">
        <v>552</v>
      </c>
      <c r="D227">
        <v>6</v>
      </c>
      <c r="E227">
        <v>2</v>
      </c>
    </row>
    <row r="228" spans="1:5" hidden="1" x14ac:dyDescent="0.25">
      <c r="A228" t="s">
        <v>779</v>
      </c>
      <c r="B228">
        <v>150335</v>
      </c>
      <c r="C228" t="s">
        <v>552</v>
      </c>
      <c r="D228">
        <v>6</v>
      </c>
      <c r="E228">
        <v>3</v>
      </c>
    </row>
    <row r="229" spans="1:5" hidden="1" x14ac:dyDescent="0.25">
      <c r="A229" t="s">
        <v>780</v>
      </c>
      <c r="B229">
        <v>150154</v>
      </c>
      <c r="C229" t="s">
        <v>591</v>
      </c>
      <c r="D229">
        <v>21</v>
      </c>
      <c r="E229">
        <v>1</v>
      </c>
    </row>
    <row r="230" spans="1:5" hidden="1" x14ac:dyDescent="0.25">
      <c r="A230" t="s">
        <v>780</v>
      </c>
      <c r="B230">
        <v>150241</v>
      </c>
      <c r="C230" t="s">
        <v>591</v>
      </c>
      <c r="D230">
        <v>21</v>
      </c>
      <c r="E230">
        <v>6</v>
      </c>
    </row>
    <row r="231" spans="1:5" hidden="1" x14ac:dyDescent="0.25">
      <c r="A231" t="s">
        <v>780</v>
      </c>
      <c r="B231">
        <v>150339</v>
      </c>
      <c r="C231" t="s">
        <v>591</v>
      </c>
      <c r="D231">
        <v>21</v>
      </c>
      <c r="E231">
        <v>3</v>
      </c>
    </row>
    <row r="232" spans="1:5" hidden="1" x14ac:dyDescent="0.25">
      <c r="A232" t="s">
        <v>781</v>
      </c>
      <c r="B232">
        <v>150153</v>
      </c>
      <c r="C232" t="s">
        <v>605</v>
      </c>
      <c r="D232">
        <v>30</v>
      </c>
      <c r="E232">
        <v>1</v>
      </c>
    </row>
    <row r="233" spans="1:5" hidden="1" x14ac:dyDescent="0.25">
      <c r="A233" t="s">
        <v>781</v>
      </c>
      <c r="B233">
        <v>150211</v>
      </c>
      <c r="C233" t="s">
        <v>605</v>
      </c>
      <c r="D233">
        <v>30</v>
      </c>
      <c r="E233">
        <v>2</v>
      </c>
    </row>
    <row r="234" spans="1:5" hidden="1" x14ac:dyDescent="0.25">
      <c r="A234" t="s">
        <v>781</v>
      </c>
      <c r="B234">
        <v>150240</v>
      </c>
      <c r="C234" t="s">
        <v>605</v>
      </c>
      <c r="D234">
        <v>30</v>
      </c>
      <c r="E234">
        <v>3</v>
      </c>
    </row>
    <row r="235" spans="1:5" hidden="1" x14ac:dyDescent="0.25">
      <c r="A235" t="s">
        <v>781</v>
      </c>
      <c r="B235">
        <v>150340</v>
      </c>
      <c r="C235" t="s">
        <v>605</v>
      </c>
      <c r="D235">
        <v>30</v>
      </c>
      <c r="E235">
        <v>4</v>
      </c>
    </row>
    <row r="236" spans="1:5" hidden="1" x14ac:dyDescent="0.25">
      <c r="A236" t="s">
        <v>782</v>
      </c>
      <c r="B236">
        <v>150181</v>
      </c>
      <c r="C236" t="s">
        <v>479</v>
      </c>
      <c r="D236">
        <v>48</v>
      </c>
      <c r="E236">
        <v>1</v>
      </c>
    </row>
    <row r="237" spans="1:5" hidden="1" x14ac:dyDescent="0.25">
      <c r="A237" t="s">
        <v>782</v>
      </c>
      <c r="B237">
        <v>150233</v>
      </c>
      <c r="C237" t="s">
        <v>479</v>
      </c>
      <c r="D237">
        <v>48</v>
      </c>
      <c r="E237">
        <v>2</v>
      </c>
    </row>
    <row r="238" spans="1:5" hidden="1" x14ac:dyDescent="0.25">
      <c r="A238" t="s">
        <v>782</v>
      </c>
      <c r="B238">
        <v>150309</v>
      </c>
      <c r="C238" t="s">
        <v>479</v>
      </c>
      <c r="D238">
        <v>48</v>
      </c>
      <c r="E238">
        <v>3</v>
      </c>
    </row>
    <row r="239" spans="1:5" hidden="1" x14ac:dyDescent="0.25">
      <c r="A239" t="s">
        <v>783</v>
      </c>
      <c r="B239">
        <v>150295</v>
      </c>
      <c r="C239" t="s">
        <v>486</v>
      </c>
      <c r="D239">
        <v>48</v>
      </c>
      <c r="E239">
        <v>1</v>
      </c>
    </row>
    <row r="240" spans="1:5" hidden="1" x14ac:dyDescent="0.25">
      <c r="A240" t="s">
        <v>783</v>
      </c>
      <c r="B240">
        <v>150374</v>
      </c>
      <c r="C240" t="s">
        <v>486</v>
      </c>
      <c r="D240">
        <v>48</v>
      </c>
      <c r="E240">
        <v>2</v>
      </c>
    </row>
    <row r="241" spans="1:5" hidden="1" x14ac:dyDescent="0.25">
      <c r="A241" t="s">
        <v>783</v>
      </c>
      <c r="B241">
        <v>150363</v>
      </c>
      <c r="C241" t="s">
        <v>486</v>
      </c>
      <c r="D241">
        <v>48</v>
      </c>
    </row>
    <row r="242" spans="1:5" hidden="1" x14ac:dyDescent="0.25">
      <c r="A242" t="s">
        <v>784</v>
      </c>
      <c r="B242">
        <v>150976</v>
      </c>
      <c r="C242" t="s">
        <v>486</v>
      </c>
      <c r="D242">
        <v>48</v>
      </c>
      <c r="E242">
        <v>1</v>
      </c>
    </row>
    <row r="243" spans="1:5" hidden="1" x14ac:dyDescent="0.25">
      <c r="A243" t="s">
        <v>785</v>
      </c>
      <c r="B243">
        <v>150191</v>
      </c>
      <c r="C243" t="s">
        <v>486</v>
      </c>
      <c r="D243">
        <v>48</v>
      </c>
      <c r="E243">
        <v>1</v>
      </c>
    </row>
    <row r="244" spans="1:5" hidden="1" x14ac:dyDescent="0.25">
      <c r="A244" t="s">
        <v>785</v>
      </c>
      <c r="B244">
        <v>150234</v>
      </c>
      <c r="C244" t="s">
        <v>486</v>
      </c>
      <c r="D244">
        <v>48</v>
      </c>
      <c r="E244">
        <v>2</v>
      </c>
    </row>
    <row r="245" spans="1:5" hidden="1" x14ac:dyDescent="0.25">
      <c r="A245" t="s">
        <v>786</v>
      </c>
      <c r="B245">
        <v>150192</v>
      </c>
      <c r="C245" t="s">
        <v>486</v>
      </c>
      <c r="D245">
        <v>24</v>
      </c>
      <c r="E245">
        <v>1</v>
      </c>
    </row>
    <row r="246" spans="1:5" hidden="1" x14ac:dyDescent="0.25">
      <c r="A246" t="s">
        <v>786</v>
      </c>
      <c r="B246">
        <v>150235</v>
      </c>
      <c r="C246" t="s">
        <v>486</v>
      </c>
      <c r="D246">
        <v>24</v>
      </c>
      <c r="E246">
        <v>2</v>
      </c>
    </row>
    <row r="247" spans="1:5" hidden="1" x14ac:dyDescent="0.25">
      <c r="A247" t="s">
        <v>786</v>
      </c>
      <c r="B247">
        <v>150350</v>
      </c>
      <c r="C247" t="s">
        <v>486</v>
      </c>
      <c r="D247">
        <v>24</v>
      </c>
      <c r="E247">
        <v>3</v>
      </c>
    </row>
    <row r="248" spans="1:5" hidden="1" x14ac:dyDescent="0.25">
      <c r="A248" t="s">
        <v>786</v>
      </c>
      <c r="B248">
        <v>150343</v>
      </c>
      <c r="C248" t="s">
        <v>486</v>
      </c>
      <c r="D248">
        <v>24</v>
      </c>
      <c r="E248">
        <v>4</v>
      </c>
    </row>
    <row r="249" spans="1:5" hidden="1" x14ac:dyDescent="0.25">
      <c r="A249" t="s">
        <v>787</v>
      </c>
      <c r="B249">
        <v>150081</v>
      </c>
      <c r="C249" t="s">
        <v>486</v>
      </c>
      <c r="D249">
        <v>24</v>
      </c>
      <c r="E249">
        <v>1</v>
      </c>
    </row>
    <row r="250" spans="1:5" hidden="1" x14ac:dyDescent="0.25">
      <c r="A250" t="s">
        <v>787</v>
      </c>
      <c r="B250">
        <v>150172</v>
      </c>
      <c r="C250" t="s">
        <v>486</v>
      </c>
      <c r="D250">
        <v>24</v>
      </c>
      <c r="E250">
        <v>2</v>
      </c>
    </row>
    <row r="251" spans="1:5" hidden="1" x14ac:dyDescent="0.25">
      <c r="A251" t="s">
        <v>787</v>
      </c>
      <c r="B251">
        <v>150226</v>
      </c>
      <c r="C251" t="s">
        <v>486</v>
      </c>
      <c r="D251">
        <v>24</v>
      </c>
      <c r="E251">
        <v>3</v>
      </c>
    </row>
    <row r="252" spans="1:5" hidden="1" x14ac:dyDescent="0.25">
      <c r="A252" t="s">
        <v>787</v>
      </c>
      <c r="B252">
        <v>150341</v>
      </c>
      <c r="C252" t="s">
        <v>486</v>
      </c>
      <c r="D252">
        <v>24</v>
      </c>
      <c r="E252">
        <v>4</v>
      </c>
    </row>
    <row r="253" spans="1:5" hidden="1" x14ac:dyDescent="0.25">
      <c r="A253" t="s">
        <v>788</v>
      </c>
      <c r="B253">
        <v>150178</v>
      </c>
      <c r="C253" t="s">
        <v>479</v>
      </c>
      <c r="D253">
        <v>12</v>
      </c>
      <c r="E253">
        <v>1</v>
      </c>
    </row>
    <row r="254" spans="1:5" hidden="1" x14ac:dyDescent="0.25">
      <c r="A254" t="s">
        <v>788</v>
      </c>
      <c r="B254">
        <v>150232</v>
      </c>
      <c r="C254" t="s">
        <v>479</v>
      </c>
      <c r="D254">
        <v>12</v>
      </c>
      <c r="E254">
        <v>2</v>
      </c>
    </row>
    <row r="255" spans="1:5" hidden="1" x14ac:dyDescent="0.25">
      <c r="A255" t="s">
        <v>788</v>
      </c>
      <c r="B255">
        <v>150346</v>
      </c>
      <c r="C255" t="s">
        <v>479</v>
      </c>
      <c r="D255">
        <v>12</v>
      </c>
      <c r="E255">
        <v>3</v>
      </c>
    </row>
    <row r="256" spans="1:5" hidden="1" x14ac:dyDescent="0.25">
      <c r="A256" t="s">
        <v>789</v>
      </c>
      <c r="B256">
        <v>150150</v>
      </c>
      <c r="C256" t="s">
        <v>552</v>
      </c>
      <c r="D256">
        <v>6</v>
      </c>
      <c r="E256">
        <v>1</v>
      </c>
    </row>
    <row r="257" spans="1:5" hidden="1" x14ac:dyDescent="0.25">
      <c r="A257" t="s">
        <v>789</v>
      </c>
      <c r="B257">
        <v>150239</v>
      </c>
      <c r="C257" t="s">
        <v>552</v>
      </c>
      <c r="D257">
        <v>6</v>
      </c>
      <c r="E257">
        <v>2</v>
      </c>
    </row>
    <row r="258" spans="1:5" hidden="1" x14ac:dyDescent="0.25">
      <c r="A258" t="s">
        <v>789</v>
      </c>
      <c r="B258">
        <v>150344</v>
      </c>
      <c r="C258" t="s">
        <v>552</v>
      </c>
      <c r="D258">
        <v>6</v>
      </c>
      <c r="E258">
        <v>3</v>
      </c>
    </row>
    <row r="259" spans="1:5" hidden="1" x14ac:dyDescent="0.25">
      <c r="A259" t="s">
        <v>790</v>
      </c>
      <c r="B259">
        <v>150298</v>
      </c>
      <c r="C259" t="s">
        <v>479</v>
      </c>
      <c r="D259">
        <v>48</v>
      </c>
      <c r="E259">
        <v>1</v>
      </c>
    </row>
    <row r="260" spans="1:5" hidden="1" x14ac:dyDescent="0.25">
      <c r="A260" t="s">
        <v>791</v>
      </c>
      <c r="B260">
        <v>150299</v>
      </c>
      <c r="C260" t="s">
        <v>486</v>
      </c>
      <c r="D260">
        <v>48</v>
      </c>
      <c r="E260">
        <v>1</v>
      </c>
    </row>
    <row r="261" spans="1:5" hidden="1" x14ac:dyDescent="0.25">
      <c r="A261" t="s">
        <v>792</v>
      </c>
      <c r="B261">
        <v>150166</v>
      </c>
      <c r="C261" t="s">
        <v>486</v>
      </c>
      <c r="D261">
        <v>48</v>
      </c>
      <c r="E261">
        <v>1</v>
      </c>
    </row>
    <row r="262" spans="1:5" hidden="1" x14ac:dyDescent="0.25">
      <c r="A262" t="s">
        <v>792</v>
      </c>
      <c r="B262">
        <v>150291</v>
      </c>
      <c r="C262" t="s">
        <v>486</v>
      </c>
      <c r="D262">
        <v>48</v>
      </c>
      <c r="E262">
        <v>2</v>
      </c>
    </row>
    <row r="263" spans="1:5" hidden="1" x14ac:dyDescent="0.25">
      <c r="A263" t="s">
        <v>793</v>
      </c>
      <c r="B263">
        <v>150173</v>
      </c>
      <c r="C263" t="s">
        <v>486</v>
      </c>
      <c r="D263">
        <v>24</v>
      </c>
      <c r="E263">
        <v>1</v>
      </c>
    </row>
    <row r="264" spans="1:5" hidden="1" x14ac:dyDescent="0.25">
      <c r="A264" t="s">
        <v>793</v>
      </c>
      <c r="B264">
        <v>150347</v>
      </c>
      <c r="C264" t="s">
        <v>486</v>
      </c>
      <c r="D264">
        <v>24</v>
      </c>
      <c r="E264">
        <v>2</v>
      </c>
    </row>
    <row r="265" spans="1:5" hidden="1" x14ac:dyDescent="0.25">
      <c r="A265" t="s">
        <v>794</v>
      </c>
      <c r="B265">
        <v>150167</v>
      </c>
      <c r="C265" t="s">
        <v>486</v>
      </c>
      <c r="D265">
        <v>48</v>
      </c>
      <c r="E265">
        <v>1</v>
      </c>
    </row>
    <row r="266" spans="1:5" hidden="1" x14ac:dyDescent="0.25">
      <c r="A266" t="s">
        <v>794</v>
      </c>
      <c r="B266">
        <v>150292</v>
      </c>
      <c r="C266" t="s">
        <v>486</v>
      </c>
      <c r="D266">
        <v>48</v>
      </c>
      <c r="E266">
        <v>2</v>
      </c>
    </row>
    <row r="267" spans="1:5" hidden="1" x14ac:dyDescent="0.25">
      <c r="A267" t="s">
        <v>795</v>
      </c>
      <c r="B267">
        <v>150174</v>
      </c>
      <c r="C267" t="s">
        <v>486</v>
      </c>
      <c r="D267">
        <v>24</v>
      </c>
      <c r="E267">
        <v>1</v>
      </c>
    </row>
    <row r="268" spans="1:5" hidden="1" x14ac:dyDescent="0.25">
      <c r="A268" t="s">
        <v>795</v>
      </c>
      <c r="B268">
        <v>150336</v>
      </c>
      <c r="C268" t="s">
        <v>486</v>
      </c>
      <c r="D268">
        <v>24</v>
      </c>
      <c r="E268">
        <v>2</v>
      </c>
    </row>
    <row r="269" spans="1:5" hidden="1" x14ac:dyDescent="0.25">
      <c r="A269" t="s">
        <v>796</v>
      </c>
      <c r="B269">
        <v>150175</v>
      </c>
      <c r="C269" t="s">
        <v>486</v>
      </c>
      <c r="D269">
        <v>48</v>
      </c>
      <c r="E269">
        <v>1</v>
      </c>
    </row>
    <row r="270" spans="1:5" hidden="1" x14ac:dyDescent="0.25">
      <c r="A270" t="s">
        <v>797</v>
      </c>
      <c r="B270">
        <v>150176</v>
      </c>
      <c r="C270" t="s">
        <v>486</v>
      </c>
      <c r="D270">
        <v>24</v>
      </c>
      <c r="E270">
        <v>1</v>
      </c>
    </row>
    <row r="271" spans="1:5" hidden="1" x14ac:dyDescent="0.25">
      <c r="A271" t="s">
        <v>797</v>
      </c>
      <c r="B271">
        <v>150371</v>
      </c>
      <c r="C271" t="s">
        <v>486</v>
      </c>
      <c r="D271">
        <v>24</v>
      </c>
      <c r="E271">
        <v>2</v>
      </c>
    </row>
    <row r="272" spans="1:5" hidden="1" x14ac:dyDescent="0.25">
      <c r="A272" t="s">
        <v>798</v>
      </c>
      <c r="B272">
        <v>150148</v>
      </c>
      <c r="C272" t="s">
        <v>479</v>
      </c>
      <c r="D272">
        <v>48</v>
      </c>
      <c r="E272">
        <v>1</v>
      </c>
    </row>
    <row r="273" spans="1:5" hidden="1" x14ac:dyDescent="0.25">
      <c r="A273" t="s">
        <v>798</v>
      </c>
      <c r="B273">
        <v>150218</v>
      </c>
      <c r="C273" t="s">
        <v>479</v>
      </c>
      <c r="D273">
        <v>48</v>
      </c>
      <c r="E273">
        <v>2</v>
      </c>
    </row>
    <row r="274" spans="1:5" hidden="1" x14ac:dyDescent="0.25">
      <c r="A274" t="s">
        <v>799</v>
      </c>
      <c r="B274">
        <v>150217</v>
      </c>
      <c r="C274" t="s">
        <v>479</v>
      </c>
      <c r="D274">
        <v>48</v>
      </c>
      <c r="E274">
        <v>1</v>
      </c>
    </row>
    <row r="275" spans="1:5" hidden="1" x14ac:dyDescent="0.25">
      <c r="A275" t="s">
        <v>800</v>
      </c>
      <c r="B275">
        <v>150219</v>
      </c>
      <c r="C275" t="s">
        <v>479</v>
      </c>
      <c r="D275">
        <v>48</v>
      </c>
      <c r="E275">
        <v>1</v>
      </c>
    </row>
    <row r="276" spans="1:5" hidden="1" x14ac:dyDescent="0.25">
      <c r="A276" t="s">
        <v>801</v>
      </c>
      <c r="B276">
        <v>150159</v>
      </c>
      <c r="C276" t="s">
        <v>486</v>
      </c>
      <c r="D276">
        <v>48</v>
      </c>
      <c r="E276">
        <v>1</v>
      </c>
    </row>
    <row r="277" spans="1:5" hidden="1" x14ac:dyDescent="0.25">
      <c r="A277" t="s">
        <v>802</v>
      </c>
      <c r="B277">
        <v>100141</v>
      </c>
      <c r="C277" t="s">
        <v>486</v>
      </c>
      <c r="D277">
        <v>48</v>
      </c>
      <c r="E277">
        <v>1</v>
      </c>
    </row>
    <row r="278" spans="1:5" hidden="1" x14ac:dyDescent="0.25">
      <c r="A278" t="s">
        <v>803</v>
      </c>
      <c r="B278">
        <v>100173</v>
      </c>
      <c r="C278" t="s">
        <v>486</v>
      </c>
      <c r="D278">
        <v>48</v>
      </c>
      <c r="E278">
        <v>1</v>
      </c>
    </row>
    <row r="279" spans="1:5" hidden="1" x14ac:dyDescent="0.25">
      <c r="A279" t="s">
        <v>804</v>
      </c>
      <c r="B279">
        <v>900005</v>
      </c>
      <c r="C279" t="s">
        <v>651</v>
      </c>
      <c r="D279">
        <v>48</v>
      </c>
      <c r="E279">
        <v>1</v>
      </c>
    </row>
    <row r="280" spans="1:5" hidden="1" x14ac:dyDescent="0.25">
      <c r="A280" t="s">
        <v>805</v>
      </c>
      <c r="B280">
        <v>150184</v>
      </c>
      <c r="C280" t="s">
        <v>486</v>
      </c>
      <c r="D280">
        <v>48</v>
      </c>
      <c r="E280">
        <v>1</v>
      </c>
    </row>
    <row r="281" spans="1:5" hidden="1" x14ac:dyDescent="0.25">
      <c r="A281" t="s">
        <v>990</v>
      </c>
      <c r="B281">
        <v>612961</v>
      </c>
      <c r="C281" t="s">
        <v>206</v>
      </c>
      <c r="D281">
        <v>60</v>
      </c>
      <c r="E281">
        <v>2</v>
      </c>
    </row>
    <row r="282" spans="1:5" hidden="1" x14ac:dyDescent="0.25">
      <c r="A282" t="s">
        <v>990</v>
      </c>
      <c r="B282">
        <v>612157</v>
      </c>
      <c r="C282" t="s">
        <v>206</v>
      </c>
      <c r="D282">
        <v>60</v>
      </c>
      <c r="E282">
        <v>1</v>
      </c>
    </row>
    <row r="283" spans="1:5" hidden="1" x14ac:dyDescent="0.25">
      <c r="A283" t="s">
        <v>991</v>
      </c>
      <c r="B283">
        <v>612158</v>
      </c>
      <c r="C283" t="s">
        <v>206</v>
      </c>
      <c r="D283">
        <v>60</v>
      </c>
      <c r="E283">
        <v>1</v>
      </c>
    </row>
    <row r="284" spans="1:5" hidden="1" x14ac:dyDescent="0.25">
      <c r="A284" t="s">
        <v>991</v>
      </c>
      <c r="B284">
        <v>612161</v>
      </c>
      <c r="C284" t="s">
        <v>206</v>
      </c>
      <c r="D284">
        <v>60</v>
      </c>
      <c r="E284">
        <v>1</v>
      </c>
    </row>
    <row r="285" spans="1:5" hidden="1" x14ac:dyDescent="0.25">
      <c r="A285" t="s">
        <v>992</v>
      </c>
      <c r="B285">
        <v>612963</v>
      </c>
      <c r="C285" t="s">
        <v>206</v>
      </c>
      <c r="D285">
        <v>60</v>
      </c>
      <c r="E285">
        <v>1</v>
      </c>
    </row>
    <row r="286" spans="1:5" hidden="1" x14ac:dyDescent="0.25">
      <c r="A286" t="s">
        <v>992</v>
      </c>
      <c r="B286">
        <v>612159</v>
      </c>
      <c r="C286" t="s">
        <v>206</v>
      </c>
      <c r="D286">
        <v>60</v>
      </c>
      <c r="E286">
        <v>2</v>
      </c>
    </row>
    <row r="287" spans="1:5" hidden="1" x14ac:dyDescent="0.25">
      <c r="A287" t="s">
        <v>999</v>
      </c>
      <c r="B287">
        <v>150990</v>
      </c>
      <c r="C287" t="s">
        <v>605</v>
      </c>
      <c r="D287">
        <v>10</v>
      </c>
      <c r="E287">
        <v>1</v>
      </c>
    </row>
    <row r="288" spans="1:5" hidden="1" x14ac:dyDescent="0.25">
      <c r="A288" t="s">
        <v>1008</v>
      </c>
      <c r="B288">
        <v>900053</v>
      </c>
      <c r="C288" t="s">
        <v>552</v>
      </c>
      <c r="D288">
        <v>1</v>
      </c>
      <c r="E288">
        <v>1</v>
      </c>
    </row>
    <row r="289" spans="1:5" hidden="1" x14ac:dyDescent="0.25">
      <c r="A289" t="s">
        <v>1013</v>
      </c>
      <c r="B289">
        <v>100992</v>
      </c>
      <c r="C289" t="s">
        <v>479</v>
      </c>
      <c r="D289">
        <v>24</v>
      </c>
      <c r="E289">
        <v>1</v>
      </c>
    </row>
    <row r="290" spans="1:5" hidden="1" x14ac:dyDescent="0.25">
      <c r="A290" t="s">
        <v>1032</v>
      </c>
      <c r="B290">
        <v>101001</v>
      </c>
      <c r="C290" t="s">
        <v>479</v>
      </c>
      <c r="D290">
        <v>60</v>
      </c>
      <c r="E290">
        <v>1</v>
      </c>
    </row>
    <row r="291" spans="1:5" hidden="1" x14ac:dyDescent="0.25">
      <c r="A291" t="s">
        <v>1042</v>
      </c>
      <c r="B291">
        <v>120045</v>
      </c>
      <c r="C291" t="s">
        <v>605</v>
      </c>
      <c r="D291">
        <v>12</v>
      </c>
      <c r="E291">
        <v>1</v>
      </c>
    </row>
    <row r="292" spans="1:5" hidden="1" x14ac:dyDescent="0.25">
      <c r="A292" t="s">
        <v>1043</v>
      </c>
      <c r="B292">
        <v>460197</v>
      </c>
      <c r="C292" t="s">
        <v>552</v>
      </c>
      <c r="D292">
        <v>48</v>
      </c>
      <c r="E292">
        <v>1</v>
      </c>
    </row>
    <row r="293" spans="1:5" hidden="1" x14ac:dyDescent="0.25">
      <c r="A293" t="s">
        <v>1044</v>
      </c>
      <c r="B293">
        <v>150994</v>
      </c>
      <c r="C293" t="s">
        <v>605</v>
      </c>
      <c r="D293">
        <v>12</v>
      </c>
      <c r="E293">
        <v>1</v>
      </c>
    </row>
    <row r="294" spans="1:5" hidden="1" x14ac:dyDescent="0.25">
      <c r="A294" t="s">
        <v>1044</v>
      </c>
      <c r="B294">
        <v>150995</v>
      </c>
      <c r="C294" t="s">
        <v>605</v>
      </c>
      <c r="D294">
        <v>12</v>
      </c>
      <c r="E294">
        <v>2</v>
      </c>
    </row>
    <row r="295" spans="1:5" hidden="1" x14ac:dyDescent="0.25">
      <c r="A295" t="s">
        <v>1056</v>
      </c>
      <c r="B295">
        <v>120042</v>
      </c>
      <c r="C295" t="s">
        <v>506</v>
      </c>
      <c r="D295">
        <v>6</v>
      </c>
      <c r="E295">
        <v>2</v>
      </c>
    </row>
    <row r="296" spans="1:5" hidden="1" x14ac:dyDescent="0.25">
      <c r="A296" t="s">
        <v>1071</v>
      </c>
      <c r="B296">
        <v>120036</v>
      </c>
      <c r="C296" t="s">
        <v>486</v>
      </c>
      <c r="D296">
        <v>48</v>
      </c>
      <c r="E296">
        <v>3</v>
      </c>
    </row>
    <row r="297" spans="1:5" hidden="1" x14ac:dyDescent="0.25">
      <c r="A297" t="s">
        <v>1079</v>
      </c>
      <c r="B297">
        <v>100241</v>
      </c>
      <c r="C297" t="s">
        <v>479</v>
      </c>
      <c r="D297">
        <v>12</v>
      </c>
      <c r="E297">
        <v>1</v>
      </c>
    </row>
    <row r="298" spans="1:5" hidden="1" x14ac:dyDescent="0.25">
      <c r="A298" t="s">
        <v>1085</v>
      </c>
      <c r="B298">
        <v>410076</v>
      </c>
      <c r="C298" t="s">
        <v>545</v>
      </c>
      <c r="D298">
        <v>6</v>
      </c>
      <c r="E298">
        <v>1</v>
      </c>
    </row>
    <row r="299" spans="1:5" hidden="1" x14ac:dyDescent="0.25">
      <c r="A299" t="s">
        <v>1090</v>
      </c>
      <c r="B299">
        <v>400154</v>
      </c>
      <c r="C299" t="s">
        <v>486</v>
      </c>
      <c r="D299">
        <v>12</v>
      </c>
      <c r="E299">
        <v>3</v>
      </c>
    </row>
    <row r="300" spans="1:5" hidden="1" x14ac:dyDescent="0.25">
      <c r="A300" t="s">
        <v>1093</v>
      </c>
      <c r="B300" t="s">
        <v>1102</v>
      </c>
      <c r="C300" t="s">
        <v>479</v>
      </c>
      <c r="D300" t="s">
        <v>1102</v>
      </c>
      <c r="E300">
        <v>1</v>
      </c>
    </row>
    <row r="301" spans="1:5" hidden="1" x14ac:dyDescent="0.25">
      <c r="A301" t="s">
        <v>1095</v>
      </c>
      <c r="B301">
        <v>150984</v>
      </c>
      <c r="C301" t="s">
        <v>486</v>
      </c>
      <c r="D301">
        <v>24</v>
      </c>
      <c r="E301">
        <v>1</v>
      </c>
    </row>
    <row r="302" spans="1:5" hidden="1" x14ac:dyDescent="0.25">
      <c r="A302" t="s">
        <v>1103</v>
      </c>
      <c r="B302">
        <v>900044</v>
      </c>
      <c r="C302" t="s">
        <v>552</v>
      </c>
      <c r="D302">
        <v>1</v>
      </c>
      <c r="E302">
        <v>1</v>
      </c>
    </row>
    <row r="303" spans="1:5" hidden="1" x14ac:dyDescent="0.25">
      <c r="A303" t="s">
        <v>2995</v>
      </c>
      <c r="B303">
        <v>150204</v>
      </c>
      <c r="C303" t="s">
        <v>591</v>
      </c>
      <c r="D303">
        <v>21</v>
      </c>
      <c r="E303">
        <v>2</v>
      </c>
    </row>
    <row r="304" spans="1:5" hidden="1" x14ac:dyDescent="0.25">
      <c r="A304" t="s">
        <v>2995</v>
      </c>
      <c r="B304">
        <v>150326</v>
      </c>
      <c r="C304" t="s">
        <v>591</v>
      </c>
      <c r="D304">
        <v>21</v>
      </c>
      <c r="E304">
        <v>3</v>
      </c>
    </row>
    <row r="305" spans="1:5" hidden="1" x14ac:dyDescent="0.25">
      <c r="A305" t="s">
        <v>2995</v>
      </c>
      <c r="B305">
        <v>150409</v>
      </c>
      <c r="C305" t="s">
        <v>591</v>
      </c>
      <c r="D305">
        <v>21</v>
      </c>
      <c r="E305">
        <v>1</v>
      </c>
    </row>
  </sheetData>
  <pageMargins left="0.7" right="0.7" top="0.75" bottom="0.75" header="0.3" footer="0.3"/>
  <pageSetup orientation="portrait" horizontalDpi="120" verticalDpi="72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9524-3625-4C5F-A39A-C3AC8C76DE06}">
  <sheetPr>
    <tabColor rgb="FFFFFF00"/>
  </sheetPr>
  <dimension ref="A1:W160"/>
  <sheetViews>
    <sheetView topLeftCell="A55" workbookViewId="0">
      <selection activeCell="B75" sqref="B75"/>
    </sheetView>
  </sheetViews>
  <sheetFormatPr defaultRowHeight="15" x14ac:dyDescent="0.25"/>
  <cols>
    <col min="1" max="1" width="16.85546875" bestFit="1" customWidth="1"/>
    <col min="2" max="2" width="56" bestFit="1" customWidth="1"/>
    <col min="3" max="3" width="9.85546875" bestFit="1" customWidth="1"/>
    <col min="4" max="4" width="10.7109375" bestFit="1" customWidth="1"/>
    <col min="5" max="5" width="20.28515625" bestFit="1" customWidth="1"/>
    <col min="6" max="6" width="22.7109375" bestFit="1" customWidth="1"/>
    <col min="7" max="7" width="22.85546875" bestFit="1" customWidth="1"/>
    <col min="8" max="8" width="23" bestFit="1" customWidth="1"/>
    <col min="9" max="9" width="22.7109375" bestFit="1" customWidth="1"/>
    <col min="10" max="10" width="25.7109375" bestFit="1" customWidth="1"/>
    <col min="11" max="11" width="25.85546875" bestFit="1" customWidth="1"/>
    <col min="12" max="12" width="25.28515625" bestFit="1" customWidth="1"/>
    <col min="13" max="13" width="25.7109375" bestFit="1" customWidth="1"/>
    <col min="14" max="14" width="26.140625" bestFit="1" customWidth="1"/>
    <col min="15" max="15" width="26.28515625" bestFit="1" customWidth="1"/>
    <col min="16" max="16" width="26.42578125" bestFit="1" customWidth="1"/>
    <col min="17" max="17" width="26.140625" bestFit="1" customWidth="1"/>
    <col min="18" max="18" width="24.28515625" bestFit="1" customWidth="1"/>
    <col min="19" max="23" width="14.28515625" bestFit="1" customWidth="1"/>
  </cols>
  <sheetData>
    <row r="1" spans="1:23" x14ac:dyDescent="0.25">
      <c r="A1" t="s">
        <v>980</v>
      </c>
      <c r="B1" t="s">
        <v>981</v>
      </c>
      <c r="C1" t="s">
        <v>6</v>
      </c>
      <c r="D1" t="s">
        <v>3</v>
      </c>
      <c r="E1" t="s">
        <v>982</v>
      </c>
      <c r="F1" t="s">
        <v>43</v>
      </c>
      <c r="G1" t="s">
        <v>42</v>
      </c>
      <c r="H1" t="s">
        <v>44</v>
      </c>
      <c r="I1" t="s">
        <v>45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983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</row>
    <row r="2" spans="1:23" x14ac:dyDescent="0.25">
      <c r="A2" t="s">
        <v>667</v>
      </c>
      <c r="B2" t="s">
        <v>806</v>
      </c>
      <c r="C2">
        <v>48</v>
      </c>
      <c r="D2" t="s">
        <v>479</v>
      </c>
      <c r="E2" t="s">
        <v>946</v>
      </c>
      <c r="F2">
        <v>1354.9536000000001</v>
      </c>
      <c r="G2">
        <v>65037.772800000006</v>
      </c>
      <c r="H2">
        <v>1503.9984960000002</v>
      </c>
      <c r="I2">
        <v>72191.927808000008</v>
      </c>
      <c r="J2">
        <v>1441.44</v>
      </c>
      <c r="K2">
        <v>69189.119999999995</v>
      </c>
      <c r="L2">
        <v>1599.9984000000002</v>
      </c>
      <c r="M2">
        <v>76799.923200000005</v>
      </c>
      <c r="N2">
        <v>1556.76</v>
      </c>
      <c r="O2">
        <v>74724.479999999996</v>
      </c>
      <c r="P2">
        <v>1728.0036000000002</v>
      </c>
      <c r="Q2">
        <v>82944.172800000015</v>
      </c>
      <c r="R2" t="s">
        <v>656</v>
      </c>
      <c r="S2">
        <f>IFERROR(VLOOKUP(CONCATENATE(Fix_Mapping[[#This Row],[KODE BARANG]],1),'Form Fix'!$A$6:$F$1063,4,0),0)</f>
        <v>100189</v>
      </c>
      <c r="T2">
        <f>IFERROR(VLOOKUP(CONCATENATE(Fix_Mapping[[#This Row],[KODE BARANG]],2),'Form Fix'!$A$6:$F$1063,4,0),0)</f>
        <v>100222</v>
      </c>
      <c r="U2">
        <f>IFERROR(VLOOKUP(CONCATENATE(Fix_Mapping[[#This Row],[KODE BARANG]],3),'Form Fix'!$A$6:$F$1063,4,0),0)</f>
        <v>100240</v>
      </c>
      <c r="V2">
        <f>IFERROR(VLOOKUP(CONCATENATE(Fix_Mapping[[#This Row],[KODE BARANG]],4),'Form Fix'!$A$6:$F$1063,4,0),0)</f>
        <v>0</v>
      </c>
      <c r="W2">
        <f>IFERROR(VLOOKUP(CONCATENATE(Fix_Mapping[[#This Row],[KODE BARANG]],5),'Form Fix'!$A$6:$F$1063,4,0),0)</f>
        <v>0</v>
      </c>
    </row>
    <row r="3" spans="1:23" x14ac:dyDescent="0.25">
      <c r="A3" t="s">
        <v>668</v>
      </c>
      <c r="B3" t="s">
        <v>807</v>
      </c>
      <c r="C3">
        <v>48</v>
      </c>
      <c r="D3" t="s">
        <v>479</v>
      </c>
      <c r="E3" t="s">
        <v>946</v>
      </c>
      <c r="F3">
        <v>1129.1280000000002</v>
      </c>
      <c r="G3">
        <v>54198.144000000008</v>
      </c>
      <c r="H3">
        <v>1253.3320800000004</v>
      </c>
      <c r="I3">
        <v>60159.939840000014</v>
      </c>
      <c r="J3">
        <v>1201.2</v>
      </c>
      <c r="K3">
        <v>57657.600000000006</v>
      </c>
      <c r="L3">
        <v>1333.3320000000001</v>
      </c>
      <c r="M3">
        <v>63999.936000000009</v>
      </c>
      <c r="N3">
        <v>1297.3</v>
      </c>
      <c r="O3">
        <v>62270.399999999994</v>
      </c>
      <c r="P3">
        <v>1440.0030000000002</v>
      </c>
      <c r="Q3">
        <v>69120.144</v>
      </c>
      <c r="R3" t="s">
        <v>656</v>
      </c>
      <c r="S3">
        <f>IFERROR(VLOOKUP(CONCATENATE(Fix_Mapping[[#This Row],[KODE BARANG]],1),'Form Fix'!$A$6:$F$1063,4,0),0)</f>
        <v>100986</v>
      </c>
      <c r="T3">
        <f>IFERROR(VLOOKUP(CONCATENATE(Fix_Mapping[[#This Row],[KODE BARANG]],2),'Form Fix'!$A$6:$F$1063,4,0),0)</f>
        <v>0</v>
      </c>
      <c r="U3">
        <f>IFERROR(VLOOKUP(CONCATENATE(Fix_Mapping[[#This Row],[KODE BARANG]],3),'Form Fix'!$A$6:$F$1063,4,0),0)</f>
        <v>0</v>
      </c>
      <c r="V3">
        <f>IFERROR(VLOOKUP(CONCATENATE(Fix_Mapping[[#This Row],[KODE BARANG]],4),'Form Fix'!$A$6:$F$1063,4,0),0)</f>
        <v>0</v>
      </c>
      <c r="W3">
        <f>IFERROR(VLOOKUP(CONCATENATE(Fix_Mapping[[#This Row],[KODE BARANG]],5),'Form Fix'!$A$6:$F$1063,4,0),0)</f>
        <v>0</v>
      </c>
    </row>
    <row r="4" spans="1:23" x14ac:dyDescent="0.25">
      <c r="A4" t="s">
        <v>669</v>
      </c>
      <c r="B4" t="s">
        <v>808</v>
      </c>
      <c r="C4">
        <v>48</v>
      </c>
      <c r="D4" t="s">
        <v>479</v>
      </c>
      <c r="E4" t="s">
        <v>946</v>
      </c>
      <c r="F4">
        <v>1990.0927999999999</v>
      </c>
      <c r="G4">
        <v>95524.454399999988</v>
      </c>
      <c r="H4">
        <v>2209.0030080000001</v>
      </c>
      <c r="I4">
        <v>106032.144384</v>
      </c>
      <c r="J4">
        <v>2117.12</v>
      </c>
      <c r="K4">
        <v>101621.75999999999</v>
      </c>
      <c r="L4">
        <v>2350.0032000000001</v>
      </c>
      <c r="M4">
        <v>112800.15360000001</v>
      </c>
      <c r="N4">
        <v>2286.4864864864871</v>
      </c>
      <c r="O4">
        <v>109751.35135135139</v>
      </c>
      <c r="P4">
        <v>2538.0000000000009</v>
      </c>
      <c r="Q4">
        <v>121824.00000000004</v>
      </c>
      <c r="R4" t="s">
        <v>656</v>
      </c>
      <c r="S4">
        <f>IFERROR(VLOOKUP(CONCATENATE(Fix_Mapping[[#This Row],[KODE BARANG]],1),'Form Fix'!$A$6:$F$1063,4,0),0)</f>
        <v>100179</v>
      </c>
      <c r="T4">
        <f>IFERROR(VLOOKUP(CONCATENATE(Fix_Mapping[[#This Row],[KODE BARANG]],2),'Form Fix'!$A$6:$F$1063,4,0),0)</f>
        <v>0</v>
      </c>
      <c r="U4">
        <f>IFERROR(VLOOKUP(CONCATENATE(Fix_Mapping[[#This Row],[KODE BARANG]],3),'Form Fix'!$A$6:$F$1063,4,0),0)</f>
        <v>0</v>
      </c>
      <c r="V4">
        <f>IFERROR(VLOOKUP(CONCATENATE(Fix_Mapping[[#This Row],[KODE BARANG]],4),'Form Fix'!$A$6:$F$1063,4,0),0)</f>
        <v>0</v>
      </c>
      <c r="W4">
        <f>IFERROR(VLOOKUP(CONCATENATE(Fix_Mapping[[#This Row],[KODE BARANG]],5),'Form Fix'!$A$6:$F$1063,4,0),0)</f>
        <v>0</v>
      </c>
    </row>
    <row r="5" spans="1:23" x14ac:dyDescent="0.25">
      <c r="A5" t="s">
        <v>750</v>
      </c>
      <c r="B5" t="s">
        <v>809</v>
      </c>
      <c r="C5">
        <v>48</v>
      </c>
      <c r="D5" t="s">
        <v>486</v>
      </c>
      <c r="E5" t="s">
        <v>946</v>
      </c>
      <c r="F5">
        <v>6382.6</v>
      </c>
      <c r="G5">
        <v>306364.80000000005</v>
      </c>
      <c r="H5">
        <v>7084.6860000000006</v>
      </c>
      <c r="I5">
        <v>340064.92800000007</v>
      </c>
      <c r="J5">
        <v>6790</v>
      </c>
      <c r="K5">
        <v>325920</v>
      </c>
      <c r="L5">
        <v>7536.9000000000005</v>
      </c>
      <c r="M5">
        <v>361771.2</v>
      </c>
      <c r="N5">
        <v>0</v>
      </c>
      <c r="O5">
        <v>0</v>
      </c>
      <c r="P5">
        <v>0</v>
      </c>
      <c r="Q5">
        <v>0</v>
      </c>
      <c r="R5" t="s">
        <v>656</v>
      </c>
      <c r="S5">
        <f>IFERROR(VLOOKUP(CONCATENATE(Fix_Mapping[[#This Row],[KODE BARANG]],1),'Form Fix'!$A$6:$F$1063,4,0),0)</f>
        <v>100234</v>
      </c>
      <c r="T5">
        <f>IFERROR(VLOOKUP(CONCATENATE(Fix_Mapping[[#This Row],[KODE BARANG]],2),'Form Fix'!$A$6:$F$1063,4,0),0)</f>
        <v>0</v>
      </c>
      <c r="U5">
        <f>IFERROR(VLOOKUP(CONCATENATE(Fix_Mapping[[#This Row],[KODE BARANG]],3),'Form Fix'!$A$6:$F$1063,4,0),0)</f>
        <v>0</v>
      </c>
      <c r="V5">
        <f>IFERROR(VLOOKUP(CONCATENATE(Fix_Mapping[[#This Row],[KODE BARANG]],4),'Form Fix'!$A$6:$F$1063,4,0),0)</f>
        <v>0</v>
      </c>
      <c r="W5">
        <f>IFERROR(VLOOKUP(CONCATENATE(Fix_Mapping[[#This Row],[KODE BARANG]],5),'Form Fix'!$A$6:$F$1063,4,0),0)</f>
        <v>0</v>
      </c>
    </row>
    <row r="6" spans="1:23" x14ac:dyDescent="0.25">
      <c r="A6" t="s">
        <v>678</v>
      </c>
      <c r="B6" t="s">
        <v>809</v>
      </c>
      <c r="C6">
        <v>48</v>
      </c>
      <c r="D6" t="s">
        <v>486</v>
      </c>
      <c r="E6" t="s">
        <v>946</v>
      </c>
      <c r="F6">
        <v>7181.2616000000007</v>
      </c>
      <c r="G6">
        <v>344700.55680000002</v>
      </c>
      <c r="H6">
        <v>7971.2003760000016</v>
      </c>
      <c r="I6">
        <v>382617.61804800003</v>
      </c>
      <c r="J6">
        <v>7639.64</v>
      </c>
      <c r="K6">
        <v>366702.72000000003</v>
      </c>
      <c r="L6">
        <v>8480.0004000000008</v>
      </c>
      <c r="M6">
        <v>407040.0192000001</v>
      </c>
      <c r="N6">
        <v>8250.81</v>
      </c>
      <c r="O6">
        <v>396038.88</v>
      </c>
      <c r="P6">
        <v>9158.3991000000005</v>
      </c>
      <c r="Q6">
        <v>439603.1568</v>
      </c>
      <c r="R6" t="s">
        <v>656</v>
      </c>
      <c r="S6">
        <f>IFERROR(VLOOKUP(CONCATENATE(Fix_Mapping[[#This Row],[KODE BARANG]],1),'Form Fix'!$A$6:$F$1063,4,0),0)</f>
        <v>100161</v>
      </c>
      <c r="T6">
        <f>IFERROR(VLOOKUP(CONCATENATE(Fix_Mapping[[#This Row],[KODE BARANG]],2),'Form Fix'!$A$6:$F$1063,4,0),0)</f>
        <v>0</v>
      </c>
      <c r="U6">
        <f>IFERROR(VLOOKUP(CONCATENATE(Fix_Mapping[[#This Row],[KODE BARANG]],3),'Form Fix'!$A$6:$F$1063,4,0),0)</f>
        <v>0</v>
      </c>
      <c r="V6">
        <f>IFERROR(VLOOKUP(CONCATENATE(Fix_Mapping[[#This Row],[KODE BARANG]],4),'Form Fix'!$A$6:$F$1063,4,0),0)</f>
        <v>0</v>
      </c>
      <c r="W6">
        <f>IFERROR(VLOOKUP(CONCATENATE(Fix_Mapping[[#This Row],[KODE BARANG]],5),'Form Fix'!$A$6:$F$1063,4,0),0)</f>
        <v>0</v>
      </c>
    </row>
    <row r="7" spans="1:23" x14ac:dyDescent="0.25">
      <c r="A7" t="s">
        <v>671</v>
      </c>
      <c r="B7" t="s">
        <v>810</v>
      </c>
      <c r="C7">
        <v>24</v>
      </c>
      <c r="D7" t="s">
        <v>479</v>
      </c>
      <c r="E7" t="s">
        <v>946</v>
      </c>
      <c r="F7">
        <v>6117.2849999999999</v>
      </c>
      <c r="G7">
        <v>146814.84</v>
      </c>
      <c r="H7">
        <v>6790.1863500000009</v>
      </c>
      <c r="I7">
        <v>162964.4724</v>
      </c>
      <c r="J7">
        <v>6507.75</v>
      </c>
      <c r="K7">
        <v>156186</v>
      </c>
      <c r="L7">
        <v>7223.6025000000009</v>
      </c>
      <c r="M7">
        <v>173366.46000000002</v>
      </c>
      <c r="N7">
        <v>7028.37</v>
      </c>
      <c r="O7">
        <v>168680.88</v>
      </c>
      <c r="P7">
        <v>7801.4907000000003</v>
      </c>
      <c r="Q7">
        <v>187235.77679999999</v>
      </c>
      <c r="R7" t="s">
        <v>656</v>
      </c>
      <c r="S7">
        <f>IFERROR(VLOOKUP(CONCATENATE(Fix_Mapping[[#This Row],[KODE BARANG]],1),'Form Fix'!$A$6:$F$1063,4,0),0)</f>
        <v>100220</v>
      </c>
      <c r="T7">
        <f>IFERROR(VLOOKUP(CONCATENATE(Fix_Mapping[[#This Row],[KODE BARANG]],2),'Form Fix'!$A$6:$F$1063,4,0),0)</f>
        <v>100238</v>
      </c>
      <c r="U7">
        <f>IFERROR(VLOOKUP(CONCATENATE(Fix_Mapping[[#This Row],[KODE BARANG]],3),'Form Fix'!$A$6:$F$1063,4,0),0)</f>
        <v>0</v>
      </c>
      <c r="V7">
        <f>IFERROR(VLOOKUP(CONCATENATE(Fix_Mapping[[#This Row],[KODE BARANG]],4),'Form Fix'!$A$6:$F$1063,4,0),0)</f>
        <v>0</v>
      </c>
      <c r="W7">
        <f>IFERROR(VLOOKUP(CONCATENATE(Fix_Mapping[[#This Row],[KODE BARANG]],5),'Form Fix'!$A$6:$F$1063,4,0),0)</f>
        <v>0</v>
      </c>
    </row>
    <row r="8" spans="1:23" x14ac:dyDescent="0.25">
      <c r="A8" t="s">
        <v>1013</v>
      </c>
      <c r="B8" t="s">
        <v>1014</v>
      </c>
      <c r="C8">
        <v>24</v>
      </c>
      <c r="D8" t="s">
        <v>479</v>
      </c>
      <c r="E8" t="s">
        <v>946</v>
      </c>
      <c r="F8">
        <v>6117.2849999999999</v>
      </c>
      <c r="G8">
        <v>146814.84</v>
      </c>
      <c r="H8">
        <v>6790.1863500000009</v>
      </c>
      <c r="I8">
        <v>162964.4724</v>
      </c>
      <c r="J8">
        <v>6507.75</v>
      </c>
      <c r="K8">
        <v>156186</v>
      </c>
      <c r="L8">
        <v>7223.6025000000009</v>
      </c>
      <c r="M8">
        <v>173366.46000000002</v>
      </c>
      <c r="N8">
        <v>7028.37</v>
      </c>
      <c r="O8">
        <v>168680.88</v>
      </c>
      <c r="P8">
        <v>7801.4907000000003</v>
      </c>
      <c r="Q8">
        <v>187235.77679999999</v>
      </c>
      <c r="R8" t="s">
        <v>656</v>
      </c>
      <c r="S8">
        <f>IFERROR(VLOOKUP(CONCATENATE(Fix_Mapping[[#This Row],[KODE BARANG]],1),'Form Fix'!$A$6:$F$1063,4,0),0)</f>
        <v>100992</v>
      </c>
      <c r="T8">
        <f>IFERROR(VLOOKUP(CONCATENATE(Fix_Mapping[[#This Row],[KODE BARANG]],2),'Form Fix'!$A$6:$F$1063,4,0),0)</f>
        <v>0</v>
      </c>
      <c r="U8">
        <f>IFERROR(VLOOKUP(CONCATENATE(Fix_Mapping[[#This Row],[KODE BARANG]],3),'Form Fix'!$A$6:$F$1063,4,0),0)</f>
        <v>0</v>
      </c>
      <c r="V8">
        <f>IFERROR(VLOOKUP(CONCATENATE(Fix_Mapping[[#This Row],[KODE BARANG]],4),'Form Fix'!$A$6:$F$1063,4,0),0)</f>
        <v>0</v>
      </c>
      <c r="W8">
        <f>IFERROR(VLOOKUP(CONCATENATE(Fix_Mapping[[#This Row],[KODE BARANG]],5),'Form Fix'!$A$6:$F$1063,4,0),0)</f>
        <v>0</v>
      </c>
    </row>
    <row r="9" spans="1:23" x14ac:dyDescent="0.25">
      <c r="A9" t="s">
        <v>679</v>
      </c>
      <c r="B9" t="s">
        <v>811</v>
      </c>
      <c r="C9">
        <v>24</v>
      </c>
      <c r="D9" t="s">
        <v>486</v>
      </c>
      <c r="E9" t="s">
        <v>946</v>
      </c>
      <c r="F9">
        <v>15649.731000000002</v>
      </c>
      <c r="G9">
        <v>375593.54400000005</v>
      </c>
      <c r="H9">
        <v>17371.201410000001</v>
      </c>
      <c r="I9">
        <v>416908.83384000009</v>
      </c>
      <c r="J9">
        <v>16648.650000000001</v>
      </c>
      <c r="K9">
        <v>399567.60000000003</v>
      </c>
      <c r="L9">
        <v>18480.001500000002</v>
      </c>
      <c r="M9">
        <v>443520.03600000008</v>
      </c>
      <c r="N9">
        <v>17980.54</v>
      </c>
      <c r="O9">
        <v>431532.96</v>
      </c>
      <c r="P9">
        <v>19958.399400000002</v>
      </c>
      <c r="Q9">
        <v>479001.58560000005</v>
      </c>
      <c r="R9" t="s">
        <v>656</v>
      </c>
      <c r="S9">
        <f>IFERROR(VLOOKUP(CONCATENATE(Fix_Mapping[[#This Row],[KODE BARANG]],1),'Form Fix'!$A$6:$F$1063,4,0),0)</f>
        <v>100162</v>
      </c>
      <c r="T9">
        <f>IFERROR(VLOOKUP(CONCATENATE(Fix_Mapping[[#This Row],[KODE BARANG]],2),'Form Fix'!$A$6:$F$1063,4,0),0)</f>
        <v>100236</v>
      </c>
      <c r="U9">
        <f>IFERROR(VLOOKUP(CONCATENATE(Fix_Mapping[[#This Row],[KODE BARANG]],3),'Form Fix'!$A$6:$F$1063,4,0),0)</f>
        <v>0</v>
      </c>
      <c r="V9">
        <f>IFERROR(VLOOKUP(CONCATENATE(Fix_Mapping[[#This Row],[KODE BARANG]],4),'Form Fix'!$A$6:$F$1063,4,0),0)</f>
        <v>0</v>
      </c>
      <c r="W9">
        <f>IFERROR(VLOOKUP(CONCATENATE(Fix_Mapping[[#This Row],[KODE BARANG]],5),'Form Fix'!$A$6:$F$1063,4,0),0)</f>
        <v>0</v>
      </c>
    </row>
    <row r="10" spans="1:23" x14ac:dyDescent="0.25">
      <c r="A10" t="s">
        <v>670</v>
      </c>
      <c r="B10" t="s">
        <v>812</v>
      </c>
      <c r="C10">
        <v>24</v>
      </c>
      <c r="D10" t="s">
        <v>479</v>
      </c>
      <c r="E10" t="s">
        <v>946</v>
      </c>
      <c r="F10">
        <v>8383.7847999999994</v>
      </c>
      <c r="G10">
        <v>201210.83519999997</v>
      </c>
      <c r="H10">
        <v>9306.0011279999999</v>
      </c>
      <c r="I10">
        <v>223344.027072</v>
      </c>
      <c r="J10">
        <v>8918.92</v>
      </c>
      <c r="K10">
        <v>214054.08000000002</v>
      </c>
      <c r="L10">
        <v>9900.0012000000006</v>
      </c>
      <c r="M10">
        <v>237600.02880000003</v>
      </c>
      <c r="N10">
        <v>9632.43</v>
      </c>
      <c r="O10">
        <v>231178.32</v>
      </c>
      <c r="P10">
        <v>10691.997300000001</v>
      </c>
      <c r="Q10">
        <v>256607.93520000001</v>
      </c>
      <c r="R10" t="s">
        <v>656</v>
      </c>
      <c r="S10">
        <f>IFERROR(VLOOKUP(CONCATENATE(Fix_Mapping[[#This Row],[KODE BARANG]],1),'Form Fix'!$A$6:$F$1063,4,0),0)</f>
        <v>100158</v>
      </c>
      <c r="T10">
        <f>IFERROR(VLOOKUP(CONCATENATE(Fix_Mapping[[#This Row],[KODE BARANG]],2),'Form Fix'!$A$6:$F$1063,4,0),0)</f>
        <v>100172</v>
      </c>
      <c r="U10">
        <f>IFERROR(VLOOKUP(CONCATENATE(Fix_Mapping[[#This Row],[KODE BARANG]],3),'Form Fix'!$A$6:$F$1063,4,0),0)</f>
        <v>0</v>
      </c>
      <c r="V10">
        <f>IFERROR(VLOOKUP(CONCATENATE(Fix_Mapping[[#This Row],[KODE BARANG]],4),'Form Fix'!$A$6:$F$1063,4,0),0)</f>
        <v>0</v>
      </c>
      <c r="W10">
        <f>IFERROR(VLOOKUP(CONCATENATE(Fix_Mapping[[#This Row],[KODE BARANG]],5),'Form Fix'!$A$6:$F$1063,4,0),0)</f>
        <v>0</v>
      </c>
    </row>
    <row r="11" spans="1:23" x14ac:dyDescent="0.25">
      <c r="A11" t="s">
        <v>751</v>
      </c>
      <c r="B11" t="s">
        <v>813</v>
      </c>
      <c r="C11">
        <v>12</v>
      </c>
      <c r="D11" t="s">
        <v>479</v>
      </c>
      <c r="E11" t="s">
        <v>946</v>
      </c>
      <c r="F11">
        <v>16126.875</v>
      </c>
      <c r="G11">
        <v>193522.5</v>
      </c>
      <c r="H11">
        <v>17900.831250000003</v>
      </c>
      <c r="I11">
        <v>214809.97500000001</v>
      </c>
      <c r="J11">
        <v>17156.25</v>
      </c>
      <c r="K11">
        <v>205875</v>
      </c>
      <c r="L11">
        <v>19043.4375</v>
      </c>
      <c r="M11">
        <v>228521.25000000003</v>
      </c>
      <c r="N11">
        <v>0</v>
      </c>
      <c r="O11">
        <v>0</v>
      </c>
      <c r="P11">
        <v>0</v>
      </c>
      <c r="Q11">
        <v>0</v>
      </c>
      <c r="R11" t="s">
        <v>656</v>
      </c>
      <c r="S11">
        <f>IFERROR(VLOOKUP(CONCATENATE(Fix_Mapping[[#This Row],[KODE BARANG]],1),'Form Fix'!$A$6:$F$1063,4,0),0)</f>
        <v>100991</v>
      </c>
      <c r="T11">
        <f>IFERROR(VLOOKUP(CONCATENATE(Fix_Mapping[[#This Row],[KODE BARANG]],2),'Form Fix'!$A$6:$F$1063,4,0),0)</f>
        <v>109002</v>
      </c>
      <c r="U11">
        <f>IFERROR(VLOOKUP(CONCATENATE(Fix_Mapping[[#This Row],[KODE BARANG]],3),'Form Fix'!$A$6:$F$1063,4,0),0)</f>
        <v>109001</v>
      </c>
      <c r="V11">
        <f>IFERROR(VLOOKUP(CONCATENATE(Fix_Mapping[[#This Row],[KODE BARANG]],4),'Form Fix'!$A$6:$F$1063,4,0),0)</f>
        <v>0</v>
      </c>
      <c r="W11">
        <f>IFERROR(VLOOKUP(CONCATENATE(Fix_Mapping[[#This Row],[KODE BARANG]],5),'Form Fix'!$A$6:$F$1063,4,0),0)</f>
        <v>0</v>
      </c>
    </row>
    <row r="12" spans="1:23" x14ac:dyDescent="0.25">
      <c r="A12" t="s">
        <v>674</v>
      </c>
      <c r="B12" t="s">
        <v>814</v>
      </c>
      <c r="C12">
        <v>12</v>
      </c>
      <c r="D12" t="s">
        <v>479</v>
      </c>
      <c r="E12" t="s">
        <v>946</v>
      </c>
      <c r="F12">
        <v>16126.921999999999</v>
      </c>
      <c r="G12">
        <v>193523.06399999998</v>
      </c>
      <c r="H12">
        <v>17900.883419999998</v>
      </c>
      <c r="I12">
        <v>214810.60104000001</v>
      </c>
      <c r="J12">
        <v>17156.3</v>
      </c>
      <c r="K12">
        <v>205875.59999999998</v>
      </c>
      <c r="L12">
        <v>19043.493000000002</v>
      </c>
      <c r="M12">
        <v>228521.916</v>
      </c>
      <c r="N12">
        <v>18528.804</v>
      </c>
      <c r="O12">
        <v>222345.64799999999</v>
      </c>
      <c r="P12">
        <v>20566.972440000001</v>
      </c>
      <c r="Q12">
        <v>246803.66928000003</v>
      </c>
      <c r="R12" t="s">
        <v>656</v>
      </c>
      <c r="S12">
        <f>IFERROR(VLOOKUP(CONCATENATE(Fix_Mapping[[#This Row],[KODE BARANG]],1),'Form Fix'!$A$6:$F$1063,4,0),0)</f>
        <v>100225</v>
      </c>
      <c r="T12">
        <f>IFERROR(VLOOKUP(CONCATENATE(Fix_Mapping[[#This Row],[KODE BARANG]],2),'Form Fix'!$A$6:$F$1063,4,0),0)</f>
        <v>100242</v>
      </c>
      <c r="U12">
        <f>IFERROR(VLOOKUP(CONCATENATE(Fix_Mapping[[#This Row],[KODE BARANG]],3),'Form Fix'!$A$6:$F$1063,4,0),0)</f>
        <v>0</v>
      </c>
      <c r="V12">
        <f>IFERROR(VLOOKUP(CONCATENATE(Fix_Mapping[[#This Row],[KODE BARANG]],4),'Form Fix'!$A$6:$F$1063,4,0),0)</f>
        <v>0</v>
      </c>
      <c r="W12">
        <f>IFERROR(VLOOKUP(CONCATENATE(Fix_Mapping[[#This Row],[KODE BARANG]],5),'Form Fix'!$A$6:$F$1063,4,0),0)</f>
        <v>0</v>
      </c>
    </row>
    <row r="13" spans="1:23" x14ac:dyDescent="0.25">
      <c r="A13" t="s">
        <v>681</v>
      </c>
      <c r="B13" t="s">
        <v>815</v>
      </c>
      <c r="C13">
        <v>12</v>
      </c>
      <c r="D13" t="s">
        <v>486</v>
      </c>
      <c r="E13" t="s">
        <v>946</v>
      </c>
      <c r="F13">
        <v>23525.408199999998</v>
      </c>
      <c r="G13">
        <v>282304.89839999995</v>
      </c>
      <c r="H13">
        <v>26113.203101999999</v>
      </c>
      <c r="I13">
        <v>313358.43722399999</v>
      </c>
      <c r="J13">
        <v>25027.03</v>
      </c>
      <c r="K13">
        <v>300324.36</v>
      </c>
      <c r="L13">
        <v>27780.0033</v>
      </c>
      <c r="M13">
        <v>333360.03960000002</v>
      </c>
      <c r="N13">
        <v>27029.19</v>
      </c>
      <c r="O13">
        <v>324350.27999999997</v>
      </c>
      <c r="P13">
        <v>30002.400900000001</v>
      </c>
      <c r="Q13">
        <v>360028.81079999998</v>
      </c>
      <c r="R13" t="s">
        <v>656</v>
      </c>
      <c r="S13">
        <f>IFERROR(VLOOKUP(CONCATENATE(Fix_Mapping[[#This Row],[KODE BARANG]],1),'Form Fix'!$A$6:$F$1063,4,0),0)</f>
        <v>100163</v>
      </c>
      <c r="T13">
        <f>IFERROR(VLOOKUP(CONCATENATE(Fix_Mapping[[#This Row],[KODE BARANG]],2),'Form Fix'!$A$6:$F$1063,4,0),0)</f>
        <v>100226</v>
      </c>
      <c r="U13">
        <f>IFERROR(VLOOKUP(CONCATENATE(Fix_Mapping[[#This Row],[KODE BARANG]],3),'Form Fix'!$A$6:$F$1063,4,0),0)</f>
        <v>0</v>
      </c>
      <c r="V13">
        <f>IFERROR(VLOOKUP(CONCATENATE(Fix_Mapping[[#This Row],[KODE BARANG]],4),'Form Fix'!$A$6:$F$1063,4,0),0)</f>
        <v>0</v>
      </c>
      <c r="W13">
        <f>IFERROR(VLOOKUP(CONCATENATE(Fix_Mapping[[#This Row],[KODE BARANG]],5),'Form Fix'!$A$6:$F$1063,4,0),0)</f>
        <v>0</v>
      </c>
    </row>
    <row r="14" spans="1:23" x14ac:dyDescent="0.25">
      <c r="A14" t="s">
        <v>680</v>
      </c>
      <c r="B14" t="s">
        <v>816</v>
      </c>
      <c r="C14">
        <v>12</v>
      </c>
      <c r="D14" t="s">
        <v>486</v>
      </c>
      <c r="E14" t="s">
        <v>946</v>
      </c>
      <c r="F14">
        <v>28098.3766</v>
      </c>
      <c r="G14">
        <v>337180.51919999998</v>
      </c>
      <c r="H14">
        <v>31189.198026000002</v>
      </c>
      <c r="I14">
        <v>374270.37631200004</v>
      </c>
      <c r="J14">
        <v>29891.89</v>
      </c>
      <c r="K14">
        <v>358702.68</v>
      </c>
      <c r="L14">
        <v>33179.997900000002</v>
      </c>
      <c r="M14">
        <v>398159.97480000003</v>
      </c>
      <c r="N14">
        <v>32283.24</v>
      </c>
      <c r="O14">
        <v>387398.88</v>
      </c>
      <c r="P14">
        <v>35834.396400000005</v>
      </c>
      <c r="Q14">
        <v>430012.75680000009</v>
      </c>
      <c r="R14" t="s">
        <v>656</v>
      </c>
      <c r="S14">
        <f>IFERROR(VLOOKUP(CONCATENATE(Fix_Mapping[[#This Row],[KODE BARANG]],1),'Form Fix'!$A$6:$F$1063,4,0),0)</f>
        <v>100166</v>
      </c>
      <c r="T14">
        <f>IFERROR(VLOOKUP(CONCATENATE(Fix_Mapping[[#This Row],[KODE BARANG]],2),'Form Fix'!$A$6:$F$1063,4,0),0)</f>
        <v>0</v>
      </c>
      <c r="U14">
        <f>IFERROR(VLOOKUP(CONCATENATE(Fix_Mapping[[#This Row],[KODE BARANG]],3),'Form Fix'!$A$6:$F$1063,4,0),0)</f>
        <v>0</v>
      </c>
      <c r="V14">
        <f>IFERROR(VLOOKUP(CONCATENATE(Fix_Mapping[[#This Row],[KODE BARANG]],4),'Form Fix'!$A$6:$F$1063,4,0),0)</f>
        <v>0</v>
      </c>
      <c r="W14">
        <f>IFERROR(VLOOKUP(CONCATENATE(Fix_Mapping[[#This Row],[KODE BARANG]],5),'Form Fix'!$A$6:$F$1063,4,0),0)</f>
        <v>0</v>
      </c>
    </row>
    <row r="15" spans="1:23" x14ac:dyDescent="0.25">
      <c r="A15" t="s">
        <v>672</v>
      </c>
      <c r="B15" t="s">
        <v>817</v>
      </c>
      <c r="C15">
        <v>12</v>
      </c>
      <c r="D15" t="s">
        <v>479</v>
      </c>
      <c r="E15" t="s">
        <v>946</v>
      </c>
      <c r="F15">
        <v>18545.946199999998</v>
      </c>
      <c r="G15">
        <v>222551.35439999998</v>
      </c>
      <c r="H15">
        <v>20586.000282000001</v>
      </c>
      <c r="I15">
        <v>247032.00338400001</v>
      </c>
      <c r="J15">
        <v>19729.73</v>
      </c>
      <c r="K15">
        <v>236756.76</v>
      </c>
      <c r="L15">
        <v>21900.0003</v>
      </c>
      <c r="M15">
        <v>262800.00360000005</v>
      </c>
      <c r="N15">
        <v>21308.11</v>
      </c>
      <c r="O15">
        <v>255697.32</v>
      </c>
      <c r="P15">
        <v>23652.002100000002</v>
      </c>
      <c r="Q15">
        <v>283824.02520000003</v>
      </c>
      <c r="R15" t="s">
        <v>656</v>
      </c>
      <c r="S15">
        <f>IFERROR(VLOOKUP(CONCATENATE(Fix_Mapping[[#This Row],[KODE BARANG]],1),'Form Fix'!$A$6:$F$1063,4,0),0)</f>
        <v>100187</v>
      </c>
      <c r="T15">
        <f>IFERROR(VLOOKUP(CONCATENATE(Fix_Mapping[[#This Row],[KODE BARANG]],2),'Form Fix'!$A$6:$F$1063,4,0),0)</f>
        <v>100165</v>
      </c>
      <c r="U15">
        <f>IFERROR(VLOOKUP(CONCATENATE(Fix_Mapping[[#This Row],[KODE BARANG]],3),'Form Fix'!$A$6:$F$1063,4,0),0)</f>
        <v>0</v>
      </c>
      <c r="V15">
        <f>IFERROR(VLOOKUP(CONCATENATE(Fix_Mapping[[#This Row],[KODE BARANG]],4),'Form Fix'!$A$6:$F$1063,4,0),0)</f>
        <v>0</v>
      </c>
      <c r="W15">
        <f>IFERROR(VLOOKUP(CONCATENATE(Fix_Mapping[[#This Row],[KODE BARANG]],5),'Form Fix'!$A$6:$F$1063,4,0),0)</f>
        <v>0</v>
      </c>
    </row>
    <row r="16" spans="1:23" x14ac:dyDescent="0.25">
      <c r="A16" t="s">
        <v>673</v>
      </c>
      <c r="B16" t="s">
        <v>818</v>
      </c>
      <c r="C16">
        <v>12</v>
      </c>
      <c r="D16" t="s">
        <v>479</v>
      </c>
      <c r="E16" t="s">
        <v>946</v>
      </c>
      <c r="F16">
        <v>18545.946199999998</v>
      </c>
      <c r="G16">
        <v>222551.35439999998</v>
      </c>
      <c r="H16">
        <v>20586.000282000001</v>
      </c>
      <c r="I16">
        <v>247032.00338400001</v>
      </c>
      <c r="J16">
        <v>19729.73</v>
      </c>
      <c r="K16">
        <v>236756.76</v>
      </c>
      <c r="L16">
        <v>21900.0003</v>
      </c>
      <c r="M16">
        <v>262800.00360000005</v>
      </c>
      <c r="N16">
        <v>21308.11</v>
      </c>
      <c r="O16">
        <v>255697.32</v>
      </c>
      <c r="P16">
        <v>23652.002100000002</v>
      </c>
      <c r="Q16">
        <v>283824.02520000003</v>
      </c>
      <c r="R16" t="s">
        <v>656</v>
      </c>
      <c r="S16">
        <f>IFERROR(VLOOKUP(CONCATENATE(Fix_Mapping[[#This Row],[KODE BARANG]],1),'Form Fix'!$A$6:$F$1063,4,0),0)</f>
        <v>100976</v>
      </c>
      <c r="T16">
        <f>IFERROR(VLOOKUP(CONCATENATE(Fix_Mapping[[#This Row],[KODE BARANG]],2),'Form Fix'!$A$6:$F$1063,4,0),0)</f>
        <v>100981</v>
      </c>
      <c r="U16">
        <f>IFERROR(VLOOKUP(CONCATENATE(Fix_Mapping[[#This Row],[KODE BARANG]],3),'Form Fix'!$A$6:$F$1063,4,0),0)</f>
        <v>0</v>
      </c>
      <c r="V16">
        <f>IFERROR(VLOOKUP(CONCATENATE(Fix_Mapping[[#This Row],[KODE BARANG]],4),'Form Fix'!$A$6:$F$1063,4,0),0)</f>
        <v>0</v>
      </c>
      <c r="W16">
        <f>IFERROR(VLOOKUP(CONCATENATE(Fix_Mapping[[#This Row],[KODE BARANG]],5),'Form Fix'!$A$6:$F$1063,4,0),0)</f>
        <v>0</v>
      </c>
    </row>
    <row r="17" spans="1:23" x14ac:dyDescent="0.25">
      <c r="A17" t="s">
        <v>676</v>
      </c>
      <c r="B17" t="s">
        <v>819</v>
      </c>
      <c r="C17">
        <v>12</v>
      </c>
      <c r="D17" t="s">
        <v>479</v>
      </c>
      <c r="E17" t="s">
        <v>946</v>
      </c>
      <c r="F17">
        <v>19897.732</v>
      </c>
      <c r="G17">
        <v>238772.78399999999</v>
      </c>
      <c r="H17">
        <v>22086.482520000001</v>
      </c>
      <c r="I17">
        <v>265037.79024</v>
      </c>
      <c r="J17">
        <v>21167.8</v>
      </c>
      <c r="K17">
        <v>254013.59999999998</v>
      </c>
      <c r="L17">
        <v>23496.258000000002</v>
      </c>
      <c r="M17">
        <v>281955.09600000002</v>
      </c>
      <c r="N17">
        <v>22861.22</v>
      </c>
      <c r="O17">
        <v>274334.64</v>
      </c>
      <c r="P17">
        <v>25375.954200000004</v>
      </c>
      <c r="Q17">
        <v>304511.45040000003</v>
      </c>
      <c r="R17" t="s">
        <v>656</v>
      </c>
      <c r="S17">
        <f>IFERROR(VLOOKUP(CONCATENATE(Fix_Mapping[[#This Row],[KODE BARANG]],1),'Form Fix'!$A$6:$F$1063,4,0),0)</f>
        <v>100221</v>
      </c>
      <c r="T17">
        <f>IFERROR(VLOOKUP(CONCATENATE(Fix_Mapping[[#This Row],[KODE BARANG]],2),'Form Fix'!$A$6:$F$1063,4,0),0)</f>
        <v>100252</v>
      </c>
      <c r="U17">
        <f>IFERROR(VLOOKUP(CONCATENATE(Fix_Mapping[[#This Row],[KODE BARANG]],3),'Form Fix'!$A$6:$F$1063,4,0),0)</f>
        <v>100239</v>
      </c>
      <c r="V17">
        <f>IFERROR(VLOOKUP(CONCATENATE(Fix_Mapping[[#This Row],[KODE BARANG]],4),'Form Fix'!$A$6:$F$1063,4,0),0)</f>
        <v>100267</v>
      </c>
      <c r="W17">
        <f>IFERROR(VLOOKUP(CONCATENATE(Fix_Mapping[[#This Row],[KODE BARANG]],5),'Form Fix'!$A$6:$F$1063,4,0),0)</f>
        <v>0</v>
      </c>
    </row>
    <row r="18" spans="1:23" x14ac:dyDescent="0.25">
      <c r="A18" t="s">
        <v>675</v>
      </c>
      <c r="B18" t="s">
        <v>820</v>
      </c>
      <c r="C18">
        <v>12</v>
      </c>
      <c r="D18" t="s">
        <v>479</v>
      </c>
      <c r="E18" t="s">
        <v>946</v>
      </c>
      <c r="F18">
        <v>20620.723599999998</v>
      </c>
      <c r="G18">
        <v>247448.68319999997</v>
      </c>
      <c r="H18">
        <v>22889.003195999998</v>
      </c>
      <c r="I18">
        <v>274668.038352</v>
      </c>
      <c r="J18">
        <v>21936.94</v>
      </c>
      <c r="K18">
        <v>263243.27999999997</v>
      </c>
      <c r="L18">
        <v>24350.003400000001</v>
      </c>
      <c r="M18">
        <v>292200.04080000002</v>
      </c>
      <c r="N18">
        <v>0</v>
      </c>
      <c r="O18">
        <v>0</v>
      </c>
      <c r="P18">
        <v>0</v>
      </c>
      <c r="Q18">
        <v>0</v>
      </c>
      <c r="R18" t="s">
        <v>656</v>
      </c>
      <c r="S18">
        <f>IFERROR(VLOOKUP(CONCATENATE(Fix_Mapping[[#This Row],[KODE BARANG]],1),'Form Fix'!$A$6:$F$1063,4,0),0)</f>
        <v>100176</v>
      </c>
      <c r="T18">
        <f>IFERROR(VLOOKUP(CONCATENATE(Fix_Mapping[[#This Row],[KODE BARANG]],2),'Form Fix'!$A$6:$F$1063,4,0),0)</f>
        <v>100188</v>
      </c>
      <c r="U18">
        <f>IFERROR(VLOOKUP(CONCATENATE(Fix_Mapping[[#This Row],[KODE BARANG]],3),'Form Fix'!$A$6:$F$1063,4,0),0)</f>
        <v>0</v>
      </c>
      <c r="V18">
        <f>IFERROR(VLOOKUP(CONCATENATE(Fix_Mapping[[#This Row],[KODE BARANG]],4),'Form Fix'!$A$6:$F$1063,4,0),0)</f>
        <v>0</v>
      </c>
      <c r="W18">
        <f>IFERROR(VLOOKUP(CONCATENATE(Fix_Mapping[[#This Row],[KODE BARANG]],5),'Form Fix'!$A$6:$F$1063,4,0),0)</f>
        <v>0</v>
      </c>
    </row>
    <row r="19" spans="1:23" x14ac:dyDescent="0.25">
      <c r="A19" t="s">
        <v>752</v>
      </c>
      <c r="B19" t="s">
        <v>264</v>
      </c>
      <c r="C19">
        <v>1</v>
      </c>
      <c r="D19" t="s">
        <v>506</v>
      </c>
      <c r="E19" t="s">
        <v>946</v>
      </c>
      <c r="F19">
        <v>131767.85714285713</v>
      </c>
      <c r="G19">
        <v>131767.85714285713</v>
      </c>
      <c r="H19">
        <v>146262.32142857142</v>
      </c>
      <c r="I19">
        <v>146262.32142857142</v>
      </c>
      <c r="J19">
        <v>140178.57142857142</v>
      </c>
      <c r="K19">
        <v>140178.57142857142</v>
      </c>
      <c r="L19">
        <v>155598.21428571429</v>
      </c>
      <c r="M19">
        <v>155598.21428571429</v>
      </c>
      <c r="N19">
        <v>151392.85714285713</v>
      </c>
      <c r="O19">
        <v>151392.85714285713</v>
      </c>
      <c r="P19">
        <v>168046.07142857142</v>
      </c>
      <c r="Q19">
        <v>168046.07142857142</v>
      </c>
      <c r="R19" t="s">
        <v>656</v>
      </c>
      <c r="S19">
        <f>IFERROR(VLOOKUP(CONCATENATE(Fix_Mapping[[#This Row],[KODE BARANG]],1),'Form Fix'!$A$6:$F$1063,4,0),0)</f>
        <v>100186</v>
      </c>
      <c r="T19">
        <f>IFERROR(VLOOKUP(CONCATENATE(Fix_Mapping[[#This Row],[KODE BARANG]],2),'Form Fix'!$A$6:$F$1063,4,0),0)</f>
        <v>100229</v>
      </c>
      <c r="U19">
        <f>IFERROR(VLOOKUP(CONCATENATE(Fix_Mapping[[#This Row],[KODE BARANG]],3),'Form Fix'!$A$6:$F$1063,4,0),0)</f>
        <v>0</v>
      </c>
      <c r="V19">
        <f>IFERROR(VLOOKUP(CONCATENATE(Fix_Mapping[[#This Row],[KODE BARANG]],4),'Form Fix'!$A$6:$F$1063,4,0),0)</f>
        <v>0</v>
      </c>
      <c r="W19">
        <f>IFERROR(VLOOKUP(CONCATENATE(Fix_Mapping[[#This Row],[KODE BARANG]],5),'Form Fix'!$A$6:$F$1063,4,0),0)</f>
        <v>0</v>
      </c>
    </row>
    <row r="20" spans="1:23" x14ac:dyDescent="0.25">
      <c r="A20" t="s">
        <v>677</v>
      </c>
      <c r="B20" t="s">
        <v>821</v>
      </c>
      <c r="C20">
        <v>1</v>
      </c>
      <c r="D20" t="s">
        <v>506</v>
      </c>
      <c r="E20" t="s">
        <v>946</v>
      </c>
      <c r="F20">
        <v>478163.5992</v>
      </c>
      <c r="G20">
        <v>478163.5992</v>
      </c>
      <c r="H20">
        <v>530761.59511200001</v>
      </c>
      <c r="I20">
        <v>530761.59511200001</v>
      </c>
      <c r="J20">
        <v>508684.68</v>
      </c>
      <c r="K20">
        <v>508684.68</v>
      </c>
      <c r="L20">
        <v>564639.99479999999</v>
      </c>
      <c r="M20">
        <v>564639.99479999999</v>
      </c>
      <c r="N20">
        <v>549379.44999999995</v>
      </c>
      <c r="O20">
        <v>549379.44999999995</v>
      </c>
      <c r="P20">
        <v>609811.18949999998</v>
      </c>
      <c r="Q20">
        <v>609811.18949999998</v>
      </c>
      <c r="R20" t="s">
        <v>656</v>
      </c>
      <c r="S20">
        <f>IFERROR(VLOOKUP(CONCATENATE(Fix_Mapping[[#This Row],[KODE BARANG]],1),'Form Fix'!$A$6:$F$1063,4,0),0)</f>
        <v>100181</v>
      </c>
      <c r="T20">
        <f>IFERROR(VLOOKUP(CONCATENATE(Fix_Mapping[[#This Row],[KODE BARANG]],2),'Form Fix'!$A$6:$F$1063,4,0),0)</f>
        <v>100228</v>
      </c>
      <c r="U20">
        <f>IFERROR(VLOOKUP(CONCATENATE(Fix_Mapping[[#This Row],[KODE BARANG]],3),'Form Fix'!$A$6:$F$1063,4,0),0)</f>
        <v>0</v>
      </c>
      <c r="V20">
        <f>IFERROR(VLOOKUP(CONCATENATE(Fix_Mapping[[#This Row],[KODE BARANG]],4),'Form Fix'!$A$6:$F$1063,4,0),0)</f>
        <v>0</v>
      </c>
      <c r="W20">
        <f>IFERROR(VLOOKUP(CONCATENATE(Fix_Mapping[[#This Row],[KODE BARANG]],5),'Form Fix'!$A$6:$F$1063,4,0),0)</f>
        <v>0</v>
      </c>
    </row>
    <row r="21" spans="1:23" x14ac:dyDescent="0.25">
      <c r="A21" t="s">
        <v>659</v>
      </c>
      <c r="B21" t="s">
        <v>822</v>
      </c>
      <c r="C21">
        <v>12</v>
      </c>
      <c r="D21" t="s">
        <v>479</v>
      </c>
      <c r="E21" t="s">
        <v>946</v>
      </c>
      <c r="F21">
        <v>12770.454600000001</v>
      </c>
      <c r="G21">
        <v>153245.45520000003</v>
      </c>
      <c r="H21">
        <v>14175.204606000003</v>
      </c>
      <c r="I21">
        <v>170102.45527200005</v>
      </c>
      <c r="J21">
        <v>13585.59</v>
      </c>
      <c r="K21">
        <v>163027.08000000002</v>
      </c>
      <c r="L21">
        <v>15080.004900000002</v>
      </c>
      <c r="M21">
        <v>180960.05880000003</v>
      </c>
      <c r="N21">
        <v>14672.44</v>
      </c>
      <c r="O21">
        <v>176069.28</v>
      </c>
      <c r="P21">
        <v>16286.408400000002</v>
      </c>
      <c r="Q21">
        <v>195436.90080000003</v>
      </c>
      <c r="R21" t="s">
        <v>656</v>
      </c>
      <c r="S21">
        <f>IFERROR(VLOOKUP(CONCATENATE(Fix_Mapping[[#This Row],[KODE BARANG]],1),'Form Fix'!$A$6:$F$1063,4,0),0)</f>
        <v>100156</v>
      </c>
      <c r="T21">
        <f>IFERROR(VLOOKUP(CONCATENATE(Fix_Mapping[[#This Row],[KODE BARANG]],2),'Form Fix'!$A$6:$F$1063,4,0),0)</f>
        <v>0</v>
      </c>
      <c r="U21">
        <f>IFERROR(VLOOKUP(CONCATENATE(Fix_Mapping[[#This Row],[KODE BARANG]],3),'Form Fix'!$A$6:$F$1063,4,0),0)</f>
        <v>0</v>
      </c>
      <c r="V21">
        <f>IFERROR(VLOOKUP(CONCATENATE(Fix_Mapping[[#This Row],[KODE BARANG]],4),'Form Fix'!$A$6:$F$1063,4,0),0)</f>
        <v>0</v>
      </c>
      <c r="W21">
        <f>IFERROR(VLOOKUP(CONCATENATE(Fix_Mapping[[#This Row],[KODE BARANG]],5),'Form Fix'!$A$6:$F$1063,4,0),0)</f>
        <v>0</v>
      </c>
    </row>
    <row r="22" spans="1:23" x14ac:dyDescent="0.25">
      <c r="A22" t="s">
        <v>658</v>
      </c>
      <c r="B22" t="s">
        <v>823</v>
      </c>
      <c r="C22">
        <v>12</v>
      </c>
      <c r="D22" t="s">
        <v>486</v>
      </c>
      <c r="E22" t="s">
        <v>946</v>
      </c>
      <c r="F22">
        <v>17445.046400000003</v>
      </c>
      <c r="G22">
        <v>209340.55680000002</v>
      </c>
      <c r="H22">
        <v>19364.001504000003</v>
      </c>
      <c r="I22">
        <v>232368.01804800006</v>
      </c>
      <c r="J22">
        <v>18558.560000000001</v>
      </c>
      <c r="K22">
        <v>222702.72000000003</v>
      </c>
      <c r="L22">
        <v>20600.001600000003</v>
      </c>
      <c r="M22">
        <v>247200.01920000007</v>
      </c>
      <c r="N22">
        <v>20043</v>
      </c>
      <c r="O22">
        <v>240516</v>
      </c>
      <c r="P22">
        <v>22247.730000000003</v>
      </c>
      <c r="Q22">
        <v>266972.76</v>
      </c>
      <c r="R22" t="s">
        <v>656</v>
      </c>
      <c r="S22">
        <f>IFERROR(VLOOKUP(CONCATENATE(Fix_Mapping[[#This Row],[KODE BARANG]],1),'Form Fix'!$A$6:$F$1063,4,0),0)</f>
        <v>100191</v>
      </c>
      <c r="T22">
        <f>IFERROR(VLOOKUP(CONCATENATE(Fix_Mapping[[#This Row],[KODE BARANG]],2),'Form Fix'!$A$6:$F$1063,4,0),0)</f>
        <v>100191</v>
      </c>
      <c r="U22">
        <f>IFERROR(VLOOKUP(CONCATENATE(Fix_Mapping[[#This Row],[KODE BARANG]],3),'Form Fix'!$A$6:$F$1063,4,0),0)</f>
        <v>0</v>
      </c>
      <c r="V22">
        <f>IFERROR(VLOOKUP(CONCATENATE(Fix_Mapping[[#This Row],[KODE BARANG]],4),'Form Fix'!$A$6:$F$1063,4,0),0)</f>
        <v>0</v>
      </c>
      <c r="W22">
        <f>IFERROR(VLOOKUP(CONCATENATE(Fix_Mapping[[#This Row],[KODE BARANG]],5),'Form Fix'!$A$6:$F$1063,4,0),0)</f>
        <v>0</v>
      </c>
    </row>
    <row r="23" spans="1:23" x14ac:dyDescent="0.25">
      <c r="A23" t="s">
        <v>660</v>
      </c>
      <c r="B23" t="s">
        <v>824</v>
      </c>
      <c r="C23">
        <v>12</v>
      </c>
      <c r="D23" t="s">
        <v>479</v>
      </c>
      <c r="E23" t="s">
        <v>946</v>
      </c>
      <c r="F23">
        <v>13651.168800000001</v>
      </c>
      <c r="G23">
        <v>163814.02560000002</v>
      </c>
      <c r="H23">
        <v>15152.797368000003</v>
      </c>
      <c r="I23">
        <v>181833.56841600005</v>
      </c>
      <c r="J23">
        <v>14522.52</v>
      </c>
      <c r="K23">
        <v>174270.24</v>
      </c>
      <c r="L23">
        <v>16119.997200000002</v>
      </c>
      <c r="M23">
        <v>193439.9664</v>
      </c>
      <c r="N23">
        <v>15684.32</v>
      </c>
      <c r="O23">
        <v>188211.84</v>
      </c>
      <c r="P23">
        <v>17409.5952</v>
      </c>
      <c r="Q23">
        <v>208915.14240000001</v>
      </c>
      <c r="R23" t="s">
        <v>656</v>
      </c>
      <c r="S23">
        <f>IFERROR(VLOOKUP(CONCATENATE(Fix_Mapping[[#This Row],[KODE BARANG]],1),'Form Fix'!$A$6:$F$1063,4,0),0)</f>
        <v>100180</v>
      </c>
      <c r="T23">
        <f>IFERROR(VLOOKUP(CONCATENATE(Fix_Mapping[[#This Row],[KODE BARANG]],2),'Form Fix'!$A$6:$F$1063,4,0),0)</f>
        <v>0</v>
      </c>
      <c r="U23">
        <f>IFERROR(VLOOKUP(CONCATENATE(Fix_Mapping[[#This Row],[KODE BARANG]],3),'Form Fix'!$A$6:$F$1063,4,0),0)</f>
        <v>0</v>
      </c>
      <c r="V23">
        <f>IFERROR(VLOOKUP(CONCATENATE(Fix_Mapping[[#This Row],[KODE BARANG]],4),'Form Fix'!$A$6:$F$1063,4,0),0)</f>
        <v>0</v>
      </c>
      <c r="W23">
        <f>IFERROR(VLOOKUP(CONCATENATE(Fix_Mapping[[#This Row],[KODE BARANG]],5),'Form Fix'!$A$6:$F$1063,4,0),0)</f>
        <v>0</v>
      </c>
    </row>
    <row r="24" spans="1:23" x14ac:dyDescent="0.25">
      <c r="A24" t="s">
        <v>802</v>
      </c>
      <c r="B24" t="s">
        <v>825</v>
      </c>
      <c r="C24">
        <v>48</v>
      </c>
      <c r="D24" t="s">
        <v>486</v>
      </c>
      <c r="E24" t="s">
        <v>946</v>
      </c>
      <c r="F24">
        <v>7282.8850000000002</v>
      </c>
      <c r="G24">
        <v>349578.48</v>
      </c>
      <c r="H24">
        <v>8084.0023500000007</v>
      </c>
      <c r="I24">
        <v>388032.1128</v>
      </c>
      <c r="J24">
        <v>7747.75</v>
      </c>
      <c r="K24">
        <v>371892</v>
      </c>
      <c r="L24">
        <v>8600.0025000000005</v>
      </c>
      <c r="M24">
        <v>412800.12000000005</v>
      </c>
      <c r="N24">
        <v>8367.57</v>
      </c>
      <c r="O24">
        <v>401643.36</v>
      </c>
      <c r="P24">
        <v>9288.0027000000009</v>
      </c>
      <c r="Q24">
        <v>445824.12960000004</v>
      </c>
      <c r="R24" t="s">
        <v>656</v>
      </c>
      <c r="S24">
        <f>IFERROR(VLOOKUP(CONCATENATE(Fix_Mapping[[#This Row],[KODE BARANG]],1),'Form Fix'!$A$6:$F$1063,4,0),0)</f>
        <v>100141</v>
      </c>
      <c r="T24">
        <f>IFERROR(VLOOKUP(CONCATENATE(Fix_Mapping[[#This Row],[KODE BARANG]],2),'Form Fix'!$A$6:$F$1063,4,0),0)</f>
        <v>0</v>
      </c>
      <c r="U24">
        <f>IFERROR(VLOOKUP(CONCATENATE(Fix_Mapping[[#This Row],[KODE BARANG]],3),'Form Fix'!$A$6:$F$1063,4,0),0)</f>
        <v>0</v>
      </c>
      <c r="V24">
        <f>IFERROR(VLOOKUP(CONCATENATE(Fix_Mapping[[#This Row],[KODE BARANG]],4),'Form Fix'!$A$6:$F$1063,4,0),0)</f>
        <v>0</v>
      </c>
      <c r="W24">
        <f>IFERROR(VLOOKUP(CONCATENATE(Fix_Mapping[[#This Row],[KODE BARANG]],5),'Form Fix'!$A$6:$F$1063,4,0),0)</f>
        <v>0</v>
      </c>
    </row>
    <row r="25" spans="1:23" x14ac:dyDescent="0.25">
      <c r="A25" t="s">
        <v>661</v>
      </c>
      <c r="B25" t="s">
        <v>826</v>
      </c>
      <c r="C25">
        <v>12</v>
      </c>
      <c r="D25" t="s">
        <v>479</v>
      </c>
      <c r="E25" t="s">
        <v>946</v>
      </c>
      <c r="F25">
        <v>18800</v>
      </c>
      <c r="G25">
        <v>225600</v>
      </c>
      <c r="H25">
        <v>20868.000000000004</v>
      </c>
      <c r="I25">
        <v>250416.00000000003</v>
      </c>
      <c r="J25">
        <v>20000</v>
      </c>
      <c r="K25">
        <v>240000</v>
      </c>
      <c r="L25">
        <v>22200.000000000004</v>
      </c>
      <c r="M25">
        <v>266400</v>
      </c>
      <c r="N25">
        <v>21600</v>
      </c>
      <c r="O25">
        <v>259200</v>
      </c>
      <c r="P25">
        <v>23976.000000000004</v>
      </c>
      <c r="Q25">
        <v>287712.00000000006</v>
      </c>
      <c r="R25" t="s">
        <v>656</v>
      </c>
      <c r="S25">
        <f>IFERROR(VLOOKUP(CONCATENATE(Fix_Mapping[[#This Row],[KODE BARANG]],1),'Form Fix'!$A$6:$F$1063,4,0),0)</f>
        <v>100151</v>
      </c>
      <c r="T25">
        <f>IFERROR(VLOOKUP(CONCATENATE(Fix_Mapping[[#This Row],[KODE BARANG]],2),'Form Fix'!$A$6:$F$1063,4,0),0)</f>
        <v>0</v>
      </c>
      <c r="U25">
        <f>IFERROR(VLOOKUP(CONCATENATE(Fix_Mapping[[#This Row],[KODE BARANG]],3),'Form Fix'!$A$6:$F$1063,4,0),0)</f>
        <v>0</v>
      </c>
      <c r="V25">
        <f>IFERROR(VLOOKUP(CONCATENATE(Fix_Mapping[[#This Row],[KODE BARANG]],4),'Form Fix'!$A$6:$F$1063,4,0),0)</f>
        <v>0</v>
      </c>
      <c r="W25">
        <f>IFERROR(VLOOKUP(CONCATENATE(Fix_Mapping[[#This Row],[KODE BARANG]],5),'Form Fix'!$A$6:$F$1063,4,0),0)</f>
        <v>0</v>
      </c>
    </row>
    <row r="26" spans="1:23" x14ac:dyDescent="0.25">
      <c r="A26" t="s">
        <v>803</v>
      </c>
      <c r="B26" t="s">
        <v>828</v>
      </c>
      <c r="C26">
        <v>48</v>
      </c>
      <c r="D26" t="s">
        <v>486</v>
      </c>
      <c r="E26" t="s">
        <v>946</v>
      </c>
      <c r="F26">
        <v>7282.8850000000002</v>
      </c>
      <c r="G26">
        <v>349578.48</v>
      </c>
      <c r="H26">
        <v>8084.0023500000007</v>
      </c>
      <c r="I26">
        <v>388032.1128</v>
      </c>
      <c r="J26">
        <v>7747.75</v>
      </c>
      <c r="K26">
        <v>371892</v>
      </c>
      <c r="L26">
        <v>8600.0025000000005</v>
      </c>
      <c r="M26">
        <v>412800.12000000005</v>
      </c>
      <c r="N26">
        <v>8367.57</v>
      </c>
      <c r="O26">
        <v>401643.36</v>
      </c>
      <c r="P26">
        <v>9288.0027000000009</v>
      </c>
      <c r="Q26">
        <v>445824.12960000004</v>
      </c>
      <c r="R26" t="s">
        <v>656</v>
      </c>
      <c r="S26">
        <f>IFERROR(VLOOKUP(CONCATENATE(Fix_Mapping[[#This Row],[KODE BARANG]],1),'Form Fix'!$A$6:$F$1063,4,0),0)</f>
        <v>100173</v>
      </c>
      <c r="T26">
        <f>IFERROR(VLOOKUP(CONCATENATE(Fix_Mapping[[#This Row],[KODE BARANG]],2),'Form Fix'!$A$6:$F$1063,4,0),0)</f>
        <v>0</v>
      </c>
      <c r="U26">
        <f>IFERROR(VLOOKUP(CONCATENATE(Fix_Mapping[[#This Row],[KODE BARANG]],3),'Form Fix'!$A$6:$F$1063,4,0),0)</f>
        <v>0</v>
      </c>
      <c r="V26">
        <f>IFERROR(VLOOKUP(CONCATENATE(Fix_Mapping[[#This Row],[KODE BARANG]],4),'Form Fix'!$A$6:$F$1063,4,0),0)</f>
        <v>0</v>
      </c>
      <c r="W26">
        <f>IFERROR(VLOOKUP(CONCATENATE(Fix_Mapping[[#This Row],[KODE BARANG]],5),'Form Fix'!$A$6:$F$1063,4,0),0)</f>
        <v>0</v>
      </c>
    </row>
    <row r="27" spans="1:23" x14ac:dyDescent="0.25">
      <c r="A27" t="s">
        <v>662</v>
      </c>
      <c r="B27" t="s">
        <v>827</v>
      </c>
      <c r="C27">
        <v>12</v>
      </c>
      <c r="D27" t="s">
        <v>479</v>
      </c>
      <c r="E27" t="s">
        <v>946</v>
      </c>
      <c r="F27">
        <v>18800</v>
      </c>
      <c r="G27">
        <v>225600</v>
      </c>
      <c r="H27">
        <v>20868.000000000004</v>
      </c>
      <c r="I27">
        <v>250416.00000000003</v>
      </c>
      <c r="J27">
        <v>20000</v>
      </c>
      <c r="K27">
        <v>240000</v>
      </c>
      <c r="L27">
        <v>22200.000000000004</v>
      </c>
      <c r="M27">
        <v>266400</v>
      </c>
      <c r="N27">
        <v>21600</v>
      </c>
      <c r="O27">
        <v>259200</v>
      </c>
      <c r="P27">
        <v>23976.000000000004</v>
      </c>
      <c r="Q27">
        <v>287712.00000000006</v>
      </c>
      <c r="R27" t="s">
        <v>656</v>
      </c>
      <c r="S27">
        <f>IFERROR(VLOOKUP(CONCATENATE(Fix_Mapping[[#This Row],[KODE BARANG]],1),'Form Fix'!$A$6:$F$1063,4,0),0)</f>
        <v>100174</v>
      </c>
      <c r="T27">
        <f>IFERROR(VLOOKUP(CONCATENATE(Fix_Mapping[[#This Row],[KODE BARANG]],2),'Form Fix'!$A$6:$F$1063,4,0),0)</f>
        <v>0</v>
      </c>
      <c r="U27">
        <f>IFERROR(VLOOKUP(CONCATENATE(Fix_Mapping[[#This Row],[KODE BARANG]],3),'Form Fix'!$A$6:$F$1063,4,0),0)</f>
        <v>0</v>
      </c>
      <c r="V27">
        <f>IFERROR(VLOOKUP(CONCATENATE(Fix_Mapping[[#This Row],[KODE BARANG]],4),'Form Fix'!$A$6:$F$1063,4,0),0)</f>
        <v>0</v>
      </c>
      <c r="W27">
        <f>IFERROR(VLOOKUP(CONCATENATE(Fix_Mapping[[#This Row],[KODE BARANG]],5),'Form Fix'!$A$6:$F$1063,4,0),0)</f>
        <v>0</v>
      </c>
    </row>
    <row r="28" spans="1:23" x14ac:dyDescent="0.25">
      <c r="A28" t="s">
        <v>663</v>
      </c>
      <c r="B28" t="s">
        <v>829</v>
      </c>
      <c r="C28">
        <v>48</v>
      </c>
      <c r="D28" t="s">
        <v>486</v>
      </c>
      <c r="E28" t="s">
        <v>946</v>
      </c>
      <c r="F28">
        <v>8807.2078000000001</v>
      </c>
      <c r="G28">
        <v>422745.97440000001</v>
      </c>
      <c r="H28">
        <v>9776.0006580000008</v>
      </c>
      <c r="I28">
        <v>469248.03158400004</v>
      </c>
      <c r="J28">
        <v>9369.3700000000008</v>
      </c>
      <c r="K28">
        <v>449729.76</v>
      </c>
      <c r="L28">
        <v>10400.000700000002</v>
      </c>
      <c r="M28">
        <v>499200.03360000008</v>
      </c>
      <c r="N28">
        <v>10118.92</v>
      </c>
      <c r="O28">
        <v>485708.16000000003</v>
      </c>
      <c r="P28">
        <v>11232.001200000001</v>
      </c>
      <c r="Q28">
        <v>539136.05760000006</v>
      </c>
      <c r="R28" t="s">
        <v>656</v>
      </c>
      <c r="S28">
        <f>IFERROR(VLOOKUP(CONCATENATE(Fix_Mapping[[#This Row],[KODE BARANG]],1),'Form Fix'!$A$6:$F$1063,4,0),0)</f>
        <v>100192</v>
      </c>
      <c r="T28">
        <f>IFERROR(VLOOKUP(CONCATENATE(Fix_Mapping[[#This Row],[KODE BARANG]],2),'Form Fix'!$A$6:$F$1063,4,0),0)</f>
        <v>100201</v>
      </c>
      <c r="U28">
        <f>IFERROR(VLOOKUP(CONCATENATE(Fix_Mapping[[#This Row],[KODE BARANG]],3),'Form Fix'!$A$6:$F$1063,4,0),0)</f>
        <v>0</v>
      </c>
      <c r="V28">
        <f>IFERROR(VLOOKUP(CONCATENATE(Fix_Mapping[[#This Row],[KODE BARANG]],4),'Form Fix'!$A$6:$F$1063,4,0),0)</f>
        <v>0</v>
      </c>
      <c r="W28">
        <f>IFERROR(VLOOKUP(CONCATENATE(Fix_Mapping[[#This Row],[KODE BARANG]],5),'Form Fix'!$A$6:$F$1063,4,0),0)</f>
        <v>0</v>
      </c>
    </row>
    <row r="29" spans="1:23" x14ac:dyDescent="0.25">
      <c r="A29" t="s">
        <v>665</v>
      </c>
      <c r="B29" t="s">
        <v>830</v>
      </c>
      <c r="C29">
        <v>24</v>
      </c>
      <c r="D29" t="s">
        <v>486</v>
      </c>
      <c r="E29" t="s">
        <v>946</v>
      </c>
      <c r="F29">
        <v>15649.731000000002</v>
      </c>
      <c r="G29">
        <v>375593.54400000005</v>
      </c>
      <c r="H29">
        <v>17371.201410000001</v>
      </c>
      <c r="I29">
        <v>416908.83384000009</v>
      </c>
      <c r="J29">
        <v>16648.650000000001</v>
      </c>
      <c r="K29">
        <v>399567.60000000003</v>
      </c>
      <c r="L29">
        <v>18480.001500000002</v>
      </c>
      <c r="M29">
        <v>443520.03600000008</v>
      </c>
      <c r="N29">
        <v>17980.54</v>
      </c>
      <c r="O29">
        <v>431532.96</v>
      </c>
      <c r="P29">
        <v>19958.399400000002</v>
      </c>
      <c r="Q29">
        <v>479001.58560000005</v>
      </c>
      <c r="R29" t="s">
        <v>656</v>
      </c>
      <c r="S29">
        <f>IFERROR(VLOOKUP(CONCATENATE(Fix_Mapping[[#This Row],[KODE BARANG]],1),'Form Fix'!$A$6:$F$1063,4,0),0)</f>
        <v>100193</v>
      </c>
      <c r="T29">
        <f>IFERROR(VLOOKUP(CONCATENATE(Fix_Mapping[[#This Row],[KODE BARANG]],2),'Form Fix'!$A$6:$F$1063,4,0),0)</f>
        <v>100202</v>
      </c>
      <c r="U29">
        <f>IFERROR(VLOOKUP(CONCATENATE(Fix_Mapping[[#This Row],[KODE BARANG]],3),'Form Fix'!$A$6:$F$1063,4,0),0)</f>
        <v>100231</v>
      </c>
      <c r="V29">
        <f>IFERROR(VLOOKUP(CONCATENATE(Fix_Mapping[[#This Row],[KODE BARANG]],4),'Form Fix'!$A$6:$F$1063,4,0),0)</f>
        <v>0</v>
      </c>
      <c r="W29">
        <f>IFERROR(VLOOKUP(CONCATENATE(Fix_Mapping[[#This Row],[KODE BARANG]],5),'Form Fix'!$A$6:$F$1063,4,0),0)</f>
        <v>0</v>
      </c>
    </row>
    <row r="30" spans="1:23" x14ac:dyDescent="0.25">
      <c r="A30" t="s">
        <v>666</v>
      </c>
      <c r="B30" t="s">
        <v>831</v>
      </c>
      <c r="C30">
        <v>48</v>
      </c>
      <c r="D30" t="s">
        <v>479</v>
      </c>
      <c r="E30" t="s">
        <v>946</v>
      </c>
      <c r="F30">
        <v>1980.0160000000001</v>
      </c>
      <c r="G30">
        <v>95040.768000000011</v>
      </c>
      <c r="H30">
        <v>2197.8177600000004</v>
      </c>
      <c r="I30">
        <v>105495.25248000002</v>
      </c>
      <c r="J30">
        <v>2106.4</v>
      </c>
      <c r="K30">
        <v>101107.20000000001</v>
      </c>
      <c r="L30">
        <v>2338.1040000000003</v>
      </c>
      <c r="M30">
        <v>112228.99200000003</v>
      </c>
      <c r="N30">
        <v>2274.91</v>
      </c>
      <c r="O30">
        <v>109195.68</v>
      </c>
      <c r="P30">
        <v>2525.1500999999998</v>
      </c>
      <c r="Q30">
        <v>121207.20479999999</v>
      </c>
      <c r="R30" t="s">
        <v>656</v>
      </c>
      <c r="S30">
        <f>IFERROR(VLOOKUP(CONCATENATE(Fix_Mapping[[#This Row],[KODE BARANG]],1),'Form Fix'!$A$6:$F$1063,4,0),0)</f>
        <v>100204</v>
      </c>
      <c r="T30">
        <f>IFERROR(VLOOKUP(CONCATENATE(Fix_Mapping[[#This Row],[KODE BARANG]],2),'Form Fix'!$A$6:$F$1063,4,0),0)</f>
        <v>0</v>
      </c>
      <c r="U30">
        <f>IFERROR(VLOOKUP(CONCATENATE(Fix_Mapping[[#This Row],[KODE BARANG]],3),'Form Fix'!$A$6:$F$1063,4,0),0)</f>
        <v>0</v>
      </c>
      <c r="V30">
        <f>IFERROR(VLOOKUP(CONCATENATE(Fix_Mapping[[#This Row],[KODE BARANG]],4),'Form Fix'!$A$6:$F$1063,4,0),0)</f>
        <v>0</v>
      </c>
      <c r="W30">
        <f>IFERROR(VLOOKUP(CONCATENATE(Fix_Mapping[[#This Row],[KODE BARANG]],5),'Form Fix'!$A$6:$F$1063,4,0),0)</f>
        <v>0</v>
      </c>
    </row>
    <row r="31" spans="1:23" x14ac:dyDescent="0.25">
      <c r="A31" t="s">
        <v>664</v>
      </c>
      <c r="B31" t="s">
        <v>832</v>
      </c>
      <c r="C31">
        <v>48</v>
      </c>
      <c r="D31" t="s">
        <v>486</v>
      </c>
      <c r="E31" t="s">
        <v>946</v>
      </c>
      <c r="F31">
        <v>8807.2078000000001</v>
      </c>
      <c r="G31">
        <v>422745.97440000001</v>
      </c>
      <c r="H31">
        <v>9776.0006580000008</v>
      </c>
      <c r="I31">
        <v>469248.03158400004</v>
      </c>
      <c r="J31">
        <v>9369.3700000000008</v>
      </c>
      <c r="K31">
        <v>449729.76</v>
      </c>
      <c r="L31">
        <v>10400.000700000002</v>
      </c>
      <c r="M31">
        <v>499200.03360000008</v>
      </c>
      <c r="N31">
        <v>10118.92</v>
      </c>
      <c r="O31">
        <v>485708.16000000003</v>
      </c>
      <c r="P31">
        <v>11232.001200000001</v>
      </c>
      <c r="Q31">
        <v>539136.05760000006</v>
      </c>
      <c r="R31" t="s">
        <v>656</v>
      </c>
      <c r="S31">
        <f>IFERROR(VLOOKUP(CONCATENATE(Fix_Mapping[[#This Row],[KODE BARANG]],1),'Form Fix'!$A$6:$F$1063,4,0),0)</f>
        <v>100194</v>
      </c>
      <c r="T31">
        <f>IFERROR(VLOOKUP(CONCATENATE(Fix_Mapping[[#This Row],[KODE BARANG]],2),'Form Fix'!$A$6:$F$1063,4,0),0)</f>
        <v>100203</v>
      </c>
      <c r="U31">
        <f>IFERROR(VLOOKUP(CONCATENATE(Fix_Mapping[[#This Row],[KODE BARANG]],3),'Form Fix'!$A$6:$F$1063,4,0),0)</f>
        <v>100215</v>
      </c>
      <c r="V31">
        <f>IFERROR(VLOOKUP(CONCATENATE(Fix_Mapping[[#This Row],[KODE BARANG]],4),'Form Fix'!$A$6:$F$1063,4,0),0)</f>
        <v>0</v>
      </c>
      <c r="W31">
        <f>IFERROR(VLOOKUP(CONCATENATE(Fix_Mapping[[#This Row],[KODE BARANG]],5),'Form Fix'!$A$6:$F$1063,4,0),0)</f>
        <v>0</v>
      </c>
    </row>
    <row r="32" spans="1:23" x14ac:dyDescent="0.25">
      <c r="A32" t="s">
        <v>753</v>
      </c>
      <c r="B32" t="s">
        <v>1086</v>
      </c>
      <c r="C32">
        <v>24</v>
      </c>
      <c r="D32" t="s">
        <v>524</v>
      </c>
      <c r="E32" t="s">
        <v>946</v>
      </c>
      <c r="F32">
        <v>4234.2299999999996</v>
      </c>
      <c r="G32">
        <v>101621.51999999999</v>
      </c>
      <c r="H32">
        <v>4699.9952999999996</v>
      </c>
      <c r="I32">
        <v>112799.8872</v>
      </c>
      <c r="J32">
        <v>4504.5</v>
      </c>
      <c r="K32">
        <v>108108</v>
      </c>
      <c r="L32">
        <v>4999.9950000000008</v>
      </c>
      <c r="M32">
        <v>119999.88</v>
      </c>
      <c r="N32">
        <v>4729.7297297297291</v>
      </c>
      <c r="O32">
        <v>113513.51351351349</v>
      </c>
      <c r="P32">
        <v>5250</v>
      </c>
      <c r="Q32">
        <v>126000</v>
      </c>
      <c r="R32" t="s">
        <v>656</v>
      </c>
      <c r="S32">
        <f>IFERROR(VLOOKUP(CONCATENATE(Fix_Mapping[[#This Row],[KODE BARANG]],1),'Form Fix'!$A$6:$F$1063,4,0),0)</f>
        <v>100168</v>
      </c>
      <c r="T32">
        <f>IFERROR(VLOOKUP(CONCATENATE(Fix_Mapping[[#This Row],[KODE BARANG]],2),'Form Fix'!$A$6:$F$1063,4,0),0)</f>
        <v>100205</v>
      </c>
      <c r="U32">
        <f>IFERROR(VLOOKUP(CONCATENATE(Fix_Mapping[[#This Row],[KODE BARANG]],3),'Form Fix'!$A$6:$F$1063,4,0),0)</f>
        <v>100233</v>
      </c>
      <c r="V32">
        <f>IFERROR(VLOOKUP(CONCATENATE(Fix_Mapping[[#This Row],[KODE BARANG]],4),'Form Fix'!$A$6:$F$1063,4,0),0)</f>
        <v>100265</v>
      </c>
      <c r="W32">
        <f>IFERROR(VLOOKUP(CONCATENATE(Fix_Mapping[[#This Row],[KODE BARANG]],5),'Form Fix'!$A$6:$F$1063,4,0),0)</f>
        <v>0</v>
      </c>
    </row>
    <row r="33" spans="1:23" x14ac:dyDescent="0.25">
      <c r="A33" t="s">
        <v>754</v>
      </c>
      <c r="B33" t="s">
        <v>833</v>
      </c>
      <c r="C33">
        <v>24</v>
      </c>
      <c r="D33" t="s">
        <v>524</v>
      </c>
      <c r="E33" t="s">
        <v>946</v>
      </c>
      <c r="F33">
        <v>3528.5720000000001</v>
      </c>
      <c r="G33">
        <v>84685.728000000003</v>
      </c>
      <c r="H33">
        <v>3916.7149200000003</v>
      </c>
      <c r="I33">
        <v>94001.158080000008</v>
      </c>
      <c r="J33">
        <v>3753.8</v>
      </c>
      <c r="K33">
        <v>90091.200000000012</v>
      </c>
      <c r="L33">
        <v>4166.7180000000008</v>
      </c>
      <c r="M33">
        <v>100001.23200000002</v>
      </c>
      <c r="N33">
        <v>3941.49</v>
      </c>
      <c r="O33">
        <v>94595.76</v>
      </c>
      <c r="P33">
        <v>4375.0538999999999</v>
      </c>
      <c r="Q33">
        <v>105001.2936</v>
      </c>
      <c r="R33" t="s">
        <v>656</v>
      </c>
      <c r="S33">
        <f>IFERROR(VLOOKUP(CONCATENATE(Fix_Mapping[[#This Row],[KODE BARANG]],1),'Form Fix'!$A$6:$F$1063,4,0),0)</f>
        <v>100987</v>
      </c>
      <c r="T33">
        <f>IFERROR(VLOOKUP(CONCATENATE(Fix_Mapping[[#This Row],[KODE BARANG]],2),'Form Fix'!$A$6:$F$1063,4,0),0)</f>
        <v>0</v>
      </c>
      <c r="U33">
        <f>IFERROR(VLOOKUP(CONCATENATE(Fix_Mapping[[#This Row],[KODE BARANG]],3),'Form Fix'!$A$6:$F$1063,4,0),0)</f>
        <v>0</v>
      </c>
      <c r="V33">
        <f>IFERROR(VLOOKUP(CONCATENATE(Fix_Mapping[[#This Row],[KODE BARANG]],4),'Form Fix'!$A$6:$F$1063,4,0),0)</f>
        <v>0</v>
      </c>
      <c r="W33">
        <f>IFERROR(VLOOKUP(CONCATENATE(Fix_Mapping[[#This Row],[KODE BARANG]],5),'Form Fix'!$A$6:$F$1063,4,0),0)</f>
        <v>0</v>
      </c>
    </row>
    <row r="34" spans="1:23" x14ac:dyDescent="0.25">
      <c r="A34" t="s">
        <v>755</v>
      </c>
      <c r="B34" t="s">
        <v>834</v>
      </c>
      <c r="C34">
        <v>12</v>
      </c>
      <c r="D34" t="s">
        <v>524</v>
      </c>
      <c r="E34" t="s">
        <v>946</v>
      </c>
      <c r="F34">
        <v>8510.8069999999989</v>
      </c>
      <c r="G34">
        <v>102129.68399999998</v>
      </c>
      <c r="H34">
        <v>9446.9957699999995</v>
      </c>
      <c r="I34">
        <v>113363.94923999999</v>
      </c>
      <c r="J34">
        <v>9054.0499999999993</v>
      </c>
      <c r="K34">
        <v>108648.59999999999</v>
      </c>
      <c r="L34">
        <v>10049.995500000001</v>
      </c>
      <c r="M34">
        <v>120599.946</v>
      </c>
      <c r="N34">
        <v>9506.75</v>
      </c>
      <c r="O34">
        <v>114081</v>
      </c>
      <c r="P34">
        <v>10552.4925</v>
      </c>
      <c r="Q34">
        <v>126629.91</v>
      </c>
      <c r="R34" t="s">
        <v>656</v>
      </c>
      <c r="S34">
        <f>IFERROR(VLOOKUP(CONCATENATE(Fix_Mapping[[#This Row],[KODE BARANG]],1),'Form Fix'!$A$6:$F$1063,4,0),0)</f>
        <v>100195</v>
      </c>
      <c r="T34">
        <f>IFERROR(VLOOKUP(CONCATENATE(Fix_Mapping[[#This Row],[KODE BARANG]],2),'Form Fix'!$A$6:$F$1063,4,0),0)</f>
        <v>0</v>
      </c>
      <c r="U34">
        <f>IFERROR(VLOOKUP(CONCATENATE(Fix_Mapping[[#This Row],[KODE BARANG]],3),'Form Fix'!$A$6:$F$1063,4,0),0)</f>
        <v>0</v>
      </c>
      <c r="V34">
        <f>IFERROR(VLOOKUP(CONCATENATE(Fix_Mapping[[#This Row],[KODE BARANG]],4),'Form Fix'!$A$6:$F$1063,4,0),0)</f>
        <v>0</v>
      </c>
      <c r="W34">
        <f>IFERROR(VLOOKUP(CONCATENATE(Fix_Mapping[[#This Row],[KODE BARANG]],5),'Form Fix'!$A$6:$F$1063,4,0),0)</f>
        <v>0</v>
      </c>
    </row>
    <row r="35" spans="1:23" x14ac:dyDescent="0.25">
      <c r="A35" t="s">
        <v>756</v>
      </c>
      <c r="B35" t="s">
        <v>835</v>
      </c>
      <c r="C35">
        <v>12</v>
      </c>
      <c r="D35" t="s">
        <v>524</v>
      </c>
      <c r="E35" t="s">
        <v>946</v>
      </c>
      <c r="F35">
        <v>6383.07</v>
      </c>
      <c r="G35">
        <v>76596.84</v>
      </c>
      <c r="H35">
        <v>7085.2076999999999</v>
      </c>
      <c r="I35">
        <v>85022.492400000003</v>
      </c>
      <c r="J35">
        <v>6790.5</v>
      </c>
      <c r="K35">
        <v>81486</v>
      </c>
      <c r="L35">
        <v>7537.4550000000008</v>
      </c>
      <c r="M35">
        <v>90449.46</v>
      </c>
      <c r="N35">
        <v>7130.03</v>
      </c>
      <c r="O35">
        <v>85560.36</v>
      </c>
      <c r="P35">
        <v>7914.3333000000002</v>
      </c>
      <c r="Q35">
        <v>94971.99960000001</v>
      </c>
      <c r="R35" t="s">
        <v>656</v>
      </c>
      <c r="S35">
        <f>IFERROR(VLOOKUP(CONCATENATE(Fix_Mapping[[#This Row],[KODE BARANG]],1),'Form Fix'!$A$6:$F$1063,4,0),0)</f>
        <v>100975</v>
      </c>
      <c r="T35">
        <f>IFERROR(VLOOKUP(CONCATENATE(Fix_Mapping[[#This Row],[KODE BARANG]],2),'Form Fix'!$A$6:$F$1063,4,0),0)</f>
        <v>0</v>
      </c>
      <c r="U35">
        <f>IFERROR(VLOOKUP(CONCATENATE(Fix_Mapping[[#This Row],[KODE BARANG]],3),'Form Fix'!$A$6:$F$1063,4,0),0)</f>
        <v>0</v>
      </c>
      <c r="V35">
        <f>IFERROR(VLOOKUP(CONCATENATE(Fix_Mapping[[#This Row],[KODE BARANG]],4),'Form Fix'!$A$6:$F$1063,4,0),0)</f>
        <v>0</v>
      </c>
      <c r="W35">
        <f>IFERROR(VLOOKUP(CONCATENATE(Fix_Mapping[[#This Row],[KODE BARANG]],5),'Form Fix'!$A$6:$F$1063,4,0),0)</f>
        <v>0</v>
      </c>
    </row>
    <row r="36" spans="1:23" x14ac:dyDescent="0.25">
      <c r="A36" t="s">
        <v>757</v>
      </c>
      <c r="B36" t="s">
        <v>836</v>
      </c>
      <c r="C36">
        <v>48</v>
      </c>
      <c r="D36" t="s">
        <v>486</v>
      </c>
      <c r="E36" t="s">
        <v>948</v>
      </c>
      <c r="F36">
        <v>4291.4810810810804</v>
      </c>
      <c r="G36">
        <v>205991.09189189185</v>
      </c>
      <c r="H36">
        <v>4763.5439999999999</v>
      </c>
      <c r="I36">
        <v>228650.11199999996</v>
      </c>
      <c r="J36">
        <v>4565.405405405405</v>
      </c>
      <c r="K36">
        <v>219139.45945945944</v>
      </c>
      <c r="L36">
        <v>5067.6000000000004</v>
      </c>
      <c r="M36">
        <v>243244.79999999999</v>
      </c>
      <c r="N36">
        <v>4930.6378378378377</v>
      </c>
      <c r="O36">
        <v>236670.61621621621</v>
      </c>
      <c r="P36">
        <v>5473.0080000000007</v>
      </c>
      <c r="Q36">
        <v>262704.38400000002</v>
      </c>
      <c r="R36" t="s">
        <v>656</v>
      </c>
      <c r="S36">
        <f>IFERROR(VLOOKUP(CONCATENATE(Fix_Mapping[[#This Row],[KODE BARANG]],1),'Form Fix'!$A$6:$F$1063,4,0),0)</f>
        <v>110016</v>
      </c>
      <c r="T36">
        <f>IFERROR(VLOOKUP(CONCATENATE(Fix_Mapping[[#This Row],[KODE BARANG]],2),'Form Fix'!$A$6:$F$1063,4,0),0)</f>
        <v>110017</v>
      </c>
      <c r="U36">
        <f>IFERROR(VLOOKUP(CONCATENATE(Fix_Mapping[[#This Row],[KODE BARANG]],3),'Form Fix'!$A$6:$F$1063,4,0),0)</f>
        <v>110018</v>
      </c>
      <c r="V36">
        <f>IFERROR(VLOOKUP(CONCATENATE(Fix_Mapping[[#This Row],[KODE BARANG]],4),'Form Fix'!$A$6:$F$1063,4,0),0)</f>
        <v>110021</v>
      </c>
      <c r="W36">
        <f>IFERROR(VLOOKUP(CONCATENATE(Fix_Mapping[[#This Row],[KODE BARANG]],5),'Form Fix'!$A$6:$F$1063,4,0),0)</f>
        <v>0</v>
      </c>
    </row>
    <row r="37" spans="1:23" x14ac:dyDescent="0.25">
      <c r="A37" t="s">
        <v>682</v>
      </c>
      <c r="B37" t="s">
        <v>837</v>
      </c>
      <c r="C37">
        <v>12</v>
      </c>
      <c r="D37" t="s">
        <v>486</v>
      </c>
      <c r="E37" t="s">
        <v>948</v>
      </c>
      <c r="F37">
        <v>13685.046399999999</v>
      </c>
      <c r="G37">
        <v>164220.55679999999</v>
      </c>
      <c r="H37">
        <v>15190.401504000001</v>
      </c>
      <c r="I37">
        <v>182284.81804800002</v>
      </c>
      <c r="J37">
        <v>14558.56</v>
      </c>
      <c r="K37">
        <v>174702.72</v>
      </c>
      <c r="L37">
        <v>16160.001600000001</v>
      </c>
      <c r="M37">
        <v>193920.01920000001</v>
      </c>
      <c r="N37">
        <v>15723.24</v>
      </c>
      <c r="O37">
        <v>188678.88</v>
      </c>
      <c r="P37">
        <v>17452.796400000003</v>
      </c>
      <c r="Q37">
        <v>209433.55680000002</v>
      </c>
      <c r="R37" t="s">
        <v>656</v>
      </c>
      <c r="S37">
        <f>IFERROR(VLOOKUP(CONCATENATE(Fix_Mapping[[#This Row],[KODE BARANG]],1),'Form Fix'!$A$6:$F$1063,4,0),0)</f>
        <v>110013</v>
      </c>
      <c r="T37">
        <f>IFERROR(VLOOKUP(CONCATENATE(Fix_Mapping[[#This Row],[KODE BARANG]],2),'Form Fix'!$A$6:$F$1063,4,0),0)</f>
        <v>110019</v>
      </c>
      <c r="U37">
        <f>IFERROR(VLOOKUP(CONCATENATE(Fix_Mapping[[#This Row],[KODE BARANG]],3),'Form Fix'!$A$6:$F$1063,4,0),0)</f>
        <v>0</v>
      </c>
      <c r="V37">
        <f>IFERROR(VLOOKUP(CONCATENATE(Fix_Mapping[[#This Row],[KODE BARANG]],4),'Form Fix'!$A$6:$F$1063,4,0),0)</f>
        <v>0</v>
      </c>
      <c r="W37">
        <f>IFERROR(VLOOKUP(CONCATENATE(Fix_Mapping[[#This Row],[KODE BARANG]],5),'Form Fix'!$A$6:$F$1063,4,0),0)</f>
        <v>0</v>
      </c>
    </row>
    <row r="38" spans="1:23" x14ac:dyDescent="0.25">
      <c r="A38" t="s">
        <v>758</v>
      </c>
      <c r="B38" t="s">
        <v>838</v>
      </c>
      <c r="C38">
        <v>1</v>
      </c>
      <c r="D38" t="s">
        <v>506</v>
      </c>
      <c r="E38" t="s">
        <v>948</v>
      </c>
      <c r="F38">
        <v>67366.669800000003</v>
      </c>
      <c r="G38">
        <v>67366.669800000003</v>
      </c>
      <c r="H38">
        <v>74777.003478000013</v>
      </c>
      <c r="I38">
        <v>74777.003478000013</v>
      </c>
      <c r="J38">
        <v>71666.67</v>
      </c>
      <c r="K38">
        <v>71666.67</v>
      </c>
      <c r="L38">
        <v>79550.003700000001</v>
      </c>
      <c r="M38">
        <v>79550.003700000001</v>
      </c>
      <c r="N38">
        <v>77400</v>
      </c>
      <c r="O38">
        <v>77400</v>
      </c>
      <c r="P38">
        <v>85914.000000000015</v>
      </c>
      <c r="Q38">
        <v>85914.000000000015</v>
      </c>
      <c r="R38" t="s">
        <v>656</v>
      </c>
      <c r="S38">
        <f>IFERROR(VLOOKUP(CONCATENATE(Fix_Mapping[[#This Row],[KODE BARANG]],1),'Form Fix'!$A$6:$F$1063,4,0),0)</f>
        <v>110014</v>
      </c>
      <c r="T38">
        <f>IFERROR(VLOOKUP(CONCATENATE(Fix_Mapping[[#This Row],[KODE BARANG]],2),'Form Fix'!$A$6:$F$1063,4,0),0)</f>
        <v>110020</v>
      </c>
      <c r="U38">
        <f>IFERROR(VLOOKUP(CONCATENATE(Fix_Mapping[[#This Row],[KODE BARANG]],3),'Form Fix'!$A$6:$F$1063,4,0),0)</f>
        <v>0</v>
      </c>
      <c r="V38">
        <f>IFERROR(VLOOKUP(CONCATENATE(Fix_Mapping[[#This Row],[KODE BARANG]],4),'Form Fix'!$A$6:$F$1063,4,0),0)</f>
        <v>0</v>
      </c>
      <c r="W38">
        <f>IFERROR(VLOOKUP(CONCATENATE(Fix_Mapping[[#This Row],[KODE BARANG]],5),'Form Fix'!$A$6:$F$1063,4,0),0)</f>
        <v>0</v>
      </c>
    </row>
    <row r="39" spans="1:23" x14ac:dyDescent="0.25">
      <c r="A39" t="s">
        <v>683</v>
      </c>
      <c r="B39" t="s">
        <v>839</v>
      </c>
      <c r="C39">
        <v>24</v>
      </c>
      <c r="D39" t="s">
        <v>486</v>
      </c>
      <c r="E39" t="s">
        <v>533</v>
      </c>
      <c r="F39">
        <v>42984.59099099099</v>
      </c>
      <c r="G39">
        <v>1031630.1837837838</v>
      </c>
      <c r="H39">
        <v>47712.896000000001</v>
      </c>
      <c r="I39">
        <v>1145109.5040000002</v>
      </c>
      <c r="J39">
        <v>45728.288288288284</v>
      </c>
      <c r="K39">
        <v>1097478.9189189188</v>
      </c>
      <c r="L39">
        <v>50758.400000000001</v>
      </c>
      <c r="M39">
        <v>1218201.6000000001</v>
      </c>
      <c r="N39">
        <v>49386.551351351351</v>
      </c>
      <c r="O39">
        <v>1185277.2324324325</v>
      </c>
      <c r="P39">
        <v>54819.072000000007</v>
      </c>
      <c r="Q39">
        <v>1315657.7280000001</v>
      </c>
      <c r="R39" t="s">
        <v>656</v>
      </c>
      <c r="S39">
        <f>IFERROR(VLOOKUP(CONCATENATE(Fix_Mapping[[#This Row],[KODE BARANG]],1),'Form Fix'!$A$6:$F$1063,4,0),0)</f>
        <v>120011</v>
      </c>
      <c r="T39">
        <f>IFERROR(VLOOKUP(CONCATENATE(Fix_Mapping[[#This Row],[KODE BARANG]],2),'Form Fix'!$A$6:$F$1063,4,0),0)</f>
        <v>120029</v>
      </c>
      <c r="U39">
        <f>IFERROR(VLOOKUP(CONCATENATE(Fix_Mapping[[#This Row],[KODE BARANG]],3),'Form Fix'!$A$6:$F$1063,4,0),0)</f>
        <v>120041</v>
      </c>
      <c r="V39">
        <f>IFERROR(VLOOKUP(CONCATENATE(Fix_Mapping[[#This Row],[KODE BARANG]],4),'Form Fix'!$A$6:$F$1063,4,0),0)</f>
        <v>0</v>
      </c>
      <c r="W39">
        <f>IFERROR(VLOOKUP(CONCATENATE(Fix_Mapping[[#This Row],[KODE BARANG]],5),'Form Fix'!$A$6:$F$1063,4,0),0)</f>
        <v>0</v>
      </c>
    </row>
    <row r="40" spans="1:23" x14ac:dyDescent="0.25">
      <c r="A40" t="s">
        <v>685</v>
      </c>
      <c r="B40" t="s">
        <v>840</v>
      </c>
      <c r="C40">
        <v>48</v>
      </c>
      <c r="D40" t="s">
        <v>486</v>
      </c>
      <c r="E40" t="s">
        <v>533</v>
      </c>
      <c r="F40">
        <v>9830.2828828828806</v>
      </c>
      <c r="G40">
        <v>471853.5783783783</v>
      </c>
      <c r="H40">
        <v>10911.613999999998</v>
      </c>
      <c r="I40">
        <v>523757.47199999995</v>
      </c>
      <c r="J40">
        <v>10457.747747747746</v>
      </c>
      <c r="K40">
        <v>501971.89189189184</v>
      </c>
      <c r="L40">
        <v>11608.099999999999</v>
      </c>
      <c r="M40">
        <v>557188.79999999993</v>
      </c>
      <c r="N40">
        <v>11294.367567567566</v>
      </c>
      <c r="O40">
        <v>542129.64324324322</v>
      </c>
      <c r="P40">
        <v>12536.748</v>
      </c>
      <c r="Q40">
        <v>601763.90399999998</v>
      </c>
      <c r="R40" t="s">
        <v>656</v>
      </c>
      <c r="S40">
        <f>IFERROR(VLOOKUP(CONCATENATE(Fix_Mapping[[#This Row],[KODE BARANG]],1),'Form Fix'!$A$6:$F$1063,4,0),0)</f>
        <v>120030</v>
      </c>
      <c r="T40">
        <f>IFERROR(VLOOKUP(CONCATENATE(Fix_Mapping[[#This Row],[KODE BARANG]],2),'Form Fix'!$A$6:$F$1063,4,0),0)</f>
        <v>120035</v>
      </c>
      <c r="U40">
        <f>IFERROR(VLOOKUP(CONCATENATE(Fix_Mapping[[#This Row],[KODE BARANG]],3),'Form Fix'!$A$6:$F$1063,4,0),0)</f>
        <v>0</v>
      </c>
      <c r="V40">
        <f>IFERROR(VLOOKUP(CONCATENATE(Fix_Mapping[[#This Row],[KODE BARANG]],4),'Form Fix'!$A$6:$F$1063,4,0),0)</f>
        <v>0</v>
      </c>
      <c r="W40">
        <f>IFERROR(VLOOKUP(CONCATENATE(Fix_Mapping[[#This Row],[KODE BARANG]],5),'Form Fix'!$A$6:$F$1063,4,0),0)</f>
        <v>0</v>
      </c>
    </row>
    <row r="41" spans="1:23" x14ac:dyDescent="0.25">
      <c r="A41" t="s">
        <v>687</v>
      </c>
      <c r="B41" t="s">
        <v>841</v>
      </c>
      <c r="C41">
        <v>24</v>
      </c>
      <c r="D41" t="s">
        <v>486</v>
      </c>
      <c r="E41" t="s">
        <v>533</v>
      </c>
      <c r="F41">
        <v>14540.445045045042</v>
      </c>
      <c r="G41">
        <v>348970.68108108104</v>
      </c>
      <c r="H41">
        <v>16139.893999999998</v>
      </c>
      <c r="I41">
        <v>387357.45600000001</v>
      </c>
      <c r="J41">
        <v>15468.558558558556</v>
      </c>
      <c r="K41">
        <v>371245.40540540533</v>
      </c>
      <c r="L41">
        <v>17170.099999999999</v>
      </c>
      <c r="M41">
        <v>412082.39999999997</v>
      </c>
      <c r="N41">
        <v>16706.043243243243</v>
      </c>
      <c r="O41">
        <v>400945.03783783782</v>
      </c>
      <c r="P41">
        <v>18543.708000000002</v>
      </c>
      <c r="Q41">
        <v>445048.99200000009</v>
      </c>
      <c r="R41" t="s">
        <v>656</v>
      </c>
      <c r="S41">
        <f>IFERROR(VLOOKUP(CONCATENATE(Fix_Mapping[[#This Row],[KODE BARANG]],1),'Form Fix'!$A$6:$F$1063,4,0),0)</f>
        <v>120034</v>
      </c>
      <c r="T41">
        <f>IFERROR(VLOOKUP(CONCATENATE(Fix_Mapping[[#This Row],[KODE BARANG]],2),'Form Fix'!$A$6:$F$1063,4,0),0)</f>
        <v>120038</v>
      </c>
      <c r="U41">
        <f>IFERROR(VLOOKUP(CONCATENATE(Fix_Mapping[[#This Row],[KODE BARANG]],3),'Form Fix'!$A$6:$F$1063,4,0),0)</f>
        <v>0</v>
      </c>
      <c r="V41">
        <f>IFERROR(VLOOKUP(CONCATENATE(Fix_Mapping[[#This Row],[KODE BARANG]],4),'Form Fix'!$A$6:$F$1063,4,0),0)</f>
        <v>0</v>
      </c>
      <c r="W41">
        <f>IFERROR(VLOOKUP(CONCATENATE(Fix_Mapping[[#This Row],[KODE BARANG]],5),'Form Fix'!$A$6:$F$1063,4,0),0)</f>
        <v>0</v>
      </c>
    </row>
    <row r="42" spans="1:23" x14ac:dyDescent="0.25">
      <c r="A42" t="s">
        <v>684</v>
      </c>
      <c r="B42" t="s">
        <v>842</v>
      </c>
      <c r="C42">
        <v>24</v>
      </c>
      <c r="D42" t="s">
        <v>486</v>
      </c>
      <c r="E42" t="s">
        <v>533</v>
      </c>
      <c r="F42">
        <v>30275.875675675674</v>
      </c>
      <c r="G42">
        <v>726621.01621621614</v>
      </c>
      <c r="H42">
        <v>33606.222000000002</v>
      </c>
      <c r="I42">
        <v>806549.32799999998</v>
      </c>
      <c r="J42">
        <v>32208.378378378377</v>
      </c>
      <c r="K42">
        <v>773001.08108108107</v>
      </c>
      <c r="L42">
        <v>35751.300000000003</v>
      </c>
      <c r="M42">
        <v>858031.20000000007</v>
      </c>
      <c r="N42">
        <v>34785.048648648648</v>
      </c>
      <c r="O42">
        <v>834841.16756756755</v>
      </c>
      <c r="P42">
        <v>38611.404000000002</v>
      </c>
      <c r="Q42">
        <v>926673.696</v>
      </c>
      <c r="R42" t="s">
        <v>656</v>
      </c>
      <c r="S42">
        <f>IFERROR(VLOOKUP(CONCATENATE(Fix_Mapping[[#This Row],[KODE BARANG]],1),'Form Fix'!$A$6:$F$1063,4,0),0)</f>
        <v>120031</v>
      </c>
      <c r="T42">
        <f>IFERROR(VLOOKUP(CONCATENATE(Fix_Mapping[[#This Row],[KODE BARANG]],2),'Form Fix'!$A$6:$F$1063,4,0),0)</f>
        <v>120033</v>
      </c>
      <c r="U42">
        <f>IFERROR(VLOOKUP(CONCATENATE(Fix_Mapping[[#This Row],[KODE BARANG]],3),'Form Fix'!$A$6:$F$1063,4,0),0)</f>
        <v>120040</v>
      </c>
      <c r="V42">
        <f>IFERROR(VLOOKUP(CONCATENATE(Fix_Mapping[[#This Row],[KODE BARANG]],4),'Form Fix'!$A$6:$F$1063,4,0),0)</f>
        <v>0</v>
      </c>
      <c r="W42">
        <f>IFERROR(VLOOKUP(CONCATENATE(Fix_Mapping[[#This Row],[KODE BARANG]],5),'Form Fix'!$A$6:$F$1063,4,0),0)</f>
        <v>0</v>
      </c>
    </row>
    <row r="43" spans="1:23" x14ac:dyDescent="0.25">
      <c r="A43" t="s">
        <v>686</v>
      </c>
      <c r="B43" t="s">
        <v>843</v>
      </c>
      <c r="C43">
        <v>24</v>
      </c>
      <c r="D43" t="s">
        <v>486</v>
      </c>
      <c r="E43" t="s">
        <v>533</v>
      </c>
      <c r="F43">
        <v>16023.273873873874</v>
      </c>
      <c r="G43">
        <v>384558.57297297299</v>
      </c>
      <c r="H43">
        <v>17785.834000000003</v>
      </c>
      <c r="I43">
        <v>426860.01600000006</v>
      </c>
      <c r="J43">
        <v>17046.036036036036</v>
      </c>
      <c r="K43">
        <v>409104.86486486485</v>
      </c>
      <c r="L43">
        <v>18921.100000000002</v>
      </c>
      <c r="M43">
        <v>454106.4</v>
      </c>
      <c r="N43">
        <v>18409.718918918919</v>
      </c>
      <c r="O43">
        <v>441833.25405405404</v>
      </c>
      <c r="P43">
        <v>20434.788000000004</v>
      </c>
      <c r="Q43">
        <v>490434.91200000013</v>
      </c>
      <c r="R43" t="s">
        <v>656</v>
      </c>
      <c r="S43">
        <f>IFERROR(VLOOKUP(CONCATENATE(Fix_Mapping[[#This Row],[KODE BARANG]],1),'Form Fix'!$A$6:$F$1063,4,0),0)</f>
        <v>120032</v>
      </c>
      <c r="T43">
        <f>IFERROR(VLOOKUP(CONCATENATE(Fix_Mapping[[#This Row],[KODE BARANG]],2),'Form Fix'!$A$6:$F$1063,4,0),0)</f>
        <v>120037</v>
      </c>
      <c r="U43">
        <f>IFERROR(VLOOKUP(CONCATENATE(Fix_Mapping[[#This Row],[KODE BARANG]],3),'Form Fix'!$A$6:$F$1063,4,0),0)</f>
        <v>0</v>
      </c>
      <c r="V43">
        <f>IFERROR(VLOOKUP(CONCATENATE(Fix_Mapping[[#This Row],[KODE BARANG]],4),'Form Fix'!$A$6:$F$1063,4,0),0)</f>
        <v>0</v>
      </c>
      <c r="W43">
        <f>IFERROR(VLOOKUP(CONCATENATE(Fix_Mapping[[#This Row],[KODE BARANG]],5),'Form Fix'!$A$6:$F$1063,4,0),0)</f>
        <v>0</v>
      </c>
    </row>
    <row r="44" spans="1:23" x14ac:dyDescent="0.25">
      <c r="A44" t="s">
        <v>688</v>
      </c>
      <c r="B44" t="s">
        <v>844</v>
      </c>
      <c r="C44">
        <v>24</v>
      </c>
      <c r="D44" t="s">
        <v>486</v>
      </c>
      <c r="E44" t="s">
        <v>533</v>
      </c>
      <c r="F44">
        <v>10990.378378378375</v>
      </c>
      <c r="G44">
        <v>263769.08108108101</v>
      </c>
      <c r="H44">
        <v>12199.319999999998</v>
      </c>
      <c r="I44">
        <v>292783.67999999993</v>
      </c>
      <c r="J44">
        <v>11691.891891891888</v>
      </c>
      <c r="K44">
        <v>280605.40540540533</v>
      </c>
      <c r="L44">
        <v>12977.999999999996</v>
      </c>
      <c r="M44">
        <v>311471.99999999994</v>
      </c>
      <c r="N44">
        <v>12627.24324324324</v>
      </c>
      <c r="O44">
        <v>303053.83783783775</v>
      </c>
      <c r="P44">
        <v>14016.239999999998</v>
      </c>
      <c r="Q44">
        <v>336389.75999999995</v>
      </c>
      <c r="R44" t="s">
        <v>656</v>
      </c>
      <c r="S44">
        <f>IFERROR(VLOOKUP(CONCATENATE(Fix_Mapping[[#This Row],[KODE BARANG]],1),'Form Fix'!$A$6:$F$1063,4,0),0)</f>
        <v>120028</v>
      </c>
      <c r="T44">
        <f>IFERROR(VLOOKUP(CONCATENATE(Fix_Mapping[[#This Row],[KODE BARANG]],2),'Form Fix'!$A$6:$F$1063,4,0),0)</f>
        <v>120043</v>
      </c>
      <c r="U44">
        <f>IFERROR(VLOOKUP(CONCATENATE(Fix_Mapping[[#This Row],[KODE BARANG]],3),'Form Fix'!$A$6:$F$1063,4,0),0)</f>
        <v>0</v>
      </c>
      <c r="V44">
        <f>IFERROR(VLOOKUP(CONCATENATE(Fix_Mapping[[#This Row],[KODE BARANG]],4),'Form Fix'!$A$6:$F$1063,4,0),0)</f>
        <v>0</v>
      </c>
      <c r="W44">
        <f>IFERROR(VLOOKUP(CONCATENATE(Fix_Mapping[[#This Row],[KODE BARANG]],5),'Form Fix'!$A$6:$F$1063,4,0),0)</f>
        <v>0</v>
      </c>
    </row>
    <row r="45" spans="1:23" x14ac:dyDescent="0.25">
      <c r="A45" t="s">
        <v>1042</v>
      </c>
      <c r="B45" t="s">
        <v>1045</v>
      </c>
      <c r="C45">
        <v>12</v>
      </c>
      <c r="D45" t="s">
        <v>605</v>
      </c>
      <c r="E45" t="s">
        <v>533</v>
      </c>
      <c r="F45">
        <v>10824.57</v>
      </c>
      <c r="G45">
        <v>129894.84</v>
      </c>
      <c r="H45">
        <v>12015.272700000001</v>
      </c>
      <c r="I45">
        <v>144183.27240000002</v>
      </c>
      <c r="J45">
        <v>11515.5</v>
      </c>
      <c r="K45">
        <v>138186</v>
      </c>
      <c r="L45">
        <v>12782.205000000002</v>
      </c>
      <c r="M45">
        <v>153386.46000000002</v>
      </c>
      <c r="N45">
        <v>11515.5</v>
      </c>
      <c r="O45">
        <v>138186</v>
      </c>
      <c r="P45">
        <v>12782.205000000002</v>
      </c>
      <c r="Q45">
        <v>153386.46000000002</v>
      </c>
      <c r="S45">
        <f>IFERROR(VLOOKUP(CONCATENATE(Fix_Mapping[[#This Row],[KODE BARANG]],1),'Form Fix'!$A$6:$F$1063,4,0),0)</f>
        <v>120045</v>
      </c>
      <c r="T45">
        <f>IFERROR(VLOOKUP(CONCATENATE(Fix_Mapping[[#This Row],[KODE BARANG]],2),'Form Fix'!$A$6:$F$1063,4,0),0)</f>
        <v>0</v>
      </c>
      <c r="U45">
        <f>IFERROR(VLOOKUP(CONCATENATE(Fix_Mapping[[#This Row],[KODE BARANG]],3),'Form Fix'!$A$6:$F$1063,4,0),0)</f>
        <v>0</v>
      </c>
      <c r="V45">
        <f>IFERROR(VLOOKUP(CONCATENATE(Fix_Mapping[[#This Row],[KODE BARANG]],4),'Form Fix'!$A$6:$F$1063,4,0),0)</f>
        <v>0</v>
      </c>
      <c r="W45">
        <f>IFERROR(VLOOKUP(CONCATENATE(Fix_Mapping[[#This Row],[KODE BARANG]],5),'Form Fix'!$A$6:$F$1063,4,0),0)</f>
        <v>0</v>
      </c>
    </row>
    <row r="46" spans="1:23" x14ac:dyDescent="0.25">
      <c r="A46" t="s">
        <v>759</v>
      </c>
      <c r="B46" t="s">
        <v>845</v>
      </c>
      <c r="C46">
        <v>36</v>
      </c>
      <c r="D46" t="s">
        <v>545</v>
      </c>
      <c r="E46" t="s">
        <v>542</v>
      </c>
      <c r="F46">
        <v>5922.5927927927914</v>
      </c>
      <c r="G46">
        <v>213213.34054054049</v>
      </c>
      <c r="H46">
        <v>6574.0779999999995</v>
      </c>
      <c r="I46">
        <v>236666.80799999996</v>
      </c>
      <c r="J46">
        <v>6300.6306306306296</v>
      </c>
      <c r="K46">
        <v>226822.70270270266</v>
      </c>
      <c r="L46">
        <v>6993.7</v>
      </c>
      <c r="M46">
        <v>251773.19999999998</v>
      </c>
      <c r="N46">
        <v>6615.6621621621616</v>
      </c>
      <c r="O46">
        <v>238163.83783783781</v>
      </c>
      <c r="P46">
        <v>7343.3850000000002</v>
      </c>
      <c r="Q46">
        <v>264361.86</v>
      </c>
      <c r="R46" t="s">
        <v>656</v>
      </c>
      <c r="S46">
        <f>IFERROR(VLOOKUP(CONCATENATE(Fix_Mapping[[#This Row],[KODE BARANG]],1),'Form Fix'!$A$6:$F$1063,4,0),0)</f>
        <v>612087</v>
      </c>
      <c r="T46">
        <f>IFERROR(VLOOKUP(CONCATENATE(Fix_Mapping[[#This Row],[KODE BARANG]],2),'Form Fix'!$A$6:$F$1063,4,0),0)</f>
        <v>612137</v>
      </c>
      <c r="U46">
        <f>IFERROR(VLOOKUP(CONCATENATE(Fix_Mapping[[#This Row],[KODE BARANG]],3),'Form Fix'!$A$6:$F$1063,4,0),0)</f>
        <v>612147</v>
      </c>
      <c r="V46">
        <f>IFERROR(VLOOKUP(CONCATENATE(Fix_Mapping[[#This Row],[KODE BARANG]],4),'Form Fix'!$A$6:$F$1063,4,0),0)</f>
        <v>0</v>
      </c>
      <c r="W46">
        <f>IFERROR(VLOOKUP(CONCATENATE(Fix_Mapping[[#This Row],[KODE BARANG]],5),'Form Fix'!$A$6:$F$1063,4,0),0)</f>
        <v>0</v>
      </c>
    </row>
    <row r="47" spans="1:23" x14ac:dyDescent="0.25">
      <c r="A47" t="s">
        <v>689</v>
      </c>
      <c r="B47" t="s">
        <v>846</v>
      </c>
      <c r="C47">
        <v>48</v>
      </c>
      <c r="D47" t="s">
        <v>552</v>
      </c>
      <c r="E47" t="s">
        <v>952</v>
      </c>
      <c r="F47">
        <v>1351.9926</v>
      </c>
      <c r="G47">
        <v>64895.644800000002</v>
      </c>
      <c r="H47">
        <v>1500.7117860000001</v>
      </c>
      <c r="I47">
        <v>72034.165728000007</v>
      </c>
      <c r="J47">
        <v>1438.29</v>
      </c>
      <c r="K47">
        <v>69037.919999999998</v>
      </c>
      <c r="L47">
        <v>1596.5019000000002</v>
      </c>
      <c r="M47">
        <v>76632.09120000001</v>
      </c>
      <c r="N47">
        <v>1510.2</v>
      </c>
      <c r="O47">
        <v>72489.600000000006</v>
      </c>
      <c r="P47">
        <v>1676.3220000000001</v>
      </c>
      <c r="Q47">
        <v>80463.456000000006</v>
      </c>
      <c r="R47" t="s">
        <v>656</v>
      </c>
      <c r="S47">
        <f>IFERROR(VLOOKUP(CONCATENATE(Fix_Mapping[[#This Row],[KODE BARANG]],1),'Form Fix'!$A$6:$F$1063,4,0),0)</f>
        <v>460166</v>
      </c>
      <c r="T47">
        <f>IFERROR(VLOOKUP(CONCATENATE(Fix_Mapping[[#This Row],[KODE BARANG]],2),'Form Fix'!$A$6:$F$1063,4,0),0)</f>
        <v>0</v>
      </c>
      <c r="U47">
        <f>IFERROR(VLOOKUP(CONCATENATE(Fix_Mapping[[#This Row],[KODE BARANG]],3),'Form Fix'!$A$6:$F$1063,4,0),0)</f>
        <v>0</v>
      </c>
      <c r="V47">
        <f>IFERROR(VLOOKUP(CONCATENATE(Fix_Mapping[[#This Row],[KODE BARANG]],4),'Form Fix'!$A$6:$F$1063,4,0),0)</f>
        <v>0</v>
      </c>
      <c r="W47">
        <f>IFERROR(VLOOKUP(CONCATENATE(Fix_Mapping[[#This Row],[KODE BARANG]],5),'Form Fix'!$A$6:$F$1063,4,0),0)</f>
        <v>0</v>
      </c>
    </row>
    <row r="48" spans="1:23" x14ac:dyDescent="0.25">
      <c r="A48" t="s">
        <v>690</v>
      </c>
      <c r="B48" t="s">
        <v>847</v>
      </c>
      <c r="C48">
        <v>48</v>
      </c>
      <c r="D48" t="s">
        <v>552</v>
      </c>
      <c r="E48" t="s">
        <v>952</v>
      </c>
      <c r="F48">
        <v>1351.9926</v>
      </c>
      <c r="G48">
        <v>64895.644800000002</v>
      </c>
      <c r="H48">
        <v>1500.7117860000001</v>
      </c>
      <c r="I48">
        <v>72034.165728000007</v>
      </c>
      <c r="J48">
        <v>1438.29</v>
      </c>
      <c r="K48">
        <v>69037.919999999998</v>
      </c>
      <c r="L48">
        <v>1596.5019000000002</v>
      </c>
      <c r="M48">
        <v>76632.09120000001</v>
      </c>
      <c r="N48">
        <v>1510.2</v>
      </c>
      <c r="O48">
        <v>72489.600000000006</v>
      </c>
      <c r="P48">
        <v>1676.3220000000001</v>
      </c>
      <c r="Q48">
        <v>80463.456000000006</v>
      </c>
      <c r="R48" t="s">
        <v>656</v>
      </c>
      <c r="S48">
        <f>IFERROR(VLOOKUP(CONCATENATE(Fix_Mapping[[#This Row],[KODE BARANG]],1),'Form Fix'!$A$6:$F$1063,4,0),0)</f>
        <v>460167</v>
      </c>
      <c r="T48">
        <f>IFERROR(VLOOKUP(CONCATENATE(Fix_Mapping[[#This Row],[KODE BARANG]],2),'Form Fix'!$A$6:$F$1063,4,0),0)</f>
        <v>0</v>
      </c>
      <c r="U48">
        <f>IFERROR(VLOOKUP(CONCATENATE(Fix_Mapping[[#This Row],[KODE BARANG]],3),'Form Fix'!$A$6:$F$1063,4,0),0)</f>
        <v>0</v>
      </c>
      <c r="V48">
        <f>IFERROR(VLOOKUP(CONCATENATE(Fix_Mapping[[#This Row],[KODE BARANG]],4),'Form Fix'!$A$6:$F$1063,4,0),0)</f>
        <v>0</v>
      </c>
      <c r="W48">
        <f>IFERROR(VLOOKUP(CONCATENATE(Fix_Mapping[[#This Row],[KODE BARANG]],5),'Form Fix'!$A$6:$F$1063,4,0),0)</f>
        <v>0</v>
      </c>
    </row>
    <row r="49" spans="1:23" x14ac:dyDescent="0.25">
      <c r="A49" t="s">
        <v>691</v>
      </c>
      <c r="B49" t="s">
        <v>848</v>
      </c>
      <c r="C49">
        <v>48</v>
      </c>
      <c r="D49" t="s">
        <v>552</v>
      </c>
      <c r="E49" t="s">
        <v>952</v>
      </c>
      <c r="F49">
        <v>1351.9926</v>
      </c>
      <c r="G49">
        <v>64895.644800000002</v>
      </c>
      <c r="H49">
        <v>1500.7117860000001</v>
      </c>
      <c r="I49">
        <v>72034.165728000007</v>
      </c>
      <c r="J49">
        <v>1438.29</v>
      </c>
      <c r="K49">
        <v>69037.919999999998</v>
      </c>
      <c r="L49">
        <v>1596.5019000000002</v>
      </c>
      <c r="M49">
        <v>76632.09120000001</v>
      </c>
      <c r="N49">
        <v>1510.2</v>
      </c>
      <c r="O49">
        <v>72489.600000000006</v>
      </c>
      <c r="P49">
        <v>1676.3220000000001</v>
      </c>
      <c r="Q49">
        <v>80463.456000000006</v>
      </c>
      <c r="R49" t="s">
        <v>656</v>
      </c>
      <c r="S49">
        <f>IFERROR(VLOOKUP(CONCATENATE(Fix_Mapping[[#This Row],[KODE BARANG]],1),'Form Fix'!$A$6:$F$1063,4,0),0)</f>
        <v>460168</v>
      </c>
      <c r="T49">
        <f>IFERROR(VLOOKUP(CONCATENATE(Fix_Mapping[[#This Row],[KODE BARANG]],2),'Form Fix'!$A$6:$F$1063,4,0),0)</f>
        <v>0</v>
      </c>
      <c r="U49">
        <f>IFERROR(VLOOKUP(CONCATENATE(Fix_Mapping[[#This Row],[KODE BARANG]],3),'Form Fix'!$A$6:$F$1063,4,0),0)</f>
        <v>0</v>
      </c>
      <c r="V49">
        <f>IFERROR(VLOOKUP(CONCATENATE(Fix_Mapping[[#This Row],[KODE BARANG]],4),'Form Fix'!$A$6:$F$1063,4,0),0)</f>
        <v>0</v>
      </c>
      <c r="W49">
        <f>IFERROR(VLOOKUP(CONCATENATE(Fix_Mapping[[#This Row],[KODE BARANG]],5),'Form Fix'!$A$6:$F$1063,4,0),0)</f>
        <v>0</v>
      </c>
    </row>
    <row r="50" spans="1:23" x14ac:dyDescent="0.25">
      <c r="A50" t="s">
        <v>692</v>
      </c>
      <c r="B50" t="s">
        <v>849</v>
      </c>
      <c r="C50">
        <v>48</v>
      </c>
      <c r="D50" t="s">
        <v>552</v>
      </c>
      <c r="E50" t="s">
        <v>952</v>
      </c>
      <c r="F50">
        <v>1351.9926</v>
      </c>
      <c r="G50">
        <v>64895.644800000002</v>
      </c>
      <c r="H50">
        <v>1500.7117860000001</v>
      </c>
      <c r="I50">
        <v>72034.165728000007</v>
      </c>
      <c r="J50">
        <v>1438.29</v>
      </c>
      <c r="K50">
        <v>69037.919999999998</v>
      </c>
      <c r="L50">
        <v>1596.5019000000002</v>
      </c>
      <c r="M50">
        <v>76632.09120000001</v>
      </c>
      <c r="N50">
        <v>1510.2</v>
      </c>
      <c r="O50">
        <v>72489.600000000006</v>
      </c>
      <c r="P50">
        <v>1676.3220000000001</v>
      </c>
      <c r="Q50">
        <v>80463.456000000006</v>
      </c>
      <c r="R50" t="s">
        <v>656</v>
      </c>
      <c r="S50">
        <f>IFERROR(VLOOKUP(CONCATENATE(Fix_Mapping[[#This Row],[KODE BARANG]],1),'Form Fix'!$A$6:$F$1063,4,0),0)</f>
        <v>460169</v>
      </c>
      <c r="T50">
        <f>IFERROR(VLOOKUP(CONCATENATE(Fix_Mapping[[#This Row],[KODE BARANG]],2),'Form Fix'!$A$6:$F$1063,4,0),0)</f>
        <v>0</v>
      </c>
      <c r="U50">
        <f>IFERROR(VLOOKUP(CONCATENATE(Fix_Mapping[[#This Row],[KODE BARANG]],3),'Form Fix'!$A$6:$F$1063,4,0),0)</f>
        <v>0</v>
      </c>
      <c r="V50">
        <f>IFERROR(VLOOKUP(CONCATENATE(Fix_Mapping[[#This Row],[KODE BARANG]],4),'Form Fix'!$A$6:$F$1063,4,0),0)</f>
        <v>0</v>
      </c>
      <c r="W50">
        <f>IFERROR(VLOOKUP(CONCATENATE(Fix_Mapping[[#This Row],[KODE BARANG]],5),'Form Fix'!$A$6:$F$1063,4,0),0)</f>
        <v>0</v>
      </c>
    </row>
    <row r="51" spans="1:23" x14ac:dyDescent="0.25">
      <c r="A51" t="s">
        <v>695</v>
      </c>
      <c r="B51" t="s">
        <v>850</v>
      </c>
      <c r="C51">
        <v>48</v>
      </c>
      <c r="D51" t="s">
        <v>552</v>
      </c>
      <c r="E51" t="s">
        <v>952</v>
      </c>
      <c r="F51">
        <v>1351.9926</v>
      </c>
      <c r="G51">
        <v>64895.644800000002</v>
      </c>
      <c r="H51">
        <v>1500.7117860000001</v>
      </c>
      <c r="I51">
        <v>72034.165728000007</v>
      </c>
      <c r="J51">
        <v>1438.29</v>
      </c>
      <c r="K51">
        <v>69037.919999999998</v>
      </c>
      <c r="L51">
        <v>1596.5019000000002</v>
      </c>
      <c r="M51">
        <v>76632.09120000001</v>
      </c>
      <c r="N51">
        <v>1510.2</v>
      </c>
      <c r="O51">
        <v>72489.600000000006</v>
      </c>
      <c r="P51">
        <v>1676.3220000000001</v>
      </c>
      <c r="Q51">
        <v>80463.456000000006</v>
      </c>
      <c r="R51" t="s">
        <v>656</v>
      </c>
      <c r="S51">
        <f>IFERROR(VLOOKUP(CONCATENATE(Fix_Mapping[[#This Row],[KODE BARANG]],1),'Form Fix'!$A$6:$F$1063,4,0),0)</f>
        <v>460172</v>
      </c>
      <c r="T51">
        <f>IFERROR(VLOOKUP(CONCATENATE(Fix_Mapping[[#This Row],[KODE BARANG]],2),'Form Fix'!$A$6:$F$1063,4,0),0)</f>
        <v>0</v>
      </c>
      <c r="U51">
        <f>IFERROR(VLOOKUP(CONCATENATE(Fix_Mapping[[#This Row],[KODE BARANG]],3),'Form Fix'!$A$6:$F$1063,4,0),0)</f>
        <v>0</v>
      </c>
      <c r="V51">
        <f>IFERROR(VLOOKUP(CONCATENATE(Fix_Mapping[[#This Row],[KODE BARANG]],4),'Form Fix'!$A$6:$F$1063,4,0),0)</f>
        <v>0</v>
      </c>
      <c r="W51">
        <f>IFERROR(VLOOKUP(CONCATENATE(Fix_Mapping[[#This Row],[KODE BARANG]],5),'Form Fix'!$A$6:$F$1063,4,0),0)</f>
        <v>0</v>
      </c>
    </row>
    <row r="52" spans="1:23" x14ac:dyDescent="0.25">
      <c r="A52" t="s">
        <v>693</v>
      </c>
      <c r="B52" t="s">
        <v>851</v>
      </c>
      <c r="C52">
        <v>48</v>
      </c>
      <c r="D52" t="s">
        <v>552</v>
      </c>
      <c r="E52" t="s">
        <v>954</v>
      </c>
      <c r="F52">
        <v>1351.9926</v>
      </c>
      <c r="G52">
        <v>64895.644800000002</v>
      </c>
      <c r="H52">
        <v>1500.7117860000001</v>
      </c>
      <c r="I52">
        <v>72034.165728000007</v>
      </c>
      <c r="J52">
        <v>1438.29</v>
      </c>
      <c r="K52">
        <v>69037.919999999998</v>
      </c>
      <c r="L52">
        <v>1596.5019000000002</v>
      </c>
      <c r="M52">
        <v>76632.09120000001</v>
      </c>
      <c r="N52">
        <v>1510.2</v>
      </c>
      <c r="O52">
        <v>72489.600000000006</v>
      </c>
      <c r="P52">
        <v>1676.3220000000001</v>
      </c>
      <c r="Q52">
        <v>80463.456000000006</v>
      </c>
      <c r="R52" t="s">
        <v>656</v>
      </c>
      <c r="S52">
        <f>IFERROR(VLOOKUP(CONCATENATE(Fix_Mapping[[#This Row],[KODE BARANG]],1),'Form Fix'!$A$6:$F$1063,4,0),0)</f>
        <v>460170</v>
      </c>
      <c r="T52">
        <f>IFERROR(VLOOKUP(CONCATENATE(Fix_Mapping[[#This Row],[KODE BARANG]],2),'Form Fix'!$A$6:$F$1063,4,0),0)</f>
        <v>0</v>
      </c>
      <c r="U52">
        <f>IFERROR(VLOOKUP(CONCATENATE(Fix_Mapping[[#This Row],[KODE BARANG]],3),'Form Fix'!$A$6:$F$1063,4,0),0)</f>
        <v>0</v>
      </c>
      <c r="V52">
        <f>IFERROR(VLOOKUP(CONCATENATE(Fix_Mapping[[#This Row],[KODE BARANG]],4),'Form Fix'!$A$6:$F$1063,4,0),0)</f>
        <v>0</v>
      </c>
      <c r="W52">
        <f>IFERROR(VLOOKUP(CONCATENATE(Fix_Mapping[[#This Row],[KODE BARANG]],5),'Form Fix'!$A$6:$F$1063,4,0),0)</f>
        <v>0</v>
      </c>
    </row>
    <row r="53" spans="1:23" x14ac:dyDescent="0.25">
      <c r="A53" t="s">
        <v>694</v>
      </c>
      <c r="B53" t="s">
        <v>852</v>
      </c>
      <c r="C53">
        <v>48</v>
      </c>
      <c r="D53" t="s">
        <v>552</v>
      </c>
      <c r="E53" t="s">
        <v>954</v>
      </c>
      <c r="F53">
        <v>1351.9926</v>
      </c>
      <c r="G53">
        <v>64895.644800000002</v>
      </c>
      <c r="H53">
        <v>1500.7117860000001</v>
      </c>
      <c r="I53">
        <v>72034.165728000007</v>
      </c>
      <c r="J53">
        <v>1438.29</v>
      </c>
      <c r="K53">
        <v>69037.919999999998</v>
      </c>
      <c r="L53">
        <v>1596.5019000000002</v>
      </c>
      <c r="M53">
        <v>76632.09120000001</v>
      </c>
      <c r="N53">
        <v>1510.2</v>
      </c>
      <c r="O53">
        <v>72489.600000000006</v>
      </c>
      <c r="P53">
        <v>1676.3220000000001</v>
      </c>
      <c r="Q53">
        <v>80463.456000000006</v>
      </c>
      <c r="R53" t="s">
        <v>656</v>
      </c>
      <c r="S53">
        <f>IFERROR(VLOOKUP(CONCATENATE(Fix_Mapping[[#This Row],[KODE BARANG]],1),'Form Fix'!$A$6:$F$1063,4,0),0)</f>
        <v>460171</v>
      </c>
      <c r="T53">
        <f>IFERROR(VLOOKUP(CONCATENATE(Fix_Mapping[[#This Row],[KODE BARANG]],2),'Form Fix'!$A$6:$F$1063,4,0),0)</f>
        <v>0</v>
      </c>
      <c r="U53">
        <f>IFERROR(VLOOKUP(CONCATENATE(Fix_Mapping[[#This Row],[KODE BARANG]],3),'Form Fix'!$A$6:$F$1063,4,0),0)</f>
        <v>0</v>
      </c>
      <c r="V53">
        <f>IFERROR(VLOOKUP(CONCATENATE(Fix_Mapping[[#This Row],[KODE BARANG]],4),'Form Fix'!$A$6:$F$1063,4,0),0)</f>
        <v>0</v>
      </c>
      <c r="W53">
        <f>IFERROR(VLOOKUP(CONCATENATE(Fix_Mapping[[#This Row],[KODE BARANG]],5),'Form Fix'!$A$6:$F$1063,4,0),0)</f>
        <v>0</v>
      </c>
    </row>
    <row r="54" spans="1:23" x14ac:dyDescent="0.25">
      <c r="A54" t="s">
        <v>1043</v>
      </c>
      <c r="B54" t="s">
        <v>1046</v>
      </c>
      <c r="C54">
        <v>48</v>
      </c>
      <c r="D54" t="s">
        <v>552</v>
      </c>
      <c r="E54" t="s">
        <v>312</v>
      </c>
      <c r="F54">
        <v>1422.7027291666666</v>
      </c>
      <c r="G54">
        <v>68289.731</v>
      </c>
      <c r="H54">
        <v>1579.200029375</v>
      </c>
      <c r="I54">
        <v>75801.601410000003</v>
      </c>
      <c r="J54">
        <v>1513.5135416666665</v>
      </c>
      <c r="K54">
        <v>72648.649999999994</v>
      </c>
      <c r="L54">
        <v>1680.0000312499999</v>
      </c>
      <c r="M54">
        <v>80640.001499999998</v>
      </c>
      <c r="N54">
        <v>72648.649999999994</v>
      </c>
      <c r="O54">
        <v>3487135.1999999997</v>
      </c>
      <c r="P54">
        <v>80640.001499999998</v>
      </c>
      <c r="Q54">
        <v>3870720.0719999997</v>
      </c>
      <c r="S54">
        <f>IFERROR(VLOOKUP(CONCATENATE(Fix_Mapping[[#This Row],[KODE BARANG]],1),'Form Fix'!$A$6:$F$1063,4,0),0)</f>
        <v>460197</v>
      </c>
      <c r="T54">
        <f>IFERROR(VLOOKUP(CONCATENATE(Fix_Mapping[[#This Row],[KODE BARANG]],2),'Form Fix'!$A$6:$F$1063,4,0),0)</f>
        <v>0</v>
      </c>
      <c r="U54">
        <f>IFERROR(VLOOKUP(CONCATENATE(Fix_Mapping[[#This Row],[KODE BARANG]],3),'Form Fix'!$A$6:$F$1063,4,0),0)</f>
        <v>0</v>
      </c>
      <c r="V54">
        <f>IFERROR(VLOOKUP(CONCATENATE(Fix_Mapping[[#This Row],[KODE BARANG]],4),'Form Fix'!$A$6:$F$1063,4,0),0)</f>
        <v>0</v>
      </c>
      <c r="W54">
        <f>IFERROR(VLOOKUP(CONCATENATE(Fix_Mapping[[#This Row],[KODE BARANG]],5),'Form Fix'!$A$6:$F$1063,4,0),0)</f>
        <v>0</v>
      </c>
    </row>
    <row r="55" spans="1:23" x14ac:dyDescent="0.25">
      <c r="A55" t="s">
        <v>697</v>
      </c>
      <c r="B55" t="s">
        <v>853</v>
      </c>
      <c r="C55">
        <v>24</v>
      </c>
      <c r="D55" t="s">
        <v>552</v>
      </c>
      <c r="E55" t="s">
        <v>312</v>
      </c>
      <c r="F55">
        <v>2930.7696000000001</v>
      </c>
      <c r="G55">
        <v>70338.470400000006</v>
      </c>
      <c r="H55">
        <v>3253.1542560000003</v>
      </c>
      <c r="I55">
        <v>78075.70214400001</v>
      </c>
      <c r="J55">
        <v>3117.84</v>
      </c>
      <c r="K55">
        <v>74828.160000000003</v>
      </c>
      <c r="L55">
        <v>3460.8024000000005</v>
      </c>
      <c r="M55">
        <v>83059.257600000012</v>
      </c>
      <c r="N55">
        <v>3273.7297297297323</v>
      </c>
      <c r="O55">
        <v>78569.513513513579</v>
      </c>
      <c r="P55">
        <v>3633.8400000000033</v>
      </c>
      <c r="Q55">
        <v>87212.160000000076</v>
      </c>
      <c r="R55" t="s">
        <v>656</v>
      </c>
      <c r="S55">
        <f>IFERROR(VLOOKUP(CONCATENATE(Fix_Mapping[[#This Row],[KODE BARANG]],1),'Form Fix'!$A$6:$F$1063,4,0),0)</f>
        <v>460056</v>
      </c>
      <c r="T55">
        <f>IFERROR(VLOOKUP(CONCATENATE(Fix_Mapping[[#This Row],[KODE BARANG]],2),'Form Fix'!$A$6:$F$1063,4,0),0)</f>
        <v>460178</v>
      </c>
      <c r="U55">
        <f>IFERROR(VLOOKUP(CONCATENATE(Fix_Mapping[[#This Row],[KODE BARANG]],3),'Form Fix'!$A$6:$F$1063,4,0),0)</f>
        <v>0</v>
      </c>
      <c r="V55">
        <f>IFERROR(VLOOKUP(CONCATENATE(Fix_Mapping[[#This Row],[KODE BARANG]],4),'Form Fix'!$A$6:$F$1063,4,0),0)</f>
        <v>0</v>
      </c>
      <c r="W55">
        <f>IFERROR(VLOOKUP(CONCATENATE(Fix_Mapping[[#This Row],[KODE BARANG]],5),'Form Fix'!$A$6:$F$1063,4,0),0)</f>
        <v>0</v>
      </c>
    </row>
    <row r="56" spans="1:23" x14ac:dyDescent="0.25">
      <c r="A56" t="s">
        <v>696</v>
      </c>
      <c r="B56" t="s">
        <v>855</v>
      </c>
      <c r="C56">
        <v>24</v>
      </c>
      <c r="D56" t="s">
        <v>552</v>
      </c>
      <c r="E56" t="s">
        <v>312</v>
      </c>
      <c r="F56">
        <v>3446.6698000000001</v>
      </c>
      <c r="G56">
        <v>82720.075200000007</v>
      </c>
      <c r="H56">
        <v>3825.8034780000003</v>
      </c>
      <c r="I56">
        <v>91819.28347200001</v>
      </c>
      <c r="J56">
        <v>3666.67</v>
      </c>
      <c r="K56">
        <v>88000.08</v>
      </c>
      <c r="L56">
        <v>4070.0037000000007</v>
      </c>
      <c r="M56">
        <v>97680.088800000012</v>
      </c>
      <c r="N56">
        <v>3850</v>
      </c>
      <c r="O56">
        <v>92400</v>
      </c>
      <c r="P56">
        <v>4273.5</v>
      </c>
      <c r="Q56">
        <v>102564</v>
      </c>
      <c r="R56" t="s">
        <v>656</v>
      </c>
      <c r="S56">
        <f>IFERROR(VLOOKUP(CONCATENATE(Fix_Mapping[[#This Row],[KODE BARANG]],1),'Form Fix'!$A$6:$F$1063,4,0),0)</f>
        <v>460179</v>
      </c>
      <c r="T56">
        <f>IFERROR(VLOOKUP(CONCATENATE(Fix_Mapping[[#This Row],[KODE BARANG]],2),'Form Fix'!$A$6:$F$1063,4,0),0)</f>
        <v>0</v>
      </c>
      <c r="U56">
        <f>IFERROR(VLOOKUP(CONCATENATE(Fix_Mapping[[#This Row],[KODE BARANG]],3),'Form Fix'!$A$6:$F$1063,4,0),0)</f>
        <v>0</v>
      </c>
      <c r="V56">
        <f>IFERROR(VLOOKUP(CONCATENATE(Fix_Mapping[[#This Row],[KODE BARANG]],4),'Form Fix'!$A$6:$F$1063,4,0),0)</f>
        <v>0</v>
      </c>
      <c r="W56">
        <f>IFERROR(VLOOKUP(CONCATENATE(Fix_Mapping[[#This Row],[KODE BARANG]],5),'Form Fix'!$A$6:$F$1063,4,0),0)</f>
        <v>0</v>
      </c>
    </row>
    <row r="57" spans="1:23" x14ac:dyDescent="0.25">
      <c r="A57" t="s">
        <v>698</v>
      </c>
      <c r="B57" t="s">
        <v>856</v>
      </c>
      <c r="C57">
        <v>24</v>
      </c>
      <c r="D57" t="s">
        <v>552</v>
      </c>
      <c r="E57" t="s">
        <v>312</v>
      </c>
      <c r="F57">
        <v>2930.7696000000001</v>
      </c>
      <c r="G57">
        <v>70338.470400000006</v>
      </c>
      <c r="H57">
        <v>3253.1542560000003</v>
      </c>
      <c r="I57">
        <v>78075.70214400001</v>
      </c>
      <c r="J57">
        <v>3117.84</v>
      </c>
      <c r="K57">
        <v>74828.160000000003</v>
      </c>
      <c r="L57">
        <v>3460.8024000000005</v>
      </c>
      <c r="M57">
        <v>83059.257600000012</v>
      </c>
      <c r="N57">
        <v>3117.84</v>
      </c>
      <c r="O57">
        <v>74828.160000000003</v>
      </c>
      <c r="P57">
        <v>3460.8024000000005</v>
      </c>
      <c r="Q57">
        <v>83059.257600000012</v>
      </c>
      <c r="R57" t="s">
        <v>656</v>
      </c>
      <c r="S57">
        <f>IFERROR(VLOOKUP(CONCATENATE(Fix_Mapping[[#This Row],[KODE BARANG]],1),'Form Fix'!$A$6:$F$1063,4,0),0)</f>
        <v>460918</v>
      </c>
      <c r="T57">
        <f>IFERROR(VLOOKUP(CONCATENATE(Fix_Mapping[[#This Row],[KODE BARANG]],2),'Form Fix'!$A$6:$F$1063,4,0),0)</f>
        <v>0</v>
      </c>
      <c r="U57">
        <f>IFERROR(VLOOKUP(CONCATENATE(Fix_Mapping[[#This Row],[KODE BARANG]],3),'Form Fix'!$A$6:$F$1063,4,0),0)</f>
        <v>0</v>
      </c>
      <c r="V57">
        <f>IFERROR(VLOOKUP(CONCATENATE(Fix_Mapping[[#This Row],[KODE BARANG]],4),'Form Fix'!$A$6:$F$1063,4,0),0)</f>
        <v>0</v>
      </c>
      <c r="W57">
        <f>IFERROR(VLOOKUP(CONCATENATE(Fix_Mapping[[#This Row],[KODE BARANG]],5),'Form Fix'!$A$6:$F$1063,4,0),0)</f>
        <v>0</v>
      </c>
    </row>
    <row r="58" spans="1:23" x14ac:dyDescent="0.25">
      <c r="A58" t="s">
        <v>699</v>
      </c>
      <c r="B58" t="s">
        <v>857</v>
      </c>
      <c r="C58">
        <v>8</v>
      </c>
      <c r="D58" t="s">
        <v>561</v>
      </c>
      <c r="E58" t="s">
        <v>312</v>
      </c>
      <c r="F58">
        <v>6893.3302000000003</v>
      </c>
      <c r="G58">
        <v>55146.641600000003</v>
      </c>
      <c r="H58">
        <v>7651.5965220000007</v>
      </c>
      <c r="I58">
        <v>61212.772176000006</v>
      </c>
      <c r="J58">
        <v>7333.33</v>
      </c>
      <c r="K58">
        <v>58666.64</v>
      </c>
      <c r="L58">
        <v>8139.9963000000007</v>
      </c>
      <c r="M58">
        <v>65119.970400000006</v>
      </c>
      <c r="N58">
        <v>7700</v>
      </c>
      <c r="O58">
        <v>61600</v>
      </c>
      <c r="P58">
        <v>8547</v>
      </c>
      <c r="Q58">
        <v>68376</v>
      </c>
      <c r="R58" t="s">
        <v>656</v>
      </c>
      <c r="S58">
        <f>IFERROR(VLOOKUP(CONCATENATE(Fix_Mapping[[#This Row],[KODE BARANG]],1),'Form Fix'!$A$6:$F$1063,4,0),0)</f>
        <v>460917</v>
      </c>
      <c r="T58">
        <f>IFERROR(VLOOKUP(CONCATENATE(Fix_Mapping[[#This Row],[KODE BARANG]],2),'Form Fix'!$A$6:$F$1063,4,0),0)</f>
        <v>460921</v>
      </c>
      <c r="U58">
        <f>IFERROR(VLOOKUP(CONCATENATE(Fix_Mapping[[#This Row],[KODE BARANG]],3),'Form Fix'!$A$6:$F$1063,4,0),0)</f>
        <v>0</v>
      </c>
      <c r="V58">
        <f>IFERROR(VLOOKUP(CONCATENATE(Fix_Mapping[[#This Row],[KODE BARANG]],4),'Form Fix'!$A$6:$F$1063,4,0),0)</f>
        <v>0</v>
      </c>
      <c r="W58">
        <f>IFERROR(VLOOKUP(CONCATENATE(Fix_Mapping[[#This Row],[KODE BARANG]],5),'Form Fix'!$A$6:$F$1063,4,0),0)</f>
        <v>0</v>
      </c>
    </row>
    <row r="59" spans="1:23" x14ac:dyDescent="0.25">
      <c r="A59" t="s">
        <v>702</v>
      </c>
      <c r="B59" t="s">
        <v>854</v>
      </c>
      <c r="C59">
        <v>24</v>
      </c>
      <c r="D59" t="s">
        <v>552</v>
      </c>
      <c r="E59" t="s">
        <v>957</v>
      </c>
      <c r="F59">
        <v>2752.2541999999999</v>
      </c>
      <c r="G59">
        <v>66054.1008</v>
      </c>
      <c r="H59">
        <v>3055.0021620000002</v>
      </c>
      <c r="I59">
        <v>73320.051888000002</v>
      </c>
      <c r="J59">
        <v>2927.93</v>
      </c>
      <c r="K59">
        <v>70270.319999999992</v>
      </c>
      <c r="L59">
        <v>3250.0023000000001</v>
      </c>
      <c r="M59">
        <v>78000.055200000003</v>
      </c>
      <c r="N59">
        <v>1859.1173054999997</v>
      </c>
      <c r="O59">
        <v>44618.815331999991</v>
      </c>
      <c r="P59">
        <v>2063.620209105</v>
      </c>
      <c r="Q59">
        <v>49526.885018519999</v>
      </c>
      <c r="R59" t="s">
        <v>656</v>
      </c>
      <c r="S59">
        <f>IFERROR(VLOOKUP(CONCATENATE(Fix_Mapping[[#This Row],[KODE BARANG]],1),'Form Fix'!$A$6:$F$1063,4,0),0)</f>
        <v>460183</v>
      </c>
      <c r="T59">
        <f>IFERROR(VLOOKUP(CONCATENATE(Fix_Mapping[[#This Row],[KODE BARANG]],2),'Form Fix'!$A$6:$F$1063,4,0),0)</f>
        <v>460174</v>
      </c>
      <c r="U59">
        <f>IFERROR(VLOOKUP(CONCATENATE(Fix_Mapping[[#This Row],[KODE BARANG]],3),'Form Fix'!$A$6:$F$1063,4,0),0)</f>
        <v>0</v>
      </c>
      <c r="V59">
        <f>IFERROR(VLOOKUP(CONCATENATE(Fix_Mapping[[#This Row],[KODE BARANG]],4),'Form Fix'!$A$6:$F$1063,4,0),0)</f>
        <v>0</v>
      </c>
      <c r="W59">
        <f>IFERROR(VLOOKUP(CONCATENATE(Fix_Mapping[[#This Row],[KODE BARANG]],5),'Form Fix'!$A$6:$F$1063,4,0),0)</f>
        <v>0</v>
      </c>
    </row>
    <row r="60" spans="1:23" x14ac:dyDescent="0.25">
      <c r="A60" t="s">
        <v>700</v>
      </c>
      <c r="B60" t="s">
        <v>858</v>
      </c>
      <c r="C60">
        <v>24</v>
      </c>
      <c r="D60" t="s">
        <v>552</v>
      </c>
      <c r="E60" t="s">
        <v>957</v>
      </c>
      <c r="F60">
        <v>3556.7720000000004</v>
      </c>
      <c r="G60">
        <v>85362.528000000006</v>
      </c>
      <c r="H60">
        <v>3948.0169200000009</v>
      </c>
      <c r="I60">
        <v>94752.406080000015</v>
      </c>
      <c r="J60">
        <v>3783.8</v>
      </c>
      <c r="K60">
        <v>90811.200000000012</v>
      </c>
      <c r="L60">
        <v>4200.0180000000009</v>
      </c>
      <c r="M60">
        <v>100800.43200000002</v>
      </c>
      <c r="N60">
        <v>4086.5</v>
      </c>
      <c r="O60">
        <v>98076</v>
      </c>
      <c r="P60">
        <v>4536.0150000000003</v>
      </c>
      <c r="Q60">
        <v>108864.36000000002</v>
      </c>
      <c r="R60" t="s">
        <v>656</v>
      </c>
      <c r="S60">
        <f>IFERROR(VLOOKUP(CONCATENATE(Fix_Mapping[[#This Row],[KODE BARANG]],1),'Form Fix'!$A$6:$F$1063,4,0),0)</f>
        <v>460194</v>
      </c>
      <c r="T60">
        <f>IFERROR(VLOOKUP(CONCATENATE(Fix_Mapping[[#This Row],[KODE BARANG]],2),'Form Fix'!$A$6:$F$1063,4,0),0)</f>
        <v>0</v>
      </c>
      <c r="U60">
        <f>IFERROR(VLOOKUP(CONCATENATE(Fix_Mapping[[#This Row],[KODE BARANG]],3),'Form Fix'!$A$6:$F$1063,4,0),0)</f>
        <v>0</v>
      </c>
      <c r="V60">
        <f>IFERROR(VLOOKUP(CONCATENATE(Fix_Mapping[[#This Row],[KODE BARANG]],4),'Form Fix'!$A$6:$F$1063,4,0),0)</f>
        <v>0</v>
      </c>
      <c r="W60">
        <f>IFERROR(VLOOKUP(CONCATENATE(Fix_Mapping[[#This Row],[KODE BARANG]],5),'Form Fix'!$A$6:$F$1063,4,0),0)</f>
        <v>0</v>
      </c>
    </row>
    <row r="61" spans="1:23" x14ac:dyDescent="0.25">
      <c r="A61" t="s">
        <v>701</v>
      </c>
      <c r="B61" t="s">
        <v>859</v>
      </c>
      <c r="C61">
        <v>24</v>
      </c>
      <c r="D61" t="s">
        <v>552</v>
      </c>
      <c r="E61" t="s">
        <v>957</v>
      </c>
      <c r="F61">
        <v>3556.7720000000004</v>
      </c>
      <c r="G61">
        <v>85362.528000000006</v>
      </c>
      <c r="H61">
        <v>3948.0169200000009</v>
      </c>
      <c r="I61">
        <v>94752.406080000015</v>
      </c>
      <c r="J61">
        <v>3783.8</v>
      </c>
      <c r="K61">
        <v>90811.200000000012</v>
      </c>
      <c r="L61">
        <v>4200.0180000000009</v>
      </c>
      <c r="M61">
        <v>100800.43200000002</v>
      </c>
      <c r="N61">
        <v>4086.5</v>
      </c>
      <c r="O61">
        <v>98076</v>
      </c>
      <c r="P61">
        <v>4536.0150000000003</v>
      </c>
      <c r="Q61">
        <v>108864.36000000002</v>
      </c>
      <c r="R61" t="s">
        <v>656</v>
      </c>
      <c r="S61">
        <f>IFERROR(VLOOKUP(CONCATENATE(Fix_Mapping[[#This Row],[KODE BARANG]],1),'Form Fix'!$A$6:$F$1063,4,0),0)</f>
        <v>460195</v>
      </c>
      <c r="T61">
        <f>IFERROR(VLOOKUP(CONCATENATE(Fix_Mapping[[#This Row],[KODE BARANG]],2),'Form Fix'!$A$6:$F$1063,4,0),0)</f>
        <v>0</v>
      </c>
      <c r="U61">
        <f>IFERROR(VLOOKUP(CONCATENATE(Fix_Mapping[[#This Row],[KODE BARANG]],3),'Form Fix'!$A$6:$F$1063,4,0),0)</f>
        <v>0</v>
      </c>
      <c r="V61">
        <f>IFERROR(VLOOKUP(CONCATENATE(Fix_Mapping[[#This Row],[KODE BARANG]],4),'Form Fix'!$A$6:$F$1063,4,0),0)</f>
        <v>0</v>
      </c>
      <c r="W61">
        <f>IFERROR(VLOOKUP(CONCATENATE(Fix_Mapping[[#This Row],[KODE BARANG]],5),'Form Fix'!$A$6:$F$1063,4,0),0)</f>
        <v>0</v>
      </c>
    </row>
    <row r="62" spans="1:23" x14ac:dyDescent="0.25">
      <c r="A62" t="s">
        <v>703</v>
      </c>
      <c r="B62" t="s">
        <v>860</v>
      </c>
      <c r="C62">
        <v>24</v>
      </c>
      <c r="D62" t="s">
        <v>552</v>
      </c>
      <c r="E62" t="s">
        <v>562</v>
      </c>
      <c r="F62">
        <v>6140.6533999999992</v>
      </c>
      <c r="G62">
        <v>147375.68159999998</v>
      </c>
      <c r="H62">
        <v>6816.125274</v>
      </c>
      <c r="I62">
        <v>163587.00657599999</v>
      </c>
      <c r="J62">
        <v>6532.61</v>
      </c>
      <c r="K62">
        <v>156782.63999999998</v>
      </c>
      <c r="L62">
        <v>7251.1971000000003</v>
      </c>
      <c r="M62">
        <v>174028.7304</v>
      </c>
      <c r="N62">
        <v>7055.2216216216193</v>
      </c>
      <c r="O62">
        <v>169325.31891891887</v>
      </c>
      <c r="P62">
        <v>7831.2959999999985</v>
      </c>
      <c r="Q62">
        <v>187951.10399999996</v>
      </c>
      <c r="R62" t="s">
        <v>656</v>
      </c>
      <c r="S62">
        <f>IFERROR(VLOOKUP(CONCATENATE(Fix_Mapping[[#This Row],[KODE BARANG]],1),'Form Fix'!$A$6:$F$1063,4,0),0)</f>
        <v>460164</v>
      </c>
      <c r="T62">
        <f>IFERROR(VLOOKUP(CONCATENATE(Fix_Mapping[[#This Row],[KODE BARANG]],2),'Form Fix'!$A$6:$F$1063,4,0),0)</f>
        <v>460190</v>
      </c>
      <c r="U62">
        <f>IFERROR(VLOOKUP(CONCATENATE(Fix_Mapping[[#This Row],[KODE BARANG]],3),'Form Fix'!$A$6:$F$1063,4,0),0)</f>
        <v>0</v>
      </c>
      <c r="V62">
        <f>IFERROR(VLOOKUP(CONCATENATE(Fix_Mapping[[#This Row],[KODE BARANG]],4),'Form Fix'!$A$6:$F$1063,4,0),0)</f>
        <v>0</v>
      </c>
      <c r="W62">
        <f>IFERROR(VLOOKUP(CONCATENATE(Fix_Mapping[[#This Row],[KODE BARANG]],5),'Form Fix'!$A$6:$F$1063,4,0),0)</f>
        <v>0</v>
      </c>
    </row>
    <row r="63" spans="1:23" x14ac:dyDescent="0.25">
      <c r="A63" t="s">
        <v>760</v>
      </c>
      <c r="B63" t="s">
        <v>861</v>
      </c>
      <c r="C63">
        <v>12</v>
      </c>
      <c r="D63" t="s">
        <v>552</v>
      </c>
      <c r="E63" t="s">
        <v>562</v>
      </c>
      <c r="F63">
        <v>20629.192999999999</v>
      </c>
      <c r="G63">
        <v>247550.31599999999</v>
      </c>
      <c r="H63">
        <v>22898.40423</v>
      </c>
      <c r="I63">
        <v>274780.85076</v>
      </c>
      <c r="J63">
        <v>21945.95</v>
      </c>
      <c r="K63">
        <v>263351.40000000002</v>
      </c>
      <c r="L63">
        <v>24360.004500000003</v>
      </c>
      <c r="M63">
        <v>292320.05400000006</v>
      </c>
      <c r="N63">
        <v>23701.63</v>
      </c>
      <c r="O63">
        <v>284419.56</v>
      </c>
      <c r="P63">
        <v>26308.809300000004</v>
      </c>
      <c r="Q63">
        <v>315705.71160000004</v>
      </c>
      <c r="R63" t="s">
        <v>656</v>
      </c>
      <c r="S63">
        <f>IFERROR(VLOOKUP(CONCATENATE(Fix_Mapping[[#This Row],[KODE BARANG]],1),'Form Fix'!$A$6:$F$1063,4,0),0)</f>
        <v>460165</v>
      </c>
      <c r="T63">
        <f>IFERROR(VLOOKUP(CONCATENATE(Fix_Mapping[[#This Row],[KODE BARANG]],2),'Form Fix'!$A$6:$F$1063,4,0),0)</f>
        <v>460191</v>
      </c>
      <c r="U63">
        <f>IFERROR(VLOOKUP(CONCATENATE(Fix_Mapping[[#This Row],[KODE BARANG]],3),'Form Fix'!$A$6:$F$1063,4,0),0)</f>
        <v>0</v>
      </c>
      <c r="V63">
        <f>IFERROR(VLOOKUP(CONCATENATE(Fix_Mapping[[#This Row],[KODE BARANG]],4),'Form Fix'!$A$6:$F$1063,4,0),0)</f>
        <v>0</v>
      </c>
      <c r="W63">
        <f>IFERROR(VLOOKUP(CONCATENATE(Fix_Mapping[[#This Row],[KODE BARANG]],5),'Form Fix'!$A$6:$F$1063,4,0),0)</f>
        <v>0</v>
      </c>
    </row>
    <row r="64" spans="1:23" x14ac:dyDescent="0.25">
      <c r="A64" t="s">
        <v>704</v>
      </c>
      <c r="B64" t="s">
        <v>862</v>
      </c>
      <c r="C64">
        <v>24</v>
      </c>
      <c r="D64" t="s">
        <v>552</v>
      </c>
      <c r="E64" t="s">
        <v>562</v>
      </c>
      <c r="F64">
        <v>6140.6533999999992</v>
      </c>
      <c r="G64">
        <v>147375.68159999998</v>
      </c>
      <c r="H64">
        <v>6816.125274</v>
      </c>
      <c r="I64">
        <v>163587.00657599999</v>
      </c>
      <c r="J64">
        <v>6532.61</v>
      </c>
      <c r="K64">
        <v>156782.63999999998</v>
      </c>
      <c r="L64">
        <v>7251.1971000000003</v>
      </c>
      <c r="M64">
        <v>174028.7304</v>
      </c>
      <c r="N64">
        <v>7055.2216216216193</v>
      </c>
      <c r="O64">
        <v>169325.31891891887</v>
      </c>
      <c r="P64">
        <v>7831.2959999999985</v>
      </c>
      <c r="Q64">
        <v>187951.10399999996</v>
      </c>
      <c r="R64" t="s">
        <v>656</v>
      </c>
      <c r="S64">
        <f>IFERROR(VLOOKUP(CONCATENATE(Fix_Mapping[[#This Row],[KODE BARANG]],1),'Form Fix'!$A$6:$F$1063,4,0),0)</f>
        <v>460061</v>
      </c>
      <c r="T64">
        <f>IFERROR(VLOOKUP(CONCATENATE(Fix_Mapping[[#This Row],[KODE BARANG]],2),'Form Fix'!$A$6:$F$1063,4,0),0)</f>
        <v>460188</v>
      </c>
      <c r="U64">
        <f>IFERROR(VLOOKUP(CONCATENATE(Fix_Mapping[[#This Row],[KODE BARANG]],3),'Form Fix'!$A$6:$F$1063,4,0),0)</f>
        <v>0</v>
      </c>
      <c r="V64">
        <f>IFERROR(VLOOKUP(CONCATENATE(Fix_Mapping[[#This Row],[KODE BARANG]],4),'Form Fix'!$A$6:$F$1063,4,0),0)</f>
        <v>0</v>
      </c>
      <c r="W64">
        <f>IFERROR(VLOOKUP(CONCATENATE(Fix_Mapping[[#This Row],[KODE BARANG]],5),'Form Fix'!$A$6:$F$1063,4,0),0)</f>
        <v>0</v>
      </c>
    </row>
    <row r="65" spans="1:23" x14ac:dyDescent="0.25">
      <c r="A65" t="s">
        <v>761</v>
      </c>
      <c r="B65" t="s">
        <v>863</v>
      </c>
      <c r="C65">
        <v>12</v>
      </c>
      <c r="D65" t="s">
        <v>552</v>
      </c>
      <c r="E65" t="s">
        <v>562</v>
      </c>
      <c r="F65">
        <v>20629.192999999999</v>
      </c>
      <c r="G65">
        <v>247550.31599999999</v>
      </c>
      <c r="H65">
        <v>22898.40423</v>
      </c>
      <c r="I65">
        <v>274780.85076</v>
      </c>
      <c r="J65">
        <v>21945.95</v>
      </c>
      <c r="K65">
        <v>263351.40000000002</v>
      </c>
      <c r="L65">
        <v>24360.004500000003</v>
      </c>
      <c r="M65">
        <v>292320.05400000006</v>
      </c>
      <c r="N65">
        <v>23701.63</v>
      </c>
      <c r="O65">
        <v>284419.56</v>
      </c>
      <c r="P65">
        <v>26308.809300000004</v>
      </c>
      <c r="Q65">
        <v>315705.71160000004</v>
      </c>
      <c r="R65" t="s">
        <v>656</v>
      </c>
      <c r="S65">
        <f>IFERROR(VLOOKUP(CONCATENATE(Fix_Mapping[[#This Row],[KODE BARANG]],1),'Form Fix'!$A$6:$F$1063,4,0),0)</f>
        <v>460189</v>
      </c>
      <c r="T65">
        <f>IFERROR(VLOOKUP(CONCATENATE(Fix_Mapping[[#This Row],[KODE BARANG]],2),'Form Fix'!$A$6:$F$1063,4,0),0)</f>
        <v>0</v>
      </c>
      <c r="U65">
        <f>IFERROR(VLOOKUP(CONCATENATE(Fix_Mapping[[#This Row],[KODE BARANG]],3),'Form Fix'!$A$6:$F$1063,4,0),0)</f>
        <v>0</v>
      </c>
      <c r="V65">
        <f>IFERROR(VLOOKUP(CONCATENATE(Fix_Mapping[[#This Row],[KODE BARANG]],4),'Form Fix'!$A$6:$F$1063,4,0),0)</f>
        <v>0</v>
      </c>
      <c r="W65">
        <f>IFERROR(VLOOKUP(CONCATENATE(Fix_Mapping[[#This Row],[KODE BARANG]],5),'Form Fix'!$A$6:$F$1063,4,0),0)</f>
        <v>0</v>
      </c>
    </row>
    <row r="66" spans="1:23" x14ac:dyDescent="0.25">
      <c r="A66" t="s">
        <v>705</v>
      </c>
      <c r="B66" t="s">
        <v>864</v>
      </c>
      <c r="C66">
        <v>24</v>
      </c>
      <c r="D66" t="s">
        <v>552</v>
      </c>
      <c r="E66" t="s">
        <v>562</v>
      </c>
      <c r="F66">
        <v>6140.6533999999992</v>
      </c>
      <c r="G66">
        <v>147375.68159999998</v>
      </c>
      <c r="H66">
        <v>6816.125274</v>
      </c>
      <c r="I66">
        <v>163587.00657599999</v>
      </c>
      <c r="J66">
        <v>6532.61</v>
      </c>
      <c r="K66">
        <v>156782.63999999998</v>
      </c>
      <c r="L66">
        <v>7251.1971000000003</v>
      </c>
      <c r="M66">
        <v>174028.7304</v>
      </c>
      <c r="N66">
        <v>7055.2216216216193</v>
      </c>
      <c r="O66">
        <v>169325.31891891887</v>
      </c>
      <c r="P66">
        <v>7831.2959999999985</v>
      </c>
      <c r="Q66">
        <v>187951.10399999996</v>
      </c>
      <c r="R66" t="s">
        <v>656</v>
      </c>
      <c r="S66">
        <f>IFERROR(VLOOKUP(CONCATENATE(Fix_Mapping[[#This Row],[KODE BARANG]],1),'Form Fix'!$A$6:$F$1063,4,0),0)</f>
        <v>460192</v>
      </c>
      <c r="T66">
        <f>IFERROR(VLOOKUP(CONCATENATE(Fix_Mapping[[#This Row],[KODE BARANG]],2),'Form Fix'!$A$6:$F$1063,4,0),0)</f>
        <v>0</v>
      </c>
      <c r="U66">
        <f>IFERROR(VLOOKUP(CONCATENATE(Fix_Mapping[[#This Row],[KODE BARANG]],3),'Form Fix'!$A$6:$F$1063,4,0),0)</f>
        <v>0</v>
      </c>
      <c r="V66">
        <f>IFERROR(VLOOKUP(CONCATENATE(Fix_Mapping[[#This Row],[KODE BARANG]],4),'Form Fix'!$A$6:$F$1063,4,0),0)</f>
        <v>0</v>
      </c>
      <c r="W66">
        <f>IFERROR(VLOOKUP(CONCATENATE(Fix_Mapping[[#This Row],[KODE BARANG]],5),'Form Fix'!$A$6:$F$1063,4,0),0)</f>
        <v>0</v>
      </c>
    </row>
    <row r="67" spans="1:23" x14ac:dyDescent="0.25">
      <c r="A67" t="s">
        <v>762</v>
      </c>
      <c r="B67" t="s">
        <v>865</v>
      </c>
      <c r="C67">
        <v>12</v>
      </c>
      <c r="D67" t="s">
        <v>552</v>
      </c>
      <c r="E67" t="s">
        <v>562</v>
      </c>
      <c r="F67">
        <v>20629.192999999999</v>
      </c>
      <c r="G67">
        <v>247550.31599999999</v>
      </c>
      <c r="H67">
        <v>22898.40423</v>
      </c>
      <c r="I67">
        <v>274780.85076</v>
      </c>
      <c r="J67">
        <v>21945.95</v>
      </c>
      <c r="K67">
        <v>263351.40000000002</v>
      </c>
      <c r="L67">
        <v>24360.004500000003</v>
      </c>
      <c r="M67">
        <v>292320.05400000006</v>
      </c>
      <c r="N67">
        <v>23701.63</v>
      </c>
      <c r="O67">
        <v>284419.56</v>
      </c>
      <c r="P67">
        <v>26308.809300000004</v>
      </c>
      <c r="Q67">
        <v>315705.71160000004</v>
      </c>
      <c r="R67" t="s">
        <v>656</v>
      </c>
      <c r="S67">
        <f>IFERROR(VLOOKUP(CONCATENATE(Fix_Mapping[[#This Row],[KODE BARANG]],1),'Form Fix'!$A$6:$F$1063,4,0),0)</f>
        <v>460193</v>
      </c>
      <c r="T67">
        <f>IFERROR(VLOOKUP(CONCATENATE(Fix_Mapping[[#This Row],[KODE BARANG]],2),'Form Fix'!$A$6:$F$1063,4,0),0)</f>
        <v>0</v>
      </c>
      <c r="U67">
        <f>IFERROR(VLOOKUP(CONCATENATE(Fix_Mapping[[#This Row],[KODE BARANG]],3),'Form Fix'!$A$6:$F$1063,4,0),0)</f>
        <v>0</v>
      </c>
      <c r="V67">
        <f>IFERROR(VLOOKUP(CONCATENATE(Fix_Mapping[[#This Row],[KODE BARANG]],4),'Form Fix'!$A$6:$F$1063,4,0),0)</f>
        <v>0</v>
      </c>
      <c r="W67">
        <f>IFERROR(VLOOKUP(CONCATENATE(Fix_Mapping[[#This Row],[KODE BARANG]],5),'Form Fix'!$A$6:$F$1063,4,0),0)</f>
        <v>0</v>
      </c>
    </row>
    <row r="68" spans="1:23" x14ac:dyDescent="0.25">
      <c r="A68" t="s">
        <v>706</v>
      </c>
      <c r="B68" t="s">
        <v>866</v>
      </c>
      <c r="C68">
        <v>24</v>
      </c>
      <c r="D68" t="s">
        <v>552</v>
      </c>
      <c r="E68" t="s">
        <v>562</v>
      </c>
      <c r="F68">
        <v>6140.6533999999992</v>
      </c>
      <c r="G68">
        <v>147375.68159999998</v>
      </c>
      <c r="H68">
        <v>6816.125274</v>
      </c>
      <c r="I68">
        <v>163587.00657599999</v>
      </c>
      <c r="J68">
        <v>6532.61</v>
      </c>
      <c r="K68">
        <v>156782.63999999998</v>
      </c>
      <c r="L68">
        <v>7251.1971000000003</v>
      </c>
      <c r="M68">
        <v>174028.7304</v>
      </c>
      <c r="N68">
        <v>7055.2216216216193</v>
      </c>
      <c r="O68">
        <v>169325.31891891887</v>
      </c>
      <c r="P68">
        <v>7831.2959999999985</v>
      </c>
      <c r="Q68">
        <v>187951.10399999996</v>
      </c>
      <c r="R68" t="s">
        <v>656</v>
      </c>
      <c r="S68">
        <f>IFERROR(VLOOKUP(CONCATENATE(Fix_Mapping[[#This Row],[KODE BARANG]],1),'Form Fix'!$A$6:$F$1063,4,0),0)</f>
        <v>460060</v>
      </c>
      <c r="T68">
        <f>IFERROR(VLOOKUP(CONCATENATE(Fix_Mapping[[#This Row],[KODE BARANG]],2),'Form Fix'!$A$6:$F$1063,4,0),0)</f>
        <v>460187</v>
      </c>
      <c r="U68">
        <f>IFERROR(VLOOKUP(CONCATENATE(Fix_Mapping[[#This Row],[KODE BARANG]],3),'Form Fix'!$A$6:$F$1063,4,0),0)</f>
        <v>0</v>
      </c>
      <c r="V68">
        <f>IFERROR(VLOOKUP(CONCATENATE(Fix_Mapping[[#This Row],[KODE BARANG]],4),'Form Fix'!$A$6:$F$1063,4,0),0)</f>
        <v>0</v>
      </c>
      <c r="W68">
        <f>IFERROR(VLOOKUP(CONCATENATE(Fix_Mapping[[#This Row],[KODE BARANG]],5),'Form Fix'!$A$6:$F$1063,4,0),0)</f>
        <v>0</v>
      </c>
    </row>
    <row r="69" spans="1:23" x14ac:dyDescent="0.25">
      <c r="A69" t="s">
        <v>707</v>
      </c>
      <c r="B69" t="s">
        <v>867</v>
      </c>
      <c r="C69">
        <v>24</v>
      </c>
      <c r="D69" t="s">
        <v>552</v>
      </c>
      <c r="E69" t="s">
        <v>562</v>
      </c>
      <c r="F69">
        <v>6140.6533999999992</v>
      </c>
      <c r="G69">
        <v>147375.68159999998</v>
      </c>
      <c r="H69">
        <v>6816.125274</v>
      </c>
      <c r="I69">
        <v>163587.00657599999</v>
      </c>
      <c r="J69">
        <v>6532.61</v>
      </c>
      <c r="K69">
        <v>156782.63999999998</v>
      </c>
      <c r="L69">
        <v>7251.1971000000003</v>
      </c>
      <c r="M69">
        <v>174028.7304</v>
      </c>
      <c r="N69">
        <v>7055.2216216216193</v>
      </c>
      <c r="O69">
        <v>169325.31891891887</v>
      </c>
      <c r="P69">
        <v>7831.2959999999985</v>
      </c>
      <c r="Q69">
        <v>187951.10399999996</v>
      </c>
      <c r="R69" t="s">
        <v>656</v>
      </c>
      <c r="S69">
        <f>IFERROR(VLOOKUP(CONCATENATE(Fix_Mapping[[#This Row],[KODE BARANG]],1),'Form Fix'!$A$6:$F$1063,4,0),0)</f>
        <v>460054</v>
      </c>
      <c r="T69">
        <f>IFERROR(VLOOKUP(CONCATENATE(Fix_Mapping[[#This Row],[KODE BARANG]],2),'Form Fix'!$A$6:$F$1063,4,0),0)</f>
        <v>460185</v>
      </c>
      <c r="U69">
        <f>IFERROR(VLOOKUP(CONCATENATE(Fix_Mapping[[#This Row],[KODE BARANG]],3),'Form Fix'!$A$6:$F$1063,4,0),0)</f>
        <v>0</v>
      </c>
      <c r="V69">
        <f>IFERROR(VLOOKUP(CONCATENATE(Fix_Mapping[[#This Row],[KODE BARANG]],4),'Form Fix'!$A$6:$F$1063,4,0),0)</f>
        <v>0</v>
      </c>
      <c r="W69">
        <f>IFERROR(VLOOKUP(CONCATENATE(Fix_Mapping[[#This Row],[KODE BARANG]],5),'Form Fix'!$A$6:$F$1063,4,0),0)</f>
        <v>0</v>
      </c>
    </row>
    <row r="70" spans="1:23" x14ac:dyDescent="0.25">
      <c r="A70" t="s">
        <v>708</v>
      </c>
      <c r="B70" t="s">
        <v>868</v>
      </c>
      <c r="C70">
        <v>24</v>
      </c>
      <c r="D70" t="s">
        <v>552</v>
      </c>
      <c r="E70" t="s">
        <v>562</v>
      </c>
      <c r="F70">
        <v>6140.6533999999992</v>
      </c>
      <c r="G70">
        <v>147375.68159999998</v>
      </c>
      <c r="H70">
        <v>6816.125274</v>
      </c>
      <c r="I70">
        <v>163587.00657599999</v>
      </c>
      <c r="J70">
        <v>6532.61</v>
      </c>
      <c r="K70">
        <v>156782.63999999998</v>
      </c>
      <c r="L70">
        <v>7251.1971000000003</v>
      </c>
      <c r="M70">
        <v>174028.7304</v>
      </c>
      <c r="N70">
        <v>7055.2216216216193</v>
      </c>
      <c r="O70">
        <v>169325.31891891887</v>
      </c>
      <c r="P70">
        <v>7831.2959999999985</v>
      </c>
      <c r="Q70">
        <v>187951.10399999996</v>
      </c>
      <c r="R70" t="s">
        <v>656</v>
      </c>
      <c r="S70">
        <f>IFERROR(VLOOKUP(CONCATENATE(Fix_Mapping[[#This Row],[KODE BARANG]],1),'Form Fix'!$A$6:$F$1063,4,0),0)</f>
        <v>460055</v>
      </c>
      <c r="T70">
        <f>IFERROR(VLOOKUP(CONCATENATE(Fix_Mapping[[#This Row],[KODE BARANG]],2),'Form Fix'!$A$6:$F$1063,4,0),0)</f>
        <v>460186</v>
      </c>
      <c r="U70">
        <f>IFERROR(VLOOKUP(CONCATENATE(Fix_Mapping[[#This Row],[KODE BARANG]],3),'Form Fix'!$A$6:$F$1063,4,0),0)</f>
        <v>0</v>
      </c>
      <c r="V70">
        <f>IFERROR(VLOOKUP(CONCATENATE(Fix_Mapping[[#This Row],[KODE BARANG]],4),'Form Fix'!$A$6:$F$1063,4,0),0)</f>
        <v>0</v>
      </c>
      <c r="W70">
        <f>IFERROR(VLOOKUP(CONCATENATE(Fix_Mapping[[#This Row],[KODE BARANG]],5),'Form Fix'!$A$6:$F$1063,4,0),0)</f>
        <v>0</v>
      </c>
    </row>
    <row r="71" spans="1:23" x14ac:dyDescent="0.25">
      <c r="A71" t="s">
        <v>763</v>
      </c>
      <c r="B71" t="s">
        <v>869</v>
      </c>
      <c r="C71">
        <v>24</v>
      </c>
      <c r="D71" t="s">
        <v>552</v>
      </c>
      <c r="E71" t="s">
        <v>340</v>
      </c>
      <c r="F71">
        <v>3707.0686000000001</v>
      </c>
      <c r="G71">
        <v>88969.646399999998</v>
      </c>
      <c r="H71">
        <v>4114.8461460000008</v>
      </c>
      <c r="I71">
        <v>98756.307504000011</v>
      </c>
      <c r="J71">
        <v>3943.69</v>
      </c>
      <c r="K71">
        <v>94648.56</v>
      </c>
      <c r="L71">
        <v>4377.4959000000008</v>
      </c>
      <c r="M71">
        <v>105059.90160000001</v>
      </c>
      <c r="N71">
        <v>4259.1891891891855</v>
      </c>
      <c r="O71">
        <v>102220.54054054045</v>
      </c>
      <c r="P71">
        <v>4727.6999999999962</v>
      </c>
      <c r="Q71">
        <v>113464.7999999999</v>
      </c>
      <c r="R71" t="s">
        <v>656</v>
      </c>
      <c r="S71">
        <f>IFERROR(VLOOKUP(CONCATENATE(Fix_Mapping[[#This Row],[KODE BARANG]],1),'Form Fix'!$A$6:$F$1063,4,0),0)</f>
        <v>460182</v>
      </c>
      <c r="T71">
        <f>IFERROR(VLOOKUP(CONCATENATE(Fix_Mapping[[#This Row],[KODE BARANG]],2),'Form Fix'!$A$6:$F$1063,4,0),0)</f>
        <v>0</v>
      </c>
      <c r="U71">
        <f>IFERROR(VLOOKUP(CONCATENATE(Fix_Mapping[[#This Row],[KODE BARANG]],3),'Form Fix'!$A$6:$F$1063,4,0),0)</f>
        <v>0</v>
      </c>
      <c r="V71">
        <f>IFERROR(VLOOKUP(CONCATENATE(Fix_Mapping[[#This Row],[KODE BARANG]],4),'Form Fix'!$A$6:$F$1063,4,0),0)</f>
        <v>0</v>
      </c>
      <c r="W71">
        <f>IFERROR(VLOOKUP(CONCATENATE(Fix_Mapping[[#This Row],[KODE BARANG]],5),'Form Fix'!$A$6:$F$1063,4,0),0)</f>
        <v>0</v>
      </c>
    </row>
    <row r="72" spans="1:23" x14ac:dyDescent="0.25">
      <c r="A72" t="s">
        <v>709</v>
      </c>
      <c r="B72" t="s">
        <v>870</v>
      </c>
      <c r="C72">
        <v>12</v>
      </c>
      <c r="D72" t="s">
        <v>486</v>
      </c>
      <c r="E72" t="s">
        <v>961</v>
      </c>
      <c r="F72">
        <v>21918.515800000001</v>
      </c>
      <c r="G72">
        <v>263022.18960000004</v>
      </c>
      <c r="H72">
        <v>24329.552538000004</v>
      </c>
      <c r="I72">
        <v>291954.6304560001</v>
      </c>
      <c r="J72">
        <v>23317.57</v>
      </c>
      <c r="K72">
        <v>279810.83999999997</v>
      </c>
      <c r="L72">
        <v>25882.502700000001</v>
      </c>
      <c r="M72">
        <v>310590.03239999997</v>
      </c>
      <c r="N72">
        <v>25183.224975324312</v>
      </c>
      <c r="O72">
        <v>302198.69970389176</v>
      </c>
      <c r="P72">
        <v>27953.379722609989</v>
      </c>
      <c r="Q72">
        <v>335440.55667131988</v>
      </c>
      <c r="R72" t="s">
        <v>656</v>
      </c>
      <c r="S72">
        <f>IFERROR(VLOOKUP(CONCATENATE(Fix_Mapping[[#This Row],[KODE BARANG]],1),'Form Fix'!$A$6:$F$1063,4,0),0)</f>
        <v>410066</v>
      </c>
      <c r="T72">
        <f>IFERROR(VLOOKUP(CONCATENATE(Fix_Mapping[[#This Row],[KODE BARANG]],2),'Form Fix'!$A$6:$F$1063,4,0),0)</f>
        <v>410072</v>
      </c>
      <c r="U72">
        <f>IFERROR(VLOOKUP(CONCATENATE(Fix_Mapping[[#This Row],[KODE BARANG]],3),'Form Fix'!$A$6:$F$1063,4,0),0)</f>
        <v>0</v>
      </c>
      <c r="V72">
        <f>IFERROR(VLOOKUP(CONCATENATE(Fix_Mapping[[#This Row],[KODE BARANG]],4),'Form Fix'!$A$6:$F$1063,4,0),0)</f>
        <v>0</v>
      </c>
      <c r="W72">
        <f>IFERROR(VLOOKUP(CONCATENATE(Fix_Mapping[[#This Row],[KODE BARANG]],5),'Form Fix'!$A$6:$F$1063,4,0),0)</f>
        <v>0</v>
      </c>
    </row>
    <row r="73" spans="1:23" x14ac:dyDescent="0.25">
      <c r="A73" t="s">
        <v>710</v>
      </c>
      <c r="B73" t="s">
        <v>871</v>
      </c>
      <c r="C73">
        <v>12</v>
      </c>
      <c r="D73" t="s">
        <v>486</v>
      </c>
      <c r="E73" t="s">
        <v>961</v>
      </c>
      <c r="F73">
        <v>21918.515800000001</v>
      </c>
      <c r="G73">
        <v>263022.18960000004</v>
      </c>
      <c r="H73">
        <v>24329.552538000004</v>
      </c>
      <c r="I73">
        <v>291954.6304560001</v>
      </c>
      <c r="J73">
        <v>23317.57</v>
      </c>
      <c r="K73">
        <v>279810.83999999997</v>
      </c>
      <c r="L73">
        <v>25882.502700000001</v>
      </c>
      <c r="M73">
        <v>310590.03239999997</v>
      </c>
      <c r="N73">
        <v>25183.224975324312</v>
      </c>
      <c r="O73">
        <v>302198.69970389176</v>
      </c>
      <c r="P73">
        <v>27953.379722609989</v>
      </c>
      <c r="Q73">
        <v>335440.55667131988</v>
      </c>
      <c r="R73" t="s">
        <v>656</v>
      </c>
      <c r="S73">
        <f>IFERROR(VLOOKUP(CONCATENATE(Fix_Mapping[[#This Row],[KODE BARANG]],1),'Form Fix'!$A$6:$F$1063,4,0),0)</f>
        <v>410068</v>
      </c>
      <c r="T73">
        <f>IFERROR(VLOOKUP(CONCATENATE(Fix_Mapping[[#This Row],[KODE BARANG]],2),'Form Fix'!$A$6:$F$1063,4,0),0)</f>
        <v>410073</v>
      </c>
      <c r="U73">
        <f>IFERROR(VLOOKUP(CONCATENATE(Fix_Mapping[[#This Row],[KODE BARANG]],3),'Form Fix'!$A$6:$F$1063,4,0),0)</f>
        <v>0</v>
      </c>
      <c r="V73">
        <f>IFERROR(VLOOKUP(CONCATENATE(Fix_Mapping[[#This Row],[KODE BARANG]],4),'Form Fix'!$A$6:$F$1063,4,0),0)</f>
        <v>0</v>
      </c>
      <c r="W73">
        <f>IFERROR(VLOOKUP(CONCATENATE(Fix_Mapping[[#This Row],[KODE BARANG]],5),'Form Fix'!$A$6:$F$1063,4,0),0)</f>
        <v>0</v>
      </c>
    </row>
    <row r="74" spans="1:23" x14ac:dyDescent="0.25">
      <c r="A74" t="s">
        <v>711</v>
      </c>
      <c r="B74" t="s">
        <v>872</v>
      </c>
      <c r="C74">
        <v>12</v>
      </c>
      <c r="D74" t="s">
        <v>486</v>
      </c>
      <c r="E74" t="s">
        <v>963</v>
      </c>
      <c r="F74">
        <v>12759.8608</v>
      </c>
      <c r="G74">
        <v>153118.3296</v>
      </c>
      <c r="H74">
        <v>14163.445488000001</v>
      </c>
      <c r="I74">
        <v>169961.345856</v>
      </c>
      <c r="J74">
        <v>13574.32</v>
      </c>
      <c r="K74">
        <v>162891.84</v>
      </c>
      <c r="L74">
        <v>15067.495200000001</v>
      </c>
      <c r="M74">
        <v>180809.9424</v>
      </c>
      <c r="N74">
        <v>13574.32</v>
      </c>
      <c r="O74">
        <v>162891.84</v>
      </c>
      <c r="P74">
        <v>15067.495200000001</v>
      </c>
      <c r="Q74">
        <v>180809.9424</v>
      </c>
      <c r="R74" t="s">
        <v>656</v>
      </c>
      <c r="S74">
        <f>IFERROR(VLOOKUP(CONCATENATE(Fix_Mapping[[#This Row],[KODE BARANG]],1),'Form Fix'!$A$6:$F$1063,4,0),0)</f>
        <v>400129</v>
      </c>
      <c r="T74">
        <f>IFERROR(VLOOKUP(CONCATENATE(Fix_Mapping[[#This Row],[KODE BARANG]],2),'Form Fix'!$A$6:$F$1063,4,0),0)</f>
        <v>400135</v>
      </c>
      <c r="U74">
        <f>IFERROR(VLOOKUP(CONCATENATE(Fix_Mapping[[#This Row],[KODE BARANG]],3),'Form Fix'!$A$6:$F$1063,4,0),0)</f>
        <v>0</v>
      </c>
      <c r="V74">
        <f>IFERROR(VLOOKUP(CONCATENATE(Fix_Mapping[[#This Row],[KODE BARANG]],4),'Form Fix'!$A$6:$F$1063,4,0),0)</f>
        <v>0</v>
      </c>
      <c r="W74">
        <f>IFERROR(VLOOKUP(CONCATENATE(Fix_Mapping[[#This Row],[KODE BARANG]],5),'Form Fix'!$A$6:$F$1063,4,0),0)</f>
        <v>0</v>
      </c>
    </row>
    <row r="75" spans="1:23" x14ac:dyDescent="0.25">
      <c r="A75" t="s">
        <v>712</v>
      </c>
      <c r="B75" t="s">
        <v>873</v>
      </c>
      <c r="C75">
        <v>12</v>
      </c>
      <c r="D75" t="s">
        <v>486</v>
      </c>
      <c r="E75" t="s">
        <v>963</v>
      </c>
      <c r="F75">
        <v>12759.8608</v>
      </c>
      <c r="G75">
        <v>153118.3296</v>
      </c>
      <c r="H75">
        <v>14163.445488000001</v>
      </c>
      <c r="I75">
        <v>169961.345856</v>
      </c>
      <c r="J75">
        <v>13574.32</v>
      </c>
      <c r="K75">
        <v>162891.84</v>
      </c>
      <c r="L75">
        <v>15067.495200000001</v>
      </c>
      <c r="M75">
        <v>180809.9424</v>
      </c>
      <c r="N75">
        <v>13574.32</v>
      </c>
      <c r="O75">
        <v>162891.84</v>
      </c>
      <c r="P75">
        <v>15067.495200000001</v>
      </c>
      <c r="Q75">
        <v>180809.9424</v>
      </c>
      <c r="R75" t="s">
        <v>656</v>
      </c>
      <c r="S75">
        <f>IFERROR(VLOOKUP(CONCATENATE(Fix_Mapping[[#This Row],[KODE BARANG]],1),'Form Fix'!$A$6:$F$1063,4,0),0)</f>
        <v>400132</v>
      </c>
      <c r="T75">
        <f>IFERROR(VLOOKUP(CONCATENATE(Fix_Mapping[[#This Row],[KODE BARANG]],2),'Form Fix'!$A$6:$F$1063,4,0),0)</f>
        <v>400138</v>
      </c>
      <c r="U75">
        <f>IFERROR(VLOOKUP(CONCATENATE(Fix_Mapping[[#This Row],[KODE BARANG]],3),'Form Fix'!$A$6:$F$1063,4,0),0)</f>
        <v>0</v>
      </c>
      <c r="V75">
        <f>IFERROR(VLOOKUP(CONCATENATE(Fix_Mapping[[#This Row],[KODE BARANG]],4),'Form Fix'!$A$6:$F$1063,4,0),0)</f>
        <v>0</v>
      </c>
      <c r="W75">
        <f>IFERROR(VLOOKUP(CONCATENATE(Fix_Mapping[[#This Row],[KODE BARANG]],5),'Form Fix'!$A$6:$F$1063,4,0),0)</f>
        <v>0</v>
      </c>
    </row>
    <row r="76" spans="1:23" x14ac:dyDescent="0.25">
      <c r="A76" t="s">
        <v>713</v>
      </c>
      <c r="B76" t="s">
        <v>874</v>
      </c>
      <c r="C76">
        <v>12</v>
      </c>
      <c r="D76" t="s">
        <v>486</v>
      </c>
      <c r="E76" t="s">
        <v>963</v>
      </c>
      <c r="F76">
        <v>12759.8608</v>
      </c>
      <c r="G76">
        <v>153118.3296</v>
      </c>
      <c r="H76">
        <v>14163.445488000001</v>
      </c>
      <c r="I76">
        <v>169961.345856</v>
      </c>
      <c r="J76">
        <v>13574.32</v>
      </c>
      <c r="K76">
        <v>162891.84</v>
      </c>
      <c r="L76">
        <v>15067.495200000001</v>
      </c>
      <c r="M76">
        <v>180809.9424</v>
      </c>
      <c r="N76">
        <v>13574.32</v>
      </c>
      <c r="O76">
        <v>162891.84</v>
      </c>
      <c r="P76">
        <v>15067.495200000001</v>
      </c>
      <c r="Q76">
        <v>180809.9424</v>
      </c>
      <c r="R76" t="s">
        <v>656</v>
      </c>
      <c r="S76">
        <f>IFERROR(VLOOKUP(CONCATENATE(Fix_Mapping[[#This Row],[KODE BARANG]],1),'Form Fix'!$A$6:$F$1063,4,0),0)</f>
        <v>400133</v>
      </c>
      <c r="T76">
        <f>IFERROR(VLOOKUP(CONCATENATE(Fix_Mapping[[#This Row],[KODE BARANG]],2),'Form Fix'!$A$6:$F$1063,4,0),0)</f>
        <v>400139</v>
      </c>
      <c r="U76">
        <f>IFERROR(VLOOKUP(CONCATENATE(Fix_Mapping[[#This Row],[KODE BARANG]],3),'Form Fix'!$A$6:$F$1063,4,0),0)</f>
        <v>0</v>
      </c>
      <c r="V76">
        <f>IFERROR(VLOOKUP(CONCATENATE(Fix_Mapping[[#This Row],[KODE BARANG]],4),'Form Fix'!$A$6:$F$1063,4,0),0)</f>
        <v>0</v>
      </c>
      <c r="W76">
        <f>IFERROR(VLOOKUP(CONCATENATE(Fix_Mapping[[#This Row],[KODE BARANG]],5),'Form Fix'!$A$6:$F$1063,4,0),0)</f>
        <v>0</v>
      </c>
    </row>
    <row r="77" spans="1:23" x14ac:dyDescent="0.25">
      <c r="A77" t="s">
        <v>714</v>
      </c>
      <c r="B77" t="s">
        <v>875</v>
      </c>
      <c r="C77">
        <v>12</v>
      </c>
      <c r="D77" t="s">
        <v>486</v>
      </c>
      <c r="E77" t="s">
        <v>963</v>
      </c>
      <c r="F77">
        <v>12759.8608</v>
      </c>
      <c r="G77">
        <v>153118.3296</v>
      </c>
      <c r="H77">
        <v>14163.445488000001</v>
      </c>
      <c r="I77">
        <v>169961.345856</v>
      </c>
      <c r="J77">
        <v>13574.32</v>
      </c>
      <c r="K77">
        <v>162891.84</v>
      </c>
      <c r="L77">
        <v>15067.495200000001</v>
      </c>
      <c r="M77">
        <v>180809.9424</v>
      </c>
      <c r="N77">
        <v>13574.32</v>
      </c>
      <c r="O77">
        <v>162891.84</v>
      </c>
      <c r="P77">
        <v>15067.495200000001</v>
      </c>
      <c r="Q77">
        <v>180809.9424</v>
      </c>
      <c r="R77" t="s">
        <v>656</v>
      </c>
      <c r="S77">
        <f>IFERROR(VLOOKUP(CONCATENATE(Fix_Mapping[[#This Row],[KODE BARANG]],1),'Form Fix'!$A$6:$F$1063,4,0),0)</f>
        <v>400131</v>
      </c>
      <c r="T77">
        <f>IFERROR(VLOOKUP(CONCATENATE(Fix_Mapping[[#This Row],[KODE BARANG]],2),'Form Fix'!$A$6:$F$1063,4,0),0)</f>
        <v>400137</v>
      </c>
      <c r="U77">
        <f>IFERROR(VLOOKUP(CONCATENATE(Fix_Mapping[[#This Row],[KODE BARANG]],3),'Form Fix'!$A$6:$F$1063,4,0),0)</f>
        <v>0</v>
      </c>
      <c r="V77">
        <f>IFERROR(VLOOKUP(CONCATENATE(Fix_Mapping[[#This Row],[KODE BARANG]],4),'Form Fix'!$A$6:$F$1063,4,0),0)</f>
        <v>0</v>
      </c>
      <c r="W77">
        <f>IFERROR(VLOOKUP(CONCATENATE(Fix_Mapping[[#This Row],[KODE BARANG]],5),'Form Fix'!$A$6:$F$1063,4,0),0)</f>
        <v>0</v>
      </c>
    </row>
    <row r="78" spans="1:23" x14ac:dyDescent="0.25">
      <c r="A78" t="s">
        <v>715</v>
      </c>
      <c r="B78" t="s">
        <v>876</v>
      </c>
      <c r="C78">
        <v>12</v>
      </c>
      <c r="D78" t="s">
        <v>486</v>
      </c>
      <c r="E78" t="s">
        <v>963</v>
      </c>
      <c r="F78">
        <v>12759.8608</v>
      </c>
      <c r="G78">
        <v>153118.3296</v>
      </c>
      <c r="H78">
        <v>14163.445488000001</v>
      </c>
      <c r="I78">
        <v>169961.345856</v>
      </c>
      <c r="J78">
        <v>13574.32</v>
      </c>
      <c r="K78">
        <v>162891.84</v>
      </c>
      <c r="L78">
        <v>15067.495200000001</v>
      </c>
      <c r="M78">
        <v>180809.9424</v>
      </c>
      <c r="N78">
        <v>13574.32</v>
      </c>
      <c r="O78">
        <v>162891.84</v>
      </c>
      <c r="P78">
        <v>15067.495200000001</v>
      </c>
      <c r="Q78">
        <v>180809.9424</v>
      </c>
      <c r="R78" t="s">
        <v>656</v>
      </c>
      <c r="S78">
        <f>IFERROR(VLOOKUP(CONCATENATE(Fix_Mapping[[#This Row],[KODE BARANG]],1),'Form Fix'!$A$6:$F$1063,4,0),0)</f>
        <v>400130</v>
      </c>
      <c r="T78">
        <f>IFERROR(VLOOKUP(CONCATENATE(Fix_Mapping[[#This Row],[KODE BARANG]],2),'Form Fix'!$A$6:$F$1063,4,0),0)</f>
        <v>400136</v>
      </c>
      <c r="U78">
        <f>IFERROR(VLOOKUP(CONCATENATE(Fix_Mapping[[#This Row],[KODE BARANG]],3),'Form Fix'!$A$6:$F$1063,4,0),0)</f>
        <v>0</v>
      </c>
      <c r="V78">
        <f>IFERROR(VLOOKUP(CONCATENATE(Fix_Mapping[[#This Row],[KODE BARANG]],4),'Form Fix'!$A$6:$F$1063,4,0),0)</f>
        <v>0</v>
      </c>
      <c r="W78">
        <f>IFERROR(VLOOKUP(CONCATENATE(Fix_Mapping[[#This Row],[KODE BARANG]],5),'Form Fix'!$A$6:$F$1063,4,0),0)</f>
        <v>0</v>
      </c>
    </row>
    <row r="79" spans="1:23" x14ac:dyDescent="0.25">
      <c r="A79" t="s">
        <v>716</v>
      </c>
      <c r="B79" t="s">
        <v>877</v>
      </c>
      <c r="C79">
        <v>12</v>
      </c>
      <c r="D79" t="s">
        <v>486</v>
      </c>
      <c r="E79" t="s">
        <v>963</v>
      </c>
      <c r="F79">
        <v>12759.8608</v>
      </c>
      <c r="G79">
        <v>153118.3296</v>
      </c>
      <c r="H79">
        <v>14163.445488000001</v>
      </c>
      <c r="I79">
        <v>169961.345856</v>
      </c>
      <c r="J79">
        <v>13574.32</v>
      </c>
      <c r="K79">
        <v>162891.84</v>
      </c>
      <c r="L79">
        <v>15067.495200000001</v>
      </c>
      <c r="M79">
        <v>180809.9424</v>
      </c>
      <c r="N79">
        <v>13574.32</v>
      </c>
      <c r="O79">
        <v>162891.84</v>
      </c>
      <c r="P79">
        <v>15067.495200000001</v>
      </c>
      <c r="Q79">
        <v>180809.9424</v>
      </c>
      <c r="R79" t="s">
        <v>656</v>
      </c>
      <c r="S79">
        <f>IFERROR(VLOOKUP(CONCATENATE(Fix_Mapping[[#This Row],[KODE BARANG]],1),'Form Fix'!$A$6:$F$1063,4,0),0)</f>
        <v>400134</v>
      </c>
      <c r="T79">
        <f>IFERROR(VLOOKUP(CONCATENATE(Fix_Mapping[[#This Row],[KODE BARANG]],2),'Form Fix'!$A$6:$F$1063,4,0),0)</f>
        <v>400140</v>
      </c>
      <c r="U79">
        <f>IFERROR(VLOOKUP(CONCATENATE(Fix_Mapping[[#This Row],[KODE BARANG]],3),'Form Fix'!$A$6:$F$1063,4,0),0)</f>
        <v>0</v>
      </c>
      <c r="V79">
        <f>IFERROR(VLOOKUP(CONCATENATE(Fix_Mapping[[#This Row],[KODE BARANG]],4),'Form Fix'!$A$6:$F$1063,4,0),0)</f>
        <v>0</v>
      </c>
      <c r="W79">
        <f>IFERROR(VLOOKUP(CONCATENATE(Fix_Mapping[[#This Row],[KODE BARANG]],5),'Form Fix'!$A$6:$F$1063,4,0),0)</f>
        <v>0</v>
      </c>
    </row>
    <row r="80" spans="1:23" x14ac:dyDescent="0.25">
      <c r="A80" t="s">
        <v>717</v>
      </c>
      <c r="B80" t="s">
        <v>1062</v>
      </c>
      <c r="C80">
        <v>60</v>
      </c>
      <c r="D80" t="s">
        <v>206</v>
      </c>
      <c r="E80" t="s">
        <v>579</v>
      </c>
      <c r="F80">
        <v>9145.9462000000003</v>
      </c>
      <c r="G80">
        <v>548756.772</v>
      </c>
      <c r="H80">
        <v>10152.000282000001</v>
      </c>
      <c r="I80">
        <v>609120.01692000008</v>
      </c>
      <c r="J80">
        <v>9729.73</v>
      </c>
      <c r="K80">
        <v>583783.79999999993</v>
      </c>
      <c r="L80">
        <v>10800.0003</v>
      </c>
      <c r="M80">
        <v>648000.01799999992</v>
      </c>
      <c r="N80">
        <v>10216.219999999999</v>
      </c>
      <c r="O80">
        <v>612973.19999999995</v>
      </c>
      <c r="P80">
        <v>11340.004199999999</v>
      </c>
      <c r="Q80">
        <v>680400.25199999998</v>
      </c>
      <c r="R80" t="s">
        <v>656</v>
      </c>
      <c r="S80">
        <f>IFERROR(VLOOKUP(CONCATENATE(Fix_Mapping[[#This Row],[KODE BARANG]],1),'Form Fix'!$A$6:$F$1063,4,0),0)</f>
        <v>612045</v>
      </c>
      <c r="T80">
        <f>IFERROR(VLOOKUP(CONCATENATE(Fix_Mapping[[#This Row],[KODE BARANG]],2),'Form Fix'!$A$6:$F$1063,4,0),0)</f>
        <v>0</v>
      </c>
      <c r="U80">
        <f>IFERROR(VLOOKUP(CONCATENATE(Fix_Mapping[[#This Row],[KODE BARANG]],3),'Form Fix'!$A$6:$F$1063,4,0),0)</f>
        <v>0</v>
      </c>
      <c r="V80">
        <f>IFERROR(VLOOKUP(CONCATENATE(Fix_Mapping[[#This Row],[KODE BARANG]],4),'Form Fix'!$A$6:$F$1063,4,0),0)</f>
        <v>0</v>
      </c>
      <c r="W80">
        <f>IFERROR(VLOOKUP(CONCATENATE(Fix_Mapping[[#This Row],[KODE BARANG]],5),'Form Fix'!$A$6:$F$1063,4,0),0)</f>
        <v>0</v>
      </c>
    </row>
    <row r="81" spans="1:23" x14ac:dyDescent="0.25">
      <c r="A81" t="s">
        <v>718</v>
      </c>
      <c r="B81" t="s">
        <v>878</v>
      </c>
      <c r="C81">
        <v>30</v>
      </c>
      <c r="D81" t="s">
        <v>206</v>
      </c>
      <c r="E81" t="s">
        <v>579</v>
      </c>
      <c r="F81">
        <v>18291.892400000001</v>
      </c>
      <c r="G81">
        <v>548756.772</v>
      </c>
      <c r="H81">
        <v>20304.000564000002</v>
      </c>
      <c r="I81">
        <v>609120.01692000008</v>
      </c>
      <c r="J81">
        <v>19459.46</v>
      </c>
      <c r="K81">
        <v>583783.79999999993</v>
      </c>
      <c r="L81">
        <v>21600.000599999999</v>
      </c>
      <c r="M81">
        <v>648000.01799999992</v>
      </c>
      <c r="N81">
        <v>20432.43</v>
      </c>
      <c r="O81">
        <v>612972.9</v>
      </c>
      <c r="P81">
        <v>22679.997300000003</v>
      </c>
      <c r="Q81">
        <v>680399.91900000011</v>
      </c>
      <c r="R81" t="s">
        <v>656</v>
      </c>
      <c r="S81">
        <f>IFERROR(VLOOKUP(CONCATENATE(Fix_Mapping[[#This Row],[KODE BARANG]],1),'Form Fix'!$A$6:$F$1063,4,0),0)</f>
        <v>612953</v>
      </c>
      <c r="T81">
        <f>IFERROR(VLOOKUP(CONCATENATE(Fix_Mapping[[#This Row],[KODE BARANG]],2),'Form Fix'!$A$6:$F$1063,4,0),0)</f>
        <v>0</v>
      </c>
      <c r="U81">
        <f>IFERROR(VLOOKUP(CONCATENATE(Fix_Mapping[[#This Row],[KODE BARANG]],3),'Form Fix'!$A$6:$F$1063,4,0),0)</f>
        <v>0</v>
      </c>
      <c r="V81">
        <f>IFERROR(VLOOKUP(CONCATENATE(Fix_Mapping[[#This Row],[KODE BARANG]],4),'Form Fix'!$A$6:$F$1063,4,0),0)</f>
        <v>0</v>
      </c>
      <c r="W81">
        <f>IFERROR(VLOOKUP(CONCATENATE(Fix_Mapping[[#This Row],[KODE BARANG]],5),'Form Fix'!$A$6:$F$1063,4,0),0)</f>
        <v>0</v>
      </c>
    </row>
    <row r="82" spans="1:23" x14ac:dyDescent="0.25">
      <c r="A82" t="s">
        <v>990</v>
      </c>
      <c r="B82" t="s">
        <v>993</v>
      </c>
      <c r="C82">
        <v>60</v>
      </c>
      <c r="D82" t="s">
        <v>206</v>
      </c>
      <c r="E82" t="s">
        <v>579</v>
      </c>
      <c r="F82">
        <v>7775.7477476800004</v>
      </c>
      <c r="G82">
        <v>466544.86486080004</v>
      </c>
      <c r="H82">
        <v>8631.0799999248011</v>
      </c>
      <c r="I82">
        <v>517864.79999548808</v>
      </c>
      <c r="J82">
        <v>8272.0720720000008</v>
      </c>
      <c r="K82">
        <v>496324.32432000007</v>
      </c>
      <c r="L82">
        <v>9181.9999999200008</v>
      </c>
      <c r="M82">
        <v>550919.99999520008</v>
      </c>
      <c r="N82">
        <v>0</v>
      </c>
      <c r="O82">
        <v>0</v>
      </c>
      <c r="P82">
        <v>0</v>
      </c>
      <c r="Q82">
        <v>0</v>
      </c>
      <c r="S82">
        <f>IFERROR(VLOOKUP(CONCATENATE(Fix_Mapping[[#This Row],[KODE BARANG]],1),'Form Fix'!$A$6:$F$1063,4,0),0)</f>
        <v>612157</v>
      </c>
      <c r="T82">
        <f>IFERROR(VLOOKUP(CONCATENATE(Fix_Mapping[[#This Row],[KODE BARANG]],2),'Form Fix'!$A$6:$F$1063,4,0),0)</f>
        <v>612961</v>
      </c>
      <c r="U82">
        <f>IFERROR(VLOOKUP(CONCATENATE(Fix_Mapping[[#This Row],[KODE BARANG]],3),'Form Fix'!$A$6:$F$1063,4,0),0)</f>
        <v>0</v>
      </c>
      <c r="V82">
        <f>IFERROR(VLOOKUP(CONCATENATE(Fix_Mapping[[#This Row],[KODE BARANG]],4),'Form Fix'!$A$6:$F$1063,4,0),0)</f>
        <v>0</v>
      </c>
      <c r="W82">
        <f>IFERROR(VLOOKUP(CONCATENATE(Fix_Mapping[[#This Row],[KODE BARANG]],5),'Form Fix'!$A$6:$F$1063,4,0),0)</f>
        <v>0</v>
      </c>
    </row>
    <row r="83" spans="1:23" x14ac:dyDescent="0.25">
      <c r="A83" t="s">
        <v>719</v>
      </c>
      <c r="B83" t="s">
        <v>879</v>
      </c>
      <c r="C83">
        <v>24</v>
      </c>
      <c r="D83" t="s">
        <v>206</v>
      </c>
      <c r="E83" t="s">
        <v>579</v>
      </c>
      <c r="F83">
        <v>20705.408199999998</v>
      </c>
      <c r="G83">
        <v>496929.79679999995</v>
      </c>
      <c r="H83">
        <v>22983.003101999999</v>
      </c>
      <c r="I83">
        <v>551592.07444799994</v>
      </c>
      <c r="J83">
        <v>22027.03</v>
      </c>
      <c r="K83">
        <v>528648.72</v>
      </c>
      <c r="L83">
        <v>24450.0033</v>
      </c>
      <c r="M83">
        <v>586800.07920000004</v>
      </c>
      <c r="N83">
        <v>23128.38</v>
      </c>
      <c r="O83">
        <v>555081.12</v>
      </c>
      <c r="P83">
        <v>25672.501800000002</v>
      </c>
      <c r="Q83">
        <v>616140.04320000007</v>
      </c>
      <c r="R83" t="s">
        <v>656</v>
      </c>
      <c r="S83">
        <f>IFERROR(VLOOKUP(CONCATENATE(Fix_Mapping[[#This Row],[KODE BARANG]],1),'Form Fix'!$A$6:$F$1063,4,0),0)</f>
        <v>612042</v>
      </c>
      <c r="T83">
        <f>IFERROR(VLOOKUP(CONCATENATE(Fix_Mapping[[#This Row],[KODE BARANG]],2),'Form Fix'!$A$6:$F$1063,4,0),0)</f>
        <v>0</v>
      </c>
      <c r="U83">
        <f>IFERROR(VLOOKUP(CONCATENATE(Fix_Mapping[[#This Row],[KODE BARANG]],3),'Form Fix'!$A$6:$F$1063,4,0),0)</f>
        <v>0</v>
      </c>
      <c r="V83">
        <f>IFERROR(VLOOKUP(CONCATENATE(Fix_Mapping[[#This Row],[KODE BARANG]],4),'Form Fix'!$A$6:$F$1063,4,0),0)</f>
        <v>0</v>
      </c>
      <c r="W83">
        <f>IFERROR(VLOOKUP(CONCATENATE(Fix_Mapping[[#This Row],[KODE BARANG]],5),'Form Fix'!$A$6:$F$1063,4,0),0)</f>
        <v>0</v>
      </c>
    </row>
    <row r="84" spans="1:23" x14ac:dyDescent="0.25">
      <c r="A84" t="s">
        <v>720</v>
      </c>
      <c r="B84" t="s">
        <v>1058</v>
      </c>
      <c r="C84">
        <v>60</v>
      </c>
      <c r="D84" t="s">
        <v>206</v>
      </c>
      <c r="E84" t="s">
        <v>579</v>
      </c>
      <c r="F84">
        <v>9145.9462000000003</v>
      </c>
      <c r="G84">
        <v>548756.772</v>
      </c>
      <c r="H84">
        <v>10152.000282000001</v>
      </c>
      <c r="I84">
        <v>609120.01692000008</v>
      </c>
      <c r="J84">
        <v>9729.73</v>
      </c>
      <c r="K84">
        <v>583783.79999999993</v>
      </c>
      <c r="L84">
        <v>10800.0003</v>
      </c>
      <c r="M84">
        <v>648000.01799999992</v>
      </c>
      <c r="N84">
        <v>10216.219999999999</v>
      </c>
      <c r="O84">
        <v>612973.19999999995</v>
      </c>
      <c r="P84">
        <v>11340.004199999999</v>
      </c>
      <c r="Q84">
        <v>680400.25199999998</v>
      </c>
      <c r="R84" t="s">
        <v>656</v>
      </c>
      <c r="S84">
        <f>IFERROR(VLOOKUP(CONCATENATE(Fix_Mapping[[#This Row],[KODE BARANG]],1),'Form Fix'!$A$6:$F$1063,4,0),0)</f>
        <v>612046</v>
      </c>
      <c r="T84">
        <f>IFERROR(VLOOKUP(CONCATENATE(Fix_Mapping[[#This Row],[KODE BARANG]],2),'Form Fix'!$A$6:$F$1063,4,0),0)</f>
        <v>0</v>
      </c>
      <c r="U84">
        <f>IFERROR(VLOOKUP(CONCATENATE(Fix_Mapping[[#This Row],[KODE BARANG]],3),'Form Fix'!$A$6:$F$1063,4,0),0)</f>
        <v>0</v>
      </c>
      <c r="V84">
        <f>IFERROR(VLOOKUP(CONCATENATE(Fix_Mapping[[#This Row],[KODE BARANG]],4),'Form Fix'!$A$6:$F$1063,4,0),0)</f>
        <v>0</v>
      </c>
      <c r="W84">
        <f>IFERROR(VLOOKUP(CONCATENATE(Fix_Mapping[[#This Row],[KODE BARANG]],5),'Form Fix'!$A$6:$F$1063,4,0),0)</f>
        <v>0</v>
      </c>
    </row>
    <row r="85" spans="1:23" x14ac:dyDescent="0.25">
      <c r="A85" t="s">
        <v>991</v>
      </c>
      <c r="B85" t="s">
        <v>994</v>
      </c>
      <c r="C85">
        <v>60</v>
      </c>
      <c r="D85" t="s">
        <v>206</v>
      </c>
      <c r="E85" t="s">
        <v>579</v>
      </c>
      <c r="F85">
        <v>7775.7477476800004</v>
      </c>
      <c r="G85">
        <v>466544.86486080004</v>
      </c>
      <c r="H85">
        <v>8631.0799999248011</v>
      </c>
      <c r="I85">
        <v>517864.79999548808</v>
      </c>
      <c r="J85">
        <v>8272.0720720000008</v>
      </c>
      <c r="K85">
        <v>496324.32432000007</v>
      </c>
      <c r="L85">
        <v>9181.9999999200008</v>
      </c>
      <c r="M85">
        <v>550919.99999520008</v>
      </c>
      <c r="N85">
        <v>0</v>
      </c>
      <c r="O85">
        <v>0</v>
      </c>
      <c r="P85">
        <v>0</v>
      </c>
      <c r="Q85">
        <v>0</v>
      </c>
      <c r="S85">
        <f>IFERROR(VLOOKUP(CONCATENATE(Fix_Mapping[[#This Row],[KODE BARANG]],1),'Form Fix'!$A$6:$F$1063,4,0),0)</f>
        <v>612158</v>
      </c>
      <c r="T85">
        <f>IFERROR(VLOOKUP(CONCATENATE(Fix_Mapping[[#This Row],[KODE BARANG]],2),'Form Fix'!$A$6:$F$1063,4,0),0)</f>
        <v>0</v>
      </c>
      <c r="U85">
        <f>IFERROR(VLOOKUP(CONCATENATE(Fix_Mapping[[#This Row],[KODE BARANG]],3),'Form Fix'!$A$6:$F$1063,4,0),0)</f>
        <v>0</v>
      </c>
      <c r="V85">
        <f>IFERROR(VLOOKUP(CONCATENATE(Fix_Mapping[[#This Row],[KODE BARANG]],4),'Form Fix'!$A$6:$F$1063,4,0),0)</f>
        <v>0</v>
      </c>
      <c r="W85">
        <f>IFERROR(VLOOKUP(CONCATENATE(Fix_Mapping[[#This Row],[KODE BARANG]],5),'Form Fix'!$A$6:$F$1063,4,0),0)</f>
        <v>0</v>
      </c>
    </row>
    <row r="86" spans="1:23" x14ac:dyDescent="0.25">
      <c r="A86" t="s">
        <v>721</v>
      </c>
      <c r="B86" t="s">
        <v>880</v>
      </c>
      <c r="C86">
        <v>24</v>
      </c>
      <c r="D86" t="s">
        <v>206</v>
      </c>
      <c r="E86" t="s">
        <v>579</v>
      </c>
      <c r="F86">
        <v>20705.408199999998</v>
      </c>
      <c r="G86">
        <v>496929.79679999995</v>
      </c>
      <c r="H86">
        <v>22983.003101999999</v>
      </c>
      <c r="I86">
        <v>551592.07444799994</v>
      </c>
      <c r="J86">
        <v>22027.03</v>
      </c>
      <c r="K86">
        <v>528648.72</v>
      </c>
      <c r="L86">
        <v>24450.0033</v>
      </c>
      <c r="M86">
        <v>586800.07920000004</v>
      </c>
      <c r="N86">
        <v>23128.38</v>
      </c>
      <c r="O86">
        <v>555081.12</v>
      </c>
      <c r="P86">
        <v>25672.501800000002</v>
      </c>
      <c r="Q86">
        <v>616140.04320000007</v>
      </c>
      <c r="R86" t="s">
        <v>656</v>
      </c>
      <c r="S86">
        <f>IFERROR(VLOOKUP(CONCATENATE(Fix_Mapping[[#This Row],[KODE BARANG]],1),'Form Fix'!$A$6:$F$1063,4,0),0)</f>
        <v>612043</v>
      </c>
      <c r="T86">
        <f>IFERROR(VLOOKUP(CONCATENATE(Fix_Mapping[[#This Row],[KODE BARANG]],2),'Form Fix'!$A$6:$F$1063,4,0),0)</f>
        <v>0</v>
      </c>
      <c r="U86">
        <f>IFERROR(VLOOKUP(CONCATENATE(Fix_Mapping[[#This Row],[KODE BARANG]],3),'Form Fix'!$A$6:$F$1063,4,0),0)</f>
        <v>0</v>
      </c>
      <c r="V86">
        <f>IFERROR(VLOOKUP(CONCATENATE(Fix_Mapping[[#This Row],[KODE BARANG]],4),'Form Fix'!$A$6:$F$1063,4,0),0)</f>
        <v>0</v>
      </c>
      <c r="W86">
        <f>IFERROR(VLOOKUP(CONCATENATE(Fix_Mapping[[#This Row],[KODE BARANG]],5),'Form Fix'!$A$6:$F$1063,4,0),0)</f>
        <v>0</v>
      </c>
    </row>
    <row r="87" spans="1:23" x14ac:dyDescent="0.25">
      <c r="A87" t="s">
        <v>722</v>
      </c>
      <c r="B87" t="s">
        <v>881</v>
      </c>
      <c r="C87">
        <v>24</v>
      </c>
      <c r="D87" t="s">
        <v>206</v>
      </c>
      <c r="E87" t="s">
        <v>579</v>
      </c>
      <c r="F87">
        <v>14386.3992</v>
      </c>
      <c r="G87">
        <v>345273.5808</v>
      </c>
      <c r="H87">
        <v>15968.903112000002</v>
      </c>
      <c r="I87">
        <v>383253.67468800006</v>
      </c>
      <c r="J87">
        <v>15304.68</v>
      </c>
      <c r="K87">
        <v>367312.32</v>
      </c>
      <c r="L87">
        <v>16988.194800000001</v>
      </c>
      <c r="M87">
        <v>407716.67520000006</v>
      </c>
      <c r="N87">
        <v>16069.910902427868</v>
      </c>
      <c r="O87">
        <v>385677.86165826884</v>
      </c>
      <c r="P87">
        <v>17837.601101694934</v>
      </c>
      <c r="Q87">
        <v>428102.42644067842</v>
      </c>
      <c r="R87" t="s">
        <v>656</v>
      </c>
      <c r="S87">
        <f>IFERROR(VLOOKUP(CONCATENATE(Fix_Mapping[[#This Row],[KODE BARANG]],1),'Form Fix'!$A$6:$F$1063,4,0),0)</f>
        <v>612141</v>
      </c>
      <c r="T87">
        <f>IFERROR(VLOOKUP(CONCATENATE(Fix_Mapping[[#This Row],[KODE BARANG]],2),'Form Fix'!$A$6:$F$1063,4,0),0)</f>
        <v>612148</v>
      </c>
      <c r="U87">
        <f>IFERROR(VLOOKUP(CONCATENATE(Fix_Mapping[[#This Row],[KODE BARANG]],3),'Form Fix'!$A$6:$F$1063,4,0),0)</f>
        <v>612155</v>
      </c>
      <c r="V87">
        <f>IFERROR(VLOOKUP(CONCATENATE(Fix_Mapping[[#This Row],[KODE BARANG]],4),'Form Fix'!$A$6:$F$1063,4,0),0)</f>
        <v>0</v>
      </c>
      <c r="W87">
        <f>IFERROR(VLOOKUP(CONCATENATE(Fix_Mapping[[#This Row],[KODE BARANG]],5),'Form Fix'!$A$6:$F$1063,4,0),0)</f>
        <v>0</v>
      </c>
    </row>
    <row r="88" spans="1:23" x14ac:dyDescent="0.25">
      <c r="A88" t="s">
        <v>723</v>
      </c>
      <c r="B88" t="s">
        <v>1059</v>
      </c>
      <c r="C88">
        <v>60</v>
      </c>
      <c r="D88" t="s">
        <v>206</v>
      </c>
      <c r="E88" t="s">
        <v>579</v>
      </c>
      <c r="F88">
        <v>9145.9462000000003</v>
      </c>
      <c r="G88">
        <v>548756.772</v>
      </c>
      <c r="H88">
        <v>10152.000282000001</v>
      </c>
      <c r="I88">
        <v>609120.01692000008</v>
      </c>
      <c r="J88">
        <v>9729.73</v>
      </c>
      <c r="K88">
        <v>583783.79999999993</v>
      </c>
      <c r="L88">
        <v>10800.0003</v>
      </c>
      <c r="M88">
        <v>648000.01799999992</v>
      </c>
      <c r="N88">
        <v>10216.219999999999</v>
      </c>
      <c r="O88">
        <v>612973.19999999995</v>
      </c>
      <c r="P88">
        <v>11340.004199999999</v>
      </c>
      <c r="Q88">
        <v>680400.25199999998</v>
      </c>
      <c r="R88" t="s">
        <v>656</v>
      </c>
      <c r="S88">
        <f>IFERROR(VLOOKUP(CONCATENATE(Fix_Mapping[[#This Row],[KODE BARANG]],1),'Form Fix'!$A$6:$F$1063,4,0),0)</f>
        <v>612047</v>
      </c>
      <c r="T88">
        <f>IFERROR(VLOOKUP(CONCATENATE(Fix_Mapping[[#This Row],[KODE BARANG]],2),'Form Fix'!$A$6:$F$1063,4,0),0)</f>
        <v>612154</v>
      </c>
      <c r="U88">
        <f>IFERROR(VLOOKUP(CONCATENATE(Fix_Mapping[[#This Row],[KODE BARANG]],3),'Form Fix'!$A$6:$F$1063,4,0),0)</f>
        <v>0</v>
      </c>
      <c r="V88">
        <f>IFERROR(VLOOKUP(CONCATENATE(Fix_Mapping[[#This Row],[KODE BARANG]],4),'Form Fix'!$A$6:$F$1063,4,0),0)</f>
        <v>0</v>
      </c>
      <c r="W88">
        <f>IFERROR(VLOOKUP(CONCATENATE(Fix_Mapping[[#This Row],[KODE BARANG]],5),'Form Fix'!$A$6:$F$1063,4,0),0)</f>
        <v>0</v>
      </c>
    </row>
    <row r="89" spans="1:23" x14ac:dyDescent="0.25">
      <c r="A89" t="s">
        <v>992</v>
      </c>
      <c r="B89" t="s">
        <v>995</v>
      </c>
      <c r="C89">
        <v>60</v>
      </c>
      <c r="D89" t="s">
        <v>206</v>
      </c>
      <c r="E89" t="s">
        <v>579</v>
      </c>
      <c r="F89">
        <v>7775.7740000000003</v>
      </c>
      <c r="G89">
        <v>466546.44</v>
      </c>
      <c r="H89">
        <v>8631.1091400000005</v>
      </c>
      <c r="I89">
        <v>517866.54840000003</v>
      </c>
      <c r="J89">
        <v>8272.1</v>
      </c>
      <c r="K89">
        <v>496326</v>
      </c>
      <c r="L89">
        <v>9182.0310000000009</v>
      </c>
      <c r="M89">
        <v>550921.8600000001</v>
      </c>
      <c r="N89">
        <v>0</v>
      </c>
      <c r="O89">
        <v>0</v>
      </c>
      <c r="P89">
        <v>0</v>
      </c>
      <c r="Q89">
        <v>0</v>
      </c>
      <c r="S89">
        <f>IFERROR(VLOOKUP(CONCATENATE(Fix_Mapping[[#This Row],[KODE BARANG]],1),'Form Fix'!$A$6:$F$1063,4,0),0)</f>
        <v>612963</v>
      </c>
      <c r="T89">
        <f>IFERROR(VLOOKUP(CONCATENATE(Fix_Mapping[[#This Row],[KODE BARANG]],2),'Form Fix'!$A$6:$F$1063,4,0),0)</f>
        <v>612159</v>
      </c>
      <c r="U89">
        <f>IFERROR(VLOOKUP(CONCATENATE(Fix_Mapping[[#This Row],[KODE BARANG]],3),'Form Fix'!$A$6:$F$1063,4,0),0)</f>
        <v>0</v>
      </c>
      <c r="V89">
        <f>IFERROR(VLOOKUP(CONCATENATE(Fix_Mapping[[#This Row],[KODE BARANG]],4),'Form Fix'!$A$6:$F$1063,4,0),0)</f>
        <v>0</v>
      </c>
      <c r="W89">
        <f>IFERROR(VLOOKUP(CONCATENATE(Fix_Mapping[[#This Row],[KODE BARANG]],5),'Form Fix'!$A$6:$F$1063,4,0),0)</f>
        <v>0</v>
      </c>
    </row>
    <row r="90" spans="1:23" x14ac:dyDescent="0.25">
      <c r="A90" t="s">
        <v>724</v>
      </c>
      <c r="B90" t="s">
        <v>882</v>
      </c>
      <c r="C90">
        <v>24</v>
      </c>
      <c r="D90" t="s">
        <v>206</v>
      </c>
      <c r="E90" t="s">
        <v>579</v>
      </c>
      <c r="F90">
        <v>20705.408199999998</v>
      </c>
      <c r="G90">
        <v>496929.79679999995</v>
      </c>
      <c r="H90">
        <v>22983.003101999999</v>
      </c>
      <c r="I90">
        <v>551592.07444799994</v>
      </c>
      <c r="J90">
        <v>22027.03</v>
      </c>
      <c r="K90">
        <v>528648.72</v>
      </c>
      <c r="L90">
        <v>24450.0033</v>
      </c>
      <c r="M90">
        <v>586800.07920000004</v>
      </c>
      <c r="N90">
        <v>23128.38</v>
      </c>
      <c r="O90">
        <v>555081.12</v>
      </c>
      <c r="P90">
        <v>25672.501800000002</v>
      </c>
      <c r="Q90">
        <v>616140.04320000007</v>
      </c>
      <c r="R90" t="s">
        <v>656</v>
      </c>
      <c r="S90">
        <f>IFERROR(VLOOKUP(CONCATENATE(Fix_Mapping[[#This Row],[KODE BARANG]],1),'Form Fix'!$A$6:$F$1063,4,0),0)</f>
        <v>612044</v>
      </c>
      <c r="T90">
        <f>IFERROR(VLOOKUP(CONCATENATE(Fix_Mapping[[#This Row],[KODE BARANG]],2),'Form Fix'!$A$6:$F$1063,4,0),0)</f>
        <v>612151</v>
      </c>
      <c r="U90">
        <f>IFERROR(VLOOKUP(CONCATENATE(Fix_Mapping[[#This Row],[KODE BARANG]],3),'Form Fix'!$A$6:$F$1063,4,0),0)</f>
        <v>0</v>
      </c>
      <c r="V90">
        <f>IFERROR(VLOOKUP(CONCATENATE(Fix_Mapping[[#This Row],[KODE BARANG]],4),'Form Fix'!$A$6:$F$1063,4,0),0)</f>
        <v>0</v>
      </c>
      <c r="W90">
        <f>IFERROR(VLOOKUP(CONCATENATE(Fix_Mapping[[#This Row],[KODE BARANG]],5),'Form Fix'!$A$6:$F$1063,4,0),0)</f>
        <v>0</v>
      </c>
    </row>
    <row r="91" spans="1:23" x14ac:dyDescent="0.25">
      <c r="A91" t="s">
        <v>725</v>
      </c>
      <c r="B91" t="s">
        <v>883</v>
      </c>
      <c r="C91">
        <v>60</v>
      </c>
      <c r="D91" t="s">
        <v>206</v>
      </c>
      <c r="E91" t="s">
        <v>579</v>
      </c>
      <c r="F91">
        <v>9145.9462000000003</v>
      </c>
      <c r="G91">
        <v>548756.772</v>
      </c>
      <c r="H91">
        <v>10152.000282000001</v>
      </c>
      <c r="I91">
        <v>609120.01692000008</v>
      </c>
      <c r="J91">
        <v>9729.73</v>
      </c>
      <c r="K91">
        <v>583783.79999999993</v>
      </c>
      <c r="L91">
        <v>10800.0003</v>
      </c>
      <c r="M91">
        <v>648000.01799999992</v>
      </c>
      <c r="N91">
        <v>10216.219999999999</v>
      </c>
      <c r="O91">
        <v>612973.19999999995</v>
      </c>
      <c r="P91">
        <v>11340.004199999999</v>
      </c>
      <c r="Q91">
        <v>680400.25199999998</v>
      </c>
      <c r="R91" t="s">
        <v>656</v>
      </c>
      <c r="S91">
        <f>IFERROR(VLOOKUP(CONCATENATE(Fix_Mapping[[#This Row],[KODE BARANG]],1),'Form Fix'!$A$6:$F$1063,4,0),0)</f>
        <v>612134</v>
      </c>
      <c r="T91">
        <f>IFERROR(VLOOKUP(CONCATENATE(Fix_Mapping[[#This Row],[KODE BARANG]],2),'Form Fix'!$A$6:$F$1063,4,0),0)</f>
        <v>0</v>
      </c>
      <c r="U91">
        <f>IFERROR(VLOOKUP(CONCATENATE(Fix_Mapping[[#This Row],[KODE BARANG]],3),'Form Fix'!$A$6:$F$1063,4,0),0)</f>
        <v>0</v>
      </c>
      <c r="V91">
        <f>IFERROR(VLOOKUP(CONCATENATE(Fix_Mapping[[#This Row],[KODE BARANG]],4),'Form Fix'!$A$6:$F$1063,4,0),0)</f>
        <v>0</v>
      </c>
      <c r="W91">
        <f>IFERROR(VLOOKUP(CONCATENATE(Fix_Mapping[[#This Row],[KODE BARANG]],5),'Form Fix'!$A$6:$F$1063,4,0),0)</f>
        <v>0</v>
      </c>
    </row>
    <row r="92" spans="1:23" x14ac:dyDescent="0.25">
      <c r="A92" t="s">
        <v>727</v>
      </c>
      <c r="B92" t="s">
        <v>884</v>
      </c>
      <c r="C92">
        <v>60</v>
      </c>
      <c r="D92" t="s">
        <v>206</v>
      </c>
      <c r="E92" t="s">
        <v>579</v>
      </c>
      <c r="F92">
        <v>9145.9462000000003</v>
      </c>
      <c r="G92">
        <v>548756.772</v>
      </c>
      <c r="H92">
        <v>10152.000282000001</v>
      </c>
      <c r="I92">
        <v>609120.01692000008</v>
      </c>
      <c r="J92">
        <v>9729.73</v>
      </c>
      <c r="K92">
        <v>583783.79999999993</v>
      </c>
      <c r="L92">
        <v>10800.0003</v>
      </c>
      <c r="M92">
        <v>648000.01799999992</v>
      </c>
      <c r="N92">
        <v>10216.219999999999</v>
      </c>
      <c r="O92">
        <v>612973.19999999995</v>
      </c>
      <c r="P92">
        <v>11340.004199999999</v>
      </c>
      <c r="Q92">
        <v>680400.25199999998</v>
      </c>
      <c r="R92" t="s">
        <v>656</v>
      </c>
      <c r="S92">
        <f>IFERROR(VLOOKUP(CONCATENATE(Fix_Mapping[[#This Row],[KODE BARANG]],1),'Form Fix'!$A$6:$F$1063,4,0),0)</f>
        <v>612958</v>
      </c>
      <c r="T92">
        <f>IFERROR(VLOOKUP(CONCATENATE(Fix_Mapping[[#This Row],[KODE BARANG]],2),'Form Fix'!$A$6:$F$1063,4,0),0)</f>
        <v>0</v>
      </c>
      <c r="U92">
        <f>IFERROR(VLOOKUP(CONCATENATE(Fix_Mapping[[#This Row],[KODE BARANG]],3),'Form Fix'!$A$6:$F$1063,4,0),0)</f>
        <v>0</v>
      </c>
      <c r="V92">
        <f>IFERROR(VLOOKUP(CONCATENATE(Fix_Mapping[[#This Row],[KODE BARANG]],4),'Form Fix'!$A$6:$F$1063,4,0),0)</f>
        <v>0</v>
      </c>
      <c r="W92">
        <f>IFERROR(VLOOKUP(CONCATENATE(Fix_Mapping[[#This Row],[KODE BARANG]],5),'Form Fix'!$A$6:$F$1063,4,0),0)</f>
        <v>0</v>
      </c>
    </row>
    <row r="93" spans="1:23" x14ac:dyDescent="0.25">
      <c r="A93" t="s">
        <v>726</v>
      </c>
      <c r="B93" t="s">
        <v>885</v>
      </c>
      <c r="C93">
        <v>24</v>
      </c>
      <c r="D93" t="s">
        <v>206</v>
      </c>
      <c r="E93" t="s">
        <v>579</v>
      </c>
      <c r="F93">
        <v>20705.408199999998</v>
      </c>
      <c r="G93">
        <v>496929.79679999995</v>
      </c>
      <c r="H93">
        <v>22983.003101999999</v>
      </c>
      <c r="I93">
        <v>551592.07444799994</v>
      </c>
      <c r="J93">
        <v>22027.03</v>
      </c>
      <c r="K93">
        <v>528648.72</v>
      </c>
      <c r="L93">
        <v>24450.0033</v>
      </c>
      <c r="M93">
        <v>586800.07920000004</v>
      </c>
      <c r="N93">
        <v>23128.38</v>
      </c>
      <c r="O93">
        <v>555081.12</v>
      </c>
      <c r="P93">
        <v>25672.501800000002</v>
      </c>
      <c r="Q93">
        <v>616140.04320000007</v>
      </c>
      <c r="R93" t="s">
        <v>656</v>
      </c>
      <c r="S93">
        <f>IFERROR(VLOOKUP(CONCATENATE(Fix_Mapping[[#This Row],[KODE BARANG]],1),'Form Fix'!$A$6:$F$1063,4,0),0)</f>
        <v>612091</v>
      </c>
      <c r="T93">
        <f>IFERROR(VLOOKUP(CONCATENATE(Fix_Mapping[[#This Row],[KODE BARANG]],2),'Form Fix'!$A$6:$F$1063,4,0),0)</f>
        <v>0</v>
      </c>
      <c r="U93">
        <f>IFERROR(VLOOKUP(CONCATENATE(Fix_Mapping[[#This Row],[KODE BARANG]],3),'Form Fix'!$A$6:$F$1063,4,0),0)</f>
        <v>0</v>
      </c>
      <c r="V93">
        <f>IFERROR(VLOOKUP(CONCATENATE(Fix_Mapping[[#This Row],[KODE BARANG]],4),'Form Fix'!$A$6:$F$1063,4,0),0)</f>
        <v>0</v>
      </c>
      <c r="W93">
        <f>IFERROR(VLOOKUP(CONCATENATE(Fix_Mapping[[#This Row],[KODE BARANG]],5),'Form Fix'!$A$6:$F$1063,4,0),0)</f>
        <v>0</v>
      </c>
    </row>
    <row r="94" spans="1:23" x14ac:dyDescent="0.25">
      <c r="A94" t="s">
        <v>730</v>
      </c>
      <c r="B94" t="s">
        <v>886</v>
      </c>
      <c r="C94">
        <v>21</v>
      </c>
      <c r="D94" t="s">
        <v>591</v>
      </c>
      <c r="E94" t="s">
        <v>580</v>
      </c>
      <c r="F94">
        <v>5137.5657657657639</v>
      </c>
      <c r="G94">
        <v>107888.88108108104</v>
      </c>
      <c r="H94">
        <v>5702.6979999999985</v>
      </c>
      <c r="I94">
        <v>119756.65799999997</v>
      </c>
      <c r="J94">
        <v>5465.4954954954937</v>
      </c>
      <c r="K94">
        <v>114775.40540540537</v>
      </c>
      <c r="L94">
        <v>6066.6999999999989</v>
      </c>
      <c r="M94">
        <v>127400.69999999997</v>
      </c>
      <c r="N94">
        <v>5902.7351351351335</v>
      </c>
      <c r="O94">
        <v>123957.4378378378</v>
      </c>
      <c r="P94">
        <v>6552.0359999999991</v>
      </c>
      <c r="Q94">
        <v>137592.75599999999</v>
      </c>
      <c r="R94" t="s">
        <v>656</v>
      </c>
      <c r="S94">
        <f>IFERROR(VLOOKUP(CONCATENATE(Fix_Mapping[[#This Row],[KODE BARANG]],1),'Form Fix'!$A$6:$F$1063,4,0),0)</f>
        <v>190034</v>
      </c>
      <c r="T94">
        <f>IFERROR(VLOOKUP(CONCATENATE(Fix_Mapping[[#This Row],[KODE BARANG]],2),'Form Fix'!$A$6:$F$1063,4,0),0)</f>
        <v>190050</v>
      </c>
      <c r="U94">
        <f>IFERROR(VLOOKUP(CONCATENATE(Fix_Mapping[[#This Row],[KODE BARANG]],3),'Form Fix'!$A$6:$F$1063,4,0),0)</f>
        <v>190065</v>
      </c>
      <c r="V94">
        <f>IFERROR(VLOOKUP(CONCATENATE(Fix_Mapping[[#This Row],[KODE BARANG]],4),'Form Fix'!$A$6:$F$1063,4,0),0)</f>
        <v>0</v>
      </c>
      <c r="W94">
        <f>IFERROR(VLOOKUP(CONCATENATE(Fix_Mapping[[#This Row],[KODE BARANG]],5),'Form Fix'!$A$6:$F$1063,4,0),0)</f>
        <v>0</v>
      </c>
    </row>
    <row r="95" spans="1:23" x14ac:dyDescent="0.25">
      <c r="A95" t="s">
        <v>731</v>
      </c>
      <c r="B95" t="s">
        <v>887</v>
      </c>
      <c r="C95">
        <v>48</v>
      </c>
      <c r="D95" t="s">
        <v>486</v>
      </c>
      <c r="E95" t="s">
        <v>580</v>
      </c>
      <c r="F95">
        <v>6428.4990990990991</v>
      </c>
      <c r="G95">
        <v>308567.95675675676</v>
      </c>
      <c r="H95">
        <v>7135.6340000000009</v>
      </c>
      <c r="I95">
        <v>342510.43200000003</v>
      </c>
      <c r="J95">
        <v>6838.8288288288286</v>
      </c>
      <c r="K95">
        <v>328263.78378378379</v>
      </c>
      <c r="L95">
        <v>7591.1</v>
      </c>
      <c r="M95">
        <v>364372.80000000005</v>
      </c>
      <c r="N95">
        <v>7385.9351351351352</v>
      </c>
      <c r="O95">
        <v>354524.88648648647</v>
      </c>
      <c r="P95">
        <v>8198.3880000000008</v>
      </c>
      <c r="Q95">
        <v>393522.62400000007</v>
      </c>
      <c r="R95" t="s">
        <v>656</v>
      </c>
      <c r="S95">
        <f>IFERROR(VLOOKUP(CONCATENATE(Fix_Mapping[[#This Row],[KODE BARANG]],1),'Form Fix'!$A$6:$F$1063,4,0),0)</f>
        <v>190040</v>
      </c>
      <c r="T95">
        <f>IFERROR(VLOOKUP(CONCATENATE(Fix_Mapping[[#This Row],[KODE BARANG]],2),'Form Fix'!$A$6:$F$1063,4,0),0)</f>
        <v>190067</v>
      </c>
      <c r="U95">
        <f>IFERROR(VLOOKUP(CONCATENATE(Fix_Mapping[[#This Row],[KODE BARANG]],3),'Form Fix'!$A$6:$F$1063,4,0),0)</f>
        <v>0</v>
      </c>
      <c r="V95">
        <f>IFERROR(VLOOKUP(CONCATENATE(Fix_Mapping[[#This Row],[KODE BARANG]],4),'Form Fix'!$A$6:$F$1063,4,0),0)</f>
        <v>0</v>
      </c>
      <c r="W95">
        <f>IFERROR(VLOOKUP(CONCATENATE(Fix_Mapping[[#This Row],[KODE BARANG]],5),'Form Fix'!$A$6:$F$1063,4,0),0)</f>
        <v>0</v>
      </c>
    </row>
    <row r="96" spans="1:23" x14ac:dyDescent="0.25">
      <c r="A96" t="s">
        <v>732</v>
      </c>
      <c r="B96" t="s">
        <v>888</v>
      </c>
      <c r="C96">
        <v>24</v>
      </c>
      <c r="D96" t="s">
        <v>486</v>
      </c>
      <c r="E96" t="s">
        <v>580</v>
      </c>
      <c r="F96">
        <v>11278.221621621626</v>
      </c>
      <c r="G96">
        <v>270677.31891891902</v>
      </c>
      <c r="H96">
        <v>12518.826000000006</v>
      </c>
      <c r="I96">
        <v>300451.82400000014</v>
      </c>
      <c r="J96">
        <v>11998.108108108112</v>
      </c>
      <c r="K96">
        <v>287954.59459459467</v>
      </c>
      <c r="L96">
        <v>13317.900000000005</v>
      </c>
      <c r="M96">
        <v>319629.60000000009</v>
      </c>
      <c r="N96">
        <v>12957.956756756761</v>
      </c>
      <c r="O96">
        <v>310990.96216216229</v>
      </c>
      <c r="P96">
        <v>14383.332000000006</v>
      </c>
      <c r="Q96">
        <v>345199.96800000011</v>
      </c>
      <c r="R96" t="s">
        <v>656</v>
      </c>
      <c r="S96">
        <f>IFERROR(VLOOKUP(CONCATENATE(Fix_Mapping[[#This Row],[KODE BARANG]],1),'Form Fix'!$A$6:$F$1063,4,0),0)</f>
        <v>190041</v>
      </c>
      <c r="T96">
        <f>IFERROR(VLOOKUP(CONCATENATE(Fix_Mapping[[#This Row],[KODE BARANG]],2),'Form Fix'!$A$6:$F$1063,4,0),0)</f>
        <v>190068</v>
      </c>
      <c r="U96">
        <f>IFERROR(VLOOKUP(CONCATENATE(Fix_Mapping[[#This Row],[KODE BARANG]],3),'Form Fix'!$A$6:$F$1063,4,0),0)</f>
        <v>0</v>
      </c>
      <c r="V96">
        <f>IFERROR(VLOOKUP(CONCATENATE(Fix_Mapping[[#This Row],[KODE BARANG]],4),'Form Fix'!$A$6:$F$1063,4,0),0)</f>
        <v>0</v>
      </c>
      <c r="W96">
        <f>IFERROR(VLOOKUP(CONCATENATE(Fix_Mapping[[#This Row],[KODE BARANG]],5),'Form Fix'!$A$6:$F$1063,4,0),0)</f>
        <v>0</v>
      </c>
    </row>
    <row r="97" spans="1:23" x14ac:dyDescent="0.25">
      <c r="A97" t="s">
        <v>733</v>
      </c>
      <c r="B97" t="s">
        <v>889</v>
      </c>
      <c r="C97">
        <v>24</v>
      </c>
      <c r="D97" t="s">
        <v>486</v>
      </c>
      <c r="E97" t="s">
        <v>580</v>
      </c>
      <c r="F97">
        <v>14540.445045045046</v>
      </c>
      <c r="G97">
        <v>348970.6810810811</v>
      </c>
      <c r="H97">
        <v>16139.894000000002</v>
      </c>
      <c r="I97">
        <v>387357.45600000006</v>
      </c>
      <c r="J97">
        <v>15468.55855855856</v>
      </c>
      <c r="K97">
        <v>371245.40540540544</v>
      </c>
      <c r="L97">
        <v>17170.100000000002</v>
      </c>
      <c r="M97">
        <v>412082.40000000008</v>
      </c>
      <c r="N97">
        <v>16706.043243243246</v>
      </c>
      <c r="O97">
        <v>400945.03783783794</v>
      </c>
      <c r="P97">
        <v>18543.708000000006</v>
      </c>
      <c r="Q97">
        <v>445048.99200000014</v>
      </c>
      <c r="R97" t="s">
        <v>656</v>
      </c>
      <c r="S97">
        <f>IFERROR(VLOOKUP(CONCATENATE(Fix_Mapping[[#This Row],[KODE BARANG]],1),'Form Fix'!$A$6:$F$1063,4,0),0)</f>
        <v>190031</v>
      </c>
      <c r="T97">
        <f>IFERROR(VLOOKUP(CONCATENATE(Fix_Mapping[[#This Row],[KODE BARANG]],2),'Form Fix'!$A$6:$F$1063,4,0),0)</f>
        <v>190066</v>
      </c>
      <c r="U97">
        <f>IFERROR(VLOOKUP(CONCATENATE(Fix_Mapping[[#This Row],[KODE BARANG]],3),'Form Fix'!$A$6:$F$1063,4,0),0)</f>
        <v>0</v>
      </c>
      <c r="V97">
        <f>IFERROR(VLOOKUP(CONCATENATE(Fix_Mapping[[#This Row],[KODE BARANG]],4),'Form Fix'!$A$6:$F$1063,4,0),0)</f>
        <v>0</v>
      </c>
      <c r="W97">
        <f>IFERROR(VLOOKUP(CONCATENATE(Fix_Mapping[[#This Row],[KODE BARANG]],5),'Form Fix'!$A$6:$F$1063,4,0),0)</f>
        <v>0</v>
      </c>
    </row>
    <row r="98" spans="1:23" x14ac:dyDescent="0.25">
      <c r="A98" t="s">
        <v>764</v>
      </c>
      <c r="B98" t="s">
        <v>890</v>
      </c>
      <c r="C98">
        <v>1</v>
      </c>
      <c r="D98" t="s">
        <v>506</v>
      </c>
      <c r="E98" t="s">
        <v>580</v>
      </c>
      <c r="F98">
        <v>91787.104504504488</v>
      </c>
      <c r="G98">
        <v>91787.104504504488</v>
      </c>
      <c r="H98">
        <v>101883.68599999999</v>
      </c>
      <c r="I98">
        <v>101883.68599999999</v>
      </c>
      <c r="J98">
        <v>97645.855855855843</v>
      </c>
      <c r="K98">
        <v>97645.855855855843</v>
      </c>
      <c r="L98">
        <v>108386.9</v>
      </c>
      <c r="M98">
        <v>108386.9</v>
      </c>
      <c r="N98">
        <v>105457.52432432432</v>
      </c>
      <c r="O98">
        <v>105457.52432432432</v>
      </c>
      <c r="P98">
        <v>117057.852</v>
      </c>
      <c r="Q98">
        <v>117057.852</v>
      </c>
      <c r="R98" t="s">
        <v>656</v>
      </c>
      <c r="S98">
        <f>IFERROR(VLOOKUP(CONCATENATE(Fix_Mapping[[#This Row],[KODE BARANG]],1),'Form Fix'!$A$6:$F$1063,4,0),0)</f>
        <v>190035</v>
      </c>
      <c r="T98">
        <f>IFERROR(VLOOKUP(CONCATENATE(Fix_Mapping[[#This Row],[KODE BARANG]],2),'Form Fix'!$A$6:$F$1063,4,0),0)</f>
        <v>190051</v>
      </c>
      <c r="U98">
        <f>IFERROR(VLOOKUP(CONCATENATE(Fix_Mapping[[#This Row],[KODE BARANG]],3),'Form Fix'!$A$6:$F$1063,4,0),0)</f>
        <v>190070</v>
      </c>
      <c r="V98">
        <f>IFERROR(VLOOKUP(CONCATENATE(Fix_Mapping[[#This Row],[KODE BARANG]],4),'Form Fix'!$A$6:$F$1063,4,0),0)</f>
        <v>0</v>
      </c>
      <c r="W98">
        <f>IFERROR(VLOOKUP(CONCATENATE(Fix_Mapping[[#This Row],[KODE BARANG]],5),'Form Fix'!$A$6:$F$1063,4,0),0)</f>
        <v>0</v>
      </c>
    </row>
    <row r="99" spans="1:23" x14ac:dyDescent="0.25">
      <c r="A99" t="s">
        <v>765</v>
      </c>
      <c r="B99" t="s">
        <v>891</v>
      </c>
      <c r="C99">
        <v>6</v>
      </c>
      <c r="D99" t="s">
        <v>552</v>
      </c>
      <c r="E99" t="s">
        <v>580</v>
      </c>
      <c r="F99">
        <v>16241.336936936937</v>
      </c>
      <c r="G99">
        <v>97448.021621621621</v>
      </c>
      <c r="H99">
        <v>18027.884000000002</v>
      </c>
      <c r="I99">
        <v>108167.304</v>
      </c>
      <c r="J99">
        <v>17278.018018018018</v>
      </c>
      <c r="K99">
        <v>103668.10810810811</v>
      </c>
      <c r="L99">
        <v>19178.600000000002</v>
      </c>
      <c r="M99">
        <v>115071.6</v>
      </c>
      <c r="N99">
        <v>18660.259459459459</v>
      </c>
      <c r="O99">
        <v>111961.55675675676</v>
      </c>
      <c r="P99">
        <v>20712.888000000003</v>
      </c>
      <c r="Q99">
        <v>124277.32800000001</v>
      </c>
      <c r="R99" t="s">
        <v>656</v>
      </c>
      <c r="S99">
        <f>IFERROR(VLOOKUP(CONCATENATE(Fix_Mapping[[#This Row],[KODE BARANG]],1),'Form Fix'!$A$6:$F$1063,4,0),0)</f>
        <v>190036</v>
      </c>
      <c r="T99">
        <f>IFERROR(VLOOKUP(CONCATENATE(Fix_Mapping[[#This Row],[KODE BARANG]],2),'Form Fix'!$A$6:$F$1063,4,0),0)</f>
        <v>190043</v>
      </c>
      <c r="U99">
        <f>IFERROR(VLOOKUP(CONCATENATE(Fix_Mapping[[#This Row],[KODE BARANG]],3),'Form Fix'!$A$6:$F$1063,4,0),0)</f>
        <v>190069</v>
      </c>
      <c r="V99">
        <f>IFERROR(VLOOKUP(CONCATENATE(Fix_Mapping[[#This Row],[KODE BARANG]],4),'Form Fix'!$A$6:$F$1063,4,0),0)</f>
        <v>0</v>
      </c>
      <c r="W99">
        <f>IFERROR(VLOOKUP(CONCATENATE(Fix_Mapping[[#This Row],[KODE BARANG]],5),'Form Fix'!$A$6:$F$1063,4,0),0)</f>
        <v>0</v>
      </c>
    </row>
    <row r="100" spans="1:23" x14ac:dyDescent="0.25">
      <c r="A100" t="s">
        <v>729</v>
      </c>
      <c r="B100" t="s">
        <v>892</v>
      </c>
      <c r="C100">
        <v>48</v>
      </c>
      <c r="D100" t="s">
        <v>479</v>
      </c>
      <c r="E100" t="s">
        <v>967</v>
      </c>
      <c r="F100">
        <v>6234.623045833333</v>
      </c>
      <c r="G100">
        <v>299261.90619999997</v>
      </c>
      <c r="H100">
        <v>6920.4315808749998</v>
      </c>
      <c r="I100">
        <v>332180.71588199999</v>
      </c>
      <c r="J100">
        <v>6632.5777083333332</v>
      </c>
      <c r="K100">
        <v>318363.73</v>
      </c>
      <c r="L100">
        <v>7362.1612562500004</v>
      </c>
      <c r="M100">
        <v>353383.7403</v>
      </c>
      <c r="N100">
        <v>7163.1839250000003</v>
      </c>
      <c r="O100">
        <v>343832.8284</v>
      </c>
      <c r="P100">
        <v>7951.1341567500012</v>
      </c>
      <c r="Q100">
        <v>381654.43952400004</v>
      </c>
      <c r="R100" t="s">
        <v>656</v>
      </c>
      <c r="S100">
        <f>IFERROR(VLOOKUP(CONCATENATE(Fix_Mapping[[#This Row],[KODE BARANG]],1),'Form Fix'!$A$6:$F$1063,4,0),0)</f>
        <v>190039</v>
      </c>
      <c r="T100">
        <f>IFERROR(VLOOKUP(CONCATENATE(Fix_Mapping[[#This Row],[KODE BARANG]],2),'Form Fix'!$A$6:$F$1063,4,0),0)</f>
        <v>0</v>
      </c>
      <c r="U100">
        <f>IFERROR(VLOOKUP(CONCATENATE(Fix_Mapping[[#This Row],[KODE BARANG]],3),'Form Fix'!$A$6:$F$1063,4,0),0)</f>
        <v>0</v>
      </c>
      <c r="V100">
        <f>IFERROR(VLOOKUP(CONCATENATE(Fix_Mapping[[#This Row],[KODE BARANG]],4),'Form Fix'!$A$6:$F$1063,4,0),0)</f>
        <v>0</v>
      </c>
      <c r="W100">
        <f>IFERROR(VLOOKUP(CONCATENATE(Fix_Mapping[[#This Row],[KODE BARANG]],5),'Form Fix'!$A$6:$F$1063,4,0),0)</f>
        <v>0</v>
      </c>
    </row>
    <row r="101" spans="1:23" x14ac:dyDescent="0.25">
      <c r="A101" t="s">
        <v>728</v>
      </c>
      <c r="B101" t="s">
        <v>893</v>
      </c>
      <c r="C101">
        <v>24</v>
      </c>
      <c r="D101" t="s">
        <v>486</v>
      </c>
      <c r="E101" t="s">
        <v>967</v>
      </c>
      <c r="F101">
        <v>14596.341149999998</v>
      </c>
      <c r="G101">
        <v>350312.18759999995</v>
      </c>
      <c r="H101">
        <v>16201.9386765</v>
      </c>
      <c r="I101">
        <v>388846.52823599998</v>
      </c>
      <c r="J101">
        <v>15528.022499999999</v>
      </c>
      <c r="K101">
        <v>372672.54</v>
      </c>
      <c r="L101">
        <v>17236.104975000002</v>
      </c>
      <c r="M101">
        <v>413666.51939999999</v>
      </c>
      <c r="N101">
        <v>16770.264299999999</v>
      </c>
      <c r="O101">
        <v>402486.3432</v>
      </c>
      <c r="P101">
        <v>18614.993373000001</v>
      </c>
      <c r="Q101">
        <v>446759.840952</v>
      </c>
      <c r="R101" t="s">
        <v>656</v>
      </c>
      <c r="S101">
        <f>IFERROR(VLOOKUP(CONCATENATE(Fix_Mapping[[#This Row],[KODE BARANG]],1),'Form Fix'!$A$6:$F$1063,4,0),0)</f>
        <v>190047</v>
      </c>
      <c r="T101">
        <f>IFERROR(VLOOKUP(CONCATENATE(Fix_Mapping[[#This Row],[KODE BARANG]],2),'Form Fix'!$A$6:$F$1063,4,0),0)</f>
        <v>190057</v>
      </c>
      <c r="U101">
        <f>IFERROR(VLOOKUP(CONCATENATE(Fix_Mapping[[#This Row],[KODE BARANG]],3),'Form Fix'!$A$6:$F$1063,4,0),0)</f>
        <v>0</v>
      </c>
      <c r="V101">
        <f>IFERROR(VLOOKUP(CONCATENATE(Fix_Mapping[[#This Row],[KODE BARANG]],4),'Form Fix'!$A$6:$F$1063,4,0),0)</f>
        <v>0</v>
      </c>
      <c r="W101">
        <f>IFERROR(VLOOKUP(CONCATENATE(Fix_Mapping[[#This Row],[KODE BARANG]],5),'Form Fix'!$A$6:$F$1063,4,0),0)</f>
        <v>0</v>
      </c>
    </row>
    <row r="102" spans="1:23" x14ac:dyDescent="0.25">
      <c r="A102" t="s">
        <v>766</v>
      </c>
      <c r="B102" t="s">
        <v>894</v>
      </c>
      <c r="C102">
        <v>21</v>
      </c>
      <c r="D102" t="s">
        <v>591</v>
      </c>
      <c r="E102" t="s">
        <v>603</v>
      </c>
      <c r="F102">
        <v>5669.6381999999994</v>
      </c>
      <c r="G102">
        <v>119062.40219999998</v>
      </c>
      <c r="H102">
        <v>6293.2984020000004</v>
      </c>
      <c r="I102">
        <v>132159.26644199999</v>
      </c>
      <c r="J102">
        <v>6031.53</v>
      </c>
      <c r="K102">
        <v>126662.12999999999</v>
      </c>
      <c r="L102">
        <v>6694.9983000000002</v>
      </c>
      <c r="M102">
        <v>140594.96429999999</v>
      </c>
      <c r="N102">
        <v>6514.0538965714341</v>
      </c>
      <c r="O102">
        <v>136795.13182800013</v>
      </c>
      <c r="P102">
        <v>7230.5998251942929</v>
      </c>
      <c r="Q102">
        <v>151842.59632908014</v>
      </c>
      <c r="R102" t="s">
        <v>656</v>
      </c>
      <c r="S102">
        <f>IFERROR(VLOOKUP(CONCATENATE(Fix_Mapping[[#This Row],[KODE BARANG]],1),'Form Fix'!$A$6:$F$1063,4,0),0)</f>
        <v>150129</v>
      </c>
      <c r="T102">
        <f>IFERROR(VLOOKUP(CONCATENATE(Fix_Mapping[[#This Row],[KODE BARANG]],2),'Form Fix'!$A$6:$F$1063,4,0),0)</f>
        <v>0</v>
      </c>
      <c r="U102">
        <f>IFERROR(VLOOKUP(CONCATENATE(Fix_Mapping[[#This Row],[KODE BARANG]],3),'Form Fix'!$A$6:$F$1063,4,0),0)</f>
        <v>0</v>
      </c>
      <c r="V102">
        <f>IFERROR(VLOOKUP(CONCATENATE(Fix_Mapping[[#This Row],[KODE BARANG]],4),'Form Fix'!$A$6:$F$1063,4,0),0)</f>
        <v>0</v>
      </c>
      <c r="W102">
        <f>IFERROR(VLOOKUP(CONCATENATE(Fix_Mapping[[#This Row],[KODE BARANG]],5),'Form Fix'!$A$6:$F$1063,4,0),0)</f>
        <v>0</v>
      </c>
    </row>
    <row r="103" spans="1:23" x14ac:dyDescent="0.25">
      <c r="A103" t="s">
        <v>2995</v>
      </c>
      <c r="B103" t="s">
        <v>2996</v>
      </c>
      <c r="C103">
        <v>21</v>
      </c>
      <c r="D103" t="s">
        <v>591</v>
      </c>
      <c r="E103" t="s">
        <v>603</v>
      </c>
      <c r="F103">
        <v>5669.6381999999994</v>
      </c>
      <c r="G103">
        <v>119062.40219999998</v>
      </c>
      <c r="H103">
        <v>6293.2984020000004</v>
      </c>
      <c r="I103">
        <v>132159.26644199999</v>
      </c>
      <c r="J103">
        <v>6031.53</v>
      </c>
      <c r="K103">
        <v>126662.12999999999</v>
      </c>
      <c r="L103">
        <v>6694.9983000000002</v>
      </c>
      <c r="M103">
        <v>140594.96429999999</v>
      </c>
      <c r="N103">
        <v>6514.0538965714341</v>
      </c>
      <c r="O103">
        <v>136795.13182800013</v>
      </c>
      <c r="P103">
        <v>7230.5998251942929</v>
      </c>
      <c r="Q103">
        <v>151842.59632908014</v>
      </c>
      <c r="R103" t="s">
        <v>656</v>
      </c>
      <c r="S103">
        <f>IFERROR(VLOOKUP(CONCATENATE(Fix_Mapping[[#This Row],[KODE BARANG]],1),'Form Fix'!$A$6:$F$1063,4,0),0)</f>
        <v>150409</v>
      </c>
      <c r="T103">
        <f>IFERROR(VLOOKUP(CONCATENATE(Fix_Mapping[[#This Row],[KODE BARANG]],2),'Form Fix'!$A$6:$F$1063,4,0),0)</f>
        <v>150204</v>
      </c>
      <c r="U103">
        <f>IFERROR(VLOOKUP(CONCATENATE(Fix_Mapping[[#This Row],[KODE BARANG]],3),'Form Fix'!$A$6:$F$1063,4,0),0)</f>
        <v>150326</v>
      </c>
      <c r="V103">
        <f>IFERROR(VLOOKUP(CONCATENATE(Fix_Mapping[[#This Row],[KODE BARANG]],4),'Form Fix'!$A$6:$F$1063,4,0),0)</f>
        <v>0</v>
      </c>
      <c r="W103">
        <f>IFERROR(VLOOKUP(CONCATENATE(Fix_Mapping[[#This Row],[KODE BARANG]],5),'Form Fix'!$A$6:$F$1063,4,0),0)</f>
        <v>0</v>
      </c>
    </row>
    <row r="104" spans="1:23" x14ac:dyDescent="0.25">
      <c r="A104" t="s">
        <v>767</v>
      </c>
      <c r="B104" t="s">
        <v>895</v>
      </c>
      <c r="C104">
        <v>30</v>
      </c>
      <c r="D104" t="s">
        <v>605</v>
      </c>
      <c r="E104" t="s">
        <v>603</v>
      </c>
      <c r="F104">
        <v>5538.7996000000003</v>
      </c>
      <c r="G104">
        <v>166163.98800000001</v>
      </c>
      <c r="H104">
        <v>6148.0675560000009</v>
      </c>
      <c r="I104">
        <v>184442.02668000004</v>
      </c>
      <c r="J104">
        <v>5892.34</v>
      </c>
      <c r="K104">
        <v>176770.2</v>
      </c>
      <c r="L104">
        <v>6540.4974000000011</v>
      </c>
      <c r="M104">
        <v>196214.92200000002</v>
      </c>
      <c r="N104">
        <v>6363.7296696000039</v>
      </c>
      <c r="O104">
        <v>190911.89008800013</v>
      </c>
      <c r="P104">
        <v>7063.7399332560053</v>
      </c>
      <c r="Q104">
        <v>211912.19799768017</v>
      </c>
      <c r="R104" t="s">
        <v>656</v>
      </c>
      <c r="S104">
        <f>IFERROR(VLOOKUP(CONCATENATE(Fix_Mapping[[#This Row],[KODE BARANG]],1),'Form Fix'!$A$6:$F$1063,4,0),0)</f>
        <v>150132</v>
      </c>
      <c r="T104">
        <f>IFERROR(VLOOKUP(CONCATENATE(Fix_Mapping[[#This Row],[KODE BARANG]],2),'Form Fix'!$A$6:$F$1063,4,0),0)</f>
        <v>150206</v>
      </c>
      <c r="U104">
        <f>IFERROR(VLOOKUP(CONCATENATE(Fix_Mapping[[#This Row],[KODE BARANG]],3),'Form Fix'!$A$6:$F$1063,4,0),0)</f>
        <v>150210</v>
      </c>
      <c r="V104">
        <f>IFERROR(VLOOKUP(CONCATENATE(Fix_Mapping[[#This Row],[KODE BARANG]],4),'Form Fix'!$A$6:$F$1063,4,0),0)</f>
        <v>150230</v>
      </c>
      <c r="W104">
        <f>IFERROR(VLOOKUP(CONCATENATE(Fix_Mapping[[#This Row],[KODE BARANG]],5),'Form Fix'!$A$6:$F$1063,4,0),0)</f>
        <v>150328</v>
      </c>
    </row>
    <row r="105" spans="1:23" x14ac:dyDescent="0.25">
      <c r="A105" t="s">
        <v>768</v>
      </c>
      <c r="B105" t="s">
        <v>1020</v>
      </c>
      <c r="C105">
        <v>48</v>
      </c>
      <c r="D105" t="s">
        <v>479</v>
      </c>
      <c r="E105" t="s">
        <v>603</v>
      </c>
      <c r="F105">
        <v>2224.2467999999999</v>
      </c>
      <c r="G105">
        <v>106763.84639999999</v>
      </c>
      <c r="H105">
        <v>2468.9139479999999</v>
      </c>
      <c r="I105">
        <v>118507.869504</v>
      </c>
      <c r="J105">
        <v>2366.2199999999998</v>
      </c>
      <c r="K105">
        <v>113578.56</v>
      </c>
      <c r="L105">
        <v>2626.5041999999999</v>
      </c>
      <c r="M105">
        <v>126072.20160000001</v>
      </c>
      <c r="N105">
        <v>2555.5135135135179</v>
      </c>
      <c r="O105">
        <v>122664.64864864886</v>
      </c>
      <c r="P105">
        <v>2836.6200000000049</v>
      </c>
      <c r="Q105">
        <v>136157.76000000024</v>
      </c>
      <c r="R105" t="s">
        <v>656</v>
      </c>
      <c r="S105">
        <f>IFERROR(VLOOKUP(CONCATENATE(Fix_Mapping[[#This Row],[KODE BARANG]],1),'Form Fix'!$A$6:$F$1063,4,0),0)</f>
        <v>150180</v>
      </c>
      <c r="T105">
        <f>IFERROR(VLOOKUP(CONCATENATE(Fix_Mapping[[#This Row],[KODE BARANG]],2),'Form Fix'!$A$6:$F$1063,4,0),0)</f>
        <v>150308</v>
      </c>
      <c r="U105">
        <f>IFERROR(VLOOKUP(CONCATENATE(Fix_Mapping[[#This Row],[KODE BARANG]],3),'Form Fix'!$A$6:$F$1063,4,0),0)</f>
        <v>0</v>
      </c>
      <c r="V105">
        <f>IFERROR(VLOOKUP(CONCATENATE(Fix_Mapping[[#This Row],[KODE BARANG]],4),'Form Fix'!$A$6:$F$1063,4,0),0)</f>
        <v>0</v>
      </c>
      <c r="W105">
        <f>IFERROR(VLOOKUP(CONCATENATE(Fix_Mapping[[#This Row],[KODE BARANG]],5),'Form Fix'!$A$6:$F$1063,4,0),0)</f>
        <v>0</v>
      </c>
    </row>
    <row r="106" spans="1:23" x14ac:dyDescent="0.25">
      <c r="A106" t="s">
        <v>769</v>
      </c>
      <c r="B106" t="s">
        <v>896</v>
      </c>
      <c r="C106">
        <v>48</v>
      </c>
      <c r="D106" t="s">
        <v>486</v>
      </c>
      <c r="E106" t="s">
        <v>603</v>
      </c>
      <c r="F106">
        <v>5504.5459999999994</v>
      </c>
      <c r="G106">
        <v>264218.20799999998</v>
      </c>
      <c r="H106">
        <v>6110.0460599999997</v>
      </c>
      <c r="I106">
        <v>293282.21088000003</v>
      </c>
      <c r="J106">
        <v>5855.9</v>
      </c>
      <c r="K106">
        <v>281083.19999999995</v>
      </c>
      <c r="L106">
        <v>6500.049</v>
      </c>
      <c r="M106">
        <v>312002.35199999996</v>
      </c>
      <c r="N106">
        <v>0</v>
      </c>
      <c r="O106">
        <v>0</v>
      </c>
      <c r="P106">
        <v>0</v>
      </c>
      <c r="Q106">
        <v>0</v>
      </c>
      <c r="R106" t="s">
        <v>656</v>
      </c>
      <c r="S106">
        <f>IFERROR(VLOOKUP(CONCATENATE(Fix_Mapping[[#This Row],[KODE BARANG]],1),'Form Fix'!$A$6:$F$1063,4,0),0)</f>
        <v>150294</v>
      </c>
      <c r="T106">
        <f>IFERROR(VLOOKUP(CONCATENATE(Fix_Mapping[[#This Row],[KODE BARANG]],2),'Form Fix'!$A$6:$F$1063,4,0),0)</f>
        <v>150373</v>
      </c>
      <c r="U106">
        <f>IFERROR(VLOOKUP(CONCATENATE(Fix_Mapping[[#This Row],[KODE BARANG]],3),'Form Fix'!$A$6:$F$1063,4,0),0)</f>
        <v>0</v>
      </c>
      <c r="V106">
        <f>IFERROR(VLOOKUP(CONCATENATE(Fix_Mapping[[#This Row],[KODE BARANG]],4),'Form Fix'!$A$6:$F$1063,4,0),0)</f>
        <v>0</v>
      </c>
      <c r="W106">
        <f>IFERROR(VLOOKUP(CONCATENATE(Fix_Mapping[[#This Row],[KODE BARANG]],5),'Form Fix'!$A$6:$F$1063,4,0),0)</f>
        <v>0</v>
      </c>
    </row>
    <row r="107" spans="1:23" x14ac:dyDescent="0.25">
      <c r="A107" t="s">
        <v>770</v>
      </c>
      <c r="B107" t="s">
        <v>897</v>
      </c>
      <c r="C107">
        <v>48</v>
      </c>
      <c r="D107" t="s">
        <v>486</v>
      </c>
      <c r="E107" t="s">
        <v>603</v>
      </c>
      <c r="F107">
        <v>5504.5459999999994</v>
      </c>
      <c r="G107">
        <v>264218.20799999998</v>
      </c>
      <c r="H107">
        <v>6110.0460599999997</v>
      </c>
      <c r="I107">
        <v>293282.21088000003</v>
      </c>
      <c r="J107">
        <v>5855.9</v>
      </c>
      <c r="K107">
        <v>281083.19999999995</v>
      </c>
      <c r="L107">
        <v>6500.049</v>
      </c>
      <c r="M107">
        <v>312002.35199999996</v>
      </c>
      <c r="N107">
        <v>6148.7</v>
      </c>
      <c r="O107">
        <v>295137.59999999998</v>
      </c>
      <c r="P107">
        <v>6825.0570000000007</v>
      </c>
      <c r="Q107">
        <v>327602.73600000003</v>
      </c>
      <c r="R107" t="s">
        <v>656</v>
      </c>
      <c r="S107">
        <f>IFERROR(VLOOKUP(CONCATENATE(Fix_Mapping[[#This Row],[KODE BARANG]],1),'Form Fix'!$A$6:$F$1063,4,0),0)</f>
        <v>150975</v>
      </c>
      <c r="T107">
        <f>IFERROR(VLOOKUP(CONCATENATE(Fix_Mapping[[#This Row],[KODE BARANG]],2),'Form Fix'!$A$6:$F$1063,4,0),0)</f>
        <v>0</v>
      </c>
      <c r="U107">
        <f>IFERROR(VLOOKUP(CONCATENATE(Fix_Mapping[[#This Row],[KODE BARANG]],3),'Form Fix'!$A$6:$F$1063,4,0),0)</f>
        <v>0</v>
      </c>
      <c r="V107">
        <f>IFERROR(VLOOKUP(CONCATENATE(Fix_Mapping[[#This Row],[KODE BARANG]],4),'Form Fix'!$A$6:$F$1063,4,0),0)</f>
        <v>0</v>
      </c>
      <c r="W107">
        <f>IFERROR(VLOOKUP(CONCATENATE(Fix_Mapping[[#This Row],[KODE BARANG]],5),'Form Fix'!$A$6:$F$1063,4,0),0)</f>
        <v>0</v>
      </c>
    </row>
    <row r="108" spans="1:23" x14ac:dyDescent="0.25">
      <c r="A108" t="s">
        <v>771</v>
      </c>
      <c r="B108" t="s">
        <v>898</v>
      </c>
      <c r="C108">
        <v>48</v>
      </c>
      <c r="D108" t="s">
        <v>486</v>
      </c>
      <c r="E108" t="s">
        <v>603</v>
      </c>
      <c r="F108">
        <v>6097.3005999999996</v>
      </c>
      <c r="G108">
        <v>292670.42879999999</v>
      </c>
      <c r="H108">
        <v>6768.0036660000005</v>
      </c>
      <c r="I108">
        <v>324864.17596800003</v>
      </c>
      <c r="J108">
        <v>6486.49</v>
      </c>
      <c r="K108">
        <v>311351.52</v>
      </c>
      <c r="L108">
        <v>7200.0039000000006</v>
      </c>
      <c r="M108">
        <v>345600.18720000004</v>
      </c>
      <c r="N108">
        <v>6810.8108108108099</v>
      </c>
      <c r="O108">
        <v>326918.91891891888</v>
      </c>
      <c r="P108">
        <v>7560</v>
      </c>
      <c r="Q108">
        <v>362880</v>
      </c>
      <c r="R108" t="s">
        <v>656</v>
      </c>
      <c r="S108">
        <f>IFERROR(VLOOKUP(CONCATENATE(Fix_Mapping[[#This Row],[KODE BARANG]],1),'Form Fix'!$A$6:$F$1063,4,0),0)</f>
        <v>150164</v>
      </c>
      <c r="T108">
        <f>IFERROR(VLOOKUP(CONCATENATE(Fix_Mapping[[#This Row],[KODE BARANG]],2),'Form Fix'!$A$6:$F$1063,4,0),0)</f>
        <v>150186</v>
      </c>
      <c r="U108">
        <f>IFERROR(VLOOKUP(CONCATENATE(Fix_Mapping[[#This Row],[KODE BARANG]],3),'Form Fix'!$A$6:$F$1063,4,0),0)</f>
        <v>0</v>
      </c>
      <c r="V108">
        <f>IFERROR(VLOOKUP(CONCATENATE(Fix_Mapping[[#This Row],[KODE BARANG]],4),'Form Fix'!$A$6:$F$1063,4,0),0)</f>
        <v>0</v>
      </c>
      <c r="W108">
        <f>IFERROR(VLOOKUP(CONCATENATE(Fix_Mapping[[#This Row],[KODE BARANG]],5),'Form Fix'!$A$6:$F$1063,4,0),0)</f>
        <v>0</v>
      </c>
    </row>
    <row r="109" spans="1:23" x14ac:dyDescent="0.25">
      <c r="A109" t="s">
        <v>772</v>
      </c>
      <c r="B109" t="s">
        <v>899</v>
      </c>
      <c r="C109">
        <v>24</v>
      </c>
      <c r="D109" t="s">
        <v>486</v>
      </c>
      <c r="E109" t="s">
        <v>603</v>
      </c>
      <c r="F109">
        <v>11271.5306</v>
      </c>
      <c r="G109">
        <v>270516.73440000002</v>
      </c>
      <c r="H109">
        <v>12511.398966000001</v>
      </c>
      <c r="I109">
        <v>300273.57518400002</v>
      </c>
      <c r="J109">
        <v>11990.99</v>
      </c>
      <c r="K109">
        <v>287783.76</v>
      </c>
      <c r="L109">
        <v>13309.998900000001</v>
      </c>
      <c r="M109">
        <v>319439.97360000003</v>
      </c>
      <c r="N109">
        <v>12950.28</v>
      </c>
      <c r="O109">
        <v>310806.72000000003</v>
      </c>
      <c r="P109">
        <v>14374.810800000001</v>
      </c>
      <c r="Q109">
        <v>344995.45920000004</v>
      </c>
      <c r="R109" t="s">
        <v>656</v>
      </c>
      <c r="S109">
        <f>IFERROR(VLOOKUP(CONCATENATE(Fix_Mapping[[#This Row],[KODE BARANG]],1),'Form Fix'!$A$6:$F$1063,4,0),0)</f>
        <v>150168</v>
      </c>
      <c r="T109">
        <f>IFERROR(VLOOKUP(CONCATENATE(Fix_Mapping[[#This Row],[KODE BARANG]],2),'Form Fix'!$A$6:$F$1063,4,0),0)</f>
        <v>150187</v>
      </c>
      <c r="U109">
        <f>IFERROR(VLOOKUP(CONCATENATE(Fix_Mapping[[#This Row],[KODE BARANG]],3),'Form Fix'!$A$6:$F$1063,4,0),0)</f>
        <v>150349</v>
      </c>
      <c r="V109">
        <f>IFERROR(VLOOKUP(CONCATENATE(Fix_Mapping[[#This Row],[KODE BARANG]],4),'Form Fix'!$A$6:$F$1063,4,0),0)</f>
        <v>150331</v>
      </c>
      <c r="W109">
        <f>IFERROR(VLOOKUP(CONCATENATE(Fix_Mapping[[#This Row],[KODE BARANG]],5),'Form Fix'!$A$6:$F$1063,4,0),0)</f>
        <v>0</v>
      </c>
    </row>
    <row r="110" spans="1:23" x14ac:dyDescent="0.25">
      <c r="A110" t="s">
        <v>1095</v>
      </c>
      <c r="B110" t="s">
        <v>1096</v>
      </c>
      <c r="C110">
        <v>24</v>
      </c>
      <c r="D110" t="s">
        <v>486</v>
      </c>
      <c r="E110" t="s">
        <v>603</v>
      </c>
      <c r="F110">
        <v>11271.54</v>
      </c>
      <c r="G110">
        <v>270516.96000000002</v>
      </c>
      <c r="H110">
        <v>12511.409400000002</v>
      </c>
      <c r="I110">
        <v>300273.82560000004</v>
      </c>
      <c r="J110">
        <v>11991</v>
      </c>
      <c r="K110">
        <v>287784</v>
      </c>
      <c r="L110">
        <v>13310.010000000002</v>
      </c>
      <c r="M110">
        <v>319440.24000000005</v>
      </c>
      <c r="N110">
        <v>12950.28</v>
      </c>
      <c r="O110">
        <v>310806.72000000003</v>
      </c>
      <c r="P110">
        <v>14374.810800000001</v>
      </c>
      <c r="Q110">
        <v>344995.45920000004</v>
      </c>
      <c r="S110">
        <f>IFERROR(VLOOKUP(CONCATENATE(Fix_Mapping[[#This Row],[KODE BARANG]],1),'Form Fix'!$A$6:$F$1063,4,0),0)</f>
        <v>150984</v>
      </c>
      <c r="T110">
        <f>IFERROR(VLOOKUP(CONCATENATE(Fix_Mapping[[#This Row],[KODE BARANG]],2),'Form Fix'!$A$6:$F$1063,4,0),0)</f>
        <v>0</v>
      </c>
      <c r="U110">
        <f>IFERROR(VLOOKUP(CONCATENATE(Fix_Mapping[[#This Row],[KODE BARANG]],3),'Form Fix'!$A$6:$F$1063,4,0),0)</f>
        <v>0</v>
      </c>
      <c r="V110">
        <f>IFERROR(VLOOKUP(CONCATENATE(Fix_Mapping[[#This Row],[KODE BARANG]],4),'Form Fix'!$A$6:$F$1063,4,0),0)</f>
        <v>0</v>
      </c>
      <c r="W110">
        <f>IFERROR(VLOOKUP(CONCATENATE(Fix_Mapping[[#This Row],[KODE BARANG]],5),'Form Fix'!$A$6:$F$1063,4,0),0)</f>
        <v>0</v>
      </c>
    </row>
    <row r="111" spans="1:23" x14ac:dyDescent="0.25">
      <c r="A111" t="s">
        <v>773</v>
      </c>
      <c r="B111" t="s">
        <v>900</v>
      </c>
      <c r="C111">
        <v>24</v>
      </c>
      <c r="D111" t="s">
        <v>486</v>
      </c>
      <c r="E111" t="s">
        <v>603</v>
      </c>
      <c r="F111">
        <v>14023.784799999999</v>
      </c>
      <c r="G111">
        <v>336570.83519999997</v>
      </c>
      <c r="H111">
        <v>15566.401128000001</v>
      </c>
      <c r="I111">
        <v>373593.627072</v>
      </c>
      <c r="J111">
        <v>14918.92</v>
      </c>
      <c r="K111">
        <v>358054.08</v>
      </c>
      <c r="L111">
        <v>16560.001200000002</v>
      </c>
      <c r="M111">
        <v>397440.02880000003</v>
      </c>
      <c r="N111">
        <v>16112.43</v>
      </c>
      <c r="O111">
        <v>386698.32</v>
      </c>
      <c r="P111">
        <v>17884.797300000002</v>
      </c>
      <c r="Q111">
        <v>429235.13520000002</v>
      </c>
      <c r="R111" t="s">
        <v>656</v>
      </c>
      <c r="S111">
        <f>IFERROR(VLOOKUP(CONCATENATE(Fix_Mapping[[#This Row],[KODE BARANG]],1),'Form Fix'!$A$6:$F$1063,4,0),0)</f>
        <v>150171</v>
      </c>
      <c r="T111">
        <f>IFERROR(VLOOKUP(CONCATENATE(Fix_Mapping[[#This Row],[KODE BARANG]],2),'Form Fix'!$A$6:$F$1063,4,0),0)</f>
        <v>150329</v>
      </c>
      <c r="U111">
        <f>IFERROR(VLOOKUP(CONCATENATE(Fix_Mapping[[#This Row],[KODE BARANG]],3),'Form Fix'!$A$6:$F$1063,4,0),0)</f>
        <v>0</v>
      </c>
      <c r="V111">
        <f>IFERROR(VLOOKUP(CONCATENATE(Fix_Mapping[[#This Row],[KODE BARANG]],4),'Form Fix'!$A$6:$F$1063,4,0),0)</f>
        <v>0</v>
      </c>
      <c r="W111">
        <f>IFERROR(VLOOKUP(CONCATENATE(Fix_Mapping[[#This Row],[KODE BARANG]],5),'Form Fix'!$A$6:$F$1063,4,0),0)</f>
        <v>0</v>
      </c>
    </row>
    <row r="112" spans="1:23" x14ac:dyDescent="0.25">
      <c r="A112" t="s">
        <v>774</v>
      </c>
      <c r="B112" t="s">
        <v>901</v>
      </c>
      <c r="C112">
        <v>12</v>
      </c>
      <c r="D112" t="s">
        <v>479</v>
      </c>
      <c r="E112" t="s">
        <v>603</v>
      </c>
      <c r="F112">
        <v>13328.015600000001</v>
      </c>
      <c r="G112">
        <v>159936.18720000001</v>
      </c>
      <c r="H112">
        <v>14794.097316000001</v>
      </c>
      <c r="I112">
        <v>177529.16779200002</v>
      </c>
      <c r="J112">
        <v>14178.74</v>
      </c>
      <c r="K112">
        <v>170144.88</v>
      </c>
      <c r="L112">
        <v>15738.401400000001</v>
      </c>
      <c r="M112">
        <v>188860.81680000003</v>
      </c>
      <c r="N112">
        <v>15313.037837837799</v>
      </c>
      <c r="O112">
        <v>183756.45405405358</v>
      </c>
      <c r="P112">
        <v>16997.471999999958</v>
      </c>
      <c r="Q112">
        <v>203969.66399999949</v>
      </c>
      <c r="R112" t="s">
        <v>656</v>
      </c>
      <c r="S112">
        <f>IFERROR(VLOOKUP(CONCATENATE(Fix_Mapping[[#This Row],[KODE BARANG]],1),'Form Fix'!$A$6:$F$1063,4,0),0)</f>
        <v>150177</v>
      </c>
      <c r="T112">
        <f>IFERROR(VLOOKUP(CONCATENATE(Fix_Mapping[[#This Row],[KODE BARANG]],2),'Form Fix'!$A$6:$F$1063,4,0),0)</f>
        <v>150221</v>
      </c>
      <c r="U112">
        <f>IFERROR(VLOOKUP(CONCATENATE(Fix_Mapping[[#This Row],[KODE BARANG]],3),'Form Fix'!$A$6:$F$1063,4,0),0)</f>
        <v>150325</v>
      </c>
      <c r="V112">
        <f>IFERROR(VLOOKUP(CONCATENATE(Fix_Mapping[[#This Row],[KODE BARANG]],4),'Form Fix'!$A$6:$F$1063,4,0),0)</f>
        <v>0</v>
      </c>
      <c r="W112">
        <f>IFERROR(VLOOKUP(CONCATENATE(Fix_Mapping[[#This Row],[KODE BARANG]],5),'Form Fix'!$A$6:$F$1063,4,0),0)</f>
        <v>0</v>
      </c>
    </row>
    <row r="113" spans="1:23" x14ac:dyDescent="0.25">
      <c r="A113" t="s">
        <v>775</v>
      </c>
      <c r="B113" t="s">
        <v>902</v>
      </c>
      <c r="C113">
        <v>12</v>
      </c>
      <c r="D113" t="s">
        <v>486</v>
      </c>
      <c r="E113" t="s">
        <v>603</v>
      </c>
      <c r="F113">
        <v>22898.738400000002</v>
      </c>
      <c r="G113">
        <v>274784.86080000002</v>
      </c>
      <c r="H113">
        <v>25417.599624000006</v>
      </c>
      <c r="I113">
        <v>305011.19548800006</v>
      </c>
      <c r="J113">
        <v>24360.36</v>
      </c>
      <c r="K113">
        <v>292324.32</v>
      </c>
      <c r="L113">
        <v>27039.999600000003</v>
      </c>
      <c r="M113">
        <v>324479.99520000006</v>
      </c>
      <c r="N113">
        <v>26309.19</v>
      </c>
      <c r="O113">
        <v>315710.27999999997</v>
      </c>
      <c r="P113">
        <v>29203.2009</v>
      </c>
      <c r="Q113">
        <v>350438.41080000001</v>
      </c>
      <c r="R113" t="s">
        <v>656</v>
      </c>
      <c r="S113">
        <f>IFERROR(VLOOKUP(CONCATENATE(Fix_Mapping[[#This Row],[KODE BARANG]],1),'Form Fix'!$A$6:$F$1063,4,0),0)</f>
        <v>150188</v>
      </c>
      <c r="T113">
        <f>IFERROR(VLOOKUP(CONCATENATE(Fix_Mapping[[#This Row],[KODE BARANG]],2),'Form Fix'!$A$6:$F$1063,4,0),0)</f>
        <v>150332</v>
      </c>
      <c r="U113">
        <f>IFERROR(VLOOKUP(CONCATENATE(Fix_Mapping[[#This Row],[KODE BARANG]],3),'Form Fix'!$A$6:$F$1063,4,0),0)</f>
        <v>0</v>
      </c>
      <c r="V113">
        <f>IFERROR(VLOOKUP(CONCATENATE(Fix_Mapping[[#This Row],[KODE BARANG]],4),'Form Fix'!$A$6:$F$1063,4,0),0)</f>
        <v>0</v>
      </c>
      <c r="W113">
        <f>IFERROR(VLOOKUP(CONCATENATE(Fix_Mapping[[#This Row],[KODE BARANG]],5),'Form Fix'!$A$6:$F$1063,4,0),0)</f>
        <v>0</v>
      </c>
    </row>
    <row r="114" spans="1:23" x14ac:dyDescent="0.25">
      <c r="A114" t="s">
        <v>776</v>
      </c>
      <c r="B114" t="s">
        <v>903</v>
      </c>
      <c r="C114">
        <v>6</v>
      </c>
      <c r="D114" t="s">
        <v>552</v>
      </c>
      <c r="E114" t="s">
        <v>603</v>
      </c>
      <c r="F114">
        <v>17496.144799999998</v>
      </c>
      <c r="G114">
        <v>104976.8688</v>
      </c>
      <c r="H114">
        <v>19420.720728</v>
      </c>
      <c r="I114">
        <v>116524.324368</v>
      </c>
      <c r="J114">
        <v>18612.919999999998</v>
      </c>
      <c r="K114">
        <v>111677.51999999999</v>
      </c>
      <c r="L114">
        <v>20660.341199999999</v>
      </c>
      <c r="M114">
        <v>123962.0472</v>
      </c>
      <c r="N114">
        <v>20101.95</v>
      </c>
      <c r="O114">
        <v>120611.70000000001</v>
      </c>
      <c r="P114">
        <v>22313.164500000003</v>
      </c>
      <c r="Q114">
        <v>133878.98700000002</v>
      </c>
      <c r="R114" t="s">
        <v>656</v>
      </c>
      <c r="S114">
        <f>IFERROR(VLOOKUP(CONCATENATE(Fix_Mapping[[#This Row],[KODE BARANG]],1),'Form Fix'!$A$6:$F$1063,4,0),0)</f>
        <v>150320</v>
      </c>
      <c r="T114">
        <f>IFERROR(VLOOKUP(CONCATENATE(Fix_Mapping[[#This Row],[KODE BARANG]],2),'Form Fix'!$A$6:$F$1063,4,0),0)</f>
        <v>0</v>
      </c>
      <c r="U114">
        <f>IFERROR(VLOOKUP(CONCATENATE(Fix_Mapping[[#This Row],[KODE BARANG]],3),'Form Fix'!$A$6:$F$1063,4,0),0)</f>
        <v>0</v>
      </c>
      <c r="V114">
        <f>IFERROR(VLOOKUP(CONCATENATE(Fix_Mapping[[#This Row],[KODE BARANG]],4),'Form Fix'!$A$6:$F$1063,4,0),0)</f>
        <v>0</v>
      </c>
      <c r="W114">
        <f>IFERROR(VLOOKUP(CONCATENATE(Fix_Mapping[[#This Row],[KODE BARANG]],5),'Form Fix'!$A$6:$F$1063,4,0),0)</f>
        <v>0</v>
      </c>
    </row>
    <row r="115" spans="1:23" x14ac:dyDescent="0.25">
      <c r="A115" t="s">
        <v>777</v>
      </c>
      <c r="B115" t="s">
        <v>904</v>
      </c>
      <c r="C115">
        <v>1</v>
      </c>
      <c r="D115" t="s">
        <v>506</v>
      </c>
      <c r="E115" t="s">
        <v>603</v>
      </c>
      <c r="F115">
        <v>118880.27567567566</v>
      </c>
      <c r="G115">
        <v>118880.27567567566</v>
      </c>
      <c r="H115">
        <v>131957.106</v>
      </c>
      <c r="I115">
        <v>131957.106</v>
      </c>
      <c r="J115">
        <v>126468.37837837836</v>
      </c>
      <c r="K115">
        <v>126468.37837837836</v>
      </c>
      <c r="L115">
        <v>140379.9</v>
      </c>
      <c r="M115">
        <v>140379.9</v>
      </c>
      <c r="N115">
        <v>136585.84864864862</v>
      </c>
      <c r="O115">
        <v>136585.84864864862</v>
      </c>
      <c r="P115">
        <v>151610.29199999999</v>
      </c>
      <c r="Q115">
        <v>151610.29199999999</v>
      </c>
      <c r="R115" t="s">
        <v>656</v>
      </c>
      <c r="S115">
        <f>IFERROR(VLOOKUP(CONCATENATE(Fix_Mapping[[#This Row],[KODE BARANG]],1),'Form Fix'!$A$6:$F$1063,4,0),0)</f>
        <v>150162</v>
      </c>
      <c r="T115">
        <f>IFERROR(VLOOKUP(CONCATENATE(Fix_Mapping[[#This Row],[KODE BARANG]],2),'Form Fix'!$A$6:$F$1063,4,0),0)</f>
        <v>150333</v>
      </c>
      <c r="U115">
        <f>IFERROR(VLOOKUP(CONCATENATE(Fix_Mapping[[#This Row],[KODE BARANG]],3),'Form Fix'!$A$6:$F$1063,4,0),0)</f>
        <v>0</v>
      </c>
      <c r="V115">
        <f>IFERROR(VLOOKUP(CONCATENATE(Fix_Mapping[[#This Row],[KODE BARANG]],4),'Form Fix'!$A$6:$F$1063,4,0),0)</f>
        <v>0</v>
      </c>
      <c r="W115">
        <f>IFERROR(VLOOKUP(CONCATENATE(Fix_Mapping[[#This Row],[KODE BARANG]],5),'Form Fix'!$A$6:$F$1063,4,0),0)</f>
        <v>0</v>
      </c>
    </row>
    <row r="116" spans="1:23" x14ac:dyDescent="0.25">
      <c r="A116" t="s">
        <v>778</v>
      </c>
      <c r="B116" t="s">
        <v>905</v>
      </c>
      <c r="C116">
        <v>1</v>
      </c>
      <c r="D116" t="s">
        <v>506</v>
      </c>
      <c r="E116" t="s">
        <v>603</v>
      </c>
      <c r="F116">
        <v>459312.79220000003</v>
      </c>
      <c r="G116">
        <v>459312.79220000003</v>
      </c>
      <c r="H116">
        <v>509837.19934200007</v>
      </c>
      <c r="I116">
        <v>509837.19934200007</v>
      </c>
      <c r="J116">
        <v>488630.63</v>
      </c>
      <c r="K116">
        <v>488630.63</v>
      </c>
      <c r="L116">
        <v>542379.99930000002</v>
      </c>
      <c r="M116">
        <v>542379.99930000002</v>
      </c>
      <c r="N116">
        <v>527721.07999999996</v>
      </c>
      <c r="O116">
        <v>527721.07999999996</v>
      </c>
      <c r="P116">
        <v>585770.39879999997</v>
      </c>
      <c r="Q116">
        <v>585770.39879999997</v>
      </c>
      <c r="R116" t="s">
        <v>656</v>
      </c>
      <c r="S116">
        <f>IFERROR(VLOOKUP(CONCATENATE(Fix_Mapping[[#This Row],[KODE BARANG]],1),'Form Fix'!$A$6:$F$1063,4,0),0)</f>
        <v>150163</v>
      </c>
      <c r="T116">
        <f>IFERROR(VLOOKUP(CONCATENATE(Fix_Mapping[[#This Row],[KODE BARANG]],2),'Form Fix'!$A$6:$F$1063,4,0),0)</f>
        <v>150334</v>
      </c>
      <c r="U116">
        <f>IFERROR(VLOOKUP(CONCATENATE(Fix_Mapping[[#This Row],[KODE BARANG]],3),'Form Fix'!$A$6:$F$1063,4,0),0)</f>
        <v>0</v>
      </c>
      <c r="V116">
        <f>IFERROR(VLOOKUP(CONCATENATE(Fix_Mapping[[#This Row],[KODE BARANG]],4),'Form Fix'!$A$6:$F$1063,4,0),0)</f>
        <v>0</v>
      </c>
      <c r="W116">
        <f>IFERROR(VLOOKUP(CONCATENATE(Fix_Mapping[[#This Row],[KODE BARANG]],5),'Form Fix'!$A$6:$F$1063,4,0),0)</f>
        <v>0</v>
      </c>
    </row>
    <row r="117" spans="1:23" x14ac:dyDescent="0.25">
      <c r="A117" t="s">
        <v>779</v>
      </c>
      <c r="B117" t="s">
        <v>906</v>
      </c>
      <c r="C117">
        <v>6</v>
      </c>
      <c r="D117" t="s">
        <v>552</v>
      </c>
      <c r="E117" t="s">
        <v>603</v>
      </c>
      <c r="F117">
        <v>25058.200400000002</v>
      </c>
      <c r="G117">
        <v>150349.20240000001</v>
      </c>
      <c r="H117">
        <v>27814.602444000004</v>
      </c>
      <c r="I117">
        <v>166887.61466400002</v>
      </c>
      <c r="J117">
        <v>26657.66</v>
      </c>
      <c r="K117">
        <v>159945.96</v>
      </c>
      <c r="L117">
        <v>29590.002600000003</v>
      </c>
      <c r="M117">
        <v>177540.01560000001</v>
      </c>
      <c r="N117">
        <v>28790.27</v>
      </c>
      <c r="O117">
        <v>172741.62</v>
      </c>
      <c r="P117">
        <v>31957.199700000005</v>
      </c>
      <c r="Q117">
        <v>191743.19820000004</v>
      </c>
      <c r="R117" t="s">
        <v>656</v>
      </c>
      <c r="S117">
        <f>IFERROR(VLOOKUP(CONCATENATE(Fix_Mapping[[#This Row],[KODE BARANG]],1),'Form Fix'!$A$6:$F$1063,4,0),0)</f>
        <v>150119</v>
      </c>
      <c r="T117">
        <f>IFERROR(VLOOKUP(CONCATENATE(Fix_Mapping[[#This Row],[KODE BARANG]],2),'Form Fix'!$A$6:$F$1063,4,0),0)</f>
        <v>150231</v>
      </c>
      <c r="U117">
        <f>IFERROR(VLOOKUP(CONCATENATE(Fix_Mapping[[#This Row],[KODE BARANG]],3),'Form Fix'!$A$6:$F$1063,4,0),0)</f>
        <v>150335</v>
      </c>
      <c r="V117">
        <f>IFERROR(VLOOKUP(CONCATENATE(Fix_Mapping[[#This Row],[KODE BARANG]],4),'Form Fix'!$A$6:$F$1063,4,0),0)</f>
        <v>0</v>
      </c>
      <c r="W117">
        <f>IFERROR(VLOOKUP(CONCATENATE(Fix_Mapping[[#This Row],[KODE BARANG]],5),'Form Fix'!$A$6:$F$1063,4,0),0)</f>
        <v>0</v>
      </c>
    </row>
    <row r="118" spans="1:23" x14ac:dyDescent="0.25">
      <c r="A118" t="s">
        <v>780</v>
      </c>
      <c r="B118" t="s">
        <v>907</v>
      </c>
      <c r="C118">
        <v>21</v>
      </c>
      <c r="D118" t="s">
        <v>591</v>
      </c>
      <c r="E118" t="s">
        <v>603</v>
      </c>
      <c r="F118">
        <v>5669.6381999999994</v>
      </c>
      <c r="G118">
        <v>119062.40219999998</v>
      </c>
      <c r="H118">
        <v>6293.2984020000004</v>
      </c>
      <c r="I118">
        <v>132159.26644199999</v>
      </c>
      <c r="J118">
        <v>6031.53</v>
      </c>
      <c r="K118">
        <v>126662.12999999999</v>
      </c>
      <c r="L118">
        <v>6694.9983000000002</v>
      </c>
      <c r="M118">
        <v>140594.96429999999</v>
      </c>
      <c r="N118">
        <v>6573.2727272727261</v>
      </c>
      <c r="O118">
        <v>138038.72727272724</v>
      </c>
      <c r="P118">
        <v>7296.3327272727265</v>
      </c>
      <c r="Q118">
        <v>153222.98727272724</v>
      </c>
      <c r="R118" t="s">
        <v>656</v>
      </c>
      <c r="S118">
        <f>IFERROR(VLOOKUP(CONCATENATE(Fix_Mapping[[#This Row],[KODE BARANG]],1),'Form Fix'!$A$6:$F$1063,4,0),0)</f>
        <v>150154</v>
      </c>
      <c r="T118">
        <f>IFERROR(VLOOKUP(CONCATENATE(Fix_Mapping[[#This Row],[KODE BARANG]],2),'Form Fix'!$A$6:$F$1063,4,0),0)</f>
        <v>150241</v>
      </c>
      <c r="U118">
        <f>IFERROR(VLOOKUP(CONCATENATE(Fix_Mapping[[#This Row],[KODE BARANG]],3),'Form Fix'!$A$6:$F$1063,4,0),0)</f>
        <v>150339</v>
      </c>
      <c r="V118">
        <f>IFERROR(VLOOKUP(CONCATENATE(Fix_Mapping[[#This Row],[KODE BARANG]],4),'Form Fix'!$A$6:$F$1063,4,0),0)</f>
        <v>150241</v>
      </c>
      <c r="W118">
        <f>IFERROR(VLOOKUP(CONCATENATE(Fix_Mapping[[#This Row],[KODE BARANG]],5),'Form Fix'!$A$6:$F$1063,4,0),0)</f>
        <v>0</v>
      </c>
    </row>
    <row r="119" spans="1:23" x14ac:dyDescent="0.25">
      <c r="A119" t="s">
        <v>781</v>
      </c>
      <c r="B119" t="s">
        <v>908</v>
      </c>
      <c r="C119">
        <v>30</v>
      </c>
      <c r="D119" t="s">
        <v>605</v>
      </c>
      <c r="E119" t="s">
        <v>603</v>
      </c>
      <c r="F119">
        <v>5669.6381999999994</v>
      </c>
      <c r="G119">
        <v>170089.14599999998</v>
      </c>
      <c r="H119">
        <v>6293.2984020000004</v>
      </c>
      <c r="I119">
        <v>188798.95205999998</v>
      </c>
      <c r="J119">
        <v>6031.53</v>
      </c>
      <c r="K119">
        <v>180945.9</v>
      </c>
      <c r="L119">
        <v>6694.9983000000002</v>
      </c>
      <c r="M119">
        <v>200849.94900000002</v>
      </c>
      <c r="N119">
        <v>6573.2727272727261</v>
      </c>
      <c r="O119">
        <v>197198.18181818179</v>
      </c>
      <c r="P119">
        <v>7296.3327272727265</v>
      </c>
      <c r="Q119">
        <v>218889.98181818178</v>
      </c>
      <c r="R119" t="s">
        <v>656</v>
      </c>
      <c r="S119">
        <f>IFERROR(VLOOKUP(CONCATENATE(Fix_Mapping[[#This Row],[KODE BARANG]],1),'Form Fix'!$A$6:$F$1063,4,0),0)</f>
        <v>150153</v>
      </c>
      <c r="T119">
        <f>IFERROR(VLOOKUP(CONCATENATE(Fix_Mapping[[#This Row],[KODE BARANG]],2),'Form Fix'!$A$6:$F$1063,4,0),0)</f>
        <v>150211</v>
      </c>
      <c r="U119">
        <f>IFERROR(VLOOKUP(CONCATENATE(Fix_Mapping[[#This Row],[KODE BARANG]],3),'Form Fix'!$A$6:$F$1063,4,0),0)</f>
        <v>150240</v>
      </c>
      <c r="V119">
        <f>IFERROR(VLOOKUP(CONCATENATE(Fix_Mapping[[#This Row],[KODE BARANG]],4),'Form Fix'!$A$6:$F$1063,4,0),0)</f>
        <v>150340</v>
      </c>
      <c r="W119">
        <f>IFERROR(VLOOKUP(CONCATENATE(Fix_Mapping[[#This Row],[KODE BARANG]],5),'Form Fix'!$A$6:$F$1063,4,0),0)</f>
        <v>0</v>
      </c>
    </row>
    <row r="120" spans="1:23" x14ac:dyDescent="0.25">
      <c r="A120" t="s">
        <v>782</v>
      </c>
      <c r="B120" t="s">
        <v>1021</v>
      </c>
      <c r="C120">
        <v>48</v>
      </c>
      <c r="D120" t="s">
        <v>479</v>
      </c>
      <c r="E120" t="s">
        <v>603</v>
      </c>
      <c r="F120">
        <v>2224.2467999999999</v>
      </c>
      <c r="G120">
        <v>106763.84639999999</v>
      </c>
      <c r="H120">
        <v>2468.9139479999999</v>
      </c>
      <c r="I120">
        <v>118507.869504</v>
      </c>
      <c r="J120">
        <v>2366.2199999999998</v>
      </c>
      <c r="K120">
        <v>113578.56</v>
      </c>
      <c r="L120">
        <v>2626.5041999999999</v>
      </c>
      <c r="M120">
        <v>126072.20160000001</v>
      </c>
      <c r="N120">
        <v>2555.5135135135179</v>
      </c>
      <c r="O120">
        <v>122664.64864864886</v>
      </c>
      <c r="P120">
        <v>2836.6200000000049</v>
      </c>
      <c r="Q120">
        <v>136157.76000000024</v>
      </c>
      <c r="R120" t="s">
        <v>656</v>
      </c>
      <c r="S120">
        <f>IFERROR(VLOOKUP(CONCATENATE(Fix_Mapping[[#This Row],[KODE BARANG]],1),'Form Fix'!$A$6:$F$1063,4,0),0)</f>
        <v>150181</v>
      </c>
      <c r="T120">
        <f>IFERROR(VLOOKUP(CONCATENATE(Fix_Mapping[[#This Row],[KODE BARANG]],2),'Form Fix'!$A$6:$F$1063,4,0),0)</f>
        <v>150233</v>
      </c>
      <c r="U120">
        <f>IFERROR(VLOOKUP(CONCATENATE(Fix_Mapping[[#This Row],[KODE BARANG]],3),'Form Fix'!$A$6:$F$1063,4,0),0)</f>
        <v>150309</v>
      </c>
      <c r="V120">
        <f>IFERROR(VLOOKUP(CONCATENATE(Fix_Mapping[[#This Row],[KODE BARANG]],4),'Form Fix'!$A$6:$F$1063,4,0),0)</f>
        <v>0</v>
      </c>
      <c r="W120">
        <f>IFERROR(VLOOKUP(CONCATENATE(Fix_Mapping[[#This Row],[KODE BARANG]],5),'Form Fix'!$A$6:$F$1063,4,0),0)</f>
        <v>0</v>
      </c>
    </row>
    <row r="121" spans="1:23" x14ac:dyDescent="0.25">
      <c r="A121" t="s">
        <v>783</v>
      </c>
      <c r="B121" t="s">
        <v>909</v>
      </c>
      <c r="C121">
        <v>48</v>
      </c>
      <c r="D121" t="s">
        <v>486</v>
      </c>
      <c r="E121" t="s">
        <v>603</v>
      </c>
      <c r="F121">
        <v>5504.5459999999994</v>
      </c>
      <c r="G121">
        <v>264218.20799999998</v>
      </c>
      <c r="H121">
        <v>6110.0460599999997</v>
      </c>
      <c r="I121">
        <v>293282.21088000003</v>
      </c>
      <c r="J121">
        <v>5855.9</v>
      </c>
      <c r="K121">
        <v>281083.19999999995</v>
      </c>
      <c r="L121">
        <v>6500.049</v>
      </c>
      <c r="M121">
        <v>312002.35199999996</v>
      </c>
      <c r="N121">
        <v>0</v>
      </c>
      <c r="O121">
        <v>0</v>
      </c>
      <c r="P121">
        <v>0</v>
      </c>
      <c r="Q121">
        <v>0</v>
      </c>
      <c r="R121" t="s">
        <v>656</v>
      </c>
      <c r="S121">
        <f>IFERROR(VLOOKUP(CONCATENATE(Fix_Mapping[[#This Row],[KODE BARANG]],1),'Form Fix'!$A$6:$F$1063,4,0),0)</f>
        <v>150295</v>
      </c>
      <c r="T121">
        <f>IFERROR(VLOOKUP(CONCATENATE(Fix_Mapping[[#This Row],[KODE BARANG]],2),'Form Fix'!$A$6:$F$1063,4,0),0)</f>
        <v>150374</v>
      </c>
      <c r="U121">
        <f>IFERROR(VLOOKUP(CONCATENATE(Fix_Mapping[[#This Row],[KODE BARANG]],3),'Form Fix'!$A$6:$F$1063,4,0),0)</f>
        <v>0</v>
      </c>
      <c r="V121">
        <f>IFERROR(VLOOKUP(CONCATENATE(Fix_Mapping[[#This Row],[KODE BARANG]],4),'Form Fix'!$A$6:$F$1063,4,0),0)</f>
        <v>0</v>
      </c>
      <c r="W121">
        <f>IFERROR(VLOOKUP(CONCATENATE(Fix_Mapping[[#This Row],[KODE BARANG]],5),'Form Fix'!$A$6:$F$1063,4,0),0)</f>
        <v>0</v>
      </c>
    </row>
    <row r="122" spans="1:23" x14ac:dyDescent="0.25">
      <c r="A122" t="s">
        <v>784</v>
      </c>
      <c r="B122" t="s">
        <v>910</v>
      </c>
      <c r="C122">
        <v>48</v>
      </c>
      <c r="D122" t="s">
        <v>486</v>
      </c>
      <c r="E122" t="s">
        <v>603</v>
      </c>
      <c r="F122">
        <v>5504.5459999999994</v>
      </c>
      <c r="G122">
        <v>264218.20799999998</v>
      </c>
      <c r="H122">
        <v>6110.0460599999997</v>
      </c>
      <c r="I122">
        <v>293282.21088000003</v>
      </c>
      <c r="J122">
        <v>5855.9</v>
      </c>
      <c r="K122">
        <v>281083.19999999995</v>
      </c>
      <c r="L122">
        <v>6500.049</v>
      </c>
      <c r="M122">
        <v>312002.35199999996</v>
      </c>
      <c r="N122">
        <v>0</v>
      </c>
      <c r="O122">
        <v>0</v>
      </c>
      <c r="P122">
        <v>0</v>
      </c>
      <c r="Q122">
        <v>0</v>
      </c>
      <c r="R122" t="s">
        <v>656</v>
      </c>
      <c r="S122">
        <f>IFERROR(VLOOKUP(CONCATENATE(Fix_Mapping[[#This Row],[KODE BARANG]],1),'Form Fix'!$A$6:$F$1063,4,0),0)</f>
        <v>150976</v>
      </c>
      <c r="T122">
        <f>IFERROR(VLOOKUP(CONCATENATE(Fix_Mapping[[#This Row],[KODE BARANG]],2),'Form Fix'!$A$6:$F$1063,4,0),0)</f>
        <v>0</v>
      </c>
      <c r="U122">
        <f>IFERROR(VLOOKUP(CONCATENATE(Fix_Mapping[[#This Row],[KODE BARANG]],3),'Form Fix'!$A$6:$F$1063,4,0),0)</f>
        <v>0</v>
      </c>
      <c r="V122">
        <f>IFERROR(VLOOKUP(CONCATENATE(Fix_Mapping[[#This Row],[KODE BARANG]],4),'Form Fix'!$A$6:$F$1063,4,0),0)</f>
        <v>0</v>
      </c>
      <c r="W122">
        <f>IFERROR(VLOOKUP(CONCATENATE(Fix_Mapping[[#This Row],[KODE BARANG]],5),'Form Fix'!$A$6:$F$1063,4,0),0)</f>
        <v>0</v>
      </c>
    </row>
    <row r="123" spans="1:23" x14ac:dyDescent="0.25">
      <c r="A123" t="s">
        <v>785</v>
      </c>
      <c r="B123" t="s">
        <v>911</v>
      </c>
      <c r="C123">
        <v>48</v>
      </c>
      <c r="D123" t="s">
        <v>486</v>
      </c>
      <c r="E123" t="s">
        <v>603</v>
      </c>
      <c r="F123">
        <v>6097.3005999999996</v>
      </c>
      <c r="G123">
        <v>292670.42879999999</v>
      </c>
      <c r="H123">
        <v>6768.0036660000005</v>
      </c>
      <c r="I123">
        <v>324864.17596800003</v>
      </c>
      <c r="J123">
        <v>6486.49</v>
      </c>
      <c r="K123">
        <v>311351.52</v>
      </c>
      <c r="L123">
        <v>7200.0039000000006</v>
      </c>
      <c r="M123">
        <v>345600.18720000004</v>
      </c>
      <c r="N123">
        <v>6810.8108108108117</v>
      </c>
      <c r="O123">
        <v>326918.91891891893</v>
      </c>
      <c r="P123">
        <v>7560.0000000000018</v>
      </c>
      <c r="Q123">
        <v>362880.00000000012</v>
      </c>
      <c r="R123" t="s">
        <v>656</v>
      </c>
      <c r="S123">
        <f>IFERROR(VLOOKUP(CONCATENATE(Fix_Mapping[[#This Row],[KODE BARANG]],1),'Form Fix'!$A$6:$F$1063,4,0),0)</f>
        <v>150191</v>
      </c>
      <c r="T123">
        <f>IFERROR(VLOOKUP(CONCATENATE(Fix_Mapping[[#This Row],[KODE BARANG]],2),'Form Fix'!$A$6:$F$1063,4,0),0)</f>
        <v>150234</v>
      </c>
      <c r="U123">
        <f>IFERROR(VLOOKUP(CONCATENATE(Fix_Mapping[[#This Row],[KODE BARANG]],3),'Form Fix'!$A$6:$F$1063,4,0),0)</f>
        <v>0</v>
      </c>
      <c r="V123">
        <f>IFERROR(VLOOKUP(CONCATENATE(Fix_Mapping[[#This Row],[KODE BARANG]],4),'Form Fix'!$A$6:$F$1063,4,0),0)</f>
        <v>0</v>
      </c>
      <c r="W123">
        <f>IFERROR(VLOOKUP(CONCATENATE(Fix_Mapping[[#This Row],[KODE BARANG]],5),'Form Fix'!$A$6:$F$1063,4,0),0)</f>
        <v>0</v>
      </c>
    </row>
    <row r="124" spans="1:23" x14ac:dyDescent="0.25">
      <c r="A124" t="s">
        <v>786</v>
      </c>
      <c r="B124" t="s">
        <v>912</v>
      </c>
      <c r="C124">
        <v>24</v>
      </c>
      <c r="D124" t="s">
        <v>486</v>
      </c>
      <c r="E124" t="s">
        <v>603</v>
      </c>
      <c r="F124">
        <v>11271.5306</v>
      </c>
      <c r="G124">
        <v>270516.73440000002</v>
      </c>
      <c r="H124">
        <v>12511.398966000001</v>
      </c>
      <c r="I124">
        <v>300273.57518400002</v>
      </c>
      <c r="J124">
        <v>11990.99</v>
      </c>
      <c r="K124">
        <v>287783.76</v>
      </c>
      <c r="L124">
        <v>13309.998900000001</v>
      </c>
      <c r="M124">
        <v>319439.97360000003</v>
      </c>
      <c r="N124">
        <v>12950.28</v>
      </c>
      <c r="O124">
        <v>310806.72000000003</v>
      </c>
      <c r="P124">
        <v>14374.810800000001</v>
      </c>
      <c r="Q124">
        <v>344995.45920000004</v>
      </c>
      <c r="R124" t="s">
        <v>656</v>
      </c>
      <c r="S124">
        <f>IFERROR(VLOOKUP(CONCATENATE(Fix_Mapping[[#This Row],[KODE BARANG]],1),'Form Fix'!$A$6:$F$1063,4,0),0)</f>
        <v>150192</v>
      </c>
      <c r="T124">
        <f>IFERROR(VLOOKUP(CONCATENATE(Fix_Mapping[[#This Row],[KODE BARANG]],2),'Form Fix'!$A$6:$F$1063,4,0),0)</f>
        <v>150235</v>
      </c>
      <c r="U124">
        <f>IFERROR(VLOOKUP(CONCATENATE(Fix_Mapping[[#This Row],[KODE BARANG]],3),'Form Fix'!$A$6:$F$1063,4,0),0)</f>
        <v>150350</v>
      </c>
      <c r="V124">
        <f>IFERROR(VLOOKUP(CONCATENATE(Fix_Mapping[[#This Row],[KODE BARANG]],4),'Form Fix'!$A$6:$F$1063,4,0),0)</f>
        <v>150343</v>
      </c>
      <c r="W124">
        <f>IFERROR(VLOOKUP(CONCATENATE(Fix_Mapping[[#This Row],[KODE BARANG]],5),'Form Fix'!$A$6:$F$1063,4,0),0)</f>
        <v>0</v>
      </c>
    </row>
    <row r="125" spans="1:23" x14ac:dyDescent="0.25">
      <c r="A125" t="s">
        <v>787</v>
      </c>
      <c r="B125" t="s">
        <v>913</v>
      </c>
      <c r="C125">
        <v>24</v>
      </c>
      <c r="D125" t="s">
        <v>486</v>
      </c>
      <c r="E125" t="s">
        <v>603</v>
      </c>
      <c r="F125">
        <v>14023.784799999999</v>
      </c>
      <c r="G125">
        <v>336570.83519999997</v>
      </c>
      <c r="H125">
        <v>15566.401128000001</v>
      </c>
      <c r="I125">
        <v>373593.627072</v>
      </c>
      <c r="J125">
        <v>14918.92</v>
      </c>
      <c r="K125">
        <v>358054.08</v>
      </c>
      <c r="L125">
        <v>16560.001200000002</v>
      </c>
      <c r="M125">
        <v>397440.02880000003</v>
      </c>
      <c r="N125">
        <v>16112.43</v>
      </c>
      <c r="O125">
        <v>386698.32</v>
      </c>
      <c r="P125">
        <v>17884.797300000002</v>
      </c>
      <c r="Q125">
        <v>429235.13520000002</v>
      </c>
      <c r="R125" t="s">
        <v>656</v>
      </c>
      <c r="S125">
        <f>IFERROR(VLOOKUP(CONCATENATE(Fix_Mapping[[#This Row],[KODE BARANG]],1),'Form Fix'!$A$6:$F$1063,4,0),0)</f>
        <v>150081</v>
      </c>
      <c r="T125">
        <f>IFERROR(VLOOKUP(CONCATENATE(Fix_Mapping[[#This Row],[KODE BARANG]],2),'Form Fix'!$A$6:$F$1063,4,0),0)</f>
        <v>150172</v>
      </c>
      <c r="U125">
        <f>IFERROR(VLOOKUP(CONCATENATE(Fix_Mapping[[#This Row],[KODE BARANG]],3),'Form Fix'!$A$6:$F$1063,4,0),0)</f>
        <v>150226</v>
      </c>
      <c r="V125">
        <f>IFERROR(VLOOKUP(CONCATENATE(Fix_Mapping[[#This Row],[KODE BARANG]],4),'Form Fix'!$A$6:$F$1063,4,0),0)</f>
        <v>150341</v>
      </c>
      <c r="W125">
        <f>IFERROR(VLOOKUP(CONCATENATE(Fix_Mapping[[#This Row],[KODE BARANG]],5),'Form Fix'!$A$6:$F$1063,4,0),0)</f>
        <v>0</v>
      </c>
    </row>
    <row r="126" spans="1:23" x14ac:dyDescent="0.25">
      <c r="A126" t="s">
        <v>788</v>
      </c>
      <c r="B126" t="s">
        <v>914</v>
      </c>
      <c r="C126">
        <v>12</v>
      </c>
      <c r="D126" t="s">
        <v>479</v>
      </c>
      <c r="E126" t="s">
        <v>603</v>
      </c>
      <c r="F126">
        <v>12939.8238</v>
      </c>
      <c r="G126">
        <v>155277.88560000001</v>
      </c>
      <c r="H126">
        <v>14363.204418000001</v>
      </c>
      <c r="I126">
        <v>172358.45301600001</v>
      </c>
      <c r="J126">
        <v>13765.77</v>
      </c>
      <c r="K126">
        <v>165189.24</v>
      </c>
      <c r="L126">
        <v>15280.004700000001</v>
      </c>
      <c r="M126">
        <v>183360.0564</v>
      </c>
      <c r="N126">
        <v>15313.037837837799</v>
      </c>
      <c r="O126">
        <v>183756.45405405358</v>
      </c>
      <c r="P126">
        <v>16997.471999999958</v>
      </c>
      <c r="Q126">
        <v>203969.66399999949</v>
      </c>
      <c r="R126" t="s">
        <v>656</v>
      </c>
      <c r="S126">
        <f>IFERROR(VLOOKUP(CONCATENATE(Fix_Mapping[[#This Row],[KODE BARANG]],1),'Form Fix'!$A$6:$F$1063,4,0),0)</f>
        <v>150178</v>
      </c>
      <c r="T126">
        <f>IFERROR(VLOOKUP(CONCATENATE(Fix_Mapping[[#This Row],[KODE BARANG]],2),'Form Fix'!$A$6:$F$1063,4,0),0)</f>
        <v>150232</v>
      </c>
      <c r="U126">
        <f>IFERROR(VLOOKUP(CONCATENATE(Fix_Mapping[[#This Row],[KODE BARANG]],3),'Form Fix'!$A$6:$F$1063,4,0),0)</f>
        <v>150346</v>
      </c>
      <c r="V126">
        <f>IFERROR(VLOOKUP(CONCATENATE(Fix_Mapping[[#This Row],[KODE BARANG]],4),'Form Fix'!$A$6:$F$1063,4,0),0)</f>
        <v>0</v>
      </c>
      <c r="W126">
        <f>IFERROR(VLOOKUP(CONCATENATE(Fix_Mapping[[#This Row],[KODE BARANG]],5),'Form Fix'!$A$6:$F$1063,4,0),0)</f>
        <v>0</v>
      </c>
    </row>
    <row r="127" spans="1:23" x14ac:dyDescent="0.25">
      <c r="A127" t="s">
        <v>789</v>
      </c>
      <c r="B127" t="s">
        <v>915</v>
      </c>
      <c r="C127">
        <v>6</v>
      </c>
      <c r="D127" t="s">
        <v>552</v>
      </c>
      <c r="E127" t="s">
        <v>603</v>
      </c>
      <c r="F127">
        <v>23381.4378</v>
      </c>
      <c r="G127">
        <v>140288.6268</v>
      </c>
      <c r="H127">
        <v>25953.395958000001</v>
      </c>
      <c r="I127">
        <v>155720.37574800002</v>
      </c>
      <c r="J127">
        <v>24873.87</v>
      </c>
      <c r="K127">
        <v>149243.22</v>
      </c>
      <c r="L127">
        <v>27609.995699999999</v>
      </c>
      <c r="M127">
        <v>165659.97420000003</v>
      </c>
      <c r="N127">
        <v>26863.78</v>
      </c>
      <c r="O127">
        <v>161182.68</v>
      </c>
      <c r="P127">
        <v>29818.7958</v>
      </c>
      <c r="Q127">
        <v>178912.77480000001</v>
      </c>
      <c r="R127" t="s">
        <v>656</v>
      </c>
      <c r="S127">
        <f>IFERROR(VLOOKUP(CONCATENATE(Fix_Mapping[[#This Row],[KODE BARANG]],1),'Form Fix'!$A$6:$F$1063,4,0),0)</f>
        <v>150150</v>
      </c>
      <c r="T127">
        <f>IFERROR(VLOOKUP(CONCATENATE(Fix_Mapping[[#This Row],[KODE BARANG]],2),'Form Fix'!$A$6:$F$1063,4,0),0)</f>
        <v>150239</v>
      </c>
      <c r="U127">
        <f>IFERROR(VLOOKUP(CONCATENATE(Fix_Mapping[[#This Row],[KODE BARANG]],3),'Form Fix'!$A$6:$F$1063,4,0),0)</f>
        <v>150344</v>
      </c>
      <c r="V127">
        <f>IFERROR(VLOOKUP(CONCATENATE(Fix_Mapping[[#This Row],[KODE BARANG]],4),'Form Fix'!$A$6:$F$1063,4,0),0)</f>
        <v>0</v>
      </c>
      <c r="W127">
        <f>IFERROR(VLOOKUP(CONCATENATE(Fix_Mapping[[#This Row],[KODE BARANG]],5),'Form Fix'!$A$6:$F$1063,4,0),0)</f>
        <v>0</v>
      </c>
    </row>
    <row r="128" spans="1:23" x14ac:dyDescent="0.25">
      <c r="A128" t="s">
        <v>790</v>
      </c>
      <c r="B128" t="s">
        <v>916</v>
      </c>
      <c r="C128">
        <v>48</v>
      </c>
      <c r="D128" t="s">
        <v>479</v>
      </c>
      <c r="E128" t="s">
        <v>603</v>
      </c>
      <c r="F128">
        <v>2375.38</v>
      </c>
      <c r="G128">
        <v>114018.24000000001</v>
      </c>
      <c r="H128">
        <v>2636.6718000000005</v>
      </c>
      <c r="I128">
        <v>126560.24640000002</v>
      </c>
      <c r="J128">
        <v>2527</v>
      </c>
      <c r="K128">
        <v>121296</v>
      </c>
      <c r="L128">
        <v>2804.9700000000003</v>
      </c>
      <c r="M128">
        <v>134638.56</v>
      </c>
      <c r="N128">
        <v>2729.16</v>
      </c>
      <c r="O128">
        <v>130999.67999999999</v>
      </c>
      <c r="P128">
        <v>3029.3676</v>
      </c>
      <c r="Q128">
        <v>145409.64480000001</v>
      </c>
      <c r="R128" t="s">
        <v>656</v>
      </c>
      <c r="S128">
        <f>IFERROR(VLOOKUP(CONCATENATE(Fix_Mapping[[#This Row],[KODE BARANG]],1),'Form Fix'!$A$6:$F$1063,4,0),0)</f>
        <v>150298</v>
      </c>
      <c r="T128">
        <f>IFERROR(VLOOKUP(CONCATENATE(Fix_Mapping[[#This Row],[KODE BARANG]],2),'Form Fix'!$A$6:$F$1063,4,0),0)</f>
        <v>0</v>
      </c>
      <c r="U128">
        <f>IFERROR(VLOOKUP(CONCATENATE(Fix_Mapping[[#This Row],[KODE BARANG]],3),'Form Fix'!$A$6:$F$1063,4,0),0)</f>
        <v>0</v>
      </c>
      <c r="V128">
        <f>IFERROR(VLOOKUP(CONCATENATE(Fix_Mapping[[#This Row],[KODE BARANG]],4),'Form Fix'!$A$6:$F$1063,4,0),0)</f>
        <v>0</v>
      </c>
      <c r="W128">
        <f>IFERROR(VLOOKUP(CONCATENATE(Fix_Mapping[[#This Row],[KODE BARANG]],5),'Form Fix'!$A$6:$F$1063,4,0),0)</f>
        <v>0</v>
      </c>
    </row>
    <row r="129" spans="1:23" x14ac:dyDescent="0.25">
      <c r="A129" t="s">
        <v>791</v>
      </c>
      <c r="B129" t="s">
        <v>917</v>
      </c>
      <c r="C129">
        <v>48</v>
      </c>
      <c r="D129" t="s">
        <v>486</v>
      </c>
      <c r="E129" t="s">
        <v>603</v>
      </c>
      <c r="F129">
        <v>6402.152</v>
      </c>
      <c r="G129">
        <v>307303.29599999997</v>
      </c>
      <c r="H129">
        <v>7106.3887200000008</v>
      </c>
      <c r="I129">
        <v>341106.65856000001</v>
      </c>
      <c r="J129">
        <v>6810.8</v>
      </c>
      <c r="K129">
        <v>326918.40000000002</v>
      </c>
      <c r="L129">
        <v>7559.9880000000012</v>
      </c>
      <c r="M129">
        <v>362879.42400000006</v>
      </c>
      <c r="N129">
        <v>7355.66</v>
      </c>
      <c r="O129">
        <v>353071.68</v>
      </c>
      <c r="P129">
        <v>8164.7826000000005</v>
      </c>
      <c r="Q129">
        <v>391909.56480000005</v>
      </c>
      <c r="R129" t="s">
        <v>656</v>
      </c>
      <c r="S129">
        <f>IFERROR(VLOOKUP(CONCATENATE(Fix_Mapping[[#This Row],[KODE BARANG]],1),'Form Fix'!$A$6:$F$1063,4,0),0)</f>
        <v>150299</v>
      </c>
      <c r="T129">
        <f>IFERROR(VLOOKUP(CONCATENATE(Fix_Mapping[[#This Row],[KODE BARANG]],2),'Form Fix'!$A$6:$F$1063,4,0),0)</f>
        <v>0</v>
      </c>
      <c r="U129">
        <f>IFERROR(VLOOKUP(CONCATENATE(Fix_Mapping[[#This Row],[KODE BARANG]],3),'Form Fix'!$A$6:$F$1063,4,0),0)</f>
        <v>0</v>
      </c>
      <c r="V129">
        <f>IFERROR(VLOOKUP(CONCATENATE(Fix_Mapping[[#This Row],[KODE BARANG]],4),'Form Fix'!$A$6:$F$1063,4,0),0)</f>
        <v>0</v>
      </c>
      <c r="W129">
        <f>IFERROR(VLOOKUP(CONCATENATE(Fix_Mapping[[#This Row],[KODE BARANG]],5),'Form Fix'!$A$6:$F$1063,4,0),0)</f>
        <v>0</v>
      </c>
    </row>
    <row r="130" spans="1:23" x14ac:dyDescent="0.25">
      <c r="A130" t="s">
        <v>792</v>
      </c>
      <c r="B130" t="s">
        <v>918</v>
      </c>
      <c r="C130">
        <v>48</v>
      </c>
      <c r="D130" t="s">
        <v>486</v>
      </c>
      <c r="E130" t="s">
        <v>603</v>
      </c>
      <c r="F130">
        <v>6097.2904166666667</v>
      </c>
      <c r="G130">
        <v>292669.94</v>
      </c>
      <c r="H130">
        <v>6767.992362500001</v>
      </c>
      <c r="I130">
        <v>324863.63340000005</v>
      </c>
      <c r="J130">
        <v>6486.479166666667</v>
      </c>
      <c r="K130">
        <v>311351</v>
      </c>
      <c r="L130">
        <v>7199.9918750000006</v>
      </c>
      <c r="M130">
        <v>345599.61000000004</v>
      </c>
      <c r="N130">
        <v>7005.3975000000009</v>
      </c>
      <c r="O130">
        <v>336259.08000000007</v>
      </c>
      <c r="P130">
        <v>7775.9912250000016</v>
      </c>
      <c r="Q130">
        <v>373247.57880000008</v>
      </c>
      <c r="R130" t="s">
        <v>656</v>
      </c>
      <c r="S130">
        <f>IFERROR(VLOOKUP(CONCATENATE(Fix_Mapping[[#This Row],[KODE BARANG]],1),'Form Fix'!$A$6:$F$1063,4,0),0)</f>
        <v>150166</v>
      </c>
      <c r="T130">
        <f>IFERROR(VLOOKUP(CONCATENATE(Fix_Mapping[[#This Row],[KODE BARANG]],2),'Form Fix'!$A$6:$F$1063,4,0),0)</f>
        <v>150291</v>
      </c>
      <c r="U130">
        <f>IFERROR(VLOOKUP(CONCATENATE(Fix_Mapping[[#This Row],[KODE BARANG]],3),'Form Fix'!$A$6:$F$1063,4,0),0)</f>
        <v>0</v>
      </c>
      <c r="V130">
        <f>IFERROR(VLOOKUP(CONCATENATE(Fix_Mapping[[#This Row],[KODE BARANG]],4),'Form Fix'!$A$6:$F$1063,4,0),0)</f>
        <v>0</v>
      </c>
      <c r="W130">
        <f>IFERROR(VLOOKUP(CONCATENATE(Fix_Mapping[[#This Row],[KODE BARANG]],5),'Form Fix'!$A$6:$F$1063,4,0),0)</f>
        <v>0</v>
      </c>
    </row>
    <row r="131" spans="1:23" x14ac:dyDescent="0.25">
      <c r="A131" t="s">
        <v>793</v>
      </c>
      <c r="B131" t="s">
        <v>919</v>
      </c>
      <c r="C131">
        <v>24</v>
      </c>
      <c r="D131" t="s">
        <v>486</v>
      </c>
      <c r="E131" t="s">
        <v>603</v>
      </c>
      <c r="F131">
        <v>14023.78378378378</v>
      </c>
      <c r="G131">
        <v>336570.81081081071</v>
      </c>
      <c r="H131">
        <v>15566.399999999996</v>
      </c>
      <c r="I131">
        <v>373593.59999999992</v>
      </c>
      <c r="J131">
        <v>14918.918918918915</v>
      </c>
      <c r="K131">
        <v>358054.05405405397</v>
      </c>
      <c r="L131">
        <v>16559.999999999996</v>
      </c>
      <c r="M131">
        <v>397439.99999999994</v>
      </c>
      <c r="N131">
        <v>16112.43243243243</v>
      </c>
      <c r="O131">
        <v>386698.37837837834</v>
      </c>
      <c r="P131">
        <v>17884.8</v>
      </c>
      <c r="Q131">
        <v>429235.19999999995</v>
      </c>
      <c r="R131" t="s">
        <v>656</v>
      </c>
      <c r="S131">
        <f>IFERROR(VLOOKUP(CONCATENATE(Fix_Mapping[[#This Row],[KODE BARANG]],1),'Form Fix'!$A$6:$F$1063,4,0),0)</f>
        <v>150173</v>
      </c>
      <c r="T131">
        <f>IFERROR(VLOOKUP(CONCATENATE(Fix_Mapping[[#This Row],[KODE BARANG]],2),'Form Fix'!$A$6:$F$1063,4,0),0)</f>
        <v>150347</v>
      </c>
      <c r="U131">
        <f>IFERROR(VLOOKUP(CONCATENATE(Fix_Mapping[[#This Row],[KODE BARANG]],3),'Form Fix'!$A$6:$F$1063,4,0),0)</f>
        <v>0</v>
      </c>
      <c r="V131">
        <f>IFERROR(VLOOKUP(CONCATENATE(Fix_Mapping[[#This Row],[KODE BARANG]],4),'Form Fix'!$A$6:$F$1063,4,0),0)</f>
        <v>0</v>
      </c>
      <c r="W131">
        <f>IFERROR(VLOOKUP(CONCATENATE(Fix_Mapping[[#This Row],[KODE BARANG]],5),'Form Fix'!$A$6:$F$1063,4,0),0)</f>
        <v>0</v>
      </c>
    </row>
    <row r="132" spans="1:23" x14ac:dyDescent="0.25">
      <c r="A132" t="s">
        <v>794</v>
      </c>
      <c r="B132" t="s">
        <v>920</v>
      </c>
      <c r="C132">
        <v>48</v>
      </c>
      <c r="D132" t="s">
        <v>486</v>
      </c>
      <c r="E132" t="s">
        <v>603</v>
      </c>
      <c r="F132">
        <v>6097.2904166666667</v>
      </c>
      <c r="G132">
        <v>292669.94</v>
      </c>
      <c r="H132">
        <v>6767.992362500001</v>
      </c>
      <c r="I132">
        <v>324863.63340000005</v>
      </c>
      <c r="J132">
        <v>6486.479166666667</v>
      </c>
      <c r="K132">
        <v>311351</v>
      </c>
      <c r="L132">
        <v>7199.9918750000006</v>
      </c>
      <c r="M132">
        <v>345599.61000000004</v>
      </c>
      <c r="N132">
        <v>7005.3975000000009</v>
      </c>
      <c r="O132">
        <v>336259.08000000007</v>
      </c>
      <c r="P132">
        <v>7775.9912250000016</v>
      </c>
      <c r="Q132">
        <v>373247.57880000008</v>
      </c>
      <c r="R132" t="s">
        <v>656</v>
      </c>
      <c r="S132">
        <f>IFERROR(VLOOKUP(CONCATENATE(Fix_Mapping[[#This Row],[KODE BARANG]],1),'Form Fix'!$A$6:$F$1063,4,0),0)</f>
        <v>150167</v>
      </c>
      <c r="T132">
        <f>IFERROR(VLOOKUP(CONCATENATE(Fix_Mapping[[#This Row],[KODE BARANG]],2),'Form Fix'!$A$6:$F$1063,4,0),0)</f>
        <v>150292</v>
      </c>
      <c r="U132">
        <f>IFERROR(VLOOKUP(CONCATENATE(Fix_Mapping[[#This Row],[KODE BARANG]],3),'Form Fix'!$A$6:$F$1063,4,0),0)</f>
        <v>0</v>
      </c>
      <c r="V132">
        <f>IFERROR(VLOOKUP(CONCATENATE(Fix_Mapping[[#This Row],[KODE BARANG]],4),'Form Fix'!$A$6:$F$1063,4,0),0)</f>
        <v>0</v>
      </c>
      <c r="W132">
        <f>IFERROR(VLOOKUP(CONCATENATE(Fix_Mapping[[#This Row],[KODE BARANG]],5),'Form Fix'!$A$6:$F$1063,4,0),0)</f>
        <v>0</v>
      </c>
    </row>
    <row r="133" spans="1:23" x14ac:dyDescent="0.25">
      <c r="A133" t="s">
        <v>795</v>
      </c>
      <c r="B133" t="s">
        <v>921</v>
      </c>
      <c r="C133">
        <v>24</v>
      </c>
      <c r="D133" t="s">
        <v>486</v>
      </c>
      <c r="E133" t="s">
        <v>603</v>
      </c>
      <c r="F133">
        <v>14023.784799999999</v>
      </c>
      <c r="G133">
        <v>336570.83519999997</v>
      </c>
      <c r="H133">
        <v>15566.401128000001</v>
      </c>
      <c r="I133">
        <v>373593.627072</v>
      </c>
      <c r="J133">
        <v>14918.92</v>
      </c>
      <c r="K133">
        <v>358054.08</v>
      </c>
      <c r="L133">
        <v>16560.001200000002</v>
      </c>
      <c r="M133">
        <v>397440.02880000003</v>
      </c>
      <c r="N133">
        <v>16112.43</v>
      </c>
      <c r="O133">
        <v>386698.32</v>
      </c>
      <c r="P133">
        <v>17884.797300000002</v>
      </c>
      <c r="Q133">
        <v>429235.13520000002</v>
      </c>
      <c r="R133" t="s">
        <v>656</v>
      </c>
      <c r="S133">
        <f>IFERROR(VLOOKUP(CONCATENATE(Fix_Mapping[[#This Row],[KODE BARANG]],1),'Form Fix'!$A$6:$F$1063,4,0),0)</f>
        <v>150174</v>
      </c>
      <c r="T133">
        <f>IFERROR(VLOOKUP(CONCATENATE(Fix_Mapping[[#This Row],[KODE BARANG]],2),'Form Fix'!$A$6:$F$1063,4,0),0)</f>
        <v>150336</v>
      </c>
      <c r="U133">
        <f>IFERROR(VLOOKUP(CONCATENATE(Fix_Mapping[[#This Row],[KODE BARANG]],3),'Form Fix'!$A$6:$F$1063,4,0),0)</f>
        <v>0</v>
      </c>
      <c r="V133">
        <f>IFERROR(VLOOKUP(CONCATENATE(Fix_Mapping[[#This Row],[KODE BARANG]],4),'Form Fix'!$A$6:$F$1063,4,0),0)</f>
        <v>0</v>
      </c>
      <c r="W133">
        <f>IFERROR(VLOOKUP(CONCATENATE(Fix_Mapping[[#This Row],[KODE BARANG]],5),'Form Fix'!$A$6:$F$1063,4,0),0)</f>
        <v>0</v>
      </c>
    </row>
    <row r="134" spans="1:23" x14ac:dyDescent="0.25">
      <c r="A134" t="s">
        <v>796</v>
      </c>
      <c r="B134" t="s">
        <v>922</v>
      </c>
      <c r="C134">
        <v>48</v>
      </c>
      <c r="D134" t="s">
        <v>486</v>
      </c>
      <c r="E134" t="s">
        <v>603</v>
      </c>
      <c r="F134">
        <v>6097.3005999999996</v>
      </c>
      <c r="G134">
        <v>292670.42879999999</v>
      </c>
      <c r="H134">
        <v>6768.0036660000005</v>
      </c>
      <c r="I134">
        <v>324864.17596800003</v>
      </c>
      <c r="J134">
        <v>6486.49</v>
      </c>
      <c r="K134">
        <v>311351.52</v>
      </c>
      <c r="L134">
        <v>7200.0039000000006</v>
      </c>
      <c r="M134">
        <v>345600.18720000004</v>
      </c>
      <c r="N134">
        <v>6810.8108108108117</v>
      </c>
      <c r="O134">
        <v>326918.91891891893</v>
      </c>
      <c r="P134">
        <v>7560.0000000000018</v>
      </c>
      <c r="Q134">
        <v>362880.00000000012</v>
      </c>
      <c r="R134" t="s">
        <v>656</v>
      </c>
      <c r="S134">
        <f>IFERROR(VLOOKUP(CONCATENATE(Fix_Mapping[[#This Row],[KODE BARANG]],1),'Form Fix'!$A$6:$F$1063,4,0),0)</f>
        <v>150175</v>
      </c>
      <c r="T134">
        <f>IFERROR(VLOOKUP(CONCATENATE(Fix_Mapping[[#This Row],[KODE BARANG]],2),'Form Fix'!$A$6:$F$1063,4,0),0)</f>
        <v>0</v>
      </c>
      <c r="U134">
        <f>IFERROR(VLOOKUP(CONCATENATE(Fix_Mapping[[#This Row],[KODE BARANG]],3),'Form Fix'!$A$6:$F$1063,4,0),0)</f>
        <v>0</v>
      </c>
      <c r="V134">
        <f>IFERROR(VLOOKUP(CONCATENATE(Fix_Mapping[[#This Row],[KODE BARANG]],4),'Form Fix'!$A$6:$F$1063,4,0),0)</f>
        <v>0</v>
      </c>
      <c r="W134">
        <f>IFERROR(VLOOKUP(CONCATENATE(Fix_Mapping[[#This Row],[KODE BARANG]],5),'Form Fix'!$A$6:$F$1063,4,0),0)</f>
        <v>0</v>
      </c>
    </row>
    <row r="135" spans="1:23" x14ac:dyDescent="0.25">
      <c r="A135" t="s">
        <v>797</v>
      </c>
      <c r="B135" t="s">
        <v>923</v>
      </c>
      <c r="C135">
        <v>24</v>
      </c>
      <c r="D135" t="s">
        <v>486</v>
      </c>
      <c r="E135" t="s">
        <v>603</v>
      </c>
      <c r="F135">
        <v>11271.5306</v>
      </c>
      <c r="G135">
        <v>270516.73440000002</v>
      </c>
      <c r="H135">
        <v>12511.398966000001</v>
      </c>
      <c r="I135">
        <v>300273.57518400002</v>
      </c>
      <c r="J135">
        <v>11990.99</v>
      </c>
      <c r="K135">
        <v>287783.76</v>
      </c>
      <c r="L135">
        <v>13309.998900000001</v>
      </c>
      <c r="M135">
        <v>319439.97360000003</v>
      </c>
      <c r="N135">
        <v>12950.27</v>
      </c>
      <c r="O135">
        <v>310806.48</v>
      </c>
      <c r="P135">
        <v>14374.799700000001</v>
      </c>
      <c r="Q135">
        <v>344995.19280000002</v>
      </c>
      <c r="R135" t="s">
        <v>656</v>
      </c>
      <c r="S135">
        <f>IFERROR(VLOOKUP(CONCATENATE(Fix_Mapping[[#This Row],[KODE BARANG]],1),'Form Fix'!$A$6:$F$1063,4,0),0)</f>
        <v>150176</v>
      </c>
      <c r="T135">
        <f>IFERROR(VLOOKUP(CONCATENATE(Fix_Mapping[[#This Row],[KODE BARANG]],2),'Form Fix'!$A$6:$F$1063,4,0),0)</f>
        <v>150371</v>
      </c>
      <c r="U135">
        <f>IFERROR(VLOOKUP(CONCATENATE(Fix_Mapping[[#This Row],[KODE BARANG]],3),'Form Fix'!$A$6:$F$1063,4,0),0)</f>
        <v>0</v>
      </c>
      <c r="V135">
        <f>IFERROR(VLOOKUP(CONCATENATE(Fix_Mapping[[#This Row],[KODE BARANG]],4),'Form Fix'!$A$6:$F$1063,4,0),0)</f>
        <v>0</v>
      </c>
      <c r="W135">
        <f>IFERROR(VLOOKUP(CONCATENATE(Fix_Mapping[[#This Row],[KODE BARANG]],5),'Form Fix'!$A$6:$F$1063,4,0),0)</f>
        <v>0</v>
      </c>
    </row>
    <row r="136" spans="1:23" x14ac:dyDescent="0.25">
      <c r="A136" t="s">
        <v>734</v>
      </c>
      <c r="B136" t="s">
        <v>924</v>
      </c>
      <c r="C136">
        <v>21</v>
      </c>
      <c r="D136" t="s">
        <v>627</v>
      </c>
      <c r="E136" t="s">
        <v>970</v>
      </c>
      <c r="F136">
        <v>3610.4366</v>
      </c>
      <c r="G136">
        <v>75819.168600000005</v>
      </c>
      <c r="H136">
        <v>4007.5846260000003</v>
      </c>
      <c r="I136">
        <v>84159.277146000008</v>
      </c>
      <c r="J136">
        <v>3840.89</v>
      </c>
      <c r="K136">
        <v>80658.69</v>
      </c>
      <c r="L136">
        <v>4263.3879000000006</v>
      </c>
      <c r="M136">
        <v>89531.145900000018</v>
      </c>
      <c r="N136">
        <v>4148.1565714285716</v>
      </c>
      <c r="O136">
        <v>87111.288</v>
      </c>
      <c r="P136">
        <v>4604.453794285715</v>
      </c>
      <c r="Q136">
        <v>96693.529680000021</v>
      </c>
      <c r="R136" t="s">
        <v>656</v>
      </c>
      <c r="S136">
        <f>IFERROR(VLOOKUP(CONCATENATE(Fix_Mapping[[#This Row],[KODE BARANG]],1),'Form Fix'!$A$6:$F$1063,4,0),0)</f>
        <v>150190</v>
      </c>
      <c r="T136">
        <f>IFERROR(VLOOKUP(CONCATENATE(Fix_Mapping[[#This Row],[KODE BARANG]],2),'Form Fix'!$A$6:$F$1063,4,0),0)</f>
        <v>0</v>
      </c>
      <c r="U136">
        <f>IFERROR(VLOOKUP(CONCATENATE(Fix_Mapping[[#This Row],[KODE BARANG]],3),'Form Fix'!$A$6:$F$1063,4,0),0)</f>
        <v>0</v>
      </c>
      <c r="V136">
        <f>IFERROR(VLOOKUP(CONCATENATE(Fix_Mapping[[#This Row],[KODE BARANG]],4),'Form Fix'!$A$6:$F$1063,4,0),0)</f>
        <v>0</v>
      </c>
      <c r="W136">
        <f>IFERROR(VLOOKUP(CONCATENATE(Fix_Mapping[[#This Row],[KODE BARANG]],5),'Form Fix'!$A$6:$F$1063,4,0),0)</f>
        <v>0</v>
      </c>
    </row>
    <row r="137" spans="1:23" x14ac:dyDescent="0.25">
      <c r="A137" t="s">
        <v>735</v>
      </c>
      <c r="B137" t="s">
        <v>925</v>
      </c>
      <c r="C137">
        <v>6</v>
      </c>
      <c r="D137" t="s">
        <v>552</v>
      </c>
      <c r="E137" t="s">
        <v>970</v>
      </c>
      <c r="F137">
        <v>5215.5429999999997</v>
      </c>
      <c r="G137">
        <v>31293.257999999998</v>
      </c>
      <c r="H137">
        <v>5789.2527300000002</v>
      </c>
      <c r="I137">
        <v>34735.516380000001</v>
      </c>
      <c r="J137">
        <v>5548.45</v>
      </c>
      <c r="K137">
        <v>33290.699999999997</v>
      </c>
      <c r="L137">
        <v>6158.7795000000006</v>
      </c>
      <c r="M137">
        <v>36952.677000000003</v>
      </c>
      <c r="N137">
        <v>5992.326</v>
      </c>
      <c r="O137">
        <v>35953.955999999998</v>
      </c>
      <c r="P137">
        <v>6651.4818600000008</v>
      </c>
      <c r="Q137">
        <v>39908.891160000006</v>
      </c>
      <c r="R137" t="s">
        <v>656</v>
      </c>
      <c r="S137">
        <f>IFERROR(VLOOKUP(CONCATENATE(Fix_Mapping[[#This Row],[KODE BARANG]],1),'Form Fix'!$A$6:$F$1063,4,0),0)</f>
        <v>150189</v>
      </c>
      <c r="T137">
        <f>IFERROR(VLOOKUP(CONCATENATE(Fix_Mapping[[#This Row],[KODE BARANG]],2),'Form Fix'!$A$6:$F$1063,4,0),0)</f>
        <v>150209</v>
      </c>
      <c r="U137">
        <f>IFERROR(VLOOKUP(CONCATENATE(Fix_Mapping[[#This Row],[KODE BARANG]],3),'Form Fix'!$A$6:$F$1063,4,0),0)</f>
        <v>0</v>
      </c>
      <c r="V137">
        <f>IFERROR(VLOOKUP(CONCATENATE(Fix_Mapping[[#This Row],[KODE BARANG]],4),'Form Fix'!$A$6:$F$1063,4,0),0)</f>
        <v>0</v>
      </c>
      <c r="W137">
        <f>IFERROR(VLOOKUP(CONCATENATE(Fix_Mapping[[#This Row],[KODE BARANG]],5),'Form Fix'!$A$6:$F$1063,4,0),0)</f>
        <v>0</v>
      </c>
    </row>
    <row r="138" spans="1:23" x14ac:dyDescent="0.25">
      <c r="A138" t="s">
        <v>736</v>
      </c>
      <c r="B138" t="s">
        <v>926</v>
      </c>
      <c r="C138">
        <v>10</v>
      </c>
      <c r="D138" t="s">
        <v>605</v>
      </c>
      <c r="E138" t="s">
        <v>972</v>
      </c>
      <c r="F138">
        <v>10554.254199999999</v>
      </c>
      <c r="G138">
        <v>105542.54199999999</v>
      </c>
      <c r="H138">
        <v>11715.222162</v>
      </c>
      <c r="I138">
        <v>117152.22162</v>
      </c>
      <c r="J138">
        <v>11227.93</v>
      </c>
      <c r="K138">
        <v>112279.3</v>
      </c>
      <c r="L138">
        <v>12463.002300000002</v>
      </c>
      <c r="M138">
        <v>124630.02300000002</v>
      </c>
      <c r="N138">
        <v>12126.162272399999</v>
      </c>
      <c r="O138">
        <v>121261.62272399999</v>
      </c>
      <c r="P138">
        <v>13460.040122364</v>
      </c>
      <c r="Q138">
        <v>134600.40122364002</v>
      </c>
      <c r="R138" t="s">
        <v>656</v>
      </c>
      <c r="S138">
        <f>IFERROR(VLOOKUP(CONCATENATE(Fix_Mapping[[#This Row],[KODE BARANG]],1),'Form Fix'!$A$6:$F$1063,4,0),0)</f>
        <v>612096</v>
      </c>
      <c r="T138">
        <f>IFERROR(VLOOKUP(CONCATENATE(Fix_Mapping[[#This Row],[KODE BARANG]],2),'Form Fix'!$A$6:$F$1063,4,0),0)</f>
        <v>150194</v>
      </c>
      <c r="U138">
        <f>IFERROR(VLOOKUP(CONCATENATE(Fix_Mapping[[#This Row],[KODE BARANG]],3),'Form Fix'!$A$6:$F$1063,4,0),0)</f>
        <v>150365</v>
      </c>
      <c r="V138">
        <f>IFERROR(VLOOKUP(CONCATENATE(Fix_Mapping[[#This Row],[KODE BARANG]],4),'Form Fix'!$A$6:$F$1063,4,0),0)</f>
        <v>0</v>
      </c>
      <c r="W138">
        <f>IFERROR(VLOOKUP(CONCATENATE(Fix_Mapping[[#This Row],[KODE BARANG]],5),'Form Fix'!$A$6:$F$1063,4,0),0)</f>
        <v>0</v>
      </c>
    </row>
    <row r="139" spans="1:23" x14ac:dyDescent="0.25">
      <c r="A139" t="s">
        <v>737</v>
      </c>
      <c r="B139" t="s">
        <v>927</v>
      </c>
      <c r="C139">
        <v>10</v>
      </c>
      <c r="D139" t="s">
        <v>605</v>
      </c>
      <c r="E139" t="s">
        <v>974</v>
      </c>
      <c r="F139">
        <v>8197.4580000000005</v>
      </c>
      <c r="G139">
        <v>81974.58</v>
      </c>
      <c r="H139">
        <v>9099.1783800000012</v>
      </c>
      <c r="I139">
        <v>90991.783800000005</v>
      </c>
      <c r="J139">
        <v>8720.7000000000007</v>
      </c>
      <c r="K139">
        <v>87207</v>
      </c>
      <c r="L139">
        <v>9679.9770000000008</v>
      </c>
      <c r="M139">
        <v>96799.77</v>
      </c>
      <c r="N139">
        <v>9293.8428000000004</v>
      </c>
      <c r="O139">
        <v>92938.428</v>
      </c>
      <c r="P139">
        <v>10316.165508000002</v>
      </c>
      <c r="Q139">
        <v>103161.65508000003</v>
      </c>
      <c r="R139" t="s">
        <v>656</v>
      </c>
      <c r="S139">
        <f>IFERROR(VLOOKUP(CONCATENATE(Fix_Mapping[[#This Row],[KODE BARANG]],1),'Form Fix'!$A$6:$F$1063,4,0),0)</f>
        <v>150960</v>
      </c>
      <c r="T139">
        <f>IFERROR(VLOOKUP(CONCATENATE(Fix_Mapping[[#This Row],[KODE BARANG]],2),'Form Fix'!$A$6:$F$1063,4,0),0)</f>
        <v>150971</v>
      </c>
      <c r="U139">
        <f>IFERROR(VLOOKUP(CONCATENATE(Fix_Mapping[[#This Row],[KODE BARANG]],3),'Form Fix'!$A$6:$F$1063,4,0),0)</f>
        <v>0</v>
      </c>
      <c r="V139">
        <f>IFERROR(VLOOKUP(CONCATENATE(Fix_Mapping[[#This Row],[KODE BARANG]],4),'Form Fix'!$A$6:$F$1063,4,0),0)</f>
        <v>0</v>
      </c>
      <c r="W139">
        <f>IFERROR(VLOOKUP(CONCATENATE(Fix_Mapping[[#This Row],[KODE BARANG]],5),'Form Fix'!$A$6:$F$1063,4,0),0)</f>
        <v>0</v>
      </c>
    </row>
    <row r="140" spans="1:23" x14ac:dyDescent="0.25">
      <c r="A140" t="s">
        <v>1044</v>
      </c>
      <c r="B140" t="s">
        <v>1047</v>
      </c>
      <c r="C140">
        <v>12</v>
      </c>
      <c r="D140" t="s">
        <v>605</v>
      </c>
      <c r="E140" t="s">
        <v>974</v>
      </c>
      <c r="F140">
        <v>8794.7903999999999</v>
      </c>
      <c r="G140">
        <v>105537.48480000001</v>
      </c>
      <c r="H140">
        <v>9762.2173440000006</v>
      </c>
      <c r="I140">
        <v>117146.60812800002</v>
      </c>
      <c r="J140">
        <v>9356.16</v>
      </c>
      <c r="K140">
        <v>112273.92</v>
      </c>
      <c r="L140">
        <v>10385.337600000001</v>
      </c>
      <c r="M140">
        <v>124624.05120000002</v>
      </c>
      <c r="N140">
        <v>10105.135227000004</v>
      </c>
      <c r="O140">
        <v>121261.62272400004</v>
      </c>
      <c r="P140">
        <v>11216.700101970006</v>
      </c>
      <c r="Q140">
        <v>134600.40122364007</v>
      </c>
      <c r="S140">
        <f>IFERROR(VLOOKUP(CONCATENATE(Fix_Mapping[[#This Row],[KODE BARANG]],1),'Form Fix'!$A$6:$F$1063,4,0),0)</f>
        <v>150994</v>
      </c>
      <c r="T140">
        <f>IFERROR(VLOOKUP(CONCATENATE(Fix_Mapping[[#This Row],[KODE BARANG]],2),'Form Fix'!$A$6:$F$1063,4,0),0)</f>
        <v>150995</v>
      </c>
      <c r="U140">
        <f>IFERROR(VLOOKUP(CONCATENATE(Fix_Mapping[[#This Row],[KODE BARANG]],3),'Form Fix'!$A$6:$F$1063,4,0),0)</f>
        <v>0</v>
      </c>
      <c r="V140">
        <f>IFERROR(VLOOKUP(CONCATENATE(Fix_Mapping[[#This Row],[KODE BARANG]],4),'Form Fix'!$A$6:$F$1063,4,0),0)</f>
        <v>0</v>
      </c>
      <c r="W140">
        <f>IFERROR(VLOOKUP(CONCATENATE(Fix_Mapping[[#This Row],[KODE BARANG]],5),'Form Fix'!$A$6:$F$1063,4,0),0)</f>
        <v>0</v>
      </c>
    </row>
    <row r="141" spans="1:23" x14ac:dyDescent="0.25">
      <c r="A141" t="s">
        <v>740</v>
      </c>
      <c r="B141" t="s">
        <v>928</v>
      </c>
      <c r="C141">
        <v>48</v>
      </c>
      <c r="D141" t="s">
        <v>479</v>
      </c>
      <c r="E141" t="s">
        <v>972</v>
      </c>
      <c r="F141">
        <v>4394.6503999999995</v>
      </c>
      <c r="G141">
        <v>210943.21919999999</v>
      </c>
      <c r="H141">
        <v>4878.061944</v>
      </c>
      <c r="I141">
        <v>234146.97331200002</v>
      </c>
      <c r="J141">
        <v>4675.16</v>
      </c>
      <c r="K141">
        <v>224407.67999999999</v>
      </c>
      <c r="L141">
        <v>5189.4276</v>
      </c>
      <c r="M141">
        <v>249092.52480000001</v>
      </c>
      <c r="N141">
        <v>5049.1710855000001</v>
      </c>
      <c r="O141">
        <v>242360.21210400001</v>
      </c>
      <c r="P141">
        <v>5604.5799049050011</v>
      </c>
      <c r="Q141">
        <v>269019.83543544007</v>
      </c>
      <c r="R141" t="s">
        <v>656</v>
      </c>
      <c r="S141">
        <f>IFERROR(VLOOKUP(CONCATENATE(Fix_Mapping[[#This Row],[KODE BARANG]],1),'Form Fix'!$A$6:$F$1063,4,0),0)</f>
        <v>150319</v>
      </c>
      <c r="T141">
        <f>IFERROR(VLOOKUP(CONCATENATE(Fix_Mapping[[#This Row],[KODE BARANG]],2),'Form Fix'!$A$6:$F$1063,4,0),0)</f>
        <v>150375</v>
      </c>
      <c r="U141">
        <f>IFERROR(VLOOKUP(CONCATENATE(Fix_Mapping[[#This Row],[KODE BARANG]],3),'Form Fix'!$A$6:$F$1063,4,0),0)</f>
        <v>0</v>
      </c>
      <c r="V141">
        <f>IFERROR(VLOOKUP(CONCATENATE(Fix_Mapping[[#This Row],[KODE BARANG]],4),'Form Fix'!$A$6:$F$1063,4,0),0)</f>
        <v>0</v>
      </c>
      <c r="W141">
        <f>IFERROR(VLOOKUP(CONCATENATE(Fix_Mapping[[#This Row],[KODE BARANG]],5),'Form Fix'!$A$6:$F$1063,4,0),0)</f>
        <v>0</v>
      </c>
    </row>
    <row r="142" spans="1:23" x14ac:dyDescent="0.25">
      <c r="A142" t="s">
        <v>738</v>
      </c>
      <c r="B142" t="s">
        <v>929</v>
      </c>
      <c r="C142">
        <v>24</v>
      </c>
      <c r="D142" t="s">
        <v>479</v>
      </c>
      <c r="E142" t="s">
        <v>972</v>
      </c>
      <c r="F142">
        <v>15607.383999999998</v>
      </c>
      <c r="G142">
        <v>374577.21599999996</v>
      </c>
      <c r="H142">
        <v>17324.196240000001</v>
      </c>
      <c r="I142">
        <v>415780.70976</v>
      </c>
      <c r="J142">
        <v>16603.599999999999</v>
      </c>
      <c r="K142">
        <v>398486.39999999997</v>
      </c>
      <c r="L142">
        <v>18429.995999999999</v>
      </c>
      <c r="M142">
        <v>442319.90399999998</v>
      </c>
      <c r="N142">
        <v>17931.89</v>
      </c>
      <c r="O142">
        <v>430365.36</v>
      </c>
      <c r="P142">
        <v>19904.3979</v>
      </c>
      <c r="Q142">
        <v>477705.54960000003</v>
      </c>
      <c r="R142" t="s">
        <v>656</v>
      </c>
      <c r="S142">
        <f>IFERROR(VLOOKUP(CONCATENATE(Fix_Mapping[[#This Row],[KODE BARANG]],1),'Form Fix'!$A$6:$F$1063,4,0),0)</f>
        <v>150193</v>
      </c>
      <c r="T142">
        <f>IFERROR(VLOOKUP(CONCATENATE(Fix_Mapping[[#This Row],[KODE BARANG]],2),'Form Fix'!$A$6:$F$1063,4,0),0)</f>
        <v>150360</v>
      </c>
      <c r="U142">
        <f>IFERROR(VLOOKUP(CONCATENATE(Fix_Mapping[[#This Row],[KODE BARANG]],3),'Form Fix'!$A$6:$F$1063,4,0),0)</f>
        <v>0</v>
      </c>
      <c r="V142">
        <f>IFERROR(VLOOKUP(CONCATENATE(Fix_Mapping[[#This Row],[KODE BARANG]],4),'Form Fix'!$A$6:$F$1063,4,0),0)</f>
        <v>0</v>
      </c>
      <c r="W142">
        <f>IFERROR(VLOOKUP(CONCATENATE(Fix_Mapping[[#This Row],[KODE BARANG]],5),'Form Fix'!$A$6:$F$1063,4,0),0)</f>
        <v>0</v>
      </c>
    </row>
    <row r="143" spans="1:23" x14ac:dyDescent="0.25">
      <c r="A143" t="s">
        <v>739</v>
      </c>
      <c r="B143" t="s">
        <v>930</v>
      </c>
      <c r="C143">
        <v>12</v>
      </c>
      <c r="D143" t="s">
        <v>479</v>
      </c>
      <c r="E143" t="s">
        <v>972</v>
      </c>
      <c r="F143">
        <v>15607.383999999998</v>
      </c>
      <c r="G143">
        <v>187288.60799999998</v>
      </c>
      <c r="H143">
        <v>17324.196240000001</v>
      </c>
      <c r="I143">
        <v>207890.35488</v>
      </c>
      <c r="J143">
        <v>16603.599999999999</v>
      </c>
      <c r="K143">
        <v>199243.19999999998</v>
      </c>
      <c r="L143">
        <v>18429.995999999999</v>
      </c>
      <c r="M143">
        <v>221159.95199999999</v>
      </c>
      <c r="N143">
        <v>0</v>
      </c>
      <c r="O143">
        <v>0</v>
      </c>
      <c r="P143">
        <v>0</v>
      </c>
      <c r="Q143">
        <v>0</v>
      </c>
      <c r="R143" t="s">
        <v>656</v>
      </c>
      <c r="S143">
        <f>IFERROR(VLOOKUP(CONCATENATE(Fix_Mapping[[#This Row],[KODE BARANG]],1),'Form Fix'!$A$6:$F$1063,4,0),0)</f>
        <v>150961</v>
      </c>
      <c r="T143">
        <f>IFERROR(VLOOKUP(CONCATENATE(Fix_Mapping[[#This Row],[KODE BARANG]],2),'Form Fix'!$A$6:$F$1063,4,0),0)</f>
        <v>0</v>
      </c>
      <c r="U143">
        <f>IFERROR(VLOOKUP(CONCATENATE(Fix_Mapping[[#This Row],[KODE BARANG]],3),'Form Fix'!$A$6:$F$1063,4,0),0)</f>
        <v>0</v>
      </c>
      <c r="V143">
        <f>IFERROR(VLOOKUP(CONCATENATE(Fix_Mapping[[#This Row],[KODE BARANG]],4),'Form Fix'!$A$6:$F$1063,4,0),0)</f>
        <v>0</v>
      </c>
      <c r="W143">
        <f>IFERROR(VLOOKUP(CONCATENATE(Fix_Mapping[[#This Row],[KODE BARANG]],5),'Form Fix'!$A$6:$F$1063,4,0),0)</f>
        <v>0</v>
      </c>
    </row>
    <row r="144" spans="1:23" x14ac:dyDescent="0.25">
      <c r="A144" t="s">
        <v>741</v>
      </c>
      <c r="B144" t="s">
        <v>931</v>
      </c>
      <c r="C144">
        <v>24</v>
      </c>
      <c r="D144" t="s">
        <v>486</v>
      </c>
      <c r="E144" t="s">
        <v>972</v>
      </c>
      <c r="F144">
        <v>15607.383999999998</v>
      </c>
      <c r="G144">
        <v>374577.21599999996</v>
      </c>
      <c r="H144">
        <v>17324.196240000001</v>
      </c>
      <c r="I144">
        <v>415780.70976</v>
      </c>
      <c r="J144">
        <v>16603.599999999999</v>
      </c>
      <c r="K144">
        <v>398486.39999999997</v>
      </c>
      <c r="L144">
        <v>18429.995999999999</v>
      </c>
      <c r="M144">
        <v>442319.90399999998</v>
      </c>
      <c r="N144">
        <v>17931.89</v>
      </c>
      <c r="O144">
        <v>430365.36</v>
      </c>
      <c r="P144">
        <v>19904.3979</v>
      </c>
      <c r="Q144">
        <v>477705.54960000003</v>
      </c>
      <c r="R144" t="s">
        <v>656</v>
      </c>
      <c r="S144">
        <f>IFERROR(VLOOKUP(CONCATENATE(Fix_Mapping[[#This Row],[KODE BARANG]],1),'Form Fix'!$A$6:$F$1063,4,0),0)</f>
        <v>612095</v>
      </c>
      <c r="T144">
        <f>IFERROR(VLOOKUP(CONCATENATE(Fix_Mapping[[#This Row],[KODE BARANG]],2),'Form Fix'!$A$6:$F$1063,4,0),0)</f>
        <v>0</v>
      </c>
      <c r="U144">
        <f>IFERROR(VLOOKUP(CONCATENATE(Fix_Mapping[[#This Row],[KODE BARANG]],3),'Form Fix'!$A$6:$F$1063,4,0),0)</f>
        <v>0</v>
      </c>
      <c r="V144">
        <f>IFERROR(VLOOKUP(CONCATENATE(Fix_Mapping[[#This Row],[KODE BARANG]],4),'Form Fix'!$A$6:$F$1063,4,0),0)</f>
        <v>0</v>
      </c>
      <c r="W144">
        <f>IFERROR(VLOOKUP(CONCATENATE(Fix_Mapping[[#This Row],[KODE BARANG]],5),'Form Fix'!$A$6:$F$1063,4,0),0)</f>
        <v>0</v>
      </c>
    </row>
    <row r="145" spans="1:23" x14ac:dyDescent="0.25">
      <c r="A145" t="s">
        <v>743</v>
      </c>
      <c r="B145" t="s">
        <v>932</v>
      </c>
      <c r="C145">
        <v>10</v>
      </c>
      <c r="D145" t="s">
        <v>605</v>
      </c>
      <c r="E145" t="s">
        <v>972</v>
      </c>
      <c r="F145">
        <v>13330.9108</v>
      </c>
      <c r="G145">
        <v>133309.10800000001</v>
      </c>
      <c r="H145">
        <v>14797.310988000001</v>
      </c>
      <c r="I145">
        <v>147973.10988000003</v>
      </c>
      <c r="J145">
        <v>14181.82</v>
      </c>
      <c r="K145">
        <v>141818.20000000001</v>
      </c>
      <c r="L145">
        <v>15741.820200000002</v>
      </c>
      <c r="M145">
        <v>157418.20200000002</v>
      </c>
      <c r="N145">
        <v>15316.363440000001</v>
      </c>
      <c r="O145">
        <v>153163.63440000001</v>
      </c>
      <c r="P145">
        <v>17001.163418400003</v>
      </c>
      <c r="Q145">
        <v>170011.63418400002</v>
      </c>
      <c r="R145" t="s">
        <v>656</v>
      </c>
      <c r="S145">
        <f>IFERROR(VLOOKUP(CONCATENATE(Fix_Mapping[[#This Row],[KODE BARANG]],1),'Form Fix'!$A$6:$F$1063,4,0),0)</f>
        <v>612098</v>
      </c>
      <c r="T145">
        <f>IFERROR(VLOOKUP(CONCATENATE(Fix_Mapping[[#This Row],[KODE BARANG]],2),'Form Fix'!$A$6:$F$1063,4,0),0)</f>
        <v>150196</v>
      </c>
      <c r="U145">
        <f>IFERROR(VLOOKUP(CONCATENATE(Fix_Mapping[[#This Row],[KODE BARANG]],3),'Form Fix'!$A$6:$F$1063,4,0),0)</f>
        <v>0</v>
      </c>
      <c r="V145">
        <f>IFERROR(VLOOKUP(CONCATENATE(Fix_Mapping[[#This Row],[KODE BARANG]],4),'Form Fix'!$A$6:$F$1063,4,0),0)</f>
        <v>0</v>
      </c>
      <c r="W145">
        <f>IFERROR(VLOOKUP(CONCATENATE(Fix_Mapping[[#This Row],[KODE BARANG]],5),'Form Fix'!$A$6:$F$1063,4,0),0)</f>
        <v>0</v>
      </c>
    </row>
    <row r="146" spans="1:23" x14ac:dyDescent="0.25">
      <c r="A146" t="s">
        <v>742</v>
      </c>
      <c r="B146" t="s">
        <v>933</v>
      </c>
      <c r="C146">
        <v>10</v>
      </c>
      <c r="D146" t="s">
        <v>605</v>
      </c>
      <c r="E146" t="s">
        <v>974</v>
      </c>
      <c r="F146">
        <v>10664.723</v>
      </c>
      <c r="G146">
        <v>106647.23</v>
      </c>
      <c r="H146">
        <v>11837.842530000002</v>
      </c>
      <c r="I146">
        <v>118378.4253</v>
      </c>
      <c r="J146">
        <v>11345.45</v>
      </c>
      <c r="K146">
        <v>113454.5</v>
      </c>
      <c r="L146">
        <v>12593.449500000002</v>
      </c>
      <c r="M146">
        <v>125934.49500000001</v>
      </c>
      <c r="N146">
        <v>12253.090752</v>
      </c>
      <c r="O146">
        <v>122530.90752000001</v>
      </c>
      <c r="P146">
        <v>13600.930734720001</v>
      </c>
      <c r="Q146">
        <v>136009.3073472</v>
      </c>
      <c r="R146" t="s">
        <v>656</v>
      </c>
      <c r="S146">
        <f>IFERROR(VLOOKUP(CONCATENATE(Fix_Mapping[[#This Row],[KODE BARANG]],1),'Form Fix'!$A$6:$F$1063,4,0),0)</f>
        <v>612954</v>
      </c>
      <c r="T146">
        <f>IFERROR(VLOOKUP(CONCATENATE(Fix_Mapping[[#This Row],[KODE BARANG]],2),'Form Fix'!$A$6:$F$1063,4,0),0)</f>
        <v>150978</v>
      </c>
      <c r="U146">
        <f>IFERROR(VLOOKUP(CONCATENATE(Fix_Mapping[[#This Row],[KODE BARANG]],3),'Form Fix'!$A$6:$F$1063,4,0),0)</f>
        <v>0</v>
      </c>
      <c r="V146">
        <f>IFERROR(VLOOKUP(CONCATENATE(Fix_Mapping[[#This Row],[KODE BARANG]],4),'Form Fix'!$A$6:$F$1063,4,0),0)</f>
        <v>0</v>
      </c>
      <c r="W146">
        <f>IFERROR(VLOOKUP(CONCATENATE(Fix_Mapping[[#This Row],[KODE BARANG]],5),'Form Fix'!$A$6:$F$1063,4,0),0)</f>
        <v>0</v>
      </c>
    </row>
    <row r="147" spans="1:23" x14ac:dyDescent="0.25">
      <c r="A147" t="s">
        <v>745</v>
      </c>
      <c r="B147" t="s">
        <v>934</v>
      </c>
      <c r="C147">
        <v>10</v>
      </c>
      <c r="D147" t="s">
        <v>605</v>
      </c>
      <c r="E147" t="s">
        <v>972</v>
      </c>
      <c r="F147">
        <v>13330.9108</v>
      </c>
      <c r="G147">
        <v>133309.10800000001</v>
      </c>
      <c r="H147">
        <v>14797.310988000001</v>
      </c>
      <c r="I147">
        <v>147973.10988000003</v>
      </c>
      <c r="J147">
        <v>14181.82</v>
      </c>
      <c r="K147">
        <v>141818.20000000001</v>
      </c>
      <c r="L147">
        <v>15741.820200000002</v>
      </c>
      <c r="M147">
        <v>157418.20200000002</v>
      </c>
      <c r="N147">
        <v>0</v>
      </c>
      <c r="O147">
        <v>0</v>
      </c>
      <c r="P147">
        <v>0</v>
      </c>
      <c r="Q147">
        <v>0</v>
      </c>
      <c r="R147" t="s">
        <v>656</v>
      </c>
      <c r="S147">
        <f>IFERROR(VLOOKUP(CONCATENATE(Fix_Mapping[[#This Row],[KODE BARANG]],1),'Form Fix'!$A$6:$F$1063,4,0),0)</f>
        <v>612128</v>
      </c>
      <c r="T147">
        <f>IFERROR(VLOOKUP(CONCATENATE(Fix_Mapping[[#This Row],[KODE BARANG]],2),'Form Fix'!$A$6:$F$1063,4,0),0)</f>
        <v>0</v>
      </c>
      <c r="U147">
        <f>IFERROR(VLOOKUP(CONCATENATE(Fix_Mapping[[#This Row],[KODE BARANG]],3),'Form Fix'!$A$6:$F$1063,4,0),0)</f>
        <v>0</v>
      </c>
      <c r="V147">
        <f>IFERROR(VLOOKUP(CONCATENATE(Fix_Mapping[[#This Row],[KODE BARANG]],4),'Form Fix'!$A$6:$F$1063,4,0),0)</f>
        <v>0</v>
      </c>
      <c r="W147">
        <f>IFERROR(VLOOKUP(CONCATENATE(Fix_Mapping[[#This Row],[KODE BARANG]],5),'Form Fix'!$A$6:$F$1063,4,0),0)</f>
        <v>0</v>
      </c>
    </row>
    <row r="148" spans="1:23" x14ac:dyDescent="0.25">
      <c r="A148" t="s">
        <v>744</v>
      </c>
      <c r="B148" t="s">
        <v>935</v>
      </c>
      <c r="C148">
        <v>10</v>
      </c>
      <c r="D148" t="s">
        <v>605</v>
      </c>
      <c r="E148" t="s">
        <v>974</v>
      </c>
      <c r="F148">
        <v>10664.723</v>
      </c>
      <c r="G148">
        <v>106647.23</v>
      </c>
      <c r="H148">
        <v>11837.842530000002</v>
      </c>
      <c r="I148">
        <v>118378.4253</v>
      </c>
      <c r="J148">
        <v>11345.45</v>
      </c>
      <c r="K148">
        <v>113454.5</v>
      </c>
      <c r="L148">
        <v>12593.449500000002</v>
      </c>
      <c r="M148">
        <v>125934.49500000001</v>
      </c>
      <c r="N148">
        <v>0</v>
      </c>
      <c r="O148">
        <v>0</v>
      </c>
      <c r="P148">
        <v>0</v>
      </c>
      <c r="Q148">
        <v>0</v>
      </c>
      <c r="R148" t="s">
        <v>656</v>
      </c>
      <c r="S148">
        <f>IFERROR(VLOOKUP(CONCATENATE(Fix_Mapping[[#This Row],[KODE BARANG]],1),'Form Fix'!$A$6:$F$1063,4,0),0)</f>
        <v>612955</v>
      </c>
      <c r="T148">
        <f>IFERROR(VLOOKUP(CONCATENATE(Fix_Mapping[[#This Row],[KODE BARANG]],2),'Form Fix'!$A$6:$F$1063,4,0),0)</f>
        <v>0</v>
      </c>
      <c r="U148">
        <f>IFERROR(VLOOKUP(CONCATENATE(Fix_Mapping[[#This Row],[KODE BARANG]],3),'Form Fix'!$A$6:$F$1063,4,0),0)</f>
        <v>0</v>
      </c>
      <c r="V148">
        <f>IFERROR(VLOOKUP(CONCATENATE(Fix_Mapping[[#This Row],[KODE BARANG]],4),'Form Fix'!$A$6:$F$1063,4,0),0)</f>
        <v>0</v>
      </c>
      <c r="W148">
        <f>IFERROR(VLOOKUP(CONCATENATE(Fix_Mapping[[#This Row],[KODE BARANG]],5),'Form Fix'!$A$6:$F$1063,4,0),0)</f>
        <v>0</v>
      </c>
    </row>
    <row r="149" spans="1:23" x14ac:dyDescent="0.25">
      <c r="A149" t="s">
        <v>747</v>
      </c>
      <c r="B149" t="s">
        <v>936</v>
      </c>
      <c r="C149">
        <v>10</v>
      </c>
      <c r="D149" t="s">
        <v>605</v>
      </c>
      <c r="E149" t="s">
        <v>972</v>
      </c>
      <c r="F149">
        <v>13330.9108</v>
      </c>
      <c r="G149">
        <v>133309.10800000001</v>
      </c>
      <c r="H149">
        <v>14797.310988000001</v>
      </c>
      <c r="I149">
        <v>147973.10988000003</v>
      </c>
      <c r="J149">
        <v>14181.82</v>
      </c>
      <c r="K149">
        <v>141818.20000000001</v>
      </c>
      <c r="L149">
        <v>15741.820200000002</v>
      </c>
      <c r="M149">
        <v>157418.20200000002</v>
      </c>
      <c r="N149">
        <v>15316.363440000001</v>
      </c>
      <c r="O149">
        <v>153163.63440000001</v>
      </c>
      <c r="P149">
        <v>17001.163418400003</v>
      </c>
      <c r="Q149">
        <v>170011.63418400002</v>
      </c>
      <c r="R149" t="s">
        <v>656</v>
      </c>
      <c r="S149">
        <f>IFERROR(VLOOKUP(CONCATENATE(Fix_Mapping[[#This Row],[KODE BARANG]],1),'Form Fix'!$A$6:$F$1063,4,0),0)</f>
        <v>612130</v>
      </c>
      <c r="T149">
        <f>IFERROR(VLOOKUP(CONCATENATE(Fix_Mapping[[#This Row],[KODE BARANG]],2),'Form Fix'!$A$6:$F$1063,4,0),0)</f>
        <v>150202</v>
      </c>
      <c r="U149">
        <f>IFERROR(VLOOKUP(CONCATENATE(Fix_Mapping[[#This Row],[KODE BARANG]],3),'Form Fix'!$A$6:$F$1063,4,0),0)</f>
        <v>0</v>
      </c>
      <c r="V149">
        <f>IFERROR(VLOOKUP(CONCATENATE(Fix_Mapping[[#This Row],[KODE BARANG]],4),'Form Fix'!$A$6:$F$1063,4,0),0)</f>
        <v>0</v>
      </c>
      <c r="W149">
        <f>IFERROR(VLOOKUP(CONCATENATE(Fix_Mapping[[#This Row],[KODE BARANG]],5),'Form Fix'!$A$6:$F$1063,4,0),0)</f>
        <v>0</v>
      </c>
    </row>
    <row r="150" spans="1:23" x14ac:dyDescent="0.25">
      <c r="A150" t="s">
        <v>746</v>
      </c>
      <c r="B150" t="s">
        <v>937</v>
      </c>
      <c r="C150">
        <v>10</v>
      </c>
      <c r="D150" t="s">
        <v>605</v>
      </c>
      <c r="E150" t="s">
        <v>974</v>
      </c>
      <c r="F150">
        <v>10664.723</v>
      </c>
      <c r="G150">
        <v>106647.23</v>
      </c>
      <c r="H150">
        <v>11837.842530000002</v>
      </c>
      <c r="I150">
        <v>118378.4253</v>
      </c>
      <c r="J150">
        <v>11345.45</v>
      </c>
      <c r="K150">
        <v>113454.5</v>
      </c>
      <c r="L150">
        <v>12593.449500000002</v>
      </c>
      <c r="M150">
        <v>125934.49500000001</v>
      </c>
      <c r="N150">
        <v>0</v>
      </c>
      <c r="O150">
        <v>0</v>
      </c>
      <c r="P150">
        <v>0</v>
      </c>
      <c r="Q150">
        <v>0</v>
      </c>
      <c r="R150" t="s">
        <v>656</v>
      </c>
      <c r="S150">
        <f>IFERROR(VLOOKUP(CONCATENATE(Fix_Mapping[[#This Row],[KODE BARANG]],1),'Form Fix'!$A$6:$F$1063,4,0),0)</f>
        <v>612957</v>
      </c>
      <c r="T150">
        <f>IFERROR(VLOOKUP(CONCATENATE(Fix_Mapping[[#This Row],[KODE BARANG]],2),'Form Fix'!$A$6:$F$1063,4,0),0)</f>
        <v>0</v>
      </c>
      <c r="U150">
        <f>IFERROR(VLOOKUP(CONCATENATE(Fix_Mapping[[#This Row],[KODE BARANG]],3),'Form Fix'!$A$6:$F$1063,4,0),0)</f>
        <v>0</v>
      </c>
      <c r="V150">
        <f>IFERROR(VLOOKUP(CONCATENATE(Fix_Mapping[[#This Row],[KODE BARANG]],4),'Form Fix'!$A$6:$F$1063,4,0),0)</f>
        <v>0</v>
      </c>
      <c r="W150">
        <f>IFERROR(VLOOKUP(CONCATENATE(Fix_Mapping[[#This Row],[KODE BARANG]],5),'Form Fix'!$A$6:$F$1063,4,0),0)</f>
        <v>0</v>
      </c>
    </row>
    <row r="151" spans="1:23" x14ac:dyDescent="0.25">
      <c r="A151" t="s">
        <v>749</v>
      </c>
      <c r="B151" t="s">
        <v>938</v>
      </c>
      <c r="C151">
        <v>10</v>
      </c>
      <c r="D151" t="s">
        <v>605</v>
      </c>
      <c r="E151" t="s">
        <v>972</v>
      </c>
      <c r="F151">
        <v>13330.9108</v>
      </c>
      <c r="G151">
        <v>133309.10800000001</v>
      </c>
      <c r="H151">
        <v>14797.310988000001</v>
      </c>
      <c r="I151">
        <v>147973.10988000003</v>
      </c>
      <c r="J151">
        <v>14181.82</v>
      </c>
      <c r="K151">
        <v>141818.20000000001</v>
      </c>
      <c r="L151">
        <v>15741.820200000002</v>
      </c>
      <c r="M151">
        <v>157418.20200000002</v>
      </c>
      <c r="N151">
        <v>15316.363440000001</v>
      </c>
      <c r="O151">
        <v>153163.63440000001</v>
      </c>
      <c r="P151">
        <v>17001.163418400003</v>
      </c>
      <c r="Q151">
        <v>170011.63418400002</v>
      </c>
      <c r="R151" t="s">
        <v>656</v>
      </c>
      <c r="S151">
        <f>IFERROR(VLOOKUP(CONCATENATE(Fix_Mapping[[#This Row],[KODE BARANG]],1),'Form Fix'!$A$6:$F$1063,4,0),0)</f>
        <v>612100</v>
      </c>
      <c r="T151">
        <f>IFERROR(VLOOKUP(CONCATENATE(Fix_Mapping[[#This Row],[KODE BARANG]],2),'Form Fix'!$A$6:$F$1063,4,0),0)</f>
        <v>0</v>
      </c>
      <c r="U151">
        <f>IFERROR(VLOOKUP(CONCATENATE(Fix_Mapping[[#This Row],[KODE BARANG]],3),'Form Fix'!$A$6:$F$1063,4,0),0)</f>
        <v>0</v>
      </c>
      <c r="V151">
        <f>IFERROR(VLOOKUP(CONCATENATE(Fix_Mapping[[#This Row],[KODE BARANG]],4),'Form Fix'!$A$6:$F$1063,4,0),0)</f>
        <v>0</v>
      </c>
      <c r="W151">
        <f>IFERROR(VLOOKUP(CONCATENATE(Fix_Mapping[[#This Row],[KODE BARANG]],5),'Form Fix'!$A$6:$F$1063,4,0),0)</f>
        <v>0</v>
      </c>
    </row>
    <row r="152" spans="1:23" x14ac:dyDescent="0.25">
      <c r="A152" t="s">
        <v>748</v>
      </c>
      <c r="B152" t="s">
        <v>939</v>
      </c>
      <c r="C152">
        <v>10</v>
      </c>
      <c r="D152" t="s">
        <v>605</v>
      </c>
      <c r="E152" t="s">
        <v>974</v>
      </c>
      <c r="F152">
        <v>10664.723</v>
      </c>
      <c r="G152">
        <v>106647.23</v>
      </c>
      <c r="H152">
        <v>11837.842530000002</v>
      </c>
      <c r="I152">
        <v>118378.4253</v>
      </c>
      <c r="J152">
        <v>11345.45</v>
      </c>
      <c r="K152">
        <v>113454.5</v>
      </c>
      <c r="L152">
        <v>12593.449500000002</v>
      </c>
      <c r="M152">
        <v>125934.49500000001</v>
      </c>
      <c r="N152">
        <v>0</v>
      </c>
      <c r="O152">
        <v>0</v>
      </c>
      <c r="P152">
        <v>0</v>
      </c>
      <c r="Q152">
        <v>0</v>
      </c>
      <c r="R152" t="s">
        <v>656</v>
      </c>
      <c r="S152">
        <f>IFERROR(VLOOKUP(CONCATENATE(Fix_Mapping[[#This Row],[KODE BARANG]],1),'Form Fix'!$A$6:$F$1063,4,0),0)</f>
        <v>612956</v>
      </c>
      <c r="T152">
        <f>IFERROR(VLOOKUP(CONCATENATE(Fix_Mapping[[#This Row],[KODE BARANG]],2),'Form Fix'!$A$6:$F$1063,4,0),0)</f>
        <v>0</v>
      </c>
      <c r="U152">
        <f>IFERROR(VLOOKUP(CONCATENATE(Fix_Mapping[[#This Row],[KODE BARANG]],3),'Form Fix'!$A$6:$F$1063,4,0),0)</f>
        <v>0</v>
      </c>
      <c r="V152">
        <f>IFERROR(VLOOKUP(CONCATENATE(Fix_Mapping[[#This Row],[KODE BARANG]],4),'Form Fix'!$A$6:$F$1063,4,0),0)</f>
        <v>0</v>
      </c>
      <c r="W152">
        <f>IFERROR(VLOOKUP(CONCATENATE(Fix_Mapping[[#This Row],[KODE BARANG]],5),'Form Fix'!$A$6:$F$1063,4,0),0)</f>
        <v>0</v>
      </c>
    </row>
    <row r="153" spans="1:23" x14ac:dyDescent="0.25">
      <c r="A153" t="s">
        <v>798</v>
      </c>
      <c r="B153" t="s">
        <v>940</v>
      </c>
      <c r="C153">
        <v>48</v>
      </c>
      <c r="D153" t="s">
        <v>479</v>
      </c>
      <c r="E153" t="s">
        <v>975</v>
      </c>
      <c r="F153">
        <v>6053.0360000000001</v>
      </c>
      <c r="G153">
        <v>290545.728</v>
      </c>
      <c r="H153">
        <v>6718.8699600000009</v>
      </c>
      <c r="I153">
        <v>322505.75808000006</v>
      </c>
      <c r="J153">
        <v>6439.4</v>
      </c>
      <c r="K153">
        <v>309091.19999999995</v>
      </c>
      <c r="L153">
        <v>7147.7340000000004</v>
      </c>
      <c r="M153">
        <v>343091.23199999996</v>
      </c>
      <c r="N153">
        <v>6954.5475000000006</v>
      </c>
      <c r="O153">
        <v>333818.28000000003</v>
      </c>
      <c r="P153">
        <v>7719.5477250000013</v>
      </c>
      <c r="Q153">
        <v>370538.29080000008</v>
      </c>
      <c r="R153" t="s">
        <v>656</v>
      </c>
      <c r="S153">
        <f>IFERROR(VLOOKUP(CONCATENATE(Fix_Mapping[[#This Row],[KODE BARANG]],1),'Form Fix'!$A$6:$F$1063,4,0),0)</f>
        <v>150148</v>
      </c>
      <c r="T153">
        <f>IFERROR(VLOOKUP(CONCATENATE(Fix_Mapping[[#This Row],[KODE BARANG]],2),'Form Fix'!$A$6:$F$1063,4,0),0)</f>
        <v>150218</v>
      </c>
      <c r="U153">
        <f>IFERROR(VLOOKUP(CONCATENATE(Fix_Mapping[[#This Row],[KODE BARANG]],3),'Form Fix'!$A$6:$F$1063,4,0),0)</f>
        <v>0</v>
      </c>
      <c r="V153">
        <f>IFERROR(VLOOKUP(CONCATENATE(Fix_Mapping[[#This Row],[KODE BARANG]],4),'Form Fix'!$A$6:$F$1063,4,0),0)</f>
        <v>0</v>
      </c>
      <c r="W153">
        <f>IFERROR(VLOOKUP(CONCATENATE(Fix_Mapping[[#This Row],[KODE BARANG]],5),'Form Fix'!$A$6:$F$1063,4,0),0)</f>
        <v>0</v>
      </c>
    </row>
    <row r="154" spans="1:23" x14ac:dyDescent="0.25">
      <c r="A154" t="s">
        <v>799</v>
      </c>
      <c r="B154" t="s">
        <v>941</v>
      </c>
      <c r="C154">
        <v>48</v>
      </c>
      <c r="D154" t="s">
        <v>479</v>
      </c>
      <c r="E154" t="s">
        <v>975</v>
      </c>
      <c r="F154">
        <v>6053.0360000000001</v>
      </c>
      <c r="G154">
        <v>290545.728</v>
      </c>
      <c r="H154">
        <v>6718.8699600000009</v>
      </c>
      <c r="I154">
        <v>322505.75808000006</v>
      </c>
      <c r="J154">
        <v>6439.4</v>
      </c>
      <c r="K154">
        <v>309091.19999999995</v>
      </c>
      <c r="L154">
        <v>7147.7340000000004</v>
      </c>
      <c r="M154">
        <v>343091.23199999996</v>
      </c>
      <c r="N154">
        <v>6954.5475000000006</v>
      </c>
      <c r="O154">
        <v>333818.28000000003</v>
      </c>
      <c r="P154">
        <v>7719.5477250000013</v>
      </c>
      <c r="Q154">
        <v>370538.29080000008</v>
      </c>
      <c r="R154" t="s">
        <v>656</v>
      </c>
      <c r="S154">
        <f>IFERROR(VLOOKUP(CONCATENATE(Fix_Mapping[[#This Row],[KODE BARANG]],1),'Form Fix'!$A$6:$F$1063,4,0),0)</f>
        <v>150217</v>
      </c>
      <c r="T154">
        <f>IFERROR(VLOOKUP(CONCATENATE(Fix_Mapping[[#This Row],[KODE BARANG]],2),'Form Fix'!$A$6:$F$1063,4,0),0)</f>
        <v>0</v>
      </c>
      <c r="U154">
        <f>IFERROR(VLOOKUP(CONCATENATE(Fix_Mapping[[#This Row],[KODE BARANG]],3),'Form Fix'!$A$6:$F$1063,4,0),0)</f>
        <v>0</v>
      </c>
      <c r="V154">
        <f>IFERROR(VLOOKUP(CONCATENATE(Fix_Mapping[[#This Row],[KODE BARANG]],4),'Form Fix'!$A$6:$F$1063,4,0),0)</f>
        <v>0</v>
      </c>
      <c r="W154">
        <f>IFERROR(VLOOKUP(CONCATENATE(Fix_Mapping[[#This Row],[KODE BARANG]],5),'Form Fix'!$A$6:$F$1063,4,0),0)</f>
        <v>0</v>
      </c>
    </row>
    <row r="155" spans="1:23" x14ac:dyDescent="0.25">
      <c r="A155" t="s">
        <v>800</v>
      </c>
      <c r="B155" t="s">
        <v>942</v>
      </c>
      <c r="C155">
        <v>48</v>
      </c>
      <c r="D155" t="s">
        <v>479</v>
      </c>
      <c r="E155" t="s">
        <v>975</v>
      </c>
      <c r="F155">
        <v>6053.0360000000001</v>
      </c>
      <c r="G155">
        <v>290545.728</v>
      </c>
      <c r="H155">
        <v>6718.8699600000009</v>
      </c>
      <c r="I155">
        <v>322505.75808000006</v>
      </c>
      <c r="J155">
        <v>6439.4</v>
      </c>
      <c r="K155">
        <v>309091.19999999995</v>
      </c>
      <c r="L155">
        <v>7147.7340000000004</v>
      </c>
      <c r="M155">
        <v>343091.23199999996</v>
      </c>
      <c r="N155">
        <v>6954.5475000000006</v>
      </c>
      <c r="O155">
        <v>333818.28000000003</v>
      </c>
      <c r="P155">
        <v>7719.5477250000013</v>
      </c>
      <c r="Q155">
        <v>370538.29080000008</v>
      </c>
      <c r="R155" t="s">
        <v>656</v>
      </c>
      <c r="S155">
        <f>IFERROR(VLOOKUP(CONCATENATE(Fix_Mapping[[#This Row],[KODE BARANG]],1),'Form Fix'!$A$6:$F$1063,4,0),0)</f>
        <v>150219</v>
      </c>
      <c r="T155">
        <f>IFERROR(VLOOKUP(CONCATENATE(Fix_Mapping[[#This Row],[KODE BARANG]],2),'Form Fix'!$A$6:$F$1063,4,0),0)</f>
        <v>0</v>
      </c>
      <c r="U155">
        <f>IFERROR(VLOOKUP(CONCATENATE(Fix_Mapping[[#This Row],[KODE BARANG]],3),'Form Fix'!$A$6:$F$1063,4,0),0)</f>
        <v>0</v>
      </c>
      <c r="V155">
        <f>IFERROR(VLOOKUP(CONCATENATE(Fix_Mapping[[#This Row],[KODE BARANG]],4),'Form Fix'!$A$6:$F$1063,4,0),0)</f>
        <v>0</v>
      </c>
      <c r="W155">
        <f>IFERROR(VLOOKUP(CONCATENATE(Fix_Mapping[[#This Row],[KODE BARANG]],5),'Form Fix'!$A$6:$F$1063,4,0),0)</f>
        <v>0</v>
      </c>
    </row>
    <row r="156" spans="1:23" x14ac:dyDescent="0.25">
      <c r="A156" t="s">
        <v>801</v>
      </c>
      <c r="B156" t="s">
        <v>943</v>
      </c>
      <c r="C156">
        <v>48</v>
      </c>
      <c r="D156" t="s">
        <v>486</v>
      </c>
      <c r="E156" t="s">
        <v>977</v>
      </c>
      <c r="F156">
        <v>5725.4553999999998</v>
      </c>
      <c r="G156">
        <v>274821.85920000001</v>
      </c>
      <c r="H156">
        <v>6355.255494</v>
      </c>
      <c r="I156">
        <v>305052.26371200004</v>
      </c>
      <c r="J156">
        <v>6090.91</v>
      </c>
      <c r="K156">
        <v>292363.68</v>
      </c>
      <c r="L156">
        <v>6760.9101000000001</v>
      </c>
      <c r="M156">
        <v>324523.68480000005</v>
      </c>
      <c r="N156">
        <v>0</v>
      </c>
      <c r="O156">
        <v>0</v>
      </c>
      <c r="P156">
        <v>0</v>
      </c>
      <c r="Q156">
        <v>0</v>
      </c>
      <c r="R156" t="s">
        <v>656</v>
      </c>
      <c r="S156">
        <f>IFERROR(VLOOKUP(CONCATENATE(Fix_Mapping[[#This Row],[KODE BARANG]],1),'Form Fix'!$A$6:$F$1063,4,0),0)</f>
        <v>150159</v>
      </c>
      <c r="T156">
        <f>IFERROR(VLOOKUP(CONCATENATE(Fix_Mapping[[#This Row],[KODE BARANG]],2),'Form Fix'!$A$6:$F$1063,4,0),0)</f>
        <v>0</v>
      </c>
      <c r="U156">
        <f>IFERROR(VLOOKUP(CONCATENATE(Fix_Mapping[[#This Row],[KODE BARANG]],3),'Form Fix'!$A$6:$F$1063,4,0),0)</f>
        <v>0</v>
      </c>
      <c r="V156">
        <f>IFERROR(VLOOKUP(CONCATENATE(Fix_Mapping[[#This Row],[KODE BARANG]],4),'Form Fix'!$A$6:$F$1063,4,0),0)</f>
        <v>0</v>
      </c>
      <c r="W156">
        <f>IFERROR(VLOOKUP(CONCATENATE(Fix_Mapping[[#This Row],[KODE BARANG]],5),'Form Fix'!$A$6:$F$1063,4,0),0)</f>
        <v>0</v>
      </c>
    </row>
    <row r="157" spans="1:23" x14ac:dyDescent="0.25">
      <c r="A157" t="s">
        <v>805</v>
      </c>
      <c r="B157" t="s">
        <v>944</v>
      </c>
      <c r="C157">
        <v>48</v>
      </c>
      <c r="D157" t="s">
        <v>486</v>
      </c>
      <c r="E157" t="s">
        <v>977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656</v>
      </c>
      <c r="S157">
        <f>IFERROR(VLOOKUP(CONCATENATE(Fix_Mapping[[#This Row],[KODE BARANG]],1),'Form Fix'!$A$6:$F$1063,4,0),0)</f>
        <v>150184</v>
      </c>
      <c r="T157">
        <f>IFERROR(VLOOKUP(CONCATENATE(Fix_Mapping[[#This Row],[KODE BARANG]],2),'Form Fix'!$A$6:$F$1063,4,0),0)</f>
        <v>0</v>
      </c>
      <c r="U157">
        <f>IFERROR(VLOOKUP(CONCATENATE(Fix_Mapping[[#This Row],[KODE BARANG]],3),'Form Fix'!$A$6:$F$1063,4,0),0)</f>
        <v>0</v>
      </c>
      <c r="V157">
        <f>IFERROR(VLOOKUP(CONCATENATE(Fix_Mapping[[#This Row],[KODE BARANG]],4),'Form Fix'!$A$6:$F$1063,4,0),0)</f>
        <v>0</v>
      </c>
      <c r="W157">
        <f>IFERROR(VLOOKUP(CONCATENATE(Fix_Mapping[[#This Row],[KODE BARANG]],5),'Form Fix'!$A$6:$F$1063,4,0),0)</f>
        <v>0</v>
      </c>
    </row>
    <row r="158" spans="1:23" x14ac:dyDescent="0.25">
      <c r="A158" t="s">
        <v>804</v>
      </c>
      <c r="B158" t="s">
        <v>945</v>
      </c>
      <c r="C158">
        <v>48</v>
      </c>
      <c r="D158" t="s">
        <v>651</v>
      </c>
      <c r="E158" t="s">
        <v>472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656</v>
      </c>
      <c r="S158">
        <f>IFERROR(VLOOKUP(CONCATENATE(Fix_Mapping[[#This Row],[KODE BARANG]],1),'Form Fix'!$A$6:$F$1063,4,0),0)</f>
        <v>900005</v>
      </c>
      <c r="T158">
        <f>IFERROR(VLOOKUP(CONCATENATE(Fix_Mapping[[#This Row],[KODE BARANG]],2),'Form Fix'!$A$6:$F$1063,4,0),0)</f>
        <v>0</v>
      </c>
      <c r="U158">
        <f>IFERROR(VLOOKUP(CONCATENATE(Fix_Mapping[[#This Row],[KODE BARANG]],3),'Form Fix'!$A$6:$F$1063,4,0),0)</f>
        <v>0</v>
      </c>
      <c r="V158">
        <f>IFERROR(VLOOKUP(CONCATENATE(Fix_Mapping[[#This Row],[KODE BARANG]],4),'Form Fix'!$A$6:$F$1063,4,0),0)</f>
        <v>0</v>
      </c>
      <c r="W158">
        <f>IFERROR(VLOOKUP(CONCATENATE(Fix_Mapping[[#This Row],[KODE BARANG]],5),'Form Fix'!$A$6:$F$1063,4,0),0)</f>
        <v>0</v>
      </c>
    </row>
    <row r="159" spans="1:23" x14ac:dyDescent="0.25">
      <c r="A159" t="s">
        <v>1008</v>
      </c>
      <c r="B159" t="s">
        <v>1009</v>
      </c>
      <c r="C159">
        <v>1</v>
      </c>
      <c r="D159" t="s">
        <v>552</v>
      </c>
      <c r="E159" t="s">
        <v>1003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>
        <f>IFERROR(VLOOKUP(CONCATENATE(Fix_Mapping[[#This Row],[KODE BARANG]],1),'Form Fix'!$A$6:$F$1063,4,0),0)</f>
        <v>900053</v>
      </c>
      <c r="T159">
        <f>IFERROR(VLOOKUP(CONCATENATE(Fix_Mapping[[#This Row],[KODE BARANG]],2),'Form Fix'!$A$6:$F$1063,4,0),0)</f>
        <v>0</v>
      </c>
      <c r="U159">
        <f>IFERROR(VLOOKUP(CONCATENATE(Fix_Mapping[[#This Row],[KODE BARANG]],3),'Form Fix'!$A$6:$F$1063,4,0),0)</f>
        <v>0</v>
      </c>
      <c r="V159">
        <f>IFERROR(VLOOKUP(CONCATENATE(Fix_Mapping[[#This Row],[KODE BARANG]],4),'Form Fix'!$A$6:$F$1063,4,0),0)</f>
        <v>0</v>
      </c>
      <c r="W159">
        <f>IFERROR(VLOOKUP(CONCATENATE(Fix_Mapping[[#This Row],[KODE BARANG]],5),'Form Fix'!$A$6:$F$1063,4,0),0)</f>
        <v>0</v>
      </c>
    </row>
    <row r="160" spans="1:23" x14ac:dyDescent="0.25">
      <c r="A160" t="s">
        <v>1103</v>
      </c>
      <c r="B160" t="s">
        <v>1104</v>
      </c>
      <c r="C160">
        <v>1</v>
      </c>
      <c r="D160" t="s">
        <v>552</v>
      </c>
      <c r="E160" t="s">
        <v>1098</v>
      </c>
      <c r="F160">
        <v>0</v>
      </c>
      <c r="G160">
        <v>0</v>
      </c>
      <c r="H160">
        <v>0</v>
      </c>
      <c r="I160">
        <v>0</v>
      </c>
      <c r="K160">
        <v>0</v>
      </c>
      <c r="L160">
        <v>0</v>
      </c>
      <c r="M160">
        <v>0</v>
      </c>
      <c r="O160">
        <v>0</v>
      </c>
      <c r="P160">
        <v>0</v>
      </c>
      <c r="Q160">
        <v>0</v>
      </c>
      <c r="S160">
        <f>IFERROR(VLOOKUP(CONCATENATE(Fix_Mapping[[#This Row],[KODE BARANG]],1),'Form Fix'!$A$6:$F$1063,4,0),0)</f>
        <v>900044</v>
      </c>
      <c r="T160">
        <f>IFERROR(VLOOKUP(CONCATENATE(Fix_Mapping[[#This Row],[KODE BARANG]],2),'Form Fix'!$A$6:$F$1063,4,0),0)</f>
        <v>0</v>
      </c>
      <c r="U160">
        <f>IFERROR(VLOOKUP(CONCATENATE(Fix_Mapping[[#This Row],[KODE BARANG]],3),'Form Fix'!$A$6:$F$1063,4,0),0)</f>
        <v>0</v>
      </c>
      <c r="V160">
        <f>IFERROR(VLOOKUP(CONCATENATE(Fix_Mapping[[#This Row],[KODE BARANG]],4),'Form Fix'!$A$6:$F$1063,4,0),0)</f>
        <v>0</v>
      </c>
      <c r="W160">
        <f>IFERROR(VLOOKUP(CONCATENATE(Fix_Mapping[[#This Row],[KODE BARANG]],5),'Form Fix'!$A$6:$F$1063,4,0),0)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7670-B156-4D81-B12D-64D587FDEB45}">
  <sheetPr codeName="Sheet7">
    <tabColor rgb="FFFFFF00"/>
  </sheetPr>
  <dimension ref="A1:G168"/>
  <sheetViews>
    <sheetView topLeftCell="A46" workbookViewId="0">
      <selection activeCell="B88" sqref="B88"/>
    </sheetView>
  </sheetViews>
  <sheetFormatPr defaultRowHeight="15" x14ac:dyDescent="0.25"/>
  <cols>
    <col min="1" max="1" width="23.7109375" bestFit="1" customWidth="1"/>
    <col min="2" max="2" width="56" bestFit="1" customWidth="1"/>
    <col min="3" max="7" width="16.5703125" bestFit="1" customWidth="1"/>
  </cols>
  <sheetData>
    <row r="1" spans="1:7" x14ac:dyDescent="0.25">
      <c r="A1" s="4" t="s">
        <v>32</v>
      </c>
      <c r="B1" s="4" t="s">
        <v>23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</row>
    <row r="2" spans="1:7" x14ac:dyDescent="0.25">
      <c r="A2" t="s">
        <v>667</v>
      </c>
      <c r="B2" t="s">
        <v>806</v>
      </c>
      <c r="C2">
        <f>IFERROR(VLOOKUP(CONCATENATE(Table43_1[[#This Row],[Kode BARANG Win2]],1),'Form Fix'!$A$6:$F$310,4,0),0)</f>
        <v>100189</v>
      </c>
      <c r="D2">
        <f>IFERROR(VLOOKUP(CONCATENATE(Table43_1[[#This Row],[Kode BARANG Win2]],2),'Form Fix'!$A$6:$F$310,4,0),0)</f>
        <v>100222</v>
      </c>
      <c r="E2">
        <f>IFERROR(VLOOKUP(CONCATENATE(Table43_1[[#This Row],[Kode BARANG Win2]],3),'Form Fix'!$A$6:$F$310,4,0),0)</f>
        <v>100240</v>
      </c>
      <c r="F2">
        <f>IFERROR(VLOOKUP(CONCATENATE(Table43_1[[#This Row],[Kode BARANG Win2]],4),'Form Fix'!$A$6:$F$310,4,0),0)</f>
        <v>0</v>
      </c>
      <c r="G2">
        <f>IFERROR(VLOOKUP(CONCATENATE(Table43_1[[#This Row],[Kode BARANG Win2]],5),'Form Fix'!$A$6:$F$310,4,0),0)</f>
        <v>0</v>
      </c>
    </row>
    <row r="3" spans="1:7" x14ac:dyDescent="0.25">
      <c r="A3" t="s">
        <v>668</v>
      </c>
      <c r="B3" t="s">
        <v>807</v>
      </c>
      <c r="C3">
        <f>IFERROR(VLOOKUP(CONCATENATE(Table43_1[[#This Row],[Kode BARANG Win2]],1),'Form Fix'!$A$6:$F$310,4,0),0)</f>
        <v>100986</v>
      </c>
      <c r="D3">
        <f>IFERROR(VLOOKUP(CONCATENATE(Table43_1[[#This Row],[Kode BARANG Win2]],2),'Form Fix'!$A$6:$F$310,4,0),0)</f>
        <v>0</v>
      </c>
      <c r="E3">
        <f>IFERROR(VLOOKUP(CONCATENATE(Table43_1[[#This Row],[Kode BARANG Win2]],3),'Form Fix'!$A$6:$F$310,4,0),0)</f>
        <v>0</v>
      </c>
      <c r="F3">
        <f>IFERROR(VLOOKUP(CONCATENATE(Table43_1[[#This Row],[Kode BARANG Win2]],4),'Form Fix'!$A$6:$F$310,4,0),0)</f>
        <v>0</v>
      </c>
      <c r="G3">
        <f>IFERROR(VLOOKUP(CONCATENATE(Table43_1[[#This Row],[Kode BARANG Win2]],5),'Form Fix'!$A$6:$F$310,4,0),0)</f>
        <v>0</v>
      </c>
    </row>
    <row r="4" spans="1:7" x14ac:dyDescent="0.25">
      <c r="A4" t="s">
        <v>669</v>
      </c>
      <c r="B4" t="s">
        <v>808</v>
      </c>
      <c r="C4">
        <f>IFERROR(VLOOKUP(CONCATENATE(Table43_1[[#This Row],[Kode BARANG Win2]],1),'Form Fix'!$A$6:$F$310,4,0),0)</f>
        <v>100179</v>
      </c>
      <c r="D4">
        <f>IFERROR(VLOOKUP(CONCATENATE(Table43_1[[#This Row],[Kode BARANG Win2]],2),'Form Fix'!$A$6:$F$310,4,0),0)</f>
        <v>0</v>
      </c>
      <c r="E4">
        <f>IFERROR(VLOOKUP(CONCATENATE(Table43_1[[#This Row],[Kode BARANG Win2]],3),'Form Fix'!$A$6:$F$310,4,0),0)</f>
        <v>0</v>
      </c>
      <c r="F4">
        <f>IFERROR(VLOOKUP(CONCATENATE(Table43_1[[#This Row],[Kode BARANG Win2]],4),'Form Fix'!$A$6:$F$310,4,0),0)</f>
        <v>0</v>
      </c>
      <c r="G4">
        <f>IFERROR(VLOOKUP(CONCATENATE(Table43_1[[#This Row],[Kode BARANG Win2]],5),'Form Fix'!$A$6:$F$310,4,0),0)</f>
        <v>0</v>
      </c>
    </row>
    <row r="5" spans="1:7" x14ac:dyDescent="0.25">
      <c r="A5" t="s">
        <v>750</v>
      </c>
      <c r="B5" t="s">
        <v>809</v>
      </c>
      <c r="C5">
        <f>IFERROR(VLOOKUP(CONCATENATE(Table43_1[[#This Row],[Kode BARANG Win2]],1),'Form Fix'!$A$6:$F$310,4,0),0)</f>
        <v>100234</v>
      </c>
      <c r="D5">
        <f>IFERROR(VLOOKUP(CONCATENATE(Table43_1[[#This Row],[Kode BARANG Win2]],2),'Form Fix'!$A$6:$F$310,4,0),0)</f>
        <v>0</v>
      </c>
      <c r="E5">
        <f>IFERROR(VLOOKUP(CONCATENATE(Table43_1[[#This Row],[Kode BARANG Win2]],3),'Form Fix'!$A$6:$F$310,4,0),0)</f>
        <v>0</v>
      </c>
      <c r="F5">
        <f>IFERROR(VLOOKUP(CONCATENATE(Table43_1[[#This Row],[Kode BARANG Win2]],4),'Form Fix'!$A$6:$F$310,4,0),0)</f>
        <v>0</v>
      </c>
      <c r="G5">
        <f>IFERROR(VLOOKUP(CONCATENATE(Table43_1[[#This Row],[Kode BARANG Win2]],5),'Form Fix'!$A$6:$F$310,4,0),0)</f>
        <v>0</v>
      </c>
    </row>
    <row r="6" spans="1:7" x14ac:dyDescent="0.25">
      <c r="A6" t="s">
        <v>678</v>
      </c>
      <c r="B6" t="s">
        <v>809</v>
      </c>
      <c r="C6">
        <f>IFERROR(VLOOKUP(CONCATENATE(Table43_1[[#This Row],[Kode BARANG Win2]],1),'Form Fix'!$A$6:$F$310,4,0),0)</f>
        <v>100161</v>
      </c>
      <c r="D6">
        <f>IFERROR(VLOOKUP(CONCATENATE(Table43_1[[#This Row],[Kode BARANG Win2]],2),'Form Fix'!$A$6:$F$310,4,0),0)</f>
        <v>0</v>
      </c>
      <c r="E6">
        <f>IFERROR(VLOOKUP(CONCATENATE(Table43_1[[#This Row],[Kode BARANG Win2]],3),'Form Fix'!$A$6:$F$310,4,0),0)</f>
        <v>0</v>
      </c>
      <c r="F6">
        <f>IFERROR(VLOOKUP(CONCATENATE(Table43_1[[#This Row],[Kode BARANG Win2]],4),'Form Fix'!$A$6:$F$310,4,0),0)</f>
        <v>0</v>
      </c>
      <c r="G6">
        <f>IFERROR(VLOOKUP(CONCATENATE(Table43_1[[#This Row],[Kode BARANG Win2]],5),'Form Fix'!$A$6:$F$310,4,0),0)</f>
        <v>0</v>
      </c>
    </row>
    <row r="7" spans="1:7" x14ac:dyDescent="0.25">
      <c r="A7" t="s">
        <v>671</v>
      </c>
      <c r="B7" t="s">
        <v>810</v>
      </c>
      <c r="C7">
        <f>IFERROR(VLOOKUP(CONCATENATE(Table43_1[[#This Row],[Kode BARANG Win2]],1),'Form Fix'!$A$6:$F$310,4,0),0)</f>
        <v>100220</v>
      </c>
      <c r="D7">
        <f>IFERROR(VLOOKUP(CONCATENATE(Table43_1[[#This Row],[Kode BARANG Win2]],2),'Form Fix'!$A$6:$F$310,4,0),0)</f>
        <v>100238</v>
      </c>
      <c r="E7">
        <f>IFERROR(VLOOKUP(CONCATENATE(Table43_1[[#This Row],[Kode BARANG Win2]],3),'Form Fix'!$A$6:$F$310,4,0),0)</f>
        <v>0</v>
      </c>
      <c r="F7">
        <f>IFERROR(VLOOKUP(CONCATENATE(Table43_1[[#This Row],[Kode BARANG Win2]],4),'Form Fix'!$A$6:$F$310,4,0),0)</f>
        <v>0</v>
      </c>
      <c r="G7">
        <f>IFERROR(VLOOKUP(CONCATENATE(Table43_1[[#This Row],[Kode BARANG Win2]],5),'Form Fix'!$A$6:$F$310,4,0),0)</f>
        <v>0</v>
      </c>
    </row>
    <row r="8" spans="1:7" x14ac:dyDescent="0.25">
      <c r="A8" t="s">
        <v>1013</v>
      </c>
      <c r="B8" t="s">
        <v>1014</v>
      </c>
      <c r="C8">
        <f>IFERROR(VLOOKUP(CONCATENATE(Table43_1[[#This Row],[Kode BARANG Win2]],1),'Form Fix'!$A$6:$F$310,4,0),0)</f>
        <v>100992</v>
      </c>
      <c r="D8">
        <f>IFERROR(VLOOKUP(CONCATENATE(Table43_1[[#This Row],[Kode BARANG Win2]],2),'Form Fix'!$A$6:$F$310,4,0),0)</f>
        <v>0</v>
      </c>
      <c r="E8">
        <f>IFERROR(VLOOKUP(CONCATENATE(Table43_1[[#This Row],[Kode BARANG Win2]],3),'Form Fix'!$A$6:$F$310,4,0),0)</f>
        <v>0</v>
      </c>
      <c r="F8">
        <f>IFERROR(VLOOKUP(CONCATENATE(Table43_1[[#This Row],[Kode BARANG Win2]],4),'Form Fix'!$A$6:$F$310,4,0),0)</f>
        <v>0</v>
      </c>
      <c r="G8">
        <f>IFERROR(VLOOKUP(CONCATENATE(Table43_1[[#This Row],[Kode BARANG Win2]],5),'Form Fix'!$A$6:$F$310,4,0),0)</f>
        <v>0</v>
      </c>
    </row>
    <row r="9" spans="1:7" x14ac:dyDescent="0.25">
      <c r="A9" t="s">
        <v>1093</v>
      </c>
      <c r="B9" t="s">
        <v>1105</v>
      </c>
      <c r="C9">
        <f>IFERROR(VLOOKUP(CONCATENATE(Table43_1[[#This Row],[Kode BARANG Win2]],1),'Form Fix'!$A$6:$F$310,4,0),0)</f>
        <v>0</v>
      </c>
      <c r="D9">
        <f>IFERROR(VLOOKUP(CONCATENATE(Table43_1[[#This Row],[Kode BARANG Win2]],2),'Form Fix'!$A$6:$F$310,4,0),0)</f>
        <v>0</v>
      </c>
      <c r="E9">
        <f>IFERROR(VLOOKUP(CONCATENATE(Table43_1[[#This Row],[Kode BARANG Win2]],3),'Form Fix'!$A$6:$F$310,4,0),0)</f>
        <v>0</v>
      </c>
      <c r="F9">
        <f>IFERROR(VLOOKUP(CONCATENATE(Table43_1[[#This Row],[Kode BARANG Win2]],4),'Form Fix'!$A$6:$F$310,4,0),0)</f>
        <v>0</v>
      </c>
      <c r="G9">
        <f>IFERROR(VLOOKUP(CONCATENATE(Table43_1[[#This Row],[Kode BARANG Win2]],5),'Form Fix'!$A$6:$F$310,4,0),0)</f>
        <v>0</v>
      </c>
    </row>
    <row r="10" spans="1:7" x14ac:dyDescent="0.25">
      <c r="A10" t="s">
        <v>679</v>
      </c>
      <c r="B10" t="s">
        <v>811</v>
      </c>
      <c r="C10">
        <f>IFERROR(VLOOKUP(CONCATENATE(Table43_1[[#This Row],[Kode BARANG Win2]],1),'Form Fix'!$A$6:$F$310,4,0),0)</f>
        <v>100162</v>
      </c>
      <c r="D10">
        <f>IFERROR(VLOOKUP(CONCATENATE(Table43_1[[#This Row],[Kode BARANG Win2]],2),'Form Fix'!$A$6:$F$310,4,0),0)</f>
        <v>100236</v>
      </c>
      <c r="E10">
        <f>IFERROR(VLOOKUP(CONCATENATE(Table43_1[[#This Row],[Kode BARANG Win2]],3),'Form Fix'!$A$6:$F$310,4,0),0)</f>
        <v>0</v>
      </c>
      <c r="F10">
        <f>IFERROR(VLOOKUP(CONCATENATE(Table43_1[[#This Row],[Kode BARANG Win2]],4),'Form Fix'!$A$6:$F$310,4,0),0)</f>
        <v>0</v>
      </c>
      <c r="G10">
        <f>IFERROR(VLOOKUP(CONCATENATE(Table43_1[[#This Row],[Kode BARANG Win2]],5),'Form Fix'!$A$6:$F$310,4,0),0)</f>
        <v>0</v>
      </c>
    </row>
    <row r="11" spans="1:7" x14ac:dyDescent="0.25">
      <c r="A11" t="s">
        <v>670</v>
      </c>
      <c r="B11" t="s">
        <v>812</v>
      </c>
      <c r="C11">
        <f>IFERROR(VLOOKUP(CONCATENATE(Table43_1[[#This Row],[Kode BARANG Win2]],1),'Form Fix'!$A$6:$F$310,4,0),0)</f>
        <v>100158</v>
      </c>
      <c r="D11">
        <f>IFERROR(VLOOKUP(CONCATENATE(Table43_1[[#This Row],[Kode BARANG Win2]],2),'Form Fix'!$A$6:$F$310,4,0),0)</f>
        <v>100172</v>
      </c>
      <c r="E11">
        <f>IFERROR(VLOOKUP(CONCATENATE(Table43_1[[#This Row],[Kode BARANG Win2]],3),'Form Fix'!$A$6:$F$310,4,0),0)</f>
        <v>0</v>
      </c>
      <c r="F11">
        <f>IFERROR(VLOOKUP(CONCATENATE(Table43_1[[#This Row],[Kode BARANG Win2]],4),'Form Fix'!$A$6:$F$310,4,0),0)</f>
        <v>0</v>
      </c>
      <c r="G11">
        <f>IFERROR(VLOOKUP(CONCATENATE(Table43_1[[#This Row],[Kode BARANG Win2]],5),'Form Fix'!$A$6:$F$310,4,0),0)</f>
        <v>0</v>
      </c>
    </row>
    <row r="12" spans="1:7" x14ac:dyDescent="0.25">
      <c r="A12" t="s">
        <v>751</v>
      </c>
      <c r="B12" t="s">
        <v>813</v>
      </c>
      <c r="C12">
        <f>IFERROR(VLOOKUP(CONCATENATE(Table43_1[[#This Row],[Kode BARANG Win2]],1),'Form Fix'!$A$6:$F$310,4,0),0)</f>
        <v>100991</v>
      </c>
      <c r="D12">
        <f>IFERROR(VLOOKUP(CONCATENATE(Table43_1[[#This Row],[Kode BARANG Win2]],2),'Form Fix'!$A$6:$F$310,4,0),0)</f>
        <v>109002</v>
      </c>
      <c r="E12">
        <f>IFERROR(VLOOKUP(CONCATENATE(Table43_1[[#This Row],[Kode BARANG Win2]],3),'Form Fix'!$A$6:$F$310,4,0),0)</f>
        <v>109001</v>
      </c>
      <c r="F12">
        <f>IFERROR(VLOOKUP(CONCATENATE(Table43_1[[#This Row],[Kode BARANG Win2]],4),'Form Fix'!$A$6:$F$310,4,0),0)</f>
        <v>0</v>
      </c>
      <c r="G12">
        <f>IFERROR(VLOOKUP(CONCATENATE(Table43_1[[#This Row],[Kode BARANG Win2]],5),'Form Fix'!$A$6:$F$310,4,0),0)</f>
        <v>0</v>
      </c>
    </row>
    <row r="13" spans="1:7" x14ac:dyDescent="0.25">
      <c r="A13" t="s">
        <v>1079</v>
      </c>
      <c r="B13" t="s">
        <v>1080</v>
      </c>
      <c r="C13">
        <f>IFERROR(VLOOKUP(CONCATENATE(Table43_1[[#This Row],[Kode BARANG Win2]],1),'Form Fix'!$A$6:$F$310,4,0),0)</f>
        <v>100241</v>
      </c>
      <c r="D13">
        <f>IFERROR(VLOOKUP(CONCATENATE(Table43_1[[#This Row],[Kode BARANG Win2]],2),'Form Fix'!$A$6:$F$310,4,0),0)</f>
        <v>0</v>
      </c>
      <c r="E13">
        <f>IFERROR(VLOOKUP(CONCATENATE(Table43_1[[#This Row],[Kode BARANG Win2]],3),'Form Fix'!$A$6:$F$310,4,0),0)</f>
        <v>0</v>
      </c>
      <c r="F13">
        <f>IFERROR(VLOOKUP(CONCATENATE(Table43_1[[#This Row],[Kode BARANG Win2]],4),'Form Fix'!$A$6:$F$310,4,0),0)</f>
        <v>0</v>
      </c>
      <c r="G13">
        <f>IFERROR(VLOOKUP(CONCATENATE(Table43_1[[#This Row],[Kode BARANG Win2]],5),'Form Fix'!$A$6:$F$310,4,0),0)</f>
        <v>0</v>
      </c>
    </row>
    <row r="14" spans="1:7" x14ac:dyDescent="0.25">
      <c r="A14" t="s">
        <v>674</v>
      </c>
      <c r="B14" t="s">
        <v>814</v>
      </c>
      <c r="C14">
        <f>IFERROR(VLOOKUP(CONCATENATE(Table43_1[[#This Row],[Kode BARANG Win2]],1),'Form Fix'!$A$6:$F$310,4,0),0)</f>
        <v>100225</v>
      </c>
      <c r="D14">
        <f>IFERROR(VLOOKUP(CONCATENATE(Table43_1[[#This Row],[Kode BARANG Win2]],2),'Form Fix'!$A$6:$F$310,4,0),0)</f>
        <v>100242</v>
      </c>
      <c r="E14">
        <f>IFERROR(VLOOKUP(CONCATENATE(Table43_1[[#This Row],[Kode BARANG Win2]],3),'Form Fix'!$A$6:$F$310,4,0),0)</f>
        <v>0</v>
      </c>
      <c r="F14">
        <f>IFERROR(VLOOKUP(CONCATENATE(Table43_1[[#This Row],[Kode BARANG Win2]],4),'Form Fix'!$A$6:$F$310,4,0),0)</f>
        <v>0</v>
      </c>
      <c r="G14">
        <f>IFERROR(VLOOKUP(CONCATENATE(Table43_1[[#This Row],[Kode BARANG Win2]],5),'Form Fix'!$A$6:$F$310,4,0),0)</f>
        <v>0</v>
      </c>
    </row>
    <row r="15" spans="1:7" x14ac:dyDescent="0.25">
      <c r="A15" t="s">
        <v>681</v>
      </c>
      <c r="B15" t="s">
        <v>815</v>
      </c>
      <c r="C15">
        <f>IFERROR(VLOOKUP(CONCATENATE(Table43_1[[#This Row],[Kode BARANG Win2]],1),'Form Fix'!$A$6:$F$310,4,0),0)</f>
        <v>100163</v>
      </c>
      <c r="D15">
        <f>IFERROR(VLOOKUP(CONCATENATE(Table43_1[[#This Row],[Kode BARANG Win2]],2),'Form Fix'!$A$6:$F$310,4,0),0)</f>
        <v>100226</v>
      </c>
      <c r="E15">
        <f>IFERROR(VLOOKUP(CONCATENATE(Table43_1[[#This Row],[Kode BARANG Win2]],3),'Form Fix'!$A$6:$F$310,4,0),0)</f>
        <v>0</v>
      </c>
      <c r="F15">
        <f>IFERROR(VLOOKUP(CONCATENATE(Table43_1[[#This Row],[Kode BARANG Win2]],4),'Form Fix'!$A$6:$F$310,4,0),0)</f>
        <v>0</v>
      </c>
      <c r="G15">
        <f>IFERROR(VLOOKUP(CONCATENATE(Table43_1[[#This Row],[Kode BARANG Win2]],5),'Form Fix'!$A$6:$F$310,4,0),0)</f>
        <v>0</v>
      </c>
    </row>
    <row r="16" spans="1:7" x14ac:dyDescent="0.25">
      <c r="A16" t="s">
        <v>680</v>
      </c>
      <c r="B16" t="s">
        <v>816</v>
      </c>
      <c r="C16">
        <f>IFERROR(VLOOKUP(CONCATENATE(Table43_1[[#This Row],[Kode BARANG Win2]],1),'Form Fix'!$A$6:$F$310,4,0),0)</f>
        <v>100166</v>
      </c>
      <c r="D16">
        <f>IFERROR(VLOOKUP(CONCATENATE(Table43_1[[#This Row],[Kode BARANG Win2]],2),'Form Fix'!$A$6:$F$310,4,0),0)</f>
        <v>0</v>
      </c>
      <c r="E16">
        <f>IFERROR(VLOOKUP(CONCATENATE(Table43_1[[#This Row],[Kode BARANG Win2]],3),'Form Fix'!$A$6:$F$310,4,0),0)</f>
        <v>0</v>
      </c>
      <c r="F16">
        <f>IFERROR(VLOOKUP(CONCATENATE(Table43_1[[#This Row],[Kode BARANG Win2]],4),'Form Fix'!$A$6:$F$310,4,0),0)</f>
        <v>0</v>
      </c>
      <c r="G16">
        <f>IFERROR(VLOOKUP(CONCATENATE(Table43_1[[#This Row],[Kode BARANG Win2]],5),'Form Fix'!$A$6:$F$310,4,0),0)</f>
        <v>0</v>
      </c>
    </row>
    <row r="17" spans="1:7" x14ac:dyDescent="0.25">
      <c r="A17" t="s">
        <v>672</v>
      </c>
      <c r="B17" t="s">
        <v>817</v>
      </c>
      <c r="C17">
        <f>IFERROR(VLOOKUP(CONCATENATE(Table43_1[[#This Row],[Kode BARANG Win2]],1),'Form Fix'!$A$6:$F$310,4,0),0)</f>
        <v>100187</v>
      </c>
      <c r="D17">
        <f>IFERROR(VLOOKUP(CONCATENATE(Table43_1[[#This Row],[Kode BARANG Win2]],2),'Form Fix'!$A$6:$F$310,4,0),0)</f>
        <v>100165</v>
      </c>
      <c r="E17">
        <f>IFERROR(VLOOKUP(CONCATENATE(Table43_1[[#This Row],[Kode BARANG Win2]],3),'Form Fix'!$A$6:$F$310,4,0),0)</f>
        <v>0</v>
      </c>
      <c r="F17">
        <f>IFERROR(VLOOKUP(CONCATENATE(Table43_1[[#This Row],[Kode BARANG Win2]],4),'Form Fix'!$A$6:$F$310,4,0),0)</f>
        <v>0</v>
      </c>
      <c r="G17">
        <f>IFERROR(VLOOKUP(CONCATENATE(Table43_1[[#This Row],[Kode BARANG Win2]],5),'Form Fix'!$A$6:$F$310,4,0),0)</f>
        <v>0</v>
      </c>
    </row>
    <row r="18" spans="1:7" x14ac:dyDescent="0.25">
      <c r="A18" t="s">
        <v>673</v>
      </c>
      <c r="B18" t="s">
        <v>818</v>
      </c>
      <c r="C18">
        <f>IFERROR(VLOOKUP(CONCATENATE(Table43_1[[#This Row],[Kode BARANG Win2]],1),'Form Fix'!$A$6:$F$310,4,0),0)</f>
        <v>100976</v>
      </c>
      <c r="D18">
        <f>IFERROR(VLOOKUP(CONCATENATE(Table43_1[[#This Row],[Kode BARANG Win2]],2),'Form Fix'!$A$6:$F$310,4,0),0)</f>
        <v>100981</v>
      </c>
      <c r="E18">
        <f>IFERROR(VLOOKUP(CONCATENATE(Table43_1[[#This Row],[Kode BARANG Win2]],3),'Form Fix'!$A$6:$F$310,4,0),0)</f>
        <v>0</v>
      </c>
      <c r="F18">
        <f>IFERROR(VLOOKUP(CONCATENATE(Table43_1[[#This Row],[Kode BARANG Win2]],4),'Form Fix'!$A$6:$F$310,4,0),0)</f>
        <v>0</v>
      </c>
      <c r="G18">
        <f>IFERROR(VLOOKUP(CONCATENATE(Table43_1[[#This Row],[Kode BARANG Win2]],5),'Form Fix'!$A$6:$F$310,4,0),0)</f>
        <v>0</v>
      </c>
    </row>
    <row r="19" spans="1:7" x14ac:dyDescent="0.25">
      <c r="A19" t="s">
        <v>676</v>
      </c>
      <c r="B19" t="s">
        <v>819</v>
      </c>
      <c r="C19">
        <f>IFERROR(VLOOKUP(CONCATENATE(Table43_1[[#This Row],[Kode BARANG Win2]],1),'Form Fix'!$A$6:$F$310,4,0),0)</f>
        <v>100221</v>
      </c>
      <c r="D19">
        <f>IFERROR(VLOOKUP(CONCATENATE(Table43_1[[#This Row],[Kode BARANG Win2]],2),'Form Fix'!$A$6:$F$310,4,0),0)</f>
        <v>100252</v>
      </c>
      <c r="E19">
        <f>IFERROR(VLOOKUP(CONCATENATE(Table43_1[[#This Row],[Kode BARANG Win2]],3),'Form Fix'!$A$6:$F$310,4,0),0)</f>
        <v>100239</v>
      </c>
      <c r="F19">
        <f>IFERROR(VLOOKUP(CONCATENATE(Table43_1[[#This Row],[Kode BARANG Win2]],4),'Form Fix'!$A$6:$F$310,4,0),0)</f>
        <v>100267</v>
      </c>
      <c r="G19">
        <f>IFERROR(VLOOKUP(CONCATENATE(Table43_1[[#This Row],[Kode BARANG Win2]],5),'Form Fix'!$A$6:$F$310,4,0),0)</f>
        <v>0</v>
      </c>
    </row>
    <row r="20" spans="1:7" x14ac:dyDescent="0.25">
      <c r="A20" t="s">
        <v>675</v>
      </c>
      <c r="B20" t="s">
        <v>820</v>
      </c>
      <c r="C20">
        <f>IFERROR(VLOOKUP(CONCATENATE(Table43_1[[#This Row],[Kode BARANG Win2]],1),'Form Fix'!$A$6:$F$310,4,0),0)</f>
        <v>100176</v>
      </c>
      <c r="D20">
        <f>IFERROR(VLOOKUP(CONCATENATE(Table43_1[[#This Row],[Kode BARANG Win2]],2),'Form Fix'!$A$6:$F$310,4,0),0)</f>
        <v>100188</v>
      </c>
      <c r="E20">
        <f>IFERROR(VLOOKUP(CONCATENATE(Table43_1[[#This Row],[Kode BARANG Win2]],3),'Form Fix'!$A$6:$F$310,4,0),0)</f>
        <v>0</v>
      </c>
      <c r="F20">
        <f>IFERROR(VLOOKUP(CONCATENATE(Table43_1[[#This Row],[Kode BARANG Win2]],4),'Form Fix'!$A$6:$F$310,4,0),0)</f>
        <v>0</v>
      </c>
      <c r="G20">
        <f>IFERROR(VLOOKUP(CONCATENATE(Table43_1[[#This Row],[Kode BARANG Win2]],5),'Form Fix'!$A$6:$F$310,4,0),0)</f>
        <v>0</v>
      </c>
    </row>
    <row r="21" spans="1:7" x14ac:dyDescent="0.25">
      <c r="A21" t="s">
        <v>752</v>
      </c>
      <c r="B21" t="s">
        <v>264</v>
      </c>
      <c r="C21">
        <f>IFERROR(VLOOKUP(CONCATENATE(Table43_1[[#This Row],[Kode BARANG Win2]],1),'Form Fix'!$A$6:$F$310,4,0),0)</f>
        <v>100186</v>
      </c>
      <c r="D21">
        <f>IFERROR(VLOOKUP(CONCATENATE(Table43_1[[#This Row],[Kode BARANG Win2]],2),'Form Fix'!$A$6:$F$310,4,0),0)</f>
        <v>100229</v>
      </c>
      <c r="E21">
        <f>IFERROR(VLOOKUP(CONCATENATE(Table43_1[[#This Row],[Kode BARANG Win2]],3),'Form Fix'!$A$6:$F$310,4,0),0)</f>
        <v>0</v>
      </c>
      <c r="F21">
        <f>IFERROR(VLOOKUP(CONCATENATE(Table43_1[[#This Row],[Kode BARANG Win2]],4),'Form Fix'!$A$6:$F$310,4,0),0)</f>
        <v>0</v>
      </c>
      <c r="G21">
        <f>IFERROR(VLOOKUP(CONCATENATE(Table43_1[[#This Row],[Kode BARANG Win2]],5),'Form Fix'!$A$6:$F$310,4,0),0)</f>
        <v>0</v>
      </c>
    </row>
    <row r="22" spans="1:7" x14ac:dyDescent="0.25">
      <c r="A22" t="s">
        <v>677</v>
      </c>
      <c r="B22" t="s">
        <v>821</v>
      </c>
      <c r="C22">
        <f>IFERROR(VLOOKUP(CONCATENATE(Table43_1[[#This Row],[Kode BARANG Win2]],1),'Form Fix'!$A$6:$F$310,4,0),0)</f>
        <v>100181</v>
      </c>
      <c r="D22">
        <f>IFERROR(VLOOKUP(CONCATENATE(Table43_1[[#This Row],[Kode BARANG Win2]],2),'Form Fix'!$A$6:$F$310,4,0),0)</f>
        <v>100228</v>
      </c>
      <c r="E22">
        <f>IFERROR(VLOOKUP(CONCATENATE(Table43_1[[#This Row],[Kode BARANG Win2]],3),'Form Fix'!$A$6:$F$310,4,0),0)</f>
        <v>0</v>
      </c>
      <c r="F22">
        <f>IFERROR(VLOOKUP(CONCATENATE(Table43_1[[#This Row],[Kode BARANG Win2]],4),'Form Fix'!$A$6:$F$310,4,0),0)</f>
        <v>0</v>
      </c>
      <c r="G22">
        <f>IFERROR(VLOOKUP(CONCATENATE(Table43_1[[#This Row],[Kode BARANG Win2]],5),'Form Fix'!$A$6:$F$310,4,0),0)</f>
        <v>0</v>
      </c>
    </row>
    <row r="23" spans="1:7" x14ac:dyDescent="0.25">
      <c r="A23" t="s">
        <v>659</v>
      </c>
      <c r="B23" t="s">
        <v>822</v>
      </c>
      <c r="C23">
        <f>IFERROR(VLOOKUP(CONCATENATE(Table43_1[[#This Row],[Kode BARANG Win2]],1),'Form Fix'!$A$6:$F$310,4,0),0)</f>
        <v>100156</v>
      </c>
      <c r="D23">
        <f>IFERROR(VLOOKUP(CONCATENATE(Table43_1[[#This Row],[Kode BARANG Win2]],2),'Form Fix'!$A$6:$F$310,4,0),0)</f>
        <v>0</v>
      </c>
      <c r="E23">
        <f>IFERROR(VLOOKUP(CONCATENATE(Table43_1[[#This Row],[Kode BARANG Win2]],3),'Form Fix'!$A$6:$F$310,4,0),0)</f>
        <v>0</v>
      </c>
      <c r="F23">
        <f>IFERROR(VLOOKUP(CONCATENATE(Table43_1[[#This Row],[Kode BARANG Win2]],4),'Form Fix'!$A$6:$F$310,4,0),0)</f>
        <v>0</v>
      </c>
      <c r="G23">
        <f>IFERROR(VLOOKUP(CONCATENATE(Table43_1[[#This Row],[Kode BARANG Win2]],5),'Form Fix'!$A$6:$F$310,4,0),0)</f>
        <v>0</v>
      </c>
    </row>
    <row r="24" spans="1:7" x14ac:dyDescent="0.25">
      <c r="A24" t="s">
        <v>658</v>
      </c>
      <c r="B24" t="s">
        <v>823</v>
      </c>
      <c r="C24">
        <f>IFERROR(VLOOKUP(CONCATENATE(Table43_1[[#This Row],[Kode BARANG Win2]],1),'Form Fix'!$A$6:$F$310,4,0),0)</f>
        <v>100191</v>
      </c>
      <c r="D24">
        <f>IFERROR(VLOOKUP(CONCATENATE(Table43_1[[#This Row],[Kode BARANG Win2]],2),'Form Fix'!$A$6:$F$310,4,0),0)</f>
        <v>100191</v>
      </c>
      <c r="E24">
        <f>IFERROR(VLOOKUP(CONCATENATE(Table43_1[[#This Row],[Kode BARANG Win2]],3),'Form Fix'!$A$6:$F$310,4,0),0)</f>
        <v>0</v>
      </c>
      <c r="F24">
        <f>IFERROR(VLOOKUP(CONCATENATE(Table43_1[[#This Row],[Kode BARANG Win2]],4),'Form Fix'!$A$6:$F$310,4,0),0)</f>
        <v>0</v>
      </c>
      <c r="G24">
        <f>IFERROR(VLOOKUP(CONCATENATE(Table43_1[[#This Row],[Kode BARANG Win2]],5),'Form Fix'!$A$6:$F$310,4,0),0)</f>
        <v>0</v>
      </c>
    </row>
    <row r="25" spans="1:7" x14ac:dyDescent="0.25">
      <c r="A25" t="s">
        <v>660</v>
      </c>
      <c r="B25" t="s">
        <v>824</v>
      </c>
      <c r="C25">
        <f>IFERROR(VLOOKUP(CONCATENATE(Table43_1[[#This Row],[Kode BARANG Win2]],1),'Form Fix'!$A$6:$F$310,4,0),0)</f>
        <v>100180</v>
      </c>
      <c r="D25">
        <f>IFERROR(VLOOKUP(CONCATENATE(Table43_1[[#This Row],[Kode BARANG Win2]],2),'Form Fix'!$A$6:$F$310,4,0),0)</f>
        <v>0</v>
      </c>
      <c r="E25">
        <f>IFERROR(VLOOKUP(CONCATENATE(Table43_1[[#This Row],[Kode BARANG Win2]],3),'Form Fix'!$A$6:$F$310,4,0),0)</f>
        <v>0</v>
      </c>
      <c r="F25">
        <f>IFERROR(VLOOKUP(CONCATENATE(Table43_1[[#This Row],[Kode BARANG Win2]],4),'Form Fix'!$A$6:$F$310,4,0),0)</f>
        <v>0</v>
      </c>
      <c r="G25">
        <f>IFERROR(VLOOKUP(CONCATENATE(Table43_1[[#This Row],[Kode BARANG Win2]],5),'Form Fix'!$A$6:$F$310,4,0),0)</f>
        <v>0</v>
      </c>
    </row>
    <row r="26" spans="1:7" x14ac:dyDescent="0.25">
      <c r="A26" t="s">
        <v>802</v>
      </c>
      <c r="B26" t="s">
        <v>825</v>
      </c>
      <c r="C26">
        <f>IFERROR(VLOOKUP(CONCATENATE(Table43_1[[#This Row],[Kode BARANG Win2]],1),'Form Fix'!$A$6:$F$310,4,0),0)</f>
        <v>100141</v>
      </c>
      <c r="D26">
        <f>IFERROR(VLOOKUP(CONCATENATE(Table43_1[[#This Row],[Kode BARANG Win2]],2),'Form Fix'!$A$6:$F$310,4,0),0)</f>
        <v>0</v>
      </c>
      <c r="E26">
        <f>IFERROR(VLOOKUP(CONCATENATE(Table43_1[[#This Row],[Kode BARANG Win2]],3),'Form Fix'!$A$6:$F$310,4,0),0)</f>
        <v>0</v>
      </c>
      <c r="F26">
        <f>IFERROR(VLOOKUP(CONCATENATE(Table43_1[[#This Row],[Kode BARANG Win2]],4),'Form Fix'!$A$6:$F$310,4,0),0)</f>
        <v>0</v>
      </c>
      <c r="G26">
        <f>IFERROR(VLOOKUP(CONCATENATE(Table43_1[[#This Row],[Kode BARANG Win2]],5),'Form Fix'!$A$6:$F$310,4,0),0)</f>
        <v>0</v>
      </c>
    </row>
    <row r="27" spans="1:7" x14ac:dyDescent="0.25">
      <c r="A27" t="s">
        <v>661</v>
      </c>
      <c r="B27" t="s">
        <v>826</v>
      </c>
      <c r="C27">
        <f>IFERROR(VLOOKUP(CONCATENATE(Table43_1[[#This Row],[Kode BARANG Win2]],1),'Form Fix'!$A$6:$F$310,4,0),0)</f>
        <v>100151</v>
      </c>
      <c r="D27">
        <f>IFERROR(VLOOKUP(CONCATENATE(Table43_1[[#This Row],[Kode BARANG Win2]],2),'Form Fix'!$A$6:$F$310,4,0),0)</f>
        <v>0</v>
      </c>
      <c r="E27">
        <f>IFERROR(VLOOKUP(CONCATENATE(Table43_1[[#This Row],[Kode BARANG Win2]],3),'Form Fix'!$A$6:$F$310,4,0),0)</f>
        <v>0</v>
      </c>
      <c r="F27">
        <f>IFERROR(VLOOKUP(CONCATENATE(Table43_1[[#This Row],[Kode BARANG Win2]],4),'Form Fix'!$A$6:$F$310,4,0),0)</f>
        <v>0</v>
      </c>
      <c r="G27">
        <f>IFERROR(VLOOKUP(CONCATENATE(Table43_1[[#This Row],[Kode BARANG Win2]],5),'Form Fix'!$A$6:$F$310,4,0),0)</f>
        <v>0</v>
      </c>
    </row>
    <row r="28" spans="1:7" x14ac:dyDescent="0.25">
      <c r="A28" t="s">
        <v>803</v>
      </c>
      <c r="B28" t="s">
        <v>828</v>
      </c>
      <c r="C28">
        <f>IFERROR(VLOOKUP(CONCATENATE(Table43_1[[#This Row],[Kode BARANG Win2]],1),'Form Fix'!$A$6:$F$310,4,0),0)</f>
        <v>100173</v>
      </c>
      <c r="D28">
        <f>IFERROR(VLOOKUP(CONCATENATE(Table43_1[[#This Row],[Kode BARANG Win2]],2),'Form Fix'!$A$6:$F$310,4,0),0)</f>
        <v>0</v>
      </c>
      <c r="E28">
        <f>IFERROR(VLOOKUP(CONCATENATE(Table43_1[[#This Row],[Kode BARANG Win2]],3),'Form Fix'!$A$6:$F$310,4,0),0)</f>
        <v>0</v>
      </c>
      <c r="F28">
        <f>IFERROR(VLOOKUP(CONCATENATE(Table43_1[[#This Row],[Kode BARANG Win2]],4),'Form Fix'!$A$6:$F$310,4,0),0)</f>
        <v>0</v>
      </c>
      <c r="G28">
        <f>IFERROR(VLOOKUP(CONCATENATE(Table43_1[[#This Row],[Kode BARANG Win2]],5),'Form Fix'!$A$6:$F$310,4,0),0)</f>
        <v>0</v>
      </c>
    </row>
    <row r="29" spans="1:7" x14ac:dyDescent="0.25">
      <c r="A29" t="s">
        <v>662</v>
      </c>
      <c r="B29" t="s">
        <v>827</v>
      </c>
      <c r="C29">
        <f>IFERROR(VLOOKUP(CONCATENATE(Table43_1[[#This Row],[Kode BARANG Win2]],1),'Form Fix'!$A$6:$F$310,4,0),0)</f>
        <v>100174</v>
      </c>
      <c r="D29">
        <f>IFERROR(VLOOKUP(CONCATENATE(Table43_1[[#This Row],[Kode BARANG Win2]],2),'Form Fix'!$A$6:$F$310,4,0),0)</f>
        <v>0</v>
      </c>
      <c r="E29">
        <f>IFERROR(VLOOKUP(CONCATENATE(Table43_1[[#This Row],[Kode BARANG Win2]],3),'Form Fix'!$A$6:$F$310,4,0),0)</f>
        <v>0</v>
      </c>
      <c r="F29">
        <f>IFERROR(VLOOKUP(CONCATENATE(Table43_1[[#This Row],[Kode BARANG Win2]],4),'Form Fix'!$A$6:$F$310,4,0),0)</f>
        <v>0</v>
      </c>
      <c r="G29">
        <f>IFERROR(VLOOKUP(CONCATENATE(Table43_1[[#This Row],[Kode BARANG Win2]],5),'Form Fix'!$A$6:$F$310,4,0),0)</f>
        <v>0</v>
      </c>
    </row>
    <row r="30" spans="1:7" x14ac:dyDescent="0.25">
      <c r="A30" t="s">
        <v>663</v>
      </c>
      <c r="B30" t="s">
        <v>829</v>
      </c>
      <c r="C30">
        <f>IFERROR(VLOOKUP(CONCATENATE(Table43_1[[#This Row],[Kode BARANG Win2]],1),'Form Fix'!$A$6:$F$310,4,0),0)</f>
        <v>100192</v>
      </c>
      <c r="D30">
        <f>IFERROR(VLOOKUP(CONCATENATE(Table43_1[[#This Row],[Kode BARANG Win2]],2),'Form Fix'!$A$6:$F$310,4,0),0)</f>
        <v>100201</v>
      </c>
      <c r="E30">
        <f>IFERROR(VLOOKUP(CONCATENATE(Table43_1[[#This Row],[Kode BARANG Win2]],3),'Form Fix'!$A$6:$F$310,4,0),0)</f>
        <v>0</v>
      </c>
      <c r="F30">
        <f>IFERROR(VLOOKUP(CONCATENATE(Table43_1[[#This Row],[Kode BARANG Win2]],4),'Form Fix'!$A$6:$F$310,4,0),0)</f>
        <v>0</v>
      </c>
      <c r="G30">
        <f>IFERROR(VLOOKUP(CONCATENATE(Table43_1[[#This Row],[Kode BARANG Win2]],5),'Form Fix'!$A$6:$F$310,4,0),0)</f>
        <v>0</v>
      </c>
    </row>
    <row r="31" spans="1:7" x14ac:dyDescent="0.25">
      <c r="A31" t="s">
        <v>665</v>
      </c>
      <c r="B31" t="s">
        <v>830</v>
      </c>
      <c r="C31">
        <f>IFERROR(VLOOKUP(CONCATENATE(Table43_1[[#This Row],[Kode BARANG Win2]],1),'Form Fix'!$A$6:$F$310,4,0),0)</f>
        <v>100193</v>
      </c>
      <c r="D31">
        <f>IFERROR(VLOOKUP(CONCATENATE(Table43_1[[#This Row],[Kode BARANG Win2]],2),'Form Fix'!$A$6:$F$310,4,0),0)</f>
        <v>100202</v>
      </c>
      <c r="E31">
        <f>IFERROR(VLOOKUP(CONCATENATE(Table43_1[[#This Row],[Kode BARANG Win2]],3),'Form Fix'!$A$6:$F$310,4,0),0)</f>
        <v>100231</v>
      </c>
      <c r="F31">
        <f>IFERROR(VLOOKUP(CONCATENATE(Table43_1[[#This Row],[Kode BARANG Win2]],4),'Form Fix'!$A$6:$F$310,4,0),0)</f>
        <v>0</v>
      </c>
      <c r="G31">
        <f>IFERROR(VLOOKUP(CONCATENATE(Table43_1[[#This Row],[Kode BARANG Win2]],5),'Form Fix'!$A$6:$F$310,4,0),0)</f>
        <v>0</v>
      </c>
    </row>
    <row r="32" spans="1:7" x14ac:dyDescent="0.25">
      <c r="A32" t="s">
        <v>666</v>
      </c>
      <c r="B32" t="s">
        <v>831</v>
      </c>
      <c r="C32">
        <f>IFERROR(VLOOKUP(CONCATENATE(Table43_1[[#This Row],[Kode BARANG Win2]],1),'Form Fix'!$A$6:$F$310,4,0),0)</f>
        <v>100204</v>
      </c>
      <c r="D32">
        <f>IFERROR(VLOOKUP(CONCATENATE(Table43_1[[#This Row],[Kode BARANG Win2]],2),'Form Fix'!$A$6:$F$310,4,0),0)</f>
        <v>0</v>
      </c>
      <c r="E32">
        <f>IFERROR(VLOOKUP(CONCATENATE(Table43_1[[#This Row],[Kode BARANG Win2]],3),'Form Fix'!$A$6:$F$310,4,0),0)</f>
        <v>0</v>
      </c>
      <c r="F32">
        <f>IFERROR(VLOOKUP(CONCATENATE(Table43_1[[#This Row],[Kode BARANG Win2]],4),'Form Fix'!$A$6:$F$310,4,0),0)</f>
        <v>0</v>
      </c>
      <c r="G32">
        <f>IFERROR(VLOOKUP(CONCATENATE(Table43_1[[#This Row],[Kode BARANG Win2]],5),'Form Fix'!$A$6:$F$310,4,0),0)</f>
        <v>0</v>
      </c>
    </row>
    <row r="33" spans="1:7" x14ac:dyDescent="0.25">
      <c r="A33" t="s">
        <v>664</v>
      </c>
      <c r="B33" t="s">
        <v>832</v>
      </c>
      <c r="C33">
        <f>IFERROR(VLOOKUP(CONCATENATE(Table43_1[[#This Row],[Kode BARANG Win2]],1),'Form Fix'!$A$6:$F$310,4,0),0)</f>
        <v>100194</v>
      </c>
      <c r="D33">
        <f>IFERROR(VLOOKUP(CONCATENATE(Table43_1[[#This Row],[Kode BARANG Win2]],2),'Form Fix'!$A$6:$F$310,4,0),0)</f>
        <v>100203</v>
      </c>
      <c r="E33">
        <f>IFERROR(VLOOKUP(CONCATENATE(Table43_1[[#This Row],[Kode BARANG Win2]],3),'Form Fix'!$A$6:$F$310,4,0),0)</f>
        <v>100215</v>
      </c>
      <c r="F33">
        <f>IFERROR(VLOOKUP(CONCATENATE(Table43_1[[#This Row],[Kode BARANG Win2]],4),'Form Fix'!$A$6:$F$310,4,0),0)</f>
        <v>0</v>
      </c>
      <c r="G33">
        <f>IFERROR(VLOOKUP(CONCATENATE(Table43_1[[#This Row],[Kode BARANG Win2]],5),'Form Fix'!$A$6:$F$310,4,0),0)</f>
        <v>0</v>
      </c>
    </row>
    <row r="34" spans="1:7" x14ac:dyDescent="0.25">
      <c r="A34" t="s">
        <v>753</v>
      </c>
      <c r="B34" t="s">
        <v>1086</v>
      </c>
      <c r="C34">
        <f>IFERROR(VLOOKUP(CONCATENATE(Table43_1[[#This Row],[Kode BARANG Win2]],1),'Form Fix'!$A$6:$F$310,4,0),0)</f>
        <v>100168</v>
      </c>
      <c r="D34">
        <f>IFERROR(VLOOKUP(CONCATENATE(Table43_1[[#This Row],[Kode BARANG Win2]],2),'Form Fix'!$A$6:$F$310,4,0),0)</f>
        <v>100205</v>
      </c>
      <c r="E34">
        <f>IFERROR(VLOOKUP(CONCATENATE(Table43_1[[#This Row],[Kode BARANG Win2]],3),'Form Fix'!$A$6:$F$310,4,0),0)</f>
        <v>100233</v>
      </c>
      <c r="F34">
        <f>IFERROR(VLOOKUP(CONCATENATE(Table43_1[[#This Row],[Kode BARANG Win2]],4),'Form Fix'!$A$6:$F$310,4,0),0)</f>
        <v>100265</v>
      </c>
      <c r="G34">
        <f>IFERROR(VLOOKUP(CONCATENATE(Table43_1[[#This Row],[Kode BARANG Win2]],5),'Form Fix'!$A$6:$F$310,4,0),0)</f>
        <v>0</v>
      </c>
    </row>
    <row r="35" spans="1:7" x14ac:dyDescent="0.25">
      <c r="A35" t="s">
        <v>754</v>
      </c>
      <c r="B35" t="s">
        <v>833</v>
      </c>
      <c r="C35">
        <f>IFERROR(VLOOKUP(CONCATENATE(Table43_1[[#This Row],[Kode BARANG Win2]],1),'Form Fix'!$A$6:$F$310,4,0),0)</f>
        <v>100987</v>
      </c>
      <c r="D35">
        <f>IFERROR(VLOOKUP(CONCATENATE(Table43_1[[#This Row],[Kode BARANG Win2]],2),'Form Fix'!$A$6:$F$310,4,0),0)</f>
        <v>0</v>
      </c>
      <c r="E35">
        <f>IFERROR(VLOOKUP(CONCATENATE(Table43_1[[#This Row],[Kode BARANG Win2]],3),'Form Fix'!$A$6:$F$310,4,0),0)</f>
        <v>0</v>
      </c>
      <c r="F35">
        <f>IFERROR(VLOOKUP(CONCATENATE(Table43_1[[#This Row],[Kode BARANG Win2]],4),'Form Fix'!$A$6:$F$310,4,0),0)</f>
        <v>0</v>
      </c>
      <c r="G35">
        <f>IFERROR(VLOOKUP(CONCATENATE(Table43_1[[#This Row],[Kode BARANG Win2]],5),'Form Fix'!$A$6:$F$310,4,0),0)</f>
        <v>0</v>
      </c>
    </row>
    <row r="36" spans="1:7" x14ac:dyDescent="0.25">
      <c r="A36" t="s">
        <v>755</v>
      </c>
      <c r="B36" t="s">
        <v>834</v>
      </c>
      <c r="C36">
        <f>IFERROR(VLOOKUP(CONCATENATE(Table43_1[[#This Row],[Kode BARANG Win2]],1),'Form Fix'!$A$6:$F$310,4,0),0)</f>
        <v>100195</v>
      </c>
      <c r="D36">
        <f>IFERROR(VLOOKUP(CONCATENATE(Table43_1[[#This Row],[Kode BARANG Win2]],2),'Form Fix'!$A$6:$F$310,4,0),0)</f>
        <v>0</v>
      </c>
      <c r="E36">
        <f>IFERROR(VLOOKUP(CONCATENATE(Table43_1[[#This Row],[Kode BARANG Win2]],3),'Form Fix'!$A$6:$F$310,4,0),0)</f>
        <v>0</v>
      </c>
      <c r="F36">
        <f>IFERROR(VLOOKUP(CONCATENATE(Table43_1[[#This Row],[Kode BARANG Win2]],4),'Form Fix'!$A$6:$F$310,4,0),0)</f>
        <v>0</v>
      </c>
      <c r="G36">
        <f>IFERROR(VLOOKUP(CONCATENATE(Table43_1[[#This Row],[Kode BARANG Win2]],5),'Form Fix'!$A$6:$F$310,4,0),0)</f>
        <v>0</v>
      </c>
    </row>
    <row r="37" spans="1:7" x14ac:dyDescent="0.25">
      <c r="A37" t="s">
        <v>756</v>
      </c>
      <c r="B37" t="s">
        <v>835</v>
      </c>
      <c r="C37">
        <f>IFERROR(VLOOKUP(CONCATENATE(Table43_1[[#This Row],[Kode BARANG Win2]],1),'Form Fix'!$A$6:$F$310,4,0),0)</f>
        <v>100975</v>
      </c>
      <c r="D37">
        <f>IFERROR(VLOOKUP(CONCATENATE(Table43_1[[#This Row],[Kode BARANG Win2]],2),'Form Fix'!$A$6:$F$310,4,0),0)</f>
        <v>0</v>
      </c>
      <c r="E37">
        <f>IFERROR(VLOOKUP(CONCATENATE(Table43_1[[#This Row],[Kode BARANG Win2]],3),'Form Fix'!$A$6:$F$310,4,0),0)</f>
        <v>0</v>
      </c>
      <c r="F37">
        <f>IFERROR(VLOOKUP(CONCATENATE(Table43_1[[#This Row],[Kode BARANG Win2]],4),'Form Fix'!$A$6:$F$310,4,0),0)</f>
        <v>0</v>
      </c>
      <c r="G37">
        <f>IFERROR(VLOOKUP(CONCATENATE(Table43_1[[#This Row],[Kode BARANG Win2]],5),'Form Fix'!$A$6:$F$310,4,0),0)</f>
        <v>0</v>
      </c>
    </row>
    <row r="38" spans="1:7" x14ac:dyDescent="0.25">
      <c r="A38" t="s">
        <v>757</v>
      </c>
      <c r="B38" t="s">
        <v>836</v>
      </c>
      <c r="C38">
        <f>IFERROR(VLOOKUP(CONCATENATE(Table43_1[[#This Row],[Kode BARANG Win2]],1),'Form Fix'!$A$6:$F$310,4,0),0)</f>
        <v>110016</v>
      </c>
      <c r="D38">
        <f>IFERROR(VLOOKUP(CONCATENATE(Table43_1[[#This Row],[Kode BARANG Win2]],2),'Form Fix'!$A$6:$F$310,4,0),0)</f>
        <v>110017</v>
      </c>
      <c r="E38">
        <f>IFERROR(VLOOKUP(CONCATENATE(Table43_1[[#This Row],[Kode BARANG Win2]],3),'Form Fix'!$A$6:$F$310,4,0),0)</f>
        <v>110018</v>
      </c>
      <c r="F38">
        <f>IFERROR(VLOOKUP(CONCATENATE(Table43_1[[#This Row],[Kode BARANG Win2]],4),'Form Fix'!$A$6:$F$310,4,0),0)</f>
        <v>110021</v>
      </c>
      <c r="G38">
        <f>IFERROR(VLOOKUP(CONCATENATE(Table43_1[[#This Row],[Kode BARANG Win2]],5),'Form Fix'!$A$6:$F$310,4,0),0)</f>
        <v>0</v>
      </c>
    </row>
    <row r="39" spans="1:7" x14ac:dyDescent="0.25">
      <c r="A39" t="s">
        <v>682</v>
      </c>
      <c r="B39" t="s">
        <v>837</v>
      </c>
      <c r="C39">
        <f>IFERROR(VLOOKUP(CONCATENATE(Table43_1[[#This Row],[Kode BARANG Win2]],1),'Form Fix'!$A$6:$F$310,4,0),0)</f>
        <v>110013</v>
      </c>
      <c r="D39">
        <f>IFERROR(VLOOKUP(CONCATENATE(Table43_1[[#This Row],[Kode BARANG Win2]],2),'Form Fix'!$A$6:$F$310,4,0),0)</f>
        <v>110019</v>
      </c>
      <c r="E39">
        <f>IFERROR(VLOOKUP(CONCATENATE(Table43_1[[#This Row],[Kode BARANG Win2]],3),'Form Fix'!$A$6:$F$310,4,0),0)</f>
        <v>0</v>
      </c>
      <c r="F39">
        <f>IFERROR(VLOOKUP(CONCATENATE(Table43_1[[#This Row],[Kode BARANG Win2]],4),'Form Fix'!$A$6:$F$310,4,0),0)</f>
        <v>0</v>
      </c>
      <c r="G39">
        <f>IFERROR(VLOOKUP(CONCATENATE(Table43_1[[#This Row],[Kode BARANG Win2]],5),'Form Fix'!$A$6:$F$310,4,0),0)</f>
        <v>0</v>
      </c>
    </row>
    <row r="40" spans="1:7" x14ac:dyDescent="0.25">
      <c r="A40" t="s">
        <v>758</v>
      </c>
      <c r="B40" t="s">
        <v>838</v>
      </c>
      <c r="C40">
        <f>IFERROR(VLOOKUP(CONCATENATE(Table43_1[[#This Row],[Kode BARANG Win2]],1),'Form Fix'!$A$6:$F$310,4,0),0)</f>
        <v>110014</v>
      </c>
      <c r="D40">
        <f>IFERROR(VLOOKUP(CONCATENATE(Table43_1[[#This Row],[Kode BARANG Win2]],2),'Form Fix'!$A$6:$F$310,4,0),0)</f>
        <v>110020</v>
      </c>
      <c r="E40">
        <f>IFERROR(VLOOKUP(CONCATENATE(Table43_1[[#This Row],[Kode BARANG Win2]],3),'Form Fix'!$A$6:$F$310,4,0),0)</f>
        <v>0</v>
      </c>
      <c r="F40">
        <f>IFERROR(VLOOKUP(CONCATENATE(Table43_1[[#This Row],[Kode BARANG Win2]],4),'Form Fix'!$A$6:$F$310,4,0),0)</f>
        <v>0</v>
      </c>
      <c r="G40">
        <f>IFERROR(VLOOKUP(CONCATENATE(Table43_1[[#This Row],[Kode BARANG Win2]],5),'Form Fix'!$A$6:$F$310,4,0),0)</f>
        <v>0</v>
      </c>
    </row>
    <row r="41" spans="1:7" x14ac:dyDescent="0.25">
      <c r="A41" t="s">
        <v>683</v>
      </c>
      <c r="B41" t="s">
        <v>839</v>
      </c>
      <c r="C41">
        <f>IFERROR(VLOOKUP(CONCATENATE(Table43_1[[#This Row],[Kode BARANG Win2]],1),'Form Fix'!$A$6:$F$310,4,0),0)</f>
        <v>120011</v>
      </c>
      <c r="D41">
        <f>IFERROR(VLOOKUP(CONCATENATE(Table43_1[[#This Row],[Kode BARANG Win2]],2),'Form Fix'!$A$6:$F$310,4,0),0)</f>
        <v>120029</v>
      </c>
      <c r="E41">
        <f>IFERROR(VLOOKUP(CONCATENATE(Table43_1[[#This Row],[Kode BARANG Win2]],3),'Form Fix'!$A$6:$F$310,4,0),0)</f>
        <v>120041</v>
      </c>
      <c r="F41">
        <f>IFERROR(VLOOKUP(CONCATENATE(Table43_1[[#This Row],[Kode BARANG Win2]],4),'Form Fix'!$A$6:$F$310,4,0),0)</f>
        <v>0</v>
      </c>
      <c r="G41">
        <f>IFERROR(VLOOKUP(CONCATENATE(Table43_1[[#This Row],[Kode BARANG Win2]],5),'Form Fix'!$A$6:$F$310,4,0),0)</f>
        <v>0</v>
      </c>
    </row>
    <row r="42" spans="1:7" x14ac:dyDescent="0.25">
      <c r="A42" t="s">
        <v>1056</v>
      </c>
      <c r="B42" t="s">
        <v>1072</v>
      </c>
      <c r="C42">
        <f>IFERROR(VLOOKUP(CONCATENATE(Table43_1[[#This Row],[Kode BARANG Win2]],1),'Form Fix'!$A$6:$F$310,4,0),0)</f>
        <v>0</v>
      </c>
      <c r="D42">
        <f>IFERROR(VLOOKUP(CONCATENATE(Table43_1[[#This Row],[Kode BARANG Win2]],2),'Form Fix'!$A$6:$F$310,4,0),0)</f>
        <v>120042</v>
      </c>
      <c r="E42">
        <f>IFERROR(VLOOKUP(CONCATENATE(Table43_1[[#This Row],[Kode BARANG Win2]],3),'Form Fix'!$A$6:$F$310,4,0),0)</f>
        <v>0</v>
      </c>
      <c r="F42">
        <f>IFERROR(VLOOKUP(CONCATENATE(Table43_1[[#This Row],[Kode BARANG Win2]],4),'Form Fix'!$A$6:$F$310,4,0),0)</f>
        <v>0</v>
      </c>
      <c r="G42">
        <f>IFERROR(VLOOKUP(CONCATENATE(Table43_1[[#This Row],[Kode BARANG Win2]],5),'Form Fix'!$A$6:$F$310,4,0),0)</f>
        <v>0</v>
      </c>
    </row>
    <row r="43" spans="1:7" x14ac:dyDescent="0.25">
      <c r="A43" t="s">
        <v>1071</v>
      </c>
      <c r="B43" t="s">
        <v>1073</v>
      </c>
      <c r="C43">
        <f>IFERROR(VLOOKUP(CONCATENATE(Table43_1[[#This Row],[Kode BARANG Win2]],1),'Form Fix'!$A$6:$F$310,4,0),0)</f>
        <v>0</v>
      </c>
      <c r="D43">
        <f>IFERROR(VLOOKUP(CONCATENATE(Table43_1[[#This Row],[Kode BARANG Win2]],2),'Form Fix'!$A$6:$F$310,4,0),0)</f>
        <v>0</v>
      </c>
      <c r="E43">
        <f>IFERROR(VLOOKUP(CONCATENATE(Table43_1[[#This Row],[Kode BARANG Win2]],3),'Form Fix'!$A$6:$F$310,4,0),0)</f>
        <v>120036</v>
      </c>
      <c r="F43">
        <f>IFERROR(VLOOKUP(CONCATENATE(Table43_1[[#This Row],[Kode BARANG Win2]],4),'Form Fix'!$A$6:$F$310,4,0),0)</f>
        <v>0</v>
      </c>
      <c r="G43">
        <f>IFERROR(VLOOKUP(CONCATENATE(Table43_1[[#This Row],[Kode BARANG Win2]],5),'Form Fix'!$A$6:$F$310,4,0),0)</f>
        <v>0</v>
      </c>
    </row>
    <row r="44" spans="1:7" x14ac:dyDescent="0.25">
      <c r="A44" t="s">
        <v>685</v>
      </c>
      <c r="B44" t="s">
        <v>840</v>
      </c>
      <c r="C44">
        <f>IFERROR(VLOOKUP(CONCATENATE(Table43_1[[#This Row],[Kode BARANG Win2]],1),'Form Fix'!$A$6:$F$310,4,0),0)</f>
        <v>120030</v>
      </c>
      <c r="D44">
        <f>IFERROR(VLOOKUP(CONCATENATE(Table43_1[[#This Row],[Kode BARANG Win2]],2),'Form Fix'!$A$6:$F$310,4,0),0)</f>
        <v>120035</v>
      </c>
      <c r="E44">
        <f>IFERROR(VLOOKUP(CONCATENATE(Table43_1[[#This Row],[Kode BARANG Win2]],3),'Form Fix'!$A$6:$F$310,4,0),0)</f>
        <v>0</v>
      </c>
      <c r="F44">
        <f>IFERROR(VLOOKUP(CONCATENATE(Table43_1[[#This Row],[Kode BARANG Win2]],4),'Form Fix'!$A$6:$F$310,4,0),0)</f>
        <v>0</v>
      </c>
      <c r="G44">
        <f>IFERROR(VLOOKUP(CONCATENATE(Table43_1[[#This Row],[Kode BARANG Win2]],5),'Form Fix'!$A$6:$F$310,4,0),0)</f>
        <v>0</v>
      </c>
    </row>
    <row r="45" spans="1:7" x14ac:dyDescent="0.25">
      <c r="A45" t="s">
        <v>687</v>
      </c>
      <c r="B45" t="s">
        <v>841</v>
      </c>
      <c r="C45">
        <f>IFERROR(VLOOKUP(CONCATENATE(Table43_1[[#This Row],[Kode BARANG Win2]],1),'Form Fix'!$A$6:$F$310,4,0),0)</f>
        <v>120034</v>
      </c>
      <c r="D45">
        <f>IFERROR(VLOOKUP(CONCATENATE(Table43_1[[#This Row],[Kode BARANG Win2]],2),'Form Fix'!$A$6:$F$310,4,0),0)</f>
        <v>120038</v>
      </c>
      <c r="E45">
        <f>IFERROR(VLOOKUP(CONCATENATE(Table43_1[[#This Row],[Kode BARANG Win2]],3),'Form Fix'!$A$6:$F$310,4,0),0)</f>
        <v>0</v>
      </c>
      <c r="F45">
        <f>IFERROR(VLOOKUP(CONCATENATE(Table43_1[[#This Row],[Kode BARANG Win2]],4),'Form Fix'!$A$6:$F$310,4,0),0)</f>
        <v>0</v>
      </c>
      <c r="G45">
        <f>IFERROR(VLOOKUP(CONCATENATE(Table43_1[[#This Row],[Kode BARANG Win2]],5),'Form Fix'!$A$6:$F$310,4,0),0)</f>
        <v>0</v>
      </c>
    </row>
    <row r="46" spans="1:7" x14ac:dyDescent="0.25">
      <c r="A46" t="s">
        <v>684</v>
      </c>
      <c r="B46" t="s">
        <v>842</v>
      </c>
      <c r="C46">
        <f>IFERROR(VLOOKUP(CONCATENATE(Table43_1[[#This Row],[Kode BARANG Win2]],1),'Form Fix'!$A$6:$F$310,4,0),0)</f>
        <v>120031</v>
      </c>
      <c r="D46">
        <f>IFERROR(VLOOKUP(CONCATENATE(Table43_1[[#This Row],[Kode BARANG Win2]],2),'Form Fix'!$A$6:$F$310,4,0),0)</f>
        <v>120033</v>
      </c>
      <c r="E46">
        <f>IFERROR(VLOOKUP(CONCATENATE(Table43_1[[#This Row],[Kode BARANG Win2]],3),'Form Fix'!$A$6:$F$310,4,0),0)</f>
        <v>120040</v>
      </c>
      <c r="F46">
        <f>IFERROR(VLOOKUP(CONCATENATE(Table43_1[[#This Row],[Kode BARANG Win2]],4),'Form Fix'!$A$6:$F$310,4,0),0)</f>
        <v>0</v>
      </c>
      <c r="G46">
        <f>IFERROR(VLOOKUP(CONCATENATE(Table43_1[[#This Row],[Kode BARANG Win2]],5),'Form Fix'!$A$6:$F$310,4,0),0)</f>
        <v>0</v>
      </c>
    </row>
    <row r="47" spans="1:7" x14ac:dyDescent="0.25">
      <c r="A47" t="s">
        <v>686</v>
      </c>
      <c r="B47" t="s">
        <v>843</v>
      </c>
      <c r="C47">
        <f>IFERROR(VLOOKUP(CONCATENATE(Table43_1[[#This Row],[Kode BARANG Win2]],1),'Form Fix'!$A$6:$F$310,4,0),0)</f>
        <v>120032</v>
      </c>
      <c r="D47">
        <f>IFERROR(VLOOKUP(CONCATENATE(Table43_1[[#This Row],[Kode BARANG Win2]],2),'Form Fix'!$A$6:$F$310,4,0),0)</f>
        <v>120037</v>
      </c>
      <c r="E47">
        <f>IFERROR(VLOOKUP(CONCATENATE(Table43_1[[#This Row],[Kode BARANG Win2]],3),'Form Fix'!$A$6:$F$310,4,0),0)</f>
        <v>0</v>
      </c>
      <c r="F47">
        <f>IFERROR(VLOOKUP(CONCATENATE(Table43_1[[#This Row],[Kode BARANG Win2]],4),'Form Fix'!$A$6:$F$310,4,0),0)</f>
        <v>0</v>
      </c>
      <c r="G47">
        <f>IFERROR(VLOOKUP(CONCATENATE(Table43_1[[#This Row],[Kode BARANG Win2]],5),'Form Fix'!$A$6:$F$310,4,0),0)</f>
        <v>0</v>
      </c>
    </row>
    <row r="48" spans="1:7" x14ac:dyDescent="0.25">
      <c r="A48" t="s">
        <v>688</v>
      </c>
      <c r="B48" t="s">
        <v>844</v>
      </c>
      <c r="C48">
        <f>IFERROR(VLOOKUP(CONCATENATE(Table43_1[[#This Row],[Kode BARANG Win2]],1),'Form Fix'!$A$6:$F$310,4,0),0)</f>
        <v>120028</v>
      </c>
      <c r="D48">
        <f>IFERROR(VLOOKUP(CONCATENATE(Table43_1[[#This Row],[Kode BARANG Win2]],2),'Form Fix'!$A$6:$F$310,4,0),0)</f>
        <v>120043</v>
      </c>
      <c r="E48">
        <f>IFERROR(VLOOKUP(CONCATENATE(Table43_1[[#This Row],[Kode BARANG Win2]],3),'Form Fix'!$A$6:$F$310,4,0),0)</f>
        <v>0</v>
      </c>
      <c r="F48">
        <f>IFERROR(VLOOKUP(CONCATENATE(Table43_1[[#This Row],[Kode BARANG Win2]],4),'Form Fix'!$A$6:$F$310,4,0),0)</f>
        <v>0</v>
      </c>
      <c r="G48">
        <f>IFERROR(VLOOKUP(CONCATENATE(Table43_1[[#This Row],[Kode BARANG Win2]],5),'Form Fix'!$A$6:$F$310,4,0),0)</f>
        <v>0</v>
      </c>
    </row>
    <row r="49" spans="1:7" x14ac:dyDescent="0.25">
      <c r="A49" t="s">
        <v>1042</v>
      </c>
      <c r="B49" t="s">
        <v>1045</v>
      </c>
      <c r="C49">
        <f>IFERROR(VLOOKUP(CONCATENATE(Table43_1[[#This Row],[Kode BARANG Win2]],1),'Form Fix'!$A$6:$F$310,4,0),0)</f>
        <v>120045</v>
      </c>
      <c r="D49">
        <f>IFERROR(VLOOKUP(CONCATENATE(Table43_1[[#This Row],[Kode BARANG Win2]],2),'Form Fix'!$A$6:$F$310,4,0),0)</f>
        <v>0</v>
      </c>
      <c r="E49">
        <f>IFERROR(VLOOKUP(CONCATENATE(Table43_1[[#This Row],[Kode BARANG Win2]],3),'Form Fix'!$A$6:$F$310,4,0),0)</f>
        <v>0</v>
      </c>
      <c r="F49">
        <f>IFERROR(VLOOKUP(CONCATENATE(Table43_1[[#This Row],[Kode BARANG Win2]],4),'Form Fix'!$A$6:$F$310,4,0),0)</f>
        <v>0</v>
      </c>
      <c r="G49">
        <f>IFERROR(VLOOKUP(CONCATENATE(Table43_1[[#This Row],[Kode BARANG Win2]],5),'Form Fix'!$A$6:$F$310,4,0),0)</f>
        <v>0</v>
      </c>
    </row>
    <row r="50" spans="1:7" x14ac:dyDescent="0.25">
      <c r="A50" t="s">
        <v>1032</v>
      </c>
      <c r="B50" t="s">
        <v>1033</v>
      </c>
      <c r="C50">
        <f>IFERROR(VLOOKUP(CONCATENATE(Table43_1[[#This Row],[Kode BARANG Win2]],1),'Form Fix'!$A$6:$F$310,4,0),0)</f>
        <v>101001</v>
      </c>
      <c r="D50">
        <f>IFERROR(VLOOKUP(CONCATENATE(Table43_1[[#This Row],[Kode BARANG Win2]],2),'Form Fix'!$A$6:$F$310,4,0),0)</f>
        <v>0</v>
      </c>
      <c r="E50">
        <f>IFERROR(VLOOKUP(CONCATENATE(Table43_1[[#This Row],[Kode BARANG Win2]],3),'Form Fix'!$A$6:$F$310,4,0),0)</f>
        <v>0</v>
      </c>
      <c r="F50">
        <f>IFERROR(VLOOKUP(CONCATENATE(Table43_1[[#This Row],[Kode BARANG Win2]],4),'Form Fix'!$A$6:$F$310,4,0),0)</f>
        <v>0</v>
      </c>
      <c r="G50">
        <f>IFERROR(VLOOKUP(CONCATENATE(Table43_1[[#This Row],[Kode BARANG Win2]],5),'Form Fix'!$A$6:$F$310,4,0),0)</f>
        <v>0</v>
      </c>
    </row>
    <row r="51" spans="1:7" x14ac:dyDescent="0.25">
      <c r="A51" t="s">
        <v>759</v>
      </c>
      <c r="B51" t="s">
        <v>845</v>
      </c>
      <c r="C51">
        <f>IFERROR(VLOOKUP(CONCATENATE(Table43_1[[#This Row],[Kode BARANG Win2]],1),'Form Fix'!$A$6:$F$310,4,0),0)</f>
        <v>612087</v>
      </c>
      <c r="D51">
        <f>IFERROR(VLOOKUP(CONCATENATE(Table43_1[[#This Row],[Kode BARANG Win2]],2),'Form Fix'!$A$6:$F$310,4,0),0)</f>
        <v>612137</v>
      </c>
      <c r="E51">
        <f>IFERROR(VLOOKUP(CONCATENATE(Table43_1[[#This Row],[Kode BARANG Win2]],3),'Form Fix'!$A$6:$F$310,4,0),0)</f>
        <v>612147</v>
      </c>
      <c r="F51">
        <f>IFERROR(VLOOKUP(CONCATENATE(Table43_1[[#This Row],[Kode BARANG Win2]],4),'Form Fix'!$A$6:$F$310,4,0),0)</f>
        <v>0</v>
      </c>
      <c r="G51">
        <f>IFERROR(VLOOKUP(CONCATENATE(Table43_1[[#This Row],[Kode BARANG Win2]],5),'Form Fix'!$A$6:$F$310,4,0),0)</f>
        <v>0</v>
      </c>
    </row>
    <row r="52" spans="1:7" x14ac:dyDescent="0.25">
      <c r="A52" t="s">
        <v>689</v>
      </c>
      <c r="B52" t="s">
        <v>846</v>
      </c>
      <c r="C52">
        <f>IFERROR(VLOOKUP(CONCATENATE(Table43_1[[#This Row],[Kode BARANG Win2]],1),'Form Fix'!$A$6:$F$310,4,0),0)</f>
        <v>460166</v>
      </c>
      <c r="D52">
        <f>IFERROR(VLOOKUP(CONCATENATE(Table43_1[[#This Row],[Kode BARANG Win2]],2),'Form Fix'!$A$6:$F$310,4,0),0)</f>
        <v>0</v>
      </c>
      <c r="E52">
        <f>IFERROR(VLOOKUP(CONCATENATE(Table43_1[[#This Row],[Kode BARANG Win2]],3),'Form Fix'!$A$6:$F$310,4,0),0)</f>
        <v>0</v>
      </c>
      <c r="F52">
        <f>IFERROR(VLOOKUP(CONCATENATE(Table43_1[[#This Row],[Kode BARANG Win2]],4),'Form Fix'!$A$6:$F$310,4,0),0)</f>
        <v>0</v>
      </c>
      <c r="G52">
        <f>IFERROR(VLOOKUP(CONCATENATE(Table43_1[[#This Row],[Kode BARANG Win2]],5),'Form Fix'!$A$6:$F$310,4,0),0)</f>
        <v>0</v>
      </c>
    </row>
    <row r="53" spans="1:7" x14ac:dyDescent="0.25">
      <c r="A53" t="s">
        <v>690</v>
      </c>
      <c r="B53" t="s">
        <v>847</v>
      </c>
      <c r="C53">
        <f>IFERROR(VLOOKUP(CONCATENATE(Table43_1[[#This Row],[Kode BARANG Win2]],1),'Form Fix'!$A$6:$F$310,4,0),0)</f>
        <v>460167</v>
      </c>
      <c r="D53">
        <f>IFERROR(VLOOKUP(CONCATENATE(Table43_1[[#This Row],[Kode BARANG Win2]],2),'Form Fix'!$A$6:$F$310,4,0),0)</f>
        <v>0</v>
      </c>
      <c r="E53">
        <f>IFERROR(VLOOKUP(CONCATENATE(Table43_1[[#This Row],[Kode BARANG Win2]],3),'Form Fix'!$A$6:$F$310,4,0),0)</f>
        <v>0</v>
      </c>
      <c r="F53">
        <f>IFERROR(VLOOKUP(CONCATENATE(Table43_1[[#This Row],[Kode BARANG Win2]],4),'Form Fix'!$A$6:$F$310,4,0),0)</f>
        <v>0</v>
      </c>
      <c r="G53">
        <f>IFERROR(VLOOKUP(CONCATENATE(Table43_1[[#This Row],[Kode BARANG Win2]],5),'Form Fix'!$A$6:$F$310,4,0),0)</f>
        <v>0</v>
      </c>
    </row>
    <row r="54" spans="1:7" x14ac:dyDescent="0.25">
      <c r="A54" t="s">
        <v>691</v>
      </c>
      <c r="B54" t="s">
        <v>848</v>
      </c>
      <c r="C54">
        <f>IFERROR(VLOOKUP(CONCATENATE(Table43_1[[#This Row],[Kode BARANG Win2]],1),'Form Fix'!$A$6:$F$310,4,0),0)</f>
        <v>460168</v>
      </c>
      <c r="D54">
        <f>IFERROR(VLOOKUP(CONCATENATE(Table43_1[[#This Row],[Kode BARANG Win2]],2),'Form Fix'!$A$6:$F$310,4,0),0)</f>
        <v>0</v>
      </c>
      <c r="E54">
        <f>IFERROR(VLOOKUP(CONCATENATE(Table43_1[[#This Row],[Kode BARANG Win2]],3),'Form Fix'!$A$6:$F$310,4,0),0)</f>
        <v>0</v>
      </c>
      <c r="F54">
        <f>IFERROR(VLOOKUP(CONCATENATE(Table43_1[[#This Row],[Kode BARANG Win2]],4),'Form Fix'!$A$6:$F$310,4,0),0)</f>
        <v>0</v>
      </c>
      <c r="G54">
        <f>IFERROR(VLOOKUP(CONCATENATE(Table43_1[[#This Row],[Kode BARANG Win2]],5),'Form Fix'!$A$6:$F$310,4,0),0)</f>
        <v>0</v>
      </c>
    </row>
    <row r="55" spans="1:7" x14ac:dyDescent="0.25">
      <c r="A55" t="s">
        <v>692</v>
      </c>
      <c r="B55" t="s">
        <v>849</v>
      </c>
      <c r="C55">
        <f>IFERROR(VLOOKUP(CONCATENATE(Table43_1[[#This Row],[Kode BARANG Win2]],1),'Form Fix'!$A$6:$F$310,4,0),0)</f>
        <v>460169</v>
      </c>
      <c r="D55">
        <f>IFERROR(VLOOKUP(CONCATENATE(Table43_1[[#This Row],[Kode BARANG Win2]],2),'Form Fix'!$A$6:$F$310,4,0),0)</f>
        <v>0</v>
      </c>
      <c r="E55">
        <f>IFERROR(VLOOKUP(CONCATENATE(Table43_1[[#This Row],[Kode BARANG Win2]],3),'Form Fix'!$A$6:$F$310,4,0),0)</f>
        <v>0</v>
      </c>
      <c r="F55">
        <f>IFERROR(VLOOKUP(CONCATENATE(Table43_1[[#This Row],[Kode BARANG Win2]],4),'Form Fix'!$A$6:$F$310,4,0),0)</f>
        <v>0</v>
      </c>
      <c r="G55">
        <f>IFERROR(VLOOKUP(CONCATENATE(Table43_1[[#This Row],[Kode BARANG Win2]],5),'Form Fix'!$A$6:$F$310,4,0),0)</f>
        <v>0</v>
      </c>
    </row>
    <row r="56" spans="1:7" x14ac:dyDescent="0.25">
      <c r="A56" t="s">
        <v>695</v>
      </c>
      <c r="B56" t="s">
        <v>850</v>
      </c>
      <c r="C56">
        <f>IFERROR(VLOOKUP(CONCATENATE(Table43_1[[#This Row],[Kode BARANG Win2]],1),'Form Fix'!$A$6:$F$310,4,0),0)</f>
        <v>460172</v>
      </c>
      <c r="D56">
        <f>IFERROR(VLOOKUP(CONCATENATE(Table43_1[[#This Row],[Kode BARANG Win2]],2),'Form Fix'!$A$6:$F$310,4,0),0)</f>
        <v>0</v>
      </c>
      <c r="E56">
        <f>IFERROR(VLOOKUP(CONCATENATE(Table43_1[[#This Row],[Kode BARANG Win2]],3),'Form Fix'!$A$6:$F$310,4,0),0)</f>
        <v>0</v>
      </c>
      <c r="F56">
        <f>IFERROR(VLOOKUP(CONCATENATE(Table43_1[[#This Row],[Kode BARANG Win2]],4),'Form Fix'!$A$6:$F$310,4,0),0)</f>
        <v>0</v>
      </c>
      <c r="G56">
        <f>IFERROR(VLOOKUP(CONCATENATE(Table43_1[[#This Row],[Kode BARANG Win2]],5),'Form Fix'!$A$6:$F$310,4,0),0)</f>
        <v>0</v>
      </c>
    </row>
    <row r="57" spans="1:7" x14ac:dyDescent="0.25">
      <c r="A57" t="s">
        <v>693</v>
      </c>
      <c r="B57" t="s">
        <v>851</v>
      </c>
      <c r="C57">
        <f>IFERROR(VLOOKUP(CONCATENATE(Table43_1[[#This Row],[Kode BARANG Win2]],1),'Form Fix'!$A$6:$F$310,4,0),0)</f>
        <v>460170</v>
      </c>
      <c r="D57">
        <f>IFERROR(VLOOKUP(CONCATENATE(Table43_1[[#This Row],[Kode BARANG Win2]],2),'Form Fix'!$A$6:$F$310,4,0),0)</f>
        <v>0</v>
      </c>
      <c r="E57">
        <f>IFERROR(VLOOKUP(CONCATENATE(Table43_1[[#This Row],[Kode BARANG Win2]],3),'Form Fix'!$A$6:$F$310,4,0),0)</f>
        <v>0</v>
      </c>
      <c r="F57">
        <f>IFERROR(VLOOKUP(CONCATENATE(Table43_1[[#This Row],[Kode BARANG Win2]],4),'Form Fix'!$A$6:$F$310,4,0),0)</f>
        <v>0</v>
      </c>
      <c r="G57">
        <f>IFERROR(VLOOKUP(CONCATENATE(Table43_1[[#This Row],[Kode BARANG Win2]],5),'Form Fix'!$A$6:$F$310,4,0),0)</f>
        <v>0</v>
      </c>
    </row>
    <row r="58" spans="1:7" x14ac:dyDescent="0.25">
      <c r="A58" t="s">
        <v>694</v>
      </c>
      <c r="B58" t="s">
        <v>852</v>
      </c>
      <c r="C58">
        <f>IFERROR(VLOOKUP(CONCATENATE(Table43_1[[#This Row],[Kode BARANG Win2]],1),'Form Fix'!$A$6:$F$310,4,0),0)</f>
        <v>460171</v>
      </c>
      <c r="D58">
        <f>IFERROR(VLOOKUP(CONCATENATE(Table43_1[[#This Row],[Kode BARANG Win2]],2),'Form Fix'!$A$6:$F$310,4,0),0)</f>
        <v>0</v>
      </c>
      <c r="E58">
        <f>IFERROR(VLOOKUP(CONCATENATE(Table43_1[[#This Row],[Kode BARANG Win2]],3),'Form Fix'!$A$6:$F$310,4,0),0)</f>
        <v>0</v>
      </c>
      <c r="F58">
        <f>IFERROR(VLOOKUP(CONCATENATE(Table43_1[[#This Row],[Kode BARANG Win2]],4),'Form Fix'!$A$6:$F$310,4,0),0)</f>
        <v>0</v>
      </c>
      <c r="G58">
        <f>IFERROR(VLOOKUP(CONCATENATE(Table43_1[[#This Row],[Kode BARANG Win2]],5),'Form Fix'!$A$6:$F$310,4,0),0)</f>
        <v>0</v>
      </c>
    </row>
    <row r="59" spans="1:7" x14ac:dyDescent="0.25">
      <c r="A59" t="s">
        <v>1043</v>
      </c>
      <c r="B59" t="s">
        <v>1046</v>
      </c>
      <c r="C59">
        <f>IFERROR(VLOOKUP(CONCATENATE(Table43_1[[#This Row],[Kode BARANG Win2]],1),'Form Fix'!$A$6:$F$310,4,0),0)</f>
        <v>460197</v>
      </c>
      <c r="D59">
        <f>IFERROR(VLOOKUP(CONCATENATE(Table43_1[[#This Row],[Kode BARANG Win2]],2),'Form Fix'!$A$6:$F$310,4,0),0)</f>
        <v>0</v>
      </c>
      <c r="E59">
        <f>IFERROR(VLOOKUP(CONCATENATE(Table43_1[[#This Row],[Kode BARANG Win2]],3),'Form Fix'!$A$6:$F$310,4,0),0)</f>
        <v>0</v>
      </c>
      <c r="F59">
        <f>IFERROR(VLOOKUP(CONCATENATE(Table43_1[[#This Row],[Kode BARANG Win2]],4),'Form Fix'!$A$6:$F$310,4,0),0)</f>
        <v>0</v>
      </c>
      <c r="G59">
        <f>IFERROR(VLOOKUP(CONCATENATE(Table43_1[[#This Row],[Kode BARANG Win2]],5),'Form Fix'!$A$6:$F$310,4,0),0)</f>
        <v>0</v>
      </c>
    </row>
    <row r="60" spans="1:7" x14ac:dyDescent="0.25">
      <c r="A60" t="s">
        <v>697</v>
      </c>
      <c r="B60" t="s">
        <v>853</v>
      </c>
      <c r="C60">
        <f>IFERROR(VLOOKUP(CONCATENATE(Table43_1[[#This Row],[Kode BARANG Win2]],1),'Form Fix'!$A$6:$F$310,4,0),0)</f>
        <v>460056</v>
      </c>
      <c r="D60">
        <f>IFERROR(VLOOKUP(CONCATENATE(Table43_1[[#This Row],[Kode BARANG Win2]],2),'Form Fix'!$A$6:$F$310,4,0),0)</f>
        <v>460178</v>
      </c>
      <c r="E60">
        <f>IFERROR(VLOOKUP(CONCATENATE(Table43_1[[#This Row],[Kode BARANG Win2]],3),'Form Fix'!$A$6:$F$310,4,0),0)</f>
        <v>0</v>
      </c>
      <c r="F60">
        <f>IFERROR(VLOOKUP(CONCATENATE(Table43_1[[#This Row],[Kode BARANG Win2]],4),'Form Fix'!$A$6:$F$310,4,0),0)</f>
        <v>0</v>
      </c>
      <c r="G60">
        <f>IFERROR(VLOOKUP(CONCATENATE(Table43_1[[#This Row],[Kode BARANG Win2]],5),'Form Fix'!$A$6:$F$310,4,0),0)</f>
        <v>0</v>
      </c>
    </row>
    <row r="61" spans="1:7" x14ac:dyDescent="0.25">
      <c r="A61" t="s">
        <v>696</v>
      </c>
      <c r="B61" t="s">
        <v>855</v>
      </c>
      <c r="C61">
        <f>IFERROR(VLOOKUP(CONCATENATE(Table43_1[[#This Row],[Kode BARANG Win2]],1),'Form Fix'!$A$6:$F$310,4,0),0)</f>
        <v>460179</v>
      </c>
      <c r="D61">
        <f>IFERROR(VLOOKUP(CONCATENATE(Table43_1[[#This Row],[Kode BARANG Win2]],2),'Form Fix'!$A$6:$F$310,4,0),0)</f>
        <v>0</v>
      </c>
      <c r="E61">
        <f>IFERROR(VLOOKUP(CONCATENATE(Table43_1[[#This Row],[Kode BARANG Win2]],3),'Form Fix'!$A$6:$F$310,4,0),0)</f>
        <v>0</v>
      </c>
      <c r="F61">
        <f>IFERROR(VLOOKUP(CONCATENATE(Table43_1[[#This Row],[Kode BARANG Win2]],4),'Form Fix'!$A$6:$F$310,4,0),0)</f>
        <v>0</v>
      </c>
      <c r="G61">
        <f>IFERROR(VLOOKUP(CONCATENATE(Table43_1[[#This Row],[Kode BARANG Win2]],5),'Form Fix'!$A$6:$F$310,4,0),0)</f>
        <v>0</v>
      </c>
    </row>
    <row r="62" spans="1:7" x14ac:dyDescent="0.25">
      <c r="A62" t="s">
        <v>698</v>
      </c>
      <c r="B62" t="s">
        <v>856</v>
      </c>
      <c r="C62">
        <f>IFERROR(VLOOKUP(CONCATENATE(Table43_1[[#This Row],[Kode BARANG Win2]],1),'Form Fix'!$A$6:$F$310,4,0),0)</f>
        <v>460918</v>
      </c>
      <c r="D62">
        <f>IFERROR(VLOOKUP(CONCATENATE(Table43_1[[#This Row],[Kode BARANG Win2]],2),'Form Fix'!$A$6:$F$310,4,0),0)</f>
        <v>0</v>
      </c>
      <c r="E62">
        <f>IFERROR(VLOOKUP(CONCATENATE(Table43_1[[#This Row],[Kode BARANG Win2]],3),'Form Fix'!$A$6:$F$310,4,0),0)</f>
        <v>0</v>
      </c>
      <c r="F62">
        <f>IFERROR(VLOOKUP(CONCATENATE(Table43_1[[#This Row],[Kode BARANG Win2]],4),'Form Fix'!$A$6:$F$310,4,0),0)</f>
        <v>0</v>
      </c>
      <c r="G62">
        <f>IFERROR(VLOOKUP(CONCATENATE(Table43_1[[#This Row],[Kode BARANG Win2]],5),'Form Fix'!$A$6:$F$310,4,0),0)</f>
        <v>0</v>
      </c>
    </row>
    <row r="63" spans="1:7" x14ac:dyDescent="0.25">
      <c r="A63" t="s">
        <v>699</v>
      </c>
      <c r="B63" t="s">
        <v>857</v>
      </c>
      <c r="C63">
        <f>IFERROR(VLOOKUP(CONCATENATE(Table43_1[[#This Row],[Kode BARANG Win2]],1),'Form Fix'!$A$6:$F$310,4,0),0)</f>
        <v>460917</v>
      </c>
      <c r="D63">
        <f>IFERROR(VLOOKUP(CONCATENATE(Table43_1[[#This Row],[Kode BARANG Win2]],2),'Form Fix'!$A$6:$F$310,4,0),0)</f>
        <v>460921</v>
      </c>
      <c r="E63">
        <f>IFERROR(VLOOKUP(CONCATENATE(Table43_1[[#This Row],[Kode BARANG Win2]],3),'Form Fix'!$A$6:$F$310,4,0),0)</f>
        <v>0</v>
      </c>
      <c r="F63">
        <f>IFERROR(VLOOKUP(CONCATENATE(Table43_1[[#This Row],[Kode BARANG Win2]],4),'Form Fix'!$A$6:$F$310,4,0),0)</f>
        <v>0</v>
      </c>
      <c r="G63">
        <f>IFERROR(VLOOKUP(CONCATENATE(Table43_1[[#This Row],[Kode BARANG Win2]],5),'Form Fix'!$A$6:$F$310,4,0),0)</f>
        <v>0</v>
      </c>
    </row>
    <row r="64" spans="1:7" x14ac:dyDescent="0.25">
      <c r="A64" t="s">
        <v>702</v>
      </c>
      <c r="B64" t="s">
        <v>854</v>
      </c>
      <c r="C64">
        <f>IFERROR(VLOOKUP(CONCATENATE(Table43_1[[#This Row],[Kode BARANG Win2]],1),'Form Fix'!$A$6:$F$310,4,0),0)</f>
        <v>460183</v>
      </c>
      <c r="D64">
        <f>IFERROR(VLOOKUP(CONCATENATE(Table43_1[[#This Row],[Kode BARANG Win2]],2),'Form Fix'!$A$6:$F$310,4,0),0)</f>
        <v>460174</v>
      </c>
      <c r="E64">
        <f>IFERROR(VLOOKUP(CONCATENATE(Table43_1[[#This Row],[Kode BARANG Win2]],3),'Form Fix'!$A$6:$F$310,4,0),0)</f>
        <v>0</v>
      </c>
      <c r="F64">
        <f>IFERROR(VLOOKUP(CONCATENATE(Table43_1[[#This Row],[Kode BARANG Win2]],4),'Form Fix'!$A$6:$F$310,4,0),0)</f>
        <v>0</v>
      </c>
      <c r="G64">
        <f>IFERROR(VLOOKUP(CONCATENATE(Table43_1[[#This Row],[Kode BARANG Win2]],5),'Form Fix'!$A$6:$F$310,4,0),0)</f>
        <v>0</v>
      </c>
    </row>
    <row r="65" spans="1:7" x14ac:dyDescent="0.25">
      <c r="A65" t="s">
        <v>700</v>
      </c>
      <c r="B65" t="s">
        <v>858</v>
      </c>
      <c r="C65">
        <f>IFERROR(VLOOKUP(CONCATENATE(Table43_1[[#This Row],[Kode BARANG Win2]],1),'Form Fix'!$A$6:$F$310,4,0),0)</f>
        <v>460194</v>
      </c>
      <c r="D65">
        <f>IFERROR(VLOOKUP(CONCATENATE(Table43_1[[#This Row],[Kode BARANG Win2]],2),'Form Fix'!$A$6:$F$310,4,0),0)</f>
        <v>0</v>
      </c>
      <c r="E65">
        <f>IFERROR(VLOOKUP(CONCATENATE(Table43_1[[#This Row],[Kode BARANG Win2]],3),'Form Fix'!$A$6:$F$310,4,0),0)</f>
        <v>0</v>
      </c>
      <c r="F65">
        <f>IFERROR(VLOOKUP(CONCATENATE(Table43_1[[#This Row],[Kode BARANG Win2]],4),'Form Fix'!$A$6:$F$310,4,0),0)</f>
        <v>0</v>
      </c>
      <c r="G65">
        <f>IFERROR(VLOOKUP(CONCATENATE(Table43_1[[#This Row],[Kode BARANG Win2]],5),'Form Fix'!$A$6:$F$310,4,0),0)</f>
        <v>0</v>
      </c>
    </row>
    <row r="66" spans="1:7" x14ac:dyDescent="0.25">
      <c r="A66" t="s">
        <v>701</v>
      </c>
      <c r="B66" t="s">
        <v>859</v>
      </c>
      <c r="C66">
        <f>IFERROR(VLOOKUP(CONCATENATE(Table43_1[[#This Row],[Kode BARANG Win2]],1),'Form Fix'!$A$6:$F$310,4,0),0)</f>
        <v>460195</v>
      </c>
      <c r="D66">
        <f>IFERROR(VLOOKUP(CONCATENATE(Table43_1[[#This Row],[Kode BARANG Win2]],2),'Form Fix'!$A$6:$F$310,4,0),0)</f>
        <v>0</v>
      </c>
      <c r="E66">
        <f>IFERROR(VLOOKUP(CONCATENATE(Table43_1[[#This Row],[Kode BARANG Win2]],3),'Form Fix'!$A$6:$F$310,4,0),0)</f>
        <v>0</v>
      </c>
      <c r="F66">
        <f>IFERROR(VLOOKUP(CONCATENATE(Table43_1[[#This Row],[Kode BARANG Win2]],4),'Form Fix'!$A$6:$F$310,4,0),0)</f>
        <v>0</v>
      </c>
      <c r="G66">
        <f>IFERROR(VLOOKUP(CONCATENATE(Table43_1[[#This Row],[Kode BARANG Win2]],5),'Form Fix'!$A$6:$F$310,4,0),0)</f>
        <v>0</v>
      </c>
    </row>
    <row r="67" spans="1:7" x14ac:dyDescent="0.25">
      <c r="A67" t="s">
        <v>703</v>
      </c>
      <c r="B67" t="s">
        <v>860</v>
      </c>
      <c r="C67">
        <f>IFERROR(VLOOKUP(CONCATENATE(Table43_1[[#This Row],[Kode BARANG Win2]],1),'Form Fix'!$A$6:$F$310,4,0),0)</f>
        <v>460164</v>
      </c>
      <c r="D67">
        <f>IFERROR(VLOOKUP(CONCATENATE(Table43_1[[#This Row],[Kode BARANG Win2]],2),'Form Fix'!$A$6:$F$310,4,0),0)</f>
        <v>460190</v>
      </c>
      <c r="E67">
        <f>IFERROR(VLOOKUP(CONCATENATE(Table43_1[[#This Row],[Kode BARANG Win2]],3),'Form Fix'!$A$6:$F$310,4,0),0)</f>
        <v>0</v>
      </c>
      <c r="F67">
        <f>IFERROR(VLOOKUP(CONCATENATE(Table43_1[[#This Row],[Kode BARANG Win2]],4),'Form Fix'!$A$6:$F$310,4,0),0)</f>
        <v>0</v>
      </c>
      <c r="G67">
        <f>IFERROR(VLOOKUP(CONCATENATE(Table43_1[[#This Row],[Kode BARANG Win2]],5),'Form Fix'!$A$6:$F$310,4,0),0)</f>
        <v>0</v>
      </c>
    </row>
    <row r="68" spans="1:7" x14ac:dyDescent="0.25">
      <c r="A68" t="s">
        <v>760</v>
      </c>
      <c r="B68" t="s">
        <v>861</v>
      </c>
      <c r="C68">
        <f>IFERROR(VLOOKUP(CONCATENATE(Table43_1[[#This Row],[Kode BARANG Win2]],1),'Form Fix'!$A$6:$F$310,4,0),0)</f>
        <v>460165</v>
      </c>
      <c r="D68">
        <f>IFERROR(VLOOKUP(CONCATENATE(Table43_1[[#This Row],[Kode BARANG Win2]],2),'Form Fix'!$A$6:$F$310,4,0),0)</f>
        <v>460191</v>
      </c>
      <c r="E68">
        <f>IFERROR(VLOOKUP(CONCATENATE(Table43_1[[#This Row],[Kode BARANG Win2]],3),'Form Fix'!$A$6:$F$310,4,0),0)</f>
        <v>0</v>
      </c>
      <c r="F68">
        <f>IFERROR(VLOOKUP(CONCATENATE(Table43_1[[#This Row],[Kode BARANG Win2]],4),'Form Fix'!$A$6:$F$310,4,0),0)</f>
        <v>0</v>
      </c>
      <c r="G68">
        <f>IFERROR(VLOOKUP(CONCATENATE(Table43_1[[#This Row],[Kode BARANG Win2]],5),'Form Fix'!$A$6:$F$310,4,0),0)</f>
        <v>0</v>
      </c>
    </row>
    <row r="69" spans="1:7" x14ac:dyDescent="0.25">
      <c r="A69" t="s">
        <v>704</v>
      </c>
      <c r="B69" t="s">
        <v>862</v>
      </c>
      <c r="C69">
        <f>IFERROR(VLOOKUP(CONCATENATE(Table43_1[[#This Row],[Kode BARANG Win2]],1),'Form Fix'!$A$6:$F$310,4,0),0)</f>
        <v>460061</v>
      </c>
      <c r="D69">
        <f>IFERROR(VLOOKUP(CONCATENATE(Table43_1[[#This Row],[Kode BARANG Win2]],2),'Form Fix'!$A$6:$F$310,4,0),0)</f>
        <v>460188</v>
      </c>
      <c r="E69">
        <f>IFERROR(VLOOKUP(CONCATENATE(Table43_1[[#This Row],[Kode BARANG Win2]],3),'Form Fix'!$A$6:$F$310,4,0),0)</f>
        <v>0</v>
      </c>
      <c r="F69">
        <f>IFERROR(VLOOKUP(CONCATENATE(Table43_1[[#This Row],[Kode BARANG Win2]],4),'Form Fix'!$A$6:$F$310,4,0),0)</f>
        <v>0</v>
      </c>
      <c r="G69">
        <f>IFERROR(VLOOKUP(CONCATENATE(Table43_1[[#This Row],[Kode BARANG Win2]],5),'Form Fix'!$A$6:$F$310,4,0),0)</f>
        <v>0</v>
      </c>
    </row>
    <row r="70" spans="1:7" x14ac:dyDescent="0.25">
      <c r="A70" t="s">
        <v>761</v>
      </c>
      <c r="B70" t="s">
        <v>863</v>
      </c>
      <c r="C70">
        <f>IFERROR(VLOOKUP(CONCATENATE(Table43_1[[#This Row],[Kode BARANG Win2]],1),'Form Fix'!$A$6:$F$310,4,0),0)</f>
        <v>460189</v>
      </c>
      <c r="D70">
        <f>IFERROR(VLOOKUP(CONCATENATE(Table43_1[[#This Row],[Kode BARANG Win2]],2),'Form Fix'!$A$6:$F$310,4,0),0)</f>
        <v>0</v>
      </c>
      <c r="E70">
        <f>IFERROR(VLOOKUP(CONCATENATE(Table43_1[[#This Row],[Kode BARANG Win2]],3),'Form Fix'!$A$6:$F$310,4,0),0)</f>
        <v>0</v>
      </c>
      <c r="F70">
        <f>IFERROR(VLOOKUP(CONCATENATE(Table43_1[[#This Row],[Kode BARANG Win2]],4),'Form Fix'!$A$6:$F$310,4,0),0)</f>
        <v>0</v>
      </c>
      <c r="G70">
        <f>IFERROR(VLOOKUP(CONCATENATE(Table43_1[[#This Row],[Kode BARANG Win2]],5),'Form Fix'!$A$6:$F$310,4,0),0)</f>
        <v>0</v>
      </c>
    </row>
    <row r="71" spans="1:7" x14ac:dyDescent="0.25">
      <c r="A71" t="s">
        <v>705</v>
      </c>
      <c r="B71" t="s">
        <v>864</v>
      </c>
      <c r="C71">
        <f>IFERROR(VLOOKUP(CONCATENATE(Table43_1[[#This Row],[Kode BARANG Win2]],1),'Form Fix'!$A$6:$F$310,4,0),0)</f>
        <v>460192</v>
      </c>
      <c r="D71">
        <f>IFERROR(VLOOKUP(CONCATENATE(Table43_1[[#This Row],[Kode BARANG Win2]],2),'Form Fix'!$A$6:$F$310,4,0),0)</f>
        <v>0</v>
      </c>
      <c r="E71">
        <f>IFERROR(VLOOKUP(CONCATENATE(Table43_1[[#This Row],[Kode BARANG Win2]],3),'Form Fix'!$A$6:$F$310,4,0),0)</f>
        <v>0</v>
      </c>
      <c r="F71">
        <f>IFERROR(VLOOKUP(CONCATENATE(Table43_1[[#This Row],[Kode BARANG Win2]],4),'Form Fix'!$A$6:$F$310,4,0),0)</f>
        <v>0</v>
      </c>
      <c r="G71">
        <f>IFERROR(VLOOKUP(CONCATENATE(Table43_1[[#This Row],[Kode BARANG Win2]],5),'Form Fix'!$A$6:$F$310,4,0),0)</f>
        <v>0</v>
      </c>
    </row>
    <row r="72" spans="1:7" x14ac:dyDescent="0.25">
      <c r="A72" t="s">
        <v>762</v>
      </c>
      <c r="B72" t="s">
        <v>865</v>
      </c>
      <c r="C72">
        <f>IFERROR(VLOOKUP(CONCATENATE(Table43_1[[#This Row],[Kode BARANG Win2]],1),'Form Fix'!$A$6:$F$310,4,0),0)</f>
        <v>460193</v>
      </c>
      <c r="D72">
        <f>IFERROR(VLOOKUP(CONCATENATE(Table43_1[[#This Row],[Kode BARANG Win2]],2),'Form Fix'!$A$6:$F$310,4,0),0)</f>
        <v>0</v>
      </c>
      <c r="E72">
        <f>IFERROR(VLOOKUP(CONCATENATE(Table43_1[[#This Row],[Kode BARANG Win2]],3),'Form Fix'!$A$6:$F$310,4,0),0)</f>
        <v>0</v>
      </c>
      <c r="F72">
        <f>IFERROR(VLOOKUP(CONCATENATE(Table43_1[[#This Row],[Kode BARANG Win2]],4),'Form Fix'!$A$6:$F$310,4,0),0)</f>
        <v>0</v>
      </c>
      <c r="G72">
        <f>IFERROR(VLOOKUP(CONCATENATE(Table43_1[[#This Row],[Kode BARANG Win2]],5),'Form Fix'!$A$6:$F$310,4,0),0)</f>
        <v>0</v>
      </c>
    </row>
    <row r="73" spans="1:7" x14ac:dyDescent="0.25">
      <c r="A73" t="s">
        <v>706</v>
      </c>
      <c r="B73" t="s">
        <v>866</v>
      </c>
      <c r="C73">
        <f>IFERROR(VLOOKUP(CONCATENATE(Table43_1[[#This Row],[Kode BARANG Win2]],1),'Form Fix'!$A$6:$F$310,4,0),0)</f>
        <v>460060</v>
      </c>
      <c r="D73">
        <f>IFERROR(VLOOKUP(CONCATENATE(Table43_1[[#This Row],[Kode BARANG Win2]],2),'Form Fix'!$A$6:$F$310,4,0),0)</f>
        <v>460187</v>
      </c>
      <c r="E73">
        <f>IFERROR(VLOOKUP(CONCATENATE(Table43_1[[#This Row],[Kode BARANG Win2]],3),'Form Fix'!$A$6:$F$310,4,0),0)</f>
        <v>0</v>
      </c>
      <c r="F73">
        <f>IFERROR(VLOOKUP(CONCATENATE(Table43_1[[#This Row],[Kode BARANG Win2]],4),'Form Fix'!$A$6:$F$310,4,0),0)</f>
        <v>0</v>
      </c>
      <c r="G73">
        <f>IFERROR(VLOOKUP(CONCATENATE(Table43_1[[#This Row],[Kode BARANG Win2]],5),'Form Fix'!$A$6:$F$310,4,0),0)</f>
        <v>0</v>
      </c>
    </row>
    <row r="74" spans="1:7" x14ac:dyDescent="0.25">
      <c r="A74" t="s">
        <v>707</v>
      </c>
      <c r="B74" t="s">
        <v>867</v>
      </c>
      <c r="C74">
        <f>IFERROR(VLOOKUP(CONCATENATE(Table43_1[[#This Row],[Kode BARANG Win2]],1),'Form Fix'!$A$6:$F$310,4,0),0)</f>
        <v>460054</v>
      </c>
      <c r="D74">
        <f>IFERROR(VLOOKUP(CONCATENATE(Table43_1[[#This Row],[Kode BARANG Win2]],2),'Form Fix'!$A$6:$F$310,4,0),0)</f>
        <v>460185</v>
      </c>
      <c r="E74">
        <f>IFERROR(VLOOKUP(CONCATENATE(Table43_1[[#This Row],[Kode BARANG Win2]],3),'Form Fix'!$A$6:$F$310,4,0),0)</f>
        <v>0</v>
      </c>
      <c r="F74">
        <f>IFERROR(VLOOKUP(CONCATENATE(Table43_1[[#This Row],[Kode BARANG Win2]],4),'Form Fix'!$A$6:$F$310,4,0),0)</f>
        <v>0</v>
      </c>
      <c r="G74">
        <f>IFERROR(VLOOKUP(CONCATENATE(Table43_1[[#This Row],[Kode BARANG Win2]],5),'Form Fix'!$A$6:$F$310,4,0),0)</f>
        <v>0</v>
      </c>
    </row>
    <row r="75" spans="1:7" x14ac:dyDescent="0.25">
      <c r="A75" t="s">
        <v>708</v>
      </c>
      <c r="B75" t="s">
        <v>868</v>
      </c>
      <c r="C75">
        <f>IFERROR(VLOOKUP(CONCATENATE(Table43_1[[#This Row],[Kode BARANG Win2]],1),'Form Fix'!$A$6:$F$310,4,0),0)</f>
        <v>460055</v>
      </c>
      <c r="D75">
        <f>IFERROR(VLOOKUP(CONCATENATE(Table43_1[[#This Row],[Kode BARANG Win2]],2),'Form Fix'!$A$6:$F$310,4,0),0)</f>
        <v>460186</v>
      </c>
      <c r="E75">
        <f>IFERROR(VLOOKUP(CONCATENATE(Table43_1[[#This Row],[Kode BARANG Win2]],3),'Form Fix'!$A$6:$F$310,4,0),0)</f>
        <v>0</v>
      </c>
      <c r="F75">
        <f>IFERROR(VLOOKUP(CONCATENATE(Table43_1[[#This Row],[Kode BARANG Win2]],4),'Form Fix'!$A$6:$F$310,4,0),0)</f>
        <v>0</v>
      </c>
      <c r="G75">
        <f>IFERROR(VLOOKUP(CONCATENATE(Table43_1[[#This Row],[Kode BARANG Win2]],5),'Form Fix'!$A$6:$F$310,4,0),0)</f>
        <v>0</v>
      </c>
    </row>
    <row r="76" spans="1:7" x14ac:dyDescent="0.25">
      <c r="A76" t="s">
        <v>763</v>
      </c>
      <c r="B76" t="s">
        <v>869</v>
      </c>
      <c r="C76">
        <f>IFERROR(VLOOKUP(CONCATENATE(Table43_1[[#This Row],[Kode BARANG Win2]],1),'Form Fix'!$A$6:$F$310,4,0),0)</f>
        <v>460182</v>
      </c>
      <c r="D76">
        <f>IFERROR(VLOOKUP(CONCATENATE(Table43_1[[#This Row],[Kode BARANG Win2]],2),'Form Fix'!$A$6:$F$310,4,0),0)</f>
        <v>0</v>
      </c>
      <c r="E76">
        <f>IFERROR(VLOOKUP(CONCATENATE(Table43_1[[#This Row],[Kode BARANG Win2]],3),'Form Fix'!$A$6:$F$310,4,0),0)</f>
        <v>0</v>
      </c>
      <c r="F76">
        <f>IFERROR(VLOOKUP(CONCATENATE(Table43_1[[#This Row],[Kode BARANG Win2]],4),'Form Fix'!$A$6:$F$310,4,0),0)</f>
        <v>0</v>
      </c>
      <c r="G76">
        <f>IFERROR(VLOOKUP(CONCATENATE(Table43_1[[#This Row],[Kode BARANG Win2]],5),'Form Fix'!$A$6:$F$310,4,0),0)</f>
        <v>0</v>
      </c>
    </row>
    <row r="77" spans="1:7" x14ac:dyDescent="0.25">
      <c r="A77" t="s">
        <v>1085</v>
      </c>
      <c r="B77" t="s">
        <v>1087</v>
      </c>
      <c r="C77">
        <f>IFERROR(VLOOKUP(CONCATENATE(Table43_1[[#This Row],[Kode BARANG Win2]],1),'Form Fix'!$A$6:$F$310,4,0),0)</f>
        <v>410076</v>
      </c>
      <c r="D77">
        <f>IFERROR(VLOOKUP(CONCATENATE(Table43_1[[#This Row],[Kode BARANG Win2]],2),'Form Fix'!$A$6:$F$310,4,0),0)</f>
        <v>0</v>
      </c>
      <c r="E77">
        <f>IFERROR(VLOOKUP(CONCATENATE(Table43_1[[#This Row],[Kode BARANG Win2]],3),'Form Fix'!$A$6:$F$310,4,0),0)</f>
        <v>0</v>
      </c>
      <c r="F77">
        <f>IFERROR(VLOOKUP(CONCATENATE(Table43_1[[#This Row],[Kode BARANG Win2]],4),'Form Fix'!$A$6:$F$310,4,0),0)</f>
        <v>0</v>
      </c>
      <c r="G77">
        <f>IFERROR(VLOOKUP(CONCATENATE(Table43_1[[#This Row],[Kode BARANG Win2]],5),'Form Fix'!$A$6:$F$310,4,0),0)</f>
        <v>0</v>
      </c>
    </row>
    <row r="78" spans="1:7" x14ac:dyDescent="0.25">
      <c r="A78" t="s">
        <v>709</v>
      </c>
      <c r="B78" t="s">
        <v>870</v>
      </c>
      <c r="C78">
        <f>IFERROR(VLOOKUP(CONCATENATE(Table43_1[[#This Row],[Kode BARANG Win2]],1),'Form Fix'!$A$6:$F$310,4,0),0)</f>
        <v>410066</v>
      </c>
      <c r="D78">
        <f>IFERROR(VLOOKUP(CONCATENATE(Table43_1[[#This Row],[Kode BARANG Win2]],2),'Form Fix'!$A$6:$F$310,4,0),0)</f>
        <v>410072</v>
      </c>
      <c r="E78">
        <f>IFERROR(VLOOKUP(CONCATENATE(Table43_1[[#This Row],[Kode BARANG Win2]],3),'Form Fix'!$A$6:$F$310,4,0),0)</f>
        <v>0</v>
      </c>
      <c r="F78">
        <f>IFERROR(VLOOKUP(CONCATENATE(Table43_1[[#This Row],[Kode BARANG Win2]],4),'Form Fix'!$A$6:$F$310,4,0),0)</f>
        <v>0</v>
      </c>
      <c r="G78">
        <f>IFERROR(VLOOKUP(CONCATENATE(Table43_1[[#This Row],[Kode BARANG Win2]],5),'Form Fix'!$A$6:$F$310,4,0),0)</f>
        <v>0</v>
      </c>
    </row>
    <row r="79" spans="1:7" x14ac:dyDescent="0.25">
      <c r="A79" t="s">
        <v>710</v>
      </c>
      <c r="B79" t="s">
        <v>871</v>
      </c>
      <c r="C79">
        <f>IFERROR(VLOOKUP(CONCATENATE(Table43_1[[#This Row],[Kode BARANG Win2]],1),'Form Fix'!$A$6:$F$310,4,0),0)</f>
        <v>410068</v>
      </c>
      <c r="D79">
        <f>IFERROR(VLOOKUP(CONCATENATE(Table43_1[[#This Row],[Kode BARANG Win2]],2),'Form Fix'!$A$6:$F$310,4,0),0)</f>
        <v>410073</v>
      </c>
      <c r="E79">
        <f>IFERROR(VLOOKUP(CONCATENATE(Table43_1[[#This Row],[Kode BARANG Win2]],3),'Form Fix'!$A$6:$F$310,4,0),0)</f>
        <v>0</v>
      </c>
      <c r="F79">
        <f>IFERROR(VLOOKUP(CONCATENATE(Table43_1[[#This Row],[Kode BARANG Win2]],4),'Form Fix'!$A$6:$F$310,4,0),0)</f>
        <v>0</v>
      </c>
      <c r="G79">
        <f>IFERROR(VLOOKUP(CONCATENATE(Table43_1[[#This Row],[Kode BARANG Win2]],5),'Form Fix'!$A$6:$F$310,4,0),0)</f>
        <v>0</v>
      </c>
    </row>
    <row r="80" spans="1:7" x14ac:dyDescent="0.25">
      <c r="A80" t="s">
        <v>711</v>
      </c>
      <c r="B80" t="s">
        <v>872</v>
      </c>
      <c r="C80">
        <f>IFERROR(VLOOKUP(CONCATENATE(Table43_1[[#This Row],[Kode BARANG Win2]],1),'Form Fix'!$A$6:$F$310,4,0),0)</f>
        <v>400129</v>
      </c>
      <c r="D80">
        <f>IFERROR(VLOOKUP(CONCATENATE(Table43_1[[#This Row],[Kode BARANG Win2]],2),'Form Fix'!$A$6:$F$310,4,0),0)</f>
        <v>400135</v>
      </c>
      <c r="E80">
        <f>IFERROR(VLOOKUP(CONCATENATE(Table43_1[[#This Row],[Kode BARANG Win2]],3),'Form Fix'!$A$6:$F$310,4,0),0)</f>
        <v>0</v>
      </c>
      <c r="F80">
        <f>IFERROR(VLOOKUP(CONCATENATE(Table43_1[[#This Row],[Kode BARANG Win2]],4),'Form Fix'!$A$6:$F$310,4,0),0)</f>
        <v>0</v>
      </c>
      <c r="G80">
        <f>IFERROR(VLOOKUP(CONCATENATE(Table43_1[[#This Row],[Kode BARANG Win2]],5),'Form Fix'!$A$6:$F$310,4,0),0)</f>
        <v>0</v>
      </c>
    </row>
    <row r="81" spans="1:7" x14ac:dyDescent="0.25">
      <c r="A81" t="s">
        <v>1090</v>
      </c>
      <c r="B81" t="s">
        <v>1091</v>
      </c>
      <c r="C81">
        <f>IFERROR(VLOOKUP(CONCATENATE(Table43_1[[#This Row],[Kode BARANG Win2]],1),'Form Fix'!$A$6:$F$310,4,0),0)</f>
        <v>0</v>
      </c>
      <c r="D81">
        <f>IFERROR(VLOOKUP(CONCATENATE(Table43_1[[#This Row],[Kode BARANG Win2]],2),'Form Fix'!$A$6:$F$310,4,0),0)</f>
        <v>0</v>
      </c>
      <c r="E81">
        <f>IFERROR(VLOOKUP(CONCATENATE(Table43_1[[#This Row],[Kode BARANG Win2]],3),'Form Fix'!$A$6:$F$310,4,0),0)</f>
        <v>400154</v>
      </c>
      <c r="F81">
        <f>IFERROR(VLOOKUP(CONCATENATE(Table43_1[[#This Row],[Kode BARANG Win2]],4),'Form Fix'!$A$6:$F$310,4,0),0)</f>
        <v>0</v>
      </c>
      <c r="G81">
        <f>IFERROR(VLOOKUP(CONCATENATE(Table43_1[[#This Row],[Kode BARANG Win2]],5),'Form Fix'!$A$6:$F$310,4,0),0)</f>
        <v>0</v>
      </c>
    </row>
    <row r="82" spans="1:7" x14ac:dyDescent="0.25">
      <c r="A82" t="s">
        <v>712</v>
      </c>
      <c r="B82" t="s">
        <v>873</v>
      </c>
      <c r="C82">
        <f>IFERROR(VLOOKUP(CONCATENATE(Table43_1[[#This Row],[Kode BARANG Win2]],1),'Form Fix'!$A$6:$F$310,4,0),0)</f>
        <v>400132</v>
      </c>
      <c r="D82">
        <f>IFERROR(VLOOKUP(CONCATENATE(Table43_1[[#This Row],[Kode BARANG Win2]],2),'Form Fix'!$A$6:$F$310,4,0),0)</f>
        <v>400138</v>
      </c>
      <c r="E82">
        <f>IFERROR(VLOOKUP(CONCATENATE(Table43_1[[#This Row],[Kode BARANG Win2]],3),'Form Fix'!$A$6:$F$310,4,0),0)</f>
        <v>0</v>
      </c>
      <c r="F82">
        <f>IFERROR(VLOOKUP(CONCATENATE(Table43_1[[#This Row],[Kode BARANG Win2]],4),'Form Fix'!$A$6:$F$310,4,0),0)</f>
        <v>0</v>
      </c>
      <c r="G82">
        <f>IFERROR(VLOOKUP(CONCATENATE(Table43_1[[#This Row],[Kode BARANG Win2]],5),'Form Fix'!$A$6:$F$310,4,0),0)</f>
        <v>0</v>
      </c>
    </row>
    <row r="83" spans="1:7" x14ac:dyDescent="0.25">
      <c r="A83" t="s">
        <v>713</v>
      </c>
      <c r="B83" t="s">
        <v>874</v>
      </c>
      <c r="C83">
        <f>IFERROR(VLOOKUP(CONCATENATE(Table43_1[[#This Row],[Kode BARANG Win2]],1),'Form Fix'!$A$6:$F$310,4,0),0)</f>
        <v>400133</v>
      </c>
      <c r="D83">
        <f>IFERROR(VLOOKUP(CONCATENATE(Table43_1[[#This Row],[Kode BARANG Win2]],2),'Form Fix'!$A$6:$F$310,4,0),0)</f>
        <v>400139</v>
      </c>
      <c r="E83">
        <f>IFERROR(VLOOKUP(CONCATENATE(Table43_1[[#This Row],[Kode BARANG Win2]],3),'Form Fix'!$A$6:$F$310,4,0),0)</f>
        <v>0</v>
      </c>
      <c r="F83">
        <f>IFERROR(VLOOKUP(CONCATENATE(Table43_1[[#This Row],[Kode BARANG Win2]],4),'Form Fix'!$A$6:$F$310,4,0),0)</f>
        <v>0</v>
      </c>
      <c r="G83">
        <f>IFERROR(VLOOKUP(CONCATENATE(Table43_1[[#This Row],[Kode BARANG Win2]],5),'Form Fix'!$A$6:$F$310,4,0),0)</f>
        <v>0</v>
      </c>
    </row>
    <row r="84" spans="1:7" x14ac:dyDescent="0.25">
      <c r="A84" t="s">
        <v>714</v>
      </c>
      <c r="B84" t="s">
        <v>875</v>
      </c>
      <c r="C84">
        <f>IFERROR(VLOOKUP(CONCATENATE(Table43_1[[#This Row],[Kode BARANG Win2]],1),'Form Fix'!$A$6:$F$310,4,0),0)</f>
        <v>400131</v>
      </c>
      <c r="D84">
        <f>IFERROR(VLOOKUP(CONCATENATE(Table43_1[[#This Row],[Kode BARANG Win2]],2),'Form Fix'!$A$6:$F$310,4,0),0)</f>
        <v>400137</v>
      </c>
      <c r="E84">
        <f>IFERROR(VLOOKUP(CONCATENATE(Table43_1[[#This Row],[Kode BARANG Win2]],3),'Form Fix'!$A$6:$F$310,4,0),0)</f>
        <v>0</v>
      </c>
      <c r="F84">
        <f>IFERROR(VLOOKUP(CONCATENATE(Table43_1[[#This Row],[Kode BARANG Win2]],4),'Form Fix'!$A$6:$F$310,4,0),0)</f>
        <v>0</v>
      </c>
      <c r="G84">
        <f>IFERROR(VLOOKUP(CONCATENATE(Table43_1[[#This Row],[Kode BARANG Win2]],5),'Form Fix'!$A$6:$F$310,4,0),0)</f>
        <v>0</v>
      </c>
    </row>
    <row r="85" spans="1:7" x14ac:dyDescent="0.25">
      <c r="A85" t="s">
        <v>715</v>
      </c>
      <c r="B85" t="s">
        <v>876</v>
      </c>
      <c r="C85">
        <f>IFERROR(VLOOKUP(CONCATENATE(Table43_1[[#This Row],[Kode BARANG Win2]],1),'Form Fix'!$A$6:$F$310,4,0),0)</f>
        <v>400130</v>
      </c>
      <c r="D85">
        <f>IFERROR(VLOOKUP(CONCATENATE(Table43_1[[#This Row],[Kode BARANG Win2]],2),'Form Fix'!$A$6:$F$310,4,0),0)</f>
        <v>400136</v>
      </c>
      <c r="E85">
        <f>IFERROR(VLOOKUP(CONCATENATE(Table43_1[[#This Row],[Kode BARANG Win2]],3),'Form Fix'!$A$6:$F$310,4,0),0)</f>
        <v>0</v>
      </c>
      <c r="F85">
        <f>IFERROR(VLOOKUP(CONCATENATE(Table43_1[[#This Row],[Kode BARANG Win2]],4),'Form Fix'!$A$6:$F$310,4,0),0)</f>
        <v>0</v>
      </c>
      <c r="G85">
        <f>IFERROR(VLOOKUP(CONCATENATE(Table43_1[[#This Row],[Kode BARANG Win2]],5),'Form Fix'!$A$6:$F$310,4,0),0)</f>
        <v>0</v>
      </c>
    </row>
    <row r="86" spans="1:7" x14ac:dyDescent="0.25">
      <c r="A86" t="s">
        <v>716</v>
      </c>
      <c r="B86" t="s">
        <v>877</v>
      </c>
      <c r="C86">
        <f>IFERROR(VLOOKUP(CONCATENATE(Table43_1[[#This Row],[Kode BARANG Win2]],1),'Form Fix'!$A$6:$F$310,4,0),0)</f>
        <v>400134</v>
      </c>
      <c r="D86">
        <f>IFERROR(VLOOKUP(CONCATENATE(Table43_1[[#This Row],[Kode BARANG Win2]],2),'Form Fix'!$A$6:$F$310,4,0),0)</f>
        <v>400140</v>
      </c>
      <c r="E86">
        <f>IFERROR(VLOOKUP(CONCATENATE(Table43_1[[#This Row],[Kode BARANG Win2]],3),'Form Fix'!$A$6:$F$310,4,0),0)</f>
        <v>0</v>
      </c>
      <c r="F86">
        <f>IFERROR(VLOOKUP(CONCATENATE(Table43_1[[#This Row],[Kode BARANG Win2]],4),'Form Fix'!$A$6:$F$310,4,0),0)</f>
        <v>0</v>
      </c>
      <c r="G86">
        <f>IFERROR(VLOOKUP(CONCATENATE(Table43_1[[#This Row],[Kode BARANG Win2]],5),'Form Fix'!$A$6:$F$310,4,0),0)</f>
        <v>0</v>
      </c>
    </row>
    <row r="87" spans="1:7" x14ac:dyDescent="0.25">
      <c r="A87" t="s">
        <v>717</v>
      </c>
      <c r="B87" t="s">
        <v>1062</v>
      </c>
      <c r="C87">
        <f>IFERROR(VLOOKUP(CONCATENATE(Table43_1[[#This Row],[Kode BARANG Win2]],1),'Form Fix'!$A$6:$F$310,4,0),0)</f>
        <v>612045</v>
      </c>
      <c r="D87">
        <f>IFERROR(VLOOKUP(CONCATENATE(Table43_1[[#This Row],[Kode BARANG Win2]],2),'Form Fix'!$A$6:$F$310,4,0),0)</f>
        <v>0</v>
      </c>
      <c r="E87">
        <f>IFERROR(VLOOKUP(CONCATENATE(Table43_1[[#This Row],[Kode BARANG Win2]],3),'Form Fix'!$A$6:$F$310,4,0),0)</f>
        <v>0</v>
      </c>
      <c r="F87">
        <f>IFERROR(VLOOKUP(CONCATENATE(Table43_1[[#This Row],[Kode BARANG Win2]],4),'Form Fix'!$A$6:$F$310,4,0),0)</f>
        <v>0</v>
      </c>
      <c r="G87">
        <f>IFERROR(VLOOKUP(CONCATENATE(Table43_1[[#This Row],[Kode BARANG Win2]],5),'Form Fix'!$A$6:$F$310,4,0),0)</f>
        <v>0</v>
      </c>
    </row>
    <row r="88" spans="1:7" x14ac:dyDescent="0.25">
      <c r="A88" t="s">
        <v>718</v>
      </c>
      <c r="B88" t="s">
        <v>878</v>
      </c>
      <c r="C88">
        <f>IFERROR(VLOOKUP(CONCATENATE(Table43_1[[#This Row],[Kode BARANG Win2]],1),'Form Fix'!$A$6:$F$310,4,0),0)</f>
        <v>612953</v>
      </c>
      <c r="D88">
        <f>IFERROR(VLOOKUP(CONCATENATE(Table43_1[[#This Row],[Kode BARANG Win2]],2),'Form Fix'!$A$6:$F$310,4,0),0)</f>
        <v>0</v>
      </c>
      <c r="E88">
        <f>IFERROR(VLOOKUP(CONCATENATE(Table43_1[[#This Row],[Kode BARANG Win2]],3),'Form Fix'!$A$6:$F$310,4,0),0)</f>
        <v>0</v>
      </c>
      <c r="F88">
        <f>IFERROR(VLOOKUP(CONCATENATE(Table43_1[[#This Row],[Kode BARANG Win2]],4),'Form Fix'!$A$6:$F$310,4,0),0)</f>
        <v>0</v>
      </c>
      <c r="G88">
        <f>IFERROR(VLOOKUP(CONCATENATE(Table43_1[[#This Row],[Kode BARANG Win2]],5),'Form Fix'!$A$6:$F$310,4,0),0)</f>
        <v>0</v>
      </c>
    </row>
    <row r="89" spans="1:7" x14ac:dyDescent="0.25">
      <c r="A89" t="s">
        <v>990</v>
      </c>
      <c r="B89" t="s">
        <v>993</v>
      </c>
      <c r="C89">
        <f>IFERROR(VLOOKUP(CONCATENATE(Table43_1[[#This Row],[Kode BARANG Win2]],1),'Form Fix'!$A$6:$F$310,4,0),0)</f>
        <v>612157</v>
      </c>
      <c r="D89">
        <f>IFERROR(VLOOKUP(CONCATENATE(Table43_1[[#This Row],[Kode BARANG Win2]],2),'Form Fix'!$A$6:$F$310,4,0),0)</f>
        <v>612961</v>
      </c>
      <c r="E89">
        <f>IFERROR(VLOOKUP(CONCATENATE(Table43_1[[#This Row],[Kode BARANG Win2]],3),'Form Fix'!$A$6:$F$310,4,0),0)</f>
        <v>0</v>
      </c>
      <c r="F89">
        <f>IFERROR(VLOOKUP(CONCATENATE(Table43_1[[#This Row],[Kode BARANG Win2]],4),'Form Fix'!$A$6:$F$310,4,0),0)</f>
        <v>0</v>
      </c>
      <c r="G89">
        <f>IFERROR(VLOOKUP(CONCATENATE(Table43_1[[#This Row],[Kode BARANG Win2]],5),'Form Fix'!$A$6:$F$310,4,0),0)</f>
        <v>0</v>
      </c>
    </row>
    <row r="90" spans="1:7" x14ac:dyDescent="0.25">
      <c r="A90" t="s">
        <v>719</v>
      </c>
      <c r="B90" t="s">
        <v>879</v>
      </c>
      <c r="C90">
        <f>IFERROR(VLOOKUP(CONCATENATE(Table43_1[[#This Row],[Kode BARANG Win2]],1),'Form Fix'!$A$6:$F$310,4,0),0)</f>
        <v>612042</v>
      </c>
      <c r="D90">
        <f>IFERROR(VLOOKUP(CONCATENATE(Table43_1[[#This Row],[Kode BARANG Win2]],2),'Form Fix'!$A$6:$F$310,4,0),0)</f>
        <v>0</v>
      </c>
      <c r="E90">
        <f>IFERROR(VLOOKUP(CONCATENATE(Table43_1[[#This Row],[Kode BARANG Win2]],3),'Form Fix'!$A$6:$F$310,4,0),0)</f>
        <v>0</v>
      </c>
      <c r="F90">
        <f>IFERROR(VLOOKUP(CONCATENATE(Table43_1[[#This Row],[Kode BARANG Win2]],4),'Form Fix'!$A$6:$F$310,4,0),0)</f>
        <v>0</v>
      </c>
      <c r="G90">
        <f>IFERROR(VLOOKUP(CONCATENATE(Table43_1[[#This Row],[Kode BARANG Win2]],5),'Form Fix'!$A$6:$F$310,4,0),0)</f>
        <v>0</v>
      </c>
    </row>
    <row r="91" spans="1:7" x14ac:dyDescent="0.25">
      <c r="A91" t="s">
        <v>720</v>
      </c>
      <c r="B91" t="s">
        <v>1058</v>
      </c>
      <c r="C91">
        <f>IFERROR(VLOOKUP(CONCATENATE(Table43_1[[#This Row],[Kode BARANG Win2]],1),'Form Fix'!$A$6:$F$310,4,0),0)</f>
        <v>612046</v>
      </c>
      <c r="D91">
        <f>IFERROR(VLOOKUP(CONCATENATE(Table43_1[[#This Row],[Kode BARANG Win2]],2),'Form Fix'!$A$6:$F$310,4,0),0)</f>
        <v>0</v>
      </c>
      <c r="E91">
        <f>IFERROR(VLOOKUP(CONCATENATE(Table43_1[[#This Row],[Kode BARANG Win2]],3),'Form Fix'!$A$6:$F$310,4,0),0)</f>
        <v>0</v>
      </c>
      <c r="F91">
        <f>IFERROR(VLOOKUP(CONCATENATE(Table43_1[[#This Row],[Kode BARANG Win2]],4),'Form Fix'!$A$6:$F$310,4,0),0)</f>
        <v>0</v>
      </c>
      <c r="G91">
        <f>IFERROR(VLOOKUP(CONCATENATE(Table43_1[[#This Row],[Kode BARANG Win2]],5),'Form Fix'!$A$6:$F$310,4,0),0)</f>
        <v>0</v>
      </c>
    </row>
    <row r="92" spans="1:7" x14ac:dyDescent="0.25">
      <c r="A92" t="s">
        <v>991</v>
      </c>
      <c r="B92" t="s">
        <v>994</v>
      </c>
      <c r="C92">
        <f>IFERROR(VLOOKUP(CONCATENATE(Table43_1[[#This Row],[Kode BARANG Win2]],1),'Form Fix'!$A$6:$F$310,4,0),0)</f>
        <v>612158</v>
      </c>
      <c r="D92">
        <f>IFERROR(VLOOKUP(CONCATENATE(Table43_1[[#This Row],[Kode BARANG Win2]],2),'Form Fix'!$A$6:$F$310,4,0),0)</f>
        <v>0</v>
      </c>
      <c r="E92">
        <f>IFERROR(VLOOKUP(CONCATENATE(Table43_1[[#This Row],[Kode BARANG Win2]],3),'Form Fix'!$A$6:$F$310,4,0),0)</f>
        <v>0</v>
      </c>
      <c r="F92">
        <f>IFERROR(VLOOKUP(CONCATENATE(Table43_1[[#This Row],[Kode BARANG Win2]],4),'Form Fix'!$A$6:$F$310,4,0),0)</f>
        <v>0</v>
      </c>
      <c r="G92">
        <f>IFERROR(VLOOKUP(CONCATENATE(Table43_1[[#This Row],[Kode BARANG Win2]],5),'Form Fix'!$A$6:$F$310,4,0),0)</f>
        <v>0</v>
      </c>
    </row>
    <row r="93" spans="1:7" x14ac:dyDescent="0.25">
      <c r="A93" t="s">
        <v>721</v>
      </c>
      <c r="B93" t="s">
        <v>880</v>
      </c>
      <c r="C93">
        <f>IFERROR(VLOOKUP(CONCATENATE(Table43_1[[#This Row],[Kode BARANG Win2]],1),'Form Fix'!$A$6:$F$310,4,0),0)</f>
        <v>612043</v>
      </c>
      <c r="D93">
        <f>IFERROR(VLOOKUP(CONCATENATE(Table43_1[[#This Row],[Kode BARANG Win2]],2),'Form Fix'!$A$6:$F$310,4,0),0)</f>
        <v>0</v>
      </c>
      <c r="E93">
        <f>IFERROR(VLOOKUP(CONCATENATE(Table43_1[[#This Row],[Kode BARANG Win2]],3),'Form Fix'!$A$6:$F$310,4,0),0)</f>
        <v>0</v>
      </c>
      <c r="F93">
        <f>IFERROR(VLOOKUP(CONCATENATE(Table43_1[[#This Row],[Kode BARANG Win2]],4),'Form Fix'!$A$6:$F$310,4,0),0)</f>
        <v>0</v>
      </c>
      <c r="G93">
        <f>IFERROR(VLOOKUP(CONCATENATE(Table43_1[[#This Row],[Kode BARANG Win2]],5),'Form Fix'!$A$6:$F$310,4,0),0)</f>
        <v>0</v>
      </c>
    </row>
    <row r="94" spans="1:7" x14ac:dyDescent="0.25">
      <c r="A94" t="s">
        <v>722</v>
      </c>
      <c r="B94" t="s">
        <v>881</v>
      </c>
      <c r="C94">
        <f>IFERROR(VLOOKUP(CONCATENATE(Table43_1[[#This Row],[Kode BARANG Win2]],1),'Form Fix'!$A$6:$F$310,4,0),0)</f>
        <v>612141</v>
      </c>
      <c r="D94">
        <f>IFERROR(VLOOKUP(CONCATENATE(Table43_1[[#This Row],[Kode BARANG Win2]],2),'Form Fix'!$A$6:$F$310,4,0),0)</f>
        <v>612148</v>
      </c>
      <c r="E94">
        <f>IFERROR(VLOOKUP(CONCATENATE(Table43_1[[#This Row],[Kode BARANG Win2]],3),'Form Fix'!$A$6:$F$310,4,0),0)</f>
        <v>612155</v>
      </c>
      <c r="F94">
        <f>IFERROR(VLOOKUP(CONCATENATE(Table43_1[[#This Row],[Kode BARANG Win2]],4),'Form Fix'!$A$6:$F$310,4,0),0)</f>
        <v>0</v>
      </c>
      <c r="G94">
        <f>IFERROR(VLOOKUP(CONCATENATE(Table43_1[[#This Row],[Kode BARANG Win2]],5),'Form Fix'!$A$6:$F$310,4,0),0)</f>
        <v>0</v>
      </c>
    </row>
    <row r="95" spans="1:7" x14ac:dyDescent="0.25">
      <c r="A95" t="s">
        <v>723</v>
      </c>
      <c r="B95" t="s">
        <v>1059</v>
      </c>
      <c r="C95">
        <f>IFERROR(VLOOKUP(CONCATENATE(Table43_1[[#This Row],[Kode BARANG Win2]],1),'Form Fix'!$A$6:$F$310,4,0),0)</f>
        <v>612047</v>
      </c>
      <c r="D95">
        <f>IFERROR(VLOOKUP(CONCATENATE(Table43_1[[#This Row],[Kode BARANG Win2]],2),'Form Fix'!$A$6:$F$310,4,0),0)</f>
        <v>612154</v>
      </c>
      <c r="E95">
        <f>IFERROR(VLOOKUP(CONCATENATE(Table43_1[[#This Row],[Kode BARANG Win2]],3),'Form Fix'!$A$6:$F$310,4,0),0)</f>
        <v>0</v>
      </c>
      <c r="F95">
        <f>IFERROR(VLOOKUP(CONCATENATE(Table43_1[[#This Row],[Kode BARANG Win2]],4),'Form Fix'!$A$6:$F$310,4,0),0)</f>
        <v>0</v>
      </c>
      <c r="G95">
        <f>IFERROR(VLOOKUP(CONCATENATE(Table43_1[[#This Row],[Kode BARANG Win2]],5),'Form Fix'!$A$6:$F$310,4,0),0)</f>
        <v>0</v>
      </c>
    </row>
    <row r="96" spans="1:7" x14ac:dyDescent="0.25">
      <c r="A96" t="s">
        <v>992</v>
      </c>
      <c r="B96" t="s">
        <v>995</v>
      </c>
      <c r="C96">
        <f>IFERROR(VLOOKUP(CONCATENATE(Table43_1[[#This Row],[Kode BARANG Win2]],1),'Form Fix'!$A$6:$F$310,4,0),0)</f>
        <v>612963</v>
      </c>
      <c r="D96">
        <f>IFERROR(VLOOKUP(CONCATENATE(Table43_1[[#This Row],[Kode BARANG Win2]],2),'Form Fix'!$A$6:$F$310,4,0),0)</f>
        <v>612159</v>
      </c>
      <c r="E96">
        <f>IFERROR(VLOOKUP(CONCATENATE(Table43_1[[#This Row],[Kode BARANG Win2]],3),'Form Fix'!$A$6:$F$310,4,0),0)</f>
        <v>0</v>
      </c>
      <c r="F96">
        <f>IFERROR(VLOOKUP(CONCATENATE(Table43_1[[#This Row],[Kode BARANG Win2]],4),'Form Fix'!$A$6:$F$310,4,0),0)</f>
        <v>0</v>
      </c>
      <c r="G96">
        <f>IFERROR(VLOOKUP(CONCATENATE(Table43_1[[#This Row],[Kode BARANG Win2]],5),'Form Fix'!$A$6:$F$310,4,0),0)</f>
        <v>0</v>
      </c>
    </row>
    <row r="97" spans="1:7" x14ac:dyDescent="0.25">
      <c r="A97" t="s">
        <v>724</v>
      </c>
      <c r="B97" t="s">
        <v>882</v>
      </c>
      <c r="C97">
        <f>IFERROR(VLOOKUP(CONCATENATE(Table43_1[[#This Row],[Kode BARANG Win2]],1),'Form Fix'!$A$6:$F$310,4,0),0)</f>
        <v>612044</v>
      </c>
      <c r="D97">
        <f>IFERROR(VLOOKUP(CONCATENATE(Table43_1[[#This Row],[Kode BARANG Win2]],2),'Form Fix'!$A$6:$F$310,4,0),0)</f>
        <v>612151</v>
      </c>
      <c r="E97">
        <f>IFERROR(VLOOKUP(CONCATENATE(Table43_1[[#This Row],[Kode BARANG Win2]],3),'Form Fix'!$A$6:$F$310,4,0),0)</f>
        <v>0</v>
      </c>
      <c r="F97">
        <f>IFERROR(VLOOKUP(CONCATENATE(Table43_1[[#This Row],[Kode BARANG Win2]],4),'Form Fix'!$A$6:$F$310,4,0),0)</f>
        <v>0</v>
      </c>
      <c r="G97">
        <f>IFERROR(VLOOKUP(CONCATENATE(Table43_1[[#This Row],[Kode BARANG Win2]],5),'Form Fix'!$A$6:$F$310,4,0),0)</f>
        <v>0</v>
      </c>
    </row>
    <row r="98" spans="1:7" x14ac:dyDescent="0.25">
      <c r="A98" t="s">
        <v>725</v>
      </c>
      <c r="B98" t="s">
        <v>883</v>
      </c>
      <c r="C98">
        <f>IFERROR(VLOOKUP(CONCATENATE(Table43_1[[#This Row],[Kode BARANG Win2]],1),'Form Fix'!$A$6:$F$310,4,0),0)</f>
        <v>612134</v>
      </c>
      <c r="D98">
        <f>IFERROR(VLOOKUP(CONCATENATE(Table43_1[[#This Row],[Kode BARANG Win2]],2),'Form Fix'!$A$6:$F$310,4,0),0)</f>
        <v>0</v>
      </c>
      <c r="E98">
        <f>IFERROR(VLOOKUP(CONCATENATE(Table43_1[[#This Row],[Kode BARANG Win2]],3),'Form Fix'!$A$6:$F$310,4,0),0)</f>
        <v>0</v>
      </c>
      <c r="F98">
        <f>IFERROR(VLOOKUP(CONCATENATE(Table43_1[[#This Row],[Kode BARANG Win2]],4),'Form Fix'!$A$6:$F$310,4,0),0)</f>
        <v>0</v>
      </c>
      <c r="G98">
        <f>IFERROR(VLOOKUP(CONCATENATE(Table43_1[[#This Row],[Kode BARANG Win2]],5),'Form Fix'!$A$6:$F$310,4,0),0)</f>
        <v>0</v>
      </c>
    </row>
    <row r="99" spans="1:7" x14ac:dyDescent="0.25">
      <c r="A99" t="s">
        <v>727</v>
      </c>
      <c r="B99" t="s">
        <v>884</v>
      </c>
      <c r="C99">
        <f>IFERROR(VLOOKUP(CONCATENATE(Table43_1[[#This Row],[Kode BARANG Win2]],1),'Form Fix'!$A$6:$F$310,4,0),0)</f>
        <v>612958</v>
      </c>
      <c r="D99">
        <f>IFERROR(VLOOKUP(CONCATENATE(Table43_1[[#This Row],[Kode BARANG Win2]],2),'Form Fix'!$A$6:$F$310,4,0),0)</f>
        <v>0</v>
      </c>
      <c r="E99">
        <f>IFERROR(VLOOKUP(CONCATENATE(Table43_1[[#This Row],[Kode BARANG Win2]],3),'Form Fix'!$A$6:$F$310,4,0),0)</f>
        <v>0</v>
      </c>
      <c r="F99">
        <f>IFERROR(VLOOKUP(CONCATENATE(Table43_1[[#This Row],[Kode BARANG Win2]],4),'Form Fix'!$A$6:$F$310,4,0),0)</f>
        <v>0</v>
      </c>
      <c r="G99">
        <f>IFERROR(VLOOKUP(CONCATENATE(Table43_1[[#This Row],[Kode BARANG Win2]],5),'Form Fix'!$A$6:$F$310,4,0),0)</f>
        <v>0</v>
      </c>
    </row>
    <row r="100" spans="1:7" x14ac:dyDescent="0.25">
      <c r="A100" t="s">
        <v>726</v>
      </c>
      <c r="B100" t="s">
        <v>885</v>
      </c>
      <c r="C100">
        <f>IFERROR(VLOOKUP(CONCATENATE(Table43_1[[#This Row],[Kode BARANG Win2]],1),'Form Fix'!$A$6:$F$310,4,0),0)</f>
        <v>612091</v>
      </c>
      <c r="D100">
        <f>IFERROR(VLOOKUP(CONCATENATE(Table43_1[[#This Row],[Kode BARANG Win2]],2),'Form Fix'!$A$6:$F$310,4,0),0)</f>
        <v>0</v>
      </c>
      <c r="E100">
        <f>IFERROR(VLOOKUP(CONCATENATE(Table43_1[[#This Row],[Kode BARANG Win2]],3),'Form Fix'!$A$6:$F$310,4,0),0)</f>
        <v>0</v>
      </c>
      <c r="F100">
        <f>IFERROR(VLOOKUP(CONCATENATE(Table43_1[[#This Row],[Kode BARANG Win2]],4),'Form Fix'!$A$6:$F$310,4,0),0)</f>
        <v>0</v>
      </c>
      <c r="G100">
        <f>IFERROR(VLOOKUP(CONCATENATE(Table43_1[[#This Row],[Kode BARANG Win2]],5),'Form Fix'!$A$6:$F$310,4,0),0)</f>
        <v>0</v>
      </c>
    </row>
    <row r="101" spans="1:7" x14ac:dyDescent="0.25">
      <c r="A101" t="s">
        <v>730</v>
      </c>
      <c r="B101" t="s">
        <v>886</v>
      </c>
      <c r="C101">
        <f>IFERROR(VLOOKUP(CONCATENATE(Table43_1[[#This Row],[Kode BARANG Win2]],1),'Form Fix'!$A$6:$F$310,4,0),0)</f>
        <v>190034</v>
      </c>
      <c r="D101">
        <f>IFERROR(VLOOKUP(CONCATENATE(Table43_1[[#This Row],[Kode BARANG Win2]],2),'Form Fix'!$A$6:$F$310,4,0),0)</f>
        <v>190050</v>
      </c>
      <c r="E101">
        <f>IFERROR(VLOOKUP(CONCATENATE(Table43_1[[#This Row],[Kode BARANG Win2]],3),'Form Fix'!$A$6:$F$310,4,0),0)</f>
        <v>190065</v>
      </c>
      <c r="F101">
        <f>IFERROR(VLOOKUP(CONCATENATE(Table43_1[[#This Row],[Kode BARANG Win2]],4),'Form Fix'!$A$6:$F$310,4,0),0)</f>
        <v>0</v>
      </c>
      <c r="G101">
        <f>IFERROR(VLOOKUP(CONCATENATE(Table43_1[[#This Row],[Kode BARANG Win2]],5),'Form Fix'!$A$6:$F$310,4,0),0)</f>
        <v>0</v>
      </c>
    </row>
    <row r="102" spans="1:7" x14ac:dyDescent="0.25">
      <c r="A102" t="s">
        <v>731</v>
      </c>
      <c r="B102" t="s">
        <v>887</v>
      </c>
      <c r="C102">
        <f>IFERROR(VLOOKUP(CONCATENATE(Table43_1[[#This Row],[Kode BARANG Win2]],1),'Form Fix'!$A$6:$F$310,4,0),0)</f>
        <v>190040</v>
      </c>
      <c r="D102">
        <f>IFERROR(VLOOKUP(CONCATENATE(Table43_1[[#This Row],[Kode BARANG Win2]],2),'Form Fix'!$A$6:$F$310,4,0),0)</f>
        <v>190067</v>
      </c>
      <c r="E102">
        <f>IFERROR(VLOOKUP(CONCATENATE(Table43_1[[#This Row],[Kode BARANG Win2]],3),'Form Fix'!$A$6:$F$310,4,0),0)</f>
        <v>0</v>
      </c>
      <c r="F102">
        <f>IFERROR(VLOOKUP(CONCATENATE(Table43_1[[#This Row],[Kode BARANG Win2]],4),'Form Fix'!$A$6:$F$310,4,0),0)</f>
        <v>0</v>
      </c>
      <c r="G102">
        <f>IFERROR(VLOOKUP(CONCATENATE(Table43_1[[#This Row],[Kode BARANG Win2]],5),'Form Fix'!$A$6:$F$310,4,0),0)</f>
        <v>0</v>
      </c>
    </row>
    <row r="103" spans="1:7" x14ac:dyDescent="0.25">
      <c r="A103" t="s">
        <v>732</v>
      </c>
      <c r="B103" t="s">
        <v>888</v>
      </c>
      <c r="C103">
        <f>IFERROR(VLOOKUP(CONCATENATE(Table43_1[[#This Row],[Kode BARANG Win2]],1),'Form Fix'!$A$6:$F$310,4,0),0)</f>
        <v>190041</v>
      </c>
      <c r="D103">
        <f>IFERROR(VLOOKUP(CONCATENATE(Table43_1[[#This Row],[Kode BARANG Win2]],2),'Form Fix'!$A$6:$F$310,4,0),0)</f>
        <v>190068</v>
      </c>
      <c r="E103">
        <f>IFERROR(VLOOKUP(CONCATENATE(Table43_1[[#This Row],[Kode BARANG Win2]],3),'Form Fix'!$A$6:$F$310,4,0),0)</f>
        <v>0</v>
      </c>
      <c r="F103">
        <f>IFERROR(VLOOKUP(CONCATENATE(Table43_1[[#This Row],[Kode BARANG Win2]],4),'Form Fix'!$A$6:$F$310,4,0),0)</f>
        <v>0</v>
      </c>
      <c r="G103">
        <f>IFERROR(VLOOKUP(CONCATENATE(Table43_1[[#This Row],[Kode BARANG Win2]],5),'Form Fix'!$A$6:$F$310,4,0),0)</f>
        <v>0</v>
      </c>
    </row>
    <row r="104" spans="1:7" x14ac:dyDescent="0.25">
      <c r="A104" t="s">
        <v>733</v>
      </c>
      <c r="B104" t="s">
        <v>889</v>
      </c>
      <c r="C104">
        <f>IFERROR(VLOOKUP(CONCATENATE(Table43_1[[#This Row],[Kode BARANG Win2]],1),'Form Fix'!$A$6:$F$310,4,0),0)</f>
        <v>190031</v>
      </c>
      <c r="D104">
        <f>IFERROR(VLOOKUP(CONCATENATE(Table43_1[[#This Row],[Kode BARANG Win2]],2),'Form Fix'!$A$6:$F$310,4,0),0)</f>
        <v>190066</v>
      </c>
      <c r="E104">
        <f>IFERROR(VLOOKUP(CONCATENATE(Table43_1[[#This Row],[Kode BARANG Win2]],3),'Form Fix'!$A$6:$F$310,4,0),0)</f>
        <v>0</v>
      </c>
      <c r="F104">
        <f>IFERROR(VLOOKUP(CONCATENATE(Table43_1[[#This Row],[Kode BARANG Win2]],4),'Form Fix'!$A$6:$F$310,4,0),0)</f>
        <v>0</v>
      </c>
      <c r="G104">
        <f>IFERROR(VLOOKUP(CONCATENATE(Table43_1[[#This Row],[Kode BARANG Win2]],5),'Form Fix'!$A$6:$F$310,4,0),0)</f>
        <v>0</v>
      </c>
    </row>
    <row r="105" spans="1:7" x14ac:dyDescent="0.25">
      <c r="A105" t="s">
        <v>764</v>
      </c>
      <c r="B105" t="s">
        <v>890</v>
      </c>
      <c r="C105">
        <f>IFERROR(VLOOKUP(CONCATENATE(Table43_1[[#This Row],[Kode BARANG Win2]],1),'Form Fix'!$A$6:$F$310,4,0),0)</f>
        <v>190035</v>
      </c>
      <c r="D105">
        <f>IFERROR(VLOOKUP(CONCATENATE(Table43_1[[#This Row],[Kode BARANG Win2]],2),'Form Fix'!$A$6:$F$310,4,0),0)</f>
        <v>190051</v>
      </c>
      <c r="E105">
        <f>IFERROR(VLOOKUP(CONCATENATE(Table43_1[[#This Row],[Kode BARANG Win2]],3),'Form Fix'!$A$6:$F$310,4,0),0)</f>
        <v>190070</v>
      </c>
      <c r="F105">
        <f>IFERROR(VLOOKUP(CONCATENATE(Table43_1[[#This Row],[Kode BARANG Win2]],4),'Form Fix'!$A$6:$F$310,4,0),0)</f>
        <v>0</v>
      </c>
      <c r="G105">
        <f>IFERROR(VLOOKUP(CONCATENATE(Table43_1[[#This Row],[Kode BARANG Win2]],5),'Form Fix'!$A$6:$F$310,4,0),0)</f>
        <v>0</v>
      </c>
    </row>
    <row r="106" spans="1:7" x14ac:dyDescent="0.25">
      <c r="A106" t="s">
        <v>765</v>
      </c>
      <c r="B106" t="s">
        <v>891</v>
      </c>
      <c r="C106">
        <f>IFERROR(VLOOKUP(CONCATENATE(Table43_1[[#This Row],[Kode BARANG Win2]],1),'Form Fix'!$A$6:$F$310,4,0),0)</f>
        <v>190036</v>
      </c>
      <c r="D106">
        <f>IFERROR(VLOOKUP(CONCATENATE(Table43_1[[#This Row],[Kode BARANG Win2]],2),'Form Fix'!$A$6:$F$310,4,0),0)</f>
        <v>190043</v>
      </c>
      <c r="E106">
        <f>IFERROR(VLOOKUP(CONCATENATE(Table43_1[[#This Row],[Kode BARANG Win2]],3),'Form Fix'!$A$6:$F$310,4,0),0)</f>
        <v>190069</v>
      </c>
      <c r="F106">
        <f>IFERROR(VLOOKUP(CONCATENATE(Table43_1[[#This Row],[Kode BARANG Win2]],4),'Form Fix'!$A$6:$F$310,4,0),0)</f>
        <v>0</v>
      </c>
      <c r="G106">
        <f>IFERROR(VLOOKUP(CONCATENATE(Table43_1[[#This Row],[Kode BARANG Win2]],5),'Form Fix'!$A$6:$F$310,4,0),0)</f>
        <v>0</v>
      </c>
    </row>
    <row r="107" spans="1:7" x14ac:dyDescent="0.25">
      <c r="A107" t="s">
        <v>729</v>
      </c>
      <c r="B107" t="s">
        <v>892</v>
      </c>
      <c r="C107">
        <f>IFERROR(VLOOKUP(CONCATENATE(Table43_1[[#This Row],[Kode BARANG Win2]],1),'Form Fix'!$A$6:$F$310,4,0),0)</f>
        <v>190039</v>
      </c>
      <c r="D107">
        <f>IFERROR(VLOOKUP(CONCATENATE(Table43_1[[#This Row],[Kode BARANG Win2]],2),'Form Fix'!$A$6:$F$310,4,0),0)</f>
        <v>0</v>
      </c>
      <c r="E107">
        <f>IFERROR(VLOOKUP(CONCATENATE(Table43_1[[#This Row],[Kode BARANG Win2]],3),'Form Fix'!$A$6:$F$310,4,0),0)</f>
        <v>0</v>
      </c>
      <c r="F107">
        <f>IFERROR(VLOOKUP(CONCATENATE(Table43_1[[#This Row],[Kode BARANG Win2]],4),'Form Fix'!$A$6:$F$310,4,0),0)</f>
        <v>0</v>
      </c>
      <c r="G107">
        <f>IFERROR(VLOOKUP(CONCATENATE(Table43_1[[#This Row],[Kode BARANG Win2]],5),'Form Fix'!$A$6:$F$310,4,0),0)</f>
        <v>0</v>
      </c>
    </row>
    <row r="108" spans="1:7" x14ac:dyDescent="0.25">
      <c r="A108" t="s">
        <v>728</v>
      </c>
      <c r="B108" t="s">
        <v>893</v>
      </c>
      <c r="C108">
        <f>IFERROR(VLOOKUP(CONCATENATE(Table43_1[[#This Row],[Kode BARANG Win2]],1),'Form Fix'!$A$6:$F$310,4,0),0)</f>
        <v>190047</v>
      </c>
      <c r="D108">
        <f>IFERROR(VLOOKUP(CONCATENATE(Table43_1[[#This Row],[Kode BARANG Win2]],2),'Form Fix'!$A$6:$F$310,4,0),0)</f>
        <v>190057</v>
      </c>
      <c r="E108">
        <f>IFERROR(VLOOKUP(CONCATENATE(Table43_1[[#This Row],[Kode BARANG Win2]],3),'Form Fix'!$A$6:$F$310,4,0),0)</f>
        <v>0</v>
      </c>
      <c r="F108">
        <f>IFERROR(VLOOKUP(CONCATENATE(Table43_1[[#This Row],[Kode BARANG Win2]],4),'Form Fix'!$A$6:$F$310,4,0),0)</f>
        <v>0</v>
      </c>
      <c r="G108">
        <f>IFERROR(VLOOKUP(CONCATENATE(Table43_1[[#This Row],[Kode BARANG Win2]],5),'Form Fix'!$A$6:$F$310,4,0),0)</f>
        <v>0</v>
      </c>
    </row>
    <row r="109" spans="1:7" x14ac:dyDescent="0.25">
      <c r="A109" t="s">
        <v>766</v>
      </c>
      <c r="B109" t="s">
        <v>894</v>
      </c>
      <c r="C109">
        <f>IFERROR(VLOOKUP(CONCATENATE(Table43_1[[#This Row],[Kode BARANG Win2]],1),'Form Fix'!$A$6:$F$310,4,0),0)</f>
        <v>150129</v>
      </c>
      <c r="D109">
        <f>IFERROR(VLOOKUP(CONCATENATE(Table43_1[[#This Row],[Kode BARANG Win2]],2),'Form Fix'!$A$6:$F$310,4,0),0)</f>
        <v>0</v>
      </c>
      <c r="E109">
        <f>IFERROR(VLOOKUP(CONCATENATE(Table43_1[[#This Row],[Kode BARANG Win2]],3),'Form Fix'!$A$6:$F$310,4,0),0)</f>
        <v>0</v>
      </c>
      <c r="F109">
        <f>IFERROR(VLOOKUP(CONCATENATE(Table43_1[[#This Row],[Kode BARANG Win2]],4),'Form Fix'!$A$6:$F$310,4,0),0)</f>
        <v>0</v>
      </c>
      <c r="G109">
        <f>IFERROR(VLOOKUP(CONCATENATE(Table43_1[[#This Row],[Kode BARANG Win2]],5),'Form Fix'!$A$6:$F$310,4,0),0)</f>
        <v>0</v>
      </c>
    </row>
    <row r="110" spans="1:7" x14ac:dyDescent="0.25">
      <c r="A110" t="s">
        <v>2995</v>
      </c>
      <c r="B110" t="s">
        <v>2996</v>
      </c>
      <c r="C110">
        <f>IFERROR(VLOOKUP(CONCATENATE(Table43_1[[#This Row],[Kode BARANG Win2]],1),'Form Fix'!$A$6:$F$310,4,0),0)</f>
        <v>150409</v>
      </c>
      <c r="D110">
        <f>IFERROR(VLOOKUP(CONCATENATE(Table43_1[[#This Row],[Kode BARANG Win2]],2),'Form Fix'!$A$6:$F$310,4,0),0)</f>
        <v>150204</v>
      </c>
      <c r="E110">
        <f>IFERROR(VLOOKUP(CONCATENATE(Table43_1[[#This Row],[Kode BARANG Win2]],3),'Form Fix'!$A$6:$F$310,4,0),0)</f>
        <v>150326</v>
      </c>
      <c r="F110">
        <f>IFERROR(VLOOKUP(CONCATENATE(Table43_1[[#This Row],[Kode BARANG Win2]],4),'Form Fix'!$A$6:$F$310,4,0),0)</f>
        <v>0</v>
      </c>
      <c r="G110">
        <f>IFERROR(VLOOKUP(CONCATENATE(Table43_1[[#This Row],[Kode BARANG Win2]],5),'Form Fix'!$A$6:$F$310,4,0),0)</f>
        <v>0</v>
      </c>
    </row>
    <row r="111" spans="1:7" x14ac:dyDescent="0.25">
      <c r="A111" t="s">
        <v>767</v>
      </c>
      <c r="B111" t="s">
        <v>895</v>
      </c>
      <c r="C111">
        <f>IFERROR(VLOOKUP(CONCATENATE(Table43_1[[#This Row],[Kode BARANG Win2]],1),'Form Fix'!$A$6:$F$310,4,0),0)</f>
        <v>150132</v>
      </c>
      <c r="D111">
        <f>IFERROR(VLOOKUP(CONCATENATE(Table43_1[[#This Row],[Kode BARANG Win2]],2),'Form Fix'!$A$6:$F$310,4,0),0)</f>
        <v>150206</v>
      </c>
      <c r="E111">
        <f>IFERROR(VLOOKUP(CONCATENATE(Table43_1[[#This Row],[Kode BARANG Win2]],3),'Form Fix'!$A$6:$F$310,4,0),0)</f>
        <v>150210</v>
      </c>
      <c r="F111">
        <f>IFERROR(VLOOKUP(CONCATENATE(Table43_1[[#This Row],[Kode BARANG Win2]],4),'Form Fix'!$A$6:$F$310,4,0),0)</f>
        <v>150230</v>
      </c>
      <c r="G111">
        <f>IFERROR(VLOOKUP(CONCATENATE(Table43_1[[#This Row],[Kode BARANG Win2]],5),'Form Fix'!$A$6:$F$310,4,0),0)</f>
        <v>150328</v>
      </c>
    </row>
    <row r="112" spans="1:7" x14ac:dyDescent="0.25">
      <c r="A112" t="s">
        <v>768</v>
      </c>
      <c r="B112" t="s">
        <v>1020</v>
      </c>
      <c r="C112">
        <f>IFERROR(VLOOKUP(CONCATENATE(Table43_1[[#This Row],[Kode BARANG Win2]],1),'Form Fix'!$A$6:$F$310,4,0),0)</f>
        <v>150180</v>
      </c>
      <c r="D112">
        <f>IFERROR(VLOOKUP(CONCATENATE(Table43_1[[#This Row],[Kode BARANG Win2]],2),'Form Fix'!$A$6:$F$310,4,0),0)</f>
        <v>150308</v>
      </c>
      <c r="E112">
        <f>IFERROR(VLOOKUP(CONCATENATE(Table43_1[[#This Row],[Kode BARANG Win2]],3),'Form Fix'!$A$6:$F$310,4,0),0)</f>
        <v>0</v>
      </c>
      <c r="F112">
        <f>IFERROR(VLOOKUP(CONCATENATE(Table43_1[[#This Row],[Kode BARANG Win2]],4),'Form Fix'!$A$6:$F$310,4,0),0)</f>
        <v>0</v>
      </c>
      <c r="G112">
        <f>IFERROR(VLOOKUP(CONCATENATE(Table43_1[[#This Row],[Kode BARANG Win2]],5),'Form Fix'!$A$6:$F$310,4,0),0)</f>
        <v>0</v>
      </c>
    </row>
    <row r="113" spans="1:7" x14ac:dyDescent="0.25">
      <c r="A113" t="s">
        <v>769</v>
      </c>
      <c r="B113" t="s">
        <v>896</v>
      </c>
      <c r="C113">
        <f>IFERROR(VLOOKUP(CONCATENATE(Table43_1[[#This Row],[Kode BARANG Win2]],1),'Form Fix'!$A$6:$F$310,4,0),0)</f>
        <v>150294</v>
      </c>
      <c r="D113">
        <f>IFERROR(VLOOKUP(CONCATENATE(Table43_1[[#This Row],[Kode BARANG Win2]],2),'Form Fix'!$A$6:$F$310,4,0),0)</f>
        <v>150373</v>
      </c>
      <c r="E113">
        <f>IFERROR(VLOOKUP(CONCATENATE(Table43_1[[#This Row],[Kode BARANG Win2]],3),'Form Fix'!$A$6:$F$310,4,0),0)</f>
        <v>0</v>
      </c>
      <c r="F113">
        <f>IFERROR(VLOOKUP(CONCATENATE(Table43_1[[#This Row],[Kode BARANG Win2]],4),'Form Fix'!$A$6:$F$310,4,0),0)</f>
        <v>0</v>
      </c>
      <c r="G113">
        <f>IFERROR(VLOOKUP(CONCATENATE(Table43_1[[#This Row],[Kode BARANG Win2]],5),'Form Fix'!$A$6:$F$310,4,0),0)</f>
        <v>0</v>
      </c>
    </row>
    <row r="114" spans="1:7" x14ac:dyDescent="0.25">
      <c r="A114" t="s">
        <v>783</v>
      </c>
      <c r="B114" t="s">
        <v>909</v>
      </c>
      <c r="C114">
        <f>IFERROR(VLOOKUP(CONCATENATE(Table43_1[[#This Row],[Kode BARANG Win2]],1),'Form Fix'!$A$6:$F$310,4,0),0)</f>
        <v>150295</v>
      </c>
      <c r="D114">
        <f>IFERROR(VLOOKUP(CONCATENATE(Table43_1[[#This Row],[Kode BARANG Win2]],2),'Form Fix'!$A$6:$F$310,4,0),0)</f>
        <v>150374</v>
      </c>
      <c r="E114">
        <f>IFERROR(VLOOKUP(CONCATENATE(Table43_1[[#This Row],[Kode BARANG Win2]],3),'Form Fix'!$A$6:$F$310,4,0),0)</f>
        <v>0</v>
      </c>
      <c r="F114">
        <f>IFERROR(VLOOKUP(CONCATENATE(Table43_1[[#This Row],[Kode BARANG Win2]],4),'Form Fix'!$A$6:$F$310,4,0),0)</f>
        <v>0</v>
      </c>
      <c r="G114">
        <f>IFERROR(VLOOKUP(CONCATENATE(Table43_1[[#This Row],[Kode BARANG Win2]],5),'Form Fix'!$A$6:$F$310,4,0),0)</f>
        <v>0</v>
      </c>
    </row>
    <row r="115" spans="1:7" x14ac:dyDescent="0.25">
      <c r="A115" t="s">
        <v>770</v>
      </c>
      <c r="B115" t="s">
        <v>897</v>
      </c>
      <c r="C115">
        <f>IFERROR(VLOOKUP(CONCATENATE(Table43_1[[#This Row],[Kode BARANG Win2]],1),'Form Fix'!$A$6:$F$310,4,0),0)</f>
        <v>150975</v>
      </c>
      <c r="D115">
        <f>IFERROR(VLOOKUP(CONCATENATE(Table43_1[[#This Row],[Kode BARANG Win2]],2),'Form Fix'!$A$6:$F$310,4,0),0)</f>
        <v>0</v>
      </c>
      <c r="E115">
        <f>IFERROR(VLOOKUP(CONCATENATE(Table43_1[[#This Row],[Kode BARANG Win2]],3),'Form Fix'!$A$6:$F$310,4,0),0)</f>
        <v>0</v>
      </c>
      <c r="F115">
        <f>IFERROR(VLOOKUP(CONCATENATE(Table43_1[[#This Row],[Kode BARANG Win2]],4),'Form Fix'!$A$6:$F$310,4,0),0)</f>
        <v>0</v>
      </c>
      <c r="G115">
        <f>IFERROR(VLOOKUP(CONCATENATE(Table43_1[[#This Row],[Kode BARANG Win2]],5),'Form Fix'!$A$6:$F$310,4,0),0)</f>
        <v>0</v>
      </c>
    </row>
    <row r="116" spans="1:7" x14ac:dyDescent="0.25">
      <c r="A116" t="s">
        <v>771</v>
      </c>
      <c r="B116" t="s">
        <v>898</v>
      </c>
      <c r="C116">
        <f>IFERROR(VLOOKUP(CONCATENATE(Table43_1[[#This Row],[Kode BARANG Win2]],1),'Form Fix'!$A$6:$F$310,4,0),0)</f>
        <v>150164</v>
      </c>
      <c r="D116">
        <f>IFERROR(VLOOKUP(CONCATENATE(Table43_1[[#This Row],[Kode BARANG Win2]],2),'Form Fix'!$A$6:$F$310,4,0),0)</f>
        <v>150186</v>
      </c>
      <c r="E116">
        <f>IFERROR(VLOOKUP(CONCATENATE(Table43_1[[#This Row],[Kode BARANG Win2]],3),'Form Fix'!$A$6:$F$310,4,0),0)</f>
        <v>0</v>
      </c>
      <c r="F116">
        <f>IFERROR(VLOOKUP(CONCATENATE(Table43_1[[#This Row],[Kode BARANG Win2]],4),'Form Fix'!$A$6:$F$310,4,0),0)</f>
        <v>0</v>
      </c>
      <c r="G116">
        <f>IFERROR(VLOOKUP(CONCATENATE(Table43_1[[#This Row],[Kode BARANG Win2]],5),'Form Fix'!$A$6:$F$310,4,0),0)</f>
        <v>0</v>
      </c>
    </row>
    <row r="117" spans="1:7" x14ac:dyDescent="0.25">
      <c r="A117" t="s">
        <v>772</v>
      </c>
      <c r="B117" t="s">
        <v>899</v>
      </c>
      <c r="C117">
        <f>IFERROR(VLOOKUP(CONCATENATE(Table43_1[[#This Row],[Kode BARANG Win2]],1),'Form Fix'!$A$6:$F$310,4,0),0)</f>
        <v>150168</v>
      </c>
      <c r="D117">
        <f>IFERROR(VLOOKUP(CONCATENATE(Table43_1[[#This Row],[Kode BARANG Win2]],2),'Form Fix'!$A$6:$F$310,4,0),0)</f>
        <v>150187</v>
      </c>
      <c r="E117">
        <f>IFERROR(VLOOKUP(CONCATENATE(Table43_1[[#This Row],[Kode BARANG Win2]],3),'Form Fix'!$A$6:$F$310,4,0),0)</f>
        <v>150349</v>
      </c>
      <c r="F117">
        <f>IFERROR(VLOOKUP(CONCATENATE(Table43_1[[#This Row],[Kode BARANG Win2]],4),'Form Fix'!$A$6:$F$310,4,0),0)</f>
        <v>150331</v>
      </c>
      <c r="G117">
        <f>IFERROR(VLOOKUP(CONCATENATE(Table43_1[[#This Row],[Kode BARANG Win2]],5),'Form Fix'!$A$6:$F$310,4,0),0)</f>
        <v>0</v>
      </c>
    </row>
    <row r="118" spans="1:7" x14ac:dyDescent="0.25">
      <c r="A118" t="s">
        <v>1095</v>
      </c>
      <c r="B118" t="s">
        <v>1096</v>
      </c>
      <c r="C118">
        <f>IFERROR(VLOOKUP(CONCATENATE(Table43_1[[#This Row],[Kode BARANG Win2]],1),'Form Fix'!$A$6:$F$310,4,0),0)</f>
        <v>150984</v>
      </c>
      <c r="D118">
        <f>IFERROR(VLOOKUP(CONCATENATE(Table43_1[[#This Row],[Kode BARANG Win2]],2),'Form Fix'!$A$6:$F$310,4,0),0)</f>
        <v>0</v>
      </c>
      <c r="E118">
        <f>IFERROR(VLOOKUP(CONCATENATE(Table43_1[[#This Row],[Kode BARANG Win2]],3),'Form Fix'!$A$6:$F$310,4,0),0)</f>
        <v>0</v>
      </c>
      <c r="F118">
        <f>IFERROR(VLOOKUP(CONCATENATE(Table43_1[[#This Row],[Kode BARANG Win2]],4),'Form Fix'!$A$6:$F$310,4,0),0)</f>
        <v>0</v>
      </c>
      <c r="G118">
        <f>IFERROR(VLOOKUP(CONCATENATE(Table43_1[[#This Row],[Kode BARANG Win2]],5),'Form Fix'!$A$6:$F$310,4,0),0)</f>
        <v>0</v>
      </c>
    </row>
    <row r="119" spans="1:7" x14ac:dyDescent="0.25">
      <c r="A119" t="s">
        <v>773</v>
      </c>
      <c r="B119" t="s">
        <v>900</v>
      </c>
      <c r="C119">
        <f>IFERROR(VLOOKUP(CONCATENATE(Table43_1[[#This Row],[Kode BARANG Win2]],1),'Form Fix'!$A$6:$F$310,4,0),0)</f>
        <v>150171</v>
      </c>
      <c r="D119">
        <f>IFERROR(VLOOKUP(CONCATENATE(Table43_1[[#This Row],[Kode BARANG Win2]],2),'Form Fix'!$A$6:$F$310,4,0),0)</f>
        <v>150329</v>
      </c>
      <c r="E119">
        <f>IFERROR(VLOOKUP(CONCATENATE(Table43_1[[#This Row],[Kode BARANG Win2]],3),'Form Fix'!$A$6:$F$310,4,0),0)</f>
        <v>0</v>
      </c>
      <c r="F119">
        <f>IFERROR(VLOOKUP(CONCATENATE(Table43_1[[#This Row],[Kode BARANG Win2]],4),'Form Fix'!$A$6:$F$310,4,0),0)</f>
        <v>0</v>
      </c>
      <c r="G119">
        <f>IFERROR(VLOOKUP(CONCATENATE(Table43_1[[#This Row],[Kode BARANG Win2]],5),'Form Fix'!$A$6:$F$310,4,0),0)</f>
        <v>0</v>
      </c>
    </row>
    <row r="120" spans="1:7" x14ac:dyDescent="0.25">
      <c r="A120" t="s">
        <v>774</v>
      </c>
      <c r="B120" t="s">
        <v>901</v>
      </c>
      <c r="C120">
        <f>IFERROR(VLOOKUP(CONCATENATE(Table43_1[[#This Row],[Kode BARANG Win2]],1),'Form Fix'!$A$6:$F$310,4,0),0)</f>
        <v>150177</v>
      </c>
      <c r="D120">
        <f>IFERROR(VLOOKUP(CONCATENATE(Table43_1[[#This Row],[Kode BARANG Win2]],2),'Form Fix'!$A$6:$F$310,4,0),0)</f>
        <v>150221</v>
      </c>
      <c r="E120">
        <f>IFERROR(VLOOKUP(CONCATENATE(Table43_1[[#This Row],[Kode BARANG Win2]],3),'Form Fix'!$A$6:$F$310,4,0),0)</f>
        <v>150325</v>
      </c>
      <c r="F120">
        <f>IFERROR(VLOOKUP(CONCATENATE(Table43_1[[#This Row],[Kode BARANG Win2]],4),'Form Fix'!$A$6:$F$310,4,0),0)</f>
        <v>0</v>
      </c>
      <c r="G120">
        <f>IFERROR(VLOOKUP(CONCATENATE(Table43_1[[#This Row],[Kode BARANG Win2]],5),'Form Fix'!$A$6:$F$310,4,0),0)</f>
        <v>0</v>
      </c>
    </row>
    <row r="121" spans="1:7" x14ac:dyDescent="0.25">
      <c r="A121" t="s">
        <v>775</v>
      </c>
      <c r="B121" t="s">
        <v>902</v>
      </c>
      <c r="C121">
        <f>IFERROR(VLOOKUP(CONCATENATE(Table43_1[[#This Row],[Kode BARANG Win2]],1),'Form Fix'!$A$6:$F$310,4,0),0)</f>
        <v>150188</v>
      </c>
      <c r="D121">
        <f>IFERROR(VLOOKUP(CONCATENATE(Table43_1[[#This Row],[Kode BARANG Win2]],2),'Form Fix'!$A$6:$F$310,4,0),0)</f>
        <v>150332</v>
      </c>
      <c r="E121">
        <f>IFERROR(VLOOKUP(CONCATENATE(Table43_1[[#This Row],[Kode BARANG Win2]],3),'Form Fix'!$A$6:$F$310,4,0),0)</f>
        <v>0</v>
      </c>
      <c r="F121">
        <f>IFERROR(VLOOKUP(CONCATENATE(Table43_1[[#This Row],[Kode BARANG Win2]],4),'Form Fix'!$A$6:$F$310,4,0),0)</f>
        <v>0</v>
      </c>
      <c r="G121">
        <f>IFERROR(VLOOKUP(CONCATENATE(Table43_1[[#This Row],[Kode BARANG Win2]],5),'Form Fix'!$A$6:$F$310,4,0),0)</f>
        <v>0</v>
      </c>
    </row>
    <row r="122" spans="1:7" x14ac:dyDescent="0.25">
      <c r="A122" t="s">
        <v>776</v>
      </c>
      <c r="B122" t="s">
        <v>903</v>
      </c>
      <c r="C122">
        <f>IFERROR(VLOOKUP(CONCATENATE(Table43_1[[#This Row],[Kode BARANG Win2]],1),'Form Fix'!$A$6:$F$310,4,0),0)</f>
        <v>150320</v>
      </c>
      <c r="D122">
        <f>IFERROR(VLOOKUP(CONCATENATE(Table43_1[[#This Row],[Kode BARANG Win2]],2),'Form Fix'!$A$6:$F$310,4,0),0)</f>
        <v>0</v>
      </c>
      <c r="E122">
        <f>IFERROR(VLOOKUP(CONCATENATE(Table43_1[[#This Row],[Kode BARANG Win2]],3),'Form Fix'!$A$6:$F$310,4,0),0)</f>
        <v>0</v>
      </c>
      <c r="F122">
        <f>IFERROR(VLOOKUP(CONCATENATE(Table43_1[[#This Row],[Kode BARANG Win2]],4),'Form Fix'!$A$6:$F$310,4,0),0)</f>
        <v>0</v>
      </c>
      <c r="G122">
        <f>IFERROR(VLOOKUP(CONCATENATE(Table43_1[[#This Row],[Kode BARANG Win2]],5),'Form Fix'!$A$6:$F$310,4,0),0)</f>
        <v>0</v>
      </c>
    </row>
    <row r="123" spans="1:7" x14ac:dyDescent="0.25">
      <c r="A123" t="s">
        <v>777</v>
      </c>
      <c r="B123" t="s">
        <v>904</v>
      </c>
      <c r="C123">
        <f>IFERROR(VLOOKUP(CONCATENATE(Table43_1[[#This Row],[Kode BARANG Win2]],1),'Form Fix'!$A$6:$F$310,4,0),0)</f>
        <v>150162</v>
      </c>
      <c r="D123">
        <f>IFERROR(VLOOKUP(CONCATENATE(Table43_1[[#This Row],[Kode BARANG Win2]],2),'Form Fix'!$A$6:$F$310,4,0),0)</f>
        <v>150333</v>
      </c>
      <c r="E123">
        <f>IFERROR(VLOOKUP(CONCATENATE(Table43_1[[#This Row],[Kode BARANG Win2]],3),'Form Fix'!$A$6:$F$310,4,0),0)</f>
        <v>0</v>
      </c>
      <c r="F123">
        <f>IFERROR(VLOOKUP(CONCATENATE(Table43_1[[#This Row],[Kode BARANG Win2]],4),'Form Fix'!$A$6:$F$310,4,0),0)</f>
        <v>0</v>
      </c>
      <c r="G123">
        <f>IFERROR(VLOOKUP(CONCATENATE(Table43_1[[#This Row],[Kode BARANG Win2]],5),'Form Fix'!$A$6:$F$310,4,0),0)</f>
        <v>0</v>
      </c>
    </row>
    <row r="124" spans="1:7" x14ac:dyDescent="0.25">
      <c r="A124" t="s">
        <v>778</v>
      </c>
      <c r="B124" t="s">
        <v>905</v>
      </c>
      <c r="C124">
        <f>IFERROR(VLOOKUP(CONCATENATE(Table43_1[[#This Row],[Kode BARANG Win2]],1),'Form Fix'!$A$6:$F$310,4,0),0)</f>
        <v>150163</v>
      </c>
      <c r="D124">
        <f>IFERROR(VLOOKUP(CONCATENATE(Table43_1[[#This Row],[Kode BARANG Win2]],2),'Form Fix'!$A$6:$F$310,4,0),0)</f>
        <v>150334</v>
      </c>
      <c r="E124">
        <f>IFERROR(VLOOKUP(CONCATENATE(Table43_1[[#This Row],[Kode BARANG Win2]],3),'Form Fix'!$A$6:$F$310,4,0),0)</f>
        <v>0</v>
      </c>
      <c r="F124">
        <f>IFERROR(VLOOKUP(CONCATENATE(Table43_1[[#This Row],[Kode BARANG Win2]],4),'Form Fix'!$A$6:$F$310,4,0),0)</f>
        <v>0</v>
      </c>
      <c r="G124">
        <f>IFERROR(VLOOKUP(CONCATENATE(Table43_1[[#This Row],[Kode BARANG Win2]],5),'Form Fix'!$A$6:$F$310,4,0),0)</f>
        <v>0</v>
      </c>
    </row>
    <row r="125" spans="1:7" x14ac:dyDescent="0.25">
      <c r="A125" t="s">
        <v>779</v>
      </c>
      <c r="B125" t="s">
        <v>906</v>
      </c>
      <c r="C125">
        <f>IFERROR(VLOOKUP(CONCATENATE(Table43_1[[#This Row],[Kode BARANG Win2]],1),'Form Fix'!$A$6:$F$310,4,0),0)</f>
        <v>150119</v>
      </c>
      <c r="D125">
        <f>IFERROR(VLOOKUP(CONCATENATE(Table43_1[[#This Row],[Kode BARANG Win2]],2),'Form Fix'!$A$6:$F$310,4,0),0)</f>
        <v>150231</v>
      </c>
      <c r="E125">
        <f>IFERROR(VLOOKUP(CONCATENATE(Table43_1[[#This Row],[Kode BARANG Win2]],3),'Form Fix'!$A$6:$F$310,4,0),0)</f>
        <v>150335</v>
      </c>
      <c r="F125">
        <f>IFERROR(VLOOKUP(CONCATENATE(Table43_1[[#This Row],[Kode BARANG Win2]],4),'Form Fix'!$A$6:$F$310,4,0),0)</f>
        <v>0</v>
      </c>
      <c r="G125">
        <f>IFERROR(VLOOKUP(CONCATENATE(Table43_1[[#This Row],[Kode BARANG Win2]],5),'Form Fix'!$A$6:$F$310,4,0),0)</f>
        <v>0</v>
      </c>
    </row>
    <row r="126" spans="1:7" x14ac:dyDescent="0.25">
      <c r="A126" t="s">
        <v>780</v>
      </c>
      <c r="B126" t="s">
        <v>907</v>
      </c>
      <c r="C126">
        <f>IFERROR(VLOOKUP(CONCATENATE(Table43_1[[#This Row],[Kode BARANG Win2]],1),'Form Fix'!$A$6:$F$310,4,0),0)</f>
        <v>150154</v>
      </c>
      <c r="D126">
        <f>IFERROR(VLOOKUP(CONCATENATE(Table43_1[[#This Row],[Kode BARANG Win2]],2),'Form Fix'!$A$6:$F$310,4,0),0)</f>
        <v>150241</v>
      </c>
      <c r="E126">
        <f>IFERROR(VLOOKUP(CONCATENATE(Table43_1[[#This Row],[Kode BARANG Win2]],3),'Form Fix'!$A$6:$F$310,4,0),0)</f>
        <v>150339</v>
      </c>
      <c r="F126">
        <f>IFERROR(VLOOKUP(CONCATENATE(Table43_1[[#This Row],[Kode BARANG Win2]],4),'Form Fix'!$A$6:$F$310,4,0),0)</f>
        <v>150241</v>
      </c>
      <c r="G126">
        <f>IFERROR(VLOOKUP(CONCATENATE(Table43_1[[#This Row],[Kode BARANG Win2]],5),'Form Fix'!$A$6:$F$310,4,0),0)</f>
        <v>0</v>
      </c>
    </row>
    <row r="127" spans="1:7" x14ac:dyDescent="0.25">
      <c r="A127" t="s">
        <v>781</v>
      </c>
      <c r="B127" t="s">
        <v>908</v>
      </c>
      <c r="C127">
        <f>IFERROR(VLOOKUP(CONCATENATE(Table43_1[[#This Row],[Kode BARANG Win2]],1),'Form Fix'!$A$6:$F$310,4,0),0)</f>
        <v>150153</v>
      </c>
      <c r="D127">
        <f>IFERROR(VLOOKUP(CONCATENATE(Table43_1[[#This Row],[Kode BARANG Win2]],2),'Form Fix'!$A$6:$F$310,4,0),0)</f>
        <v>150211</v>
      </c>
      <c r="E127">
        <f>IFERROR(VLOOKUP(CONCATENATE(Table43_1[[#This Row],[Kode BARANG Win2]],3),'Form Fix'!$A$6:$F$310,4,0),0)</f>
        <v>150240</v>
      </c>
      <c r="F127">
        <f>IFERROR(VLOOKUP(CONCATENATE(Table43_1[[#This Row],[Kode BARANG Win2]],4),'Form Fix'!$A$6:$F$310,4,0),0)</f>
        <v>150340</v>
      </c>
      <c r="G127">
        <f>IFERROR(VLOOKUP(CONCATENATE(Table43_1[[#This Row],[Kode BARANG Win2]],5),'Form Fix'!$A$6:$F$310,4,0),0)</f>
        <v>0</v>
      </c>
    </row>
    <row r="128" spans="1:7" x14ac:dyDescent="0.25">
      <c r="A128" t="s">
        <v>782</v>
      </c>
      <c r="B128" t="s">
        <v>1021</v>
      </c>
      <c r="C128">
        <f>IFERROR(VLOOKUP(CONCATENATE(Table43_1[[#This Row],[Kode BARANG Win2]],1),'Form Fix'!$A$6:$F$310,4,0),0)</f>
        <v>150181</v>
      </c>
      <c r="D128">
        <f>IFERROR(VLOOKUP(CONCATENATE(Table43_1[[#This Row],[Kode BARANG Win2]],2),'Form Fix'!$A$6:$F$310,4,0),0)</f>
        <v>150233</v>
      </c>
      <c r="E128">
        <f>IFERROR(VLOOKUP(CONCATENATE(Table43_1[[#This Row],[Kode BARANG Win2]],3),'Form Fix'!$A$6:$F$310,4,0),0)</f>
        <v>150309</v>
      </c>
      <c r="F128">
        <f>IFERROR(VLOOKUP(CONCATENATE(Table43_1[[#This Row],[Kode BARANG Win2]],4),'Form Fix'!$A$6:$F$310,4,0),0)</f>
        <v>0</v>
      </c>
      <c r="G128">
        <f>IFERROR(VLOOKUP(CONCATENATE(Table43_1[[#This Row],[Kode BARANG Win2]],5),'Form Fix'!$A$6:$F$310,4,0),0)</f>
        <v>0</v>
      </c>
    </row>
    <row r="129" spans="1:7" x14ac:dyDescent="0.25">
      <c r="A129" t="s">
        <v>784</v>
      </c>
      <c r="B129" t="s">
        <v>910</v>
      </c>
      <c r="C129">
        <f>IFERROR(VLOOKUP(CONCATENATE(Table43_1[[#This Row],[Kode BARANG Win2]],1),'Form Fix'!$A$6:$F$310,4,0),0)</f>
        <v>150976</v>
      </c>
      <c r="D129">
        <f>IFERROR(VLOOKUP(CONCATENATE(Table43_1[[#This Row],[Kode BARANG Win2]],2),'Form Fix'!$A$6:$F$310,4,0),0)</f>
        <v>0</v>
      </c>
      <c r="E129">
        <f>IFERROR(VLOOKUP(CONCATENATE(Table43_1[[#This Row],[Kode BARANG Win2]],3),'Form Fix'!$A$6:$F$310,4,0),0)</f>
        <v>0</v>
      </c>
      <c r="F129">
        <f>IFERROR(VLOOKUP(CONCATENATE(Table43_1[[#This Row],[Kode BARANG Win2]],4),'Form Fix'!$A$6:$F$310,4,0),0)</f>
        <v>0</v>
      </c>
      <c r="G129">
        <f>IFERROR(VLOOKUP(CONCATENATE(Table43_1[[#This Row],[Kode BARANG Win2]],5),'Form Fix'!$A$6:$F$310,4,0),0)</f>
        <v>0</v>
      </c>
    </row>
    <row r="130" spans="1:7" x14ac:dyDescent="0.25">
      <c r="A130" t="s">
        <v>785</v>
      </c>
      <c r="B130" t="s">
        <v>911</v>
      </c>
      <c r="C130">
        <f>IFERROR(VLOOKUP(CONCATENATE(Table43_1[[#This Row],[Kode BARANG Win2]],1),'Form Fix'!$A$6:$F$310,4,0),0)</f>
        <v>150191</v>
      </c>
      <c r="D130">
        <f>IFERROR(VLOOKUP(CONCATENATE(Table43_1[[#This Row],[Kode BARANG Win2]],2),'Form Fix'!$A$6:$F$310,4,0),0)</f>
        <v>150234</v>
      </c>
      <c r="E130">
        <f>IFERROR(VLOOKUP(CONCATENATE(Table43_1[[#This Row],[Kode BARANG Win2]],3),'Form Fix'!$A$6:$F$310,4,0),0)</f>
        <v>0</v>
      </c>
      <c r="F130">
        <f>IFERROR(VLOOKUP(CONCATENATE(Table43_1[[#This Row],[Kode BARANG Win2]],4),'Form Fix'!$A$6:$F$310,4,0),0)</f>
        <v>0</v>
      </c>
      <c r="G130">
        <f>IFERROR(VLOOKUP(CONCATENATE(Table43_1[[#This Row],[Kode BARANG Win2]],5),'Form Fix'!$A$6:$F$310,4,0),0)</f>
        <v>0</v>
      </c>
    </row>
    <row r="131" spans="1:7" x14ac:dyDescent="0.25">
      <c r="A131" t="s">
        <v>786</v>
      </c>
      <c r="B131" t="s">
        <v>912</v>
      </c>
      <c r="C131">
        <f>IFERROR(VLOOKUP(CONCATENATE(Table43_1[[#This Row],[Kode BARANG Win2]],1),'Form Fix'!$A$6:$F$310,4,0),0)</f>
        <v>150192</v>
      </c>
      <c r="D131">
        <f>IFERROR(VLOOKUP(CONCATENATE(Table43_1[[#This Row],[Kode BARANG Win2]],2),'Form Fix'!$A$6:$F$310,4,0),0)</f>
        <v>150235</v>
      </c>
      <c r="E131">
        <f>IFERROR(VLOOKUP(CONCATENATE(Table43_1[[#This Row],[Kode BARANG Win2]],3),'Form Fix'!$A$6:$F$310,4,0),0)</f>
        <v>150350</v>
      </c>
      <c r="F131">
        <f>IFERROR(VLOOKUP(CONCATENATE(Table43_1[[#This Row],[Kode BARANG Win2]],4),'Form Fix'!$A$6:$F$310,4,0),0)</f>
        <v>150343</v>
      </c>
      <c r="G131">
        <f>IFERROR(VLOOKUP(CONCATENATE(Table43_1[[#This Row],[Kode BARANG Win2]],5),'Form Fix'!$A$6:$F$310,4,0),0)</f>
        <v>0</v>
      </c>
    </row>
    <row r="132" spans="1:7" x14ac:dyDescent="0.25">
      <c r="A132" t="s">
        <v>787</v>
      </c>
      <c r="B132" t="s">
        <v>913</v>
      </c>
      <c r="C132">
        <f>IFERROR(VLOOKUP(CONCATENATE(Table43_1[[#This Row],[Kode BARANG Win2]],1),'Form Fix'!$A$6:$F$310,4,0),0)</f>
        <v>150081</v>
      </c>
      <c r="D132">
        <f>IFERROR(VLOOKUP(CONCATENATE(Table43_1[[#This Row],[Kode BARANG Win2]],2),'Form Fix'!$A$6:$F$310,4,0),0)</f>
        <v>150172</v>
      </c>
      <c r="E132">
        <f>IFERROR(VLOOKUP(CONCATENATE(Table43_1[[#This Row],[Kode BARANG Win2]],3),'Form Fix'!$A$6:$F$310,4,0),0)</f>
        <v>150226</v>
      </c>
      <c r="F132">
        <f>IFERROR(VLOOKUP(CONCATENATE(Table43_1[[#This Row],[Kode BARANG Win2]],4),'Form Fix'!$A$6:$F$310,4,0),0)</f>
        <v>150341</v>
      </c>
      <c r="G132">
        <f>IFERROR(VLOOKUP(CONCATENATE(Table43_1[[#This Row],[Kode BARANG Win2]],5),'Form Fix'!$A$6:$F$310,4,0),0)</f>
        <v>0</v>
      </c>
    </row>
    <row r="133" spans="1:7" x14ac:dyDescent="0.25">
      <c r="A133" t="s">
        <v>788</v>
      </c>
      <c r="B133" t="s">
        <v>914</v>
      </c>
      <c r="C133">
        <f>IFERROR(VLOOKUP(CONCATENATE(Table43_1[[#This Row],[Kode BARANG Win2]],1),'Form Fix'!$A$6:$F$310,4,0),0)</f>
        <v>150178</v>
      </c>
      <c r="D133">
        <f>IFERROR(VLOOKUP(CONCATENATE(Table43_1[[#This Row],[Kode BARANG Win2]],2),'Form Fix'!$A$6:$F$310,4,0),0)</f>
        <v>150232</v>
      </c>
      <c r="E133">
        <f>IFERROR(VLOOKUP(CONCATENATE(Table43_1[[#This Row],[Kode BARANG Win2]],3),'Form Fix'!$A$6:$F$310,4,0),0)</f>
        <v>150346</v>
      </c>
      <c r="F133">
        <f>IFERROR(VLOOKUP(CONCATENATE(Table43_1[[#This Row],[Kode BARANG Win2]],4),'Form Fix'!$A$6:$F$310,4,0),0)</f>
        <v>0</v>
      </c>
      <c r="G133">
        <f>IFERROR(VLOOKUP(CONCATENATE(Table43_1[[#This Row],[Kode BARANG Win2]],5),'Form Fix'!$A$6:$F$310,4,0),0)</f>
        <v>0</v>
      </c>
    </row>
    <row r="134" spans="1:7" x14ac:dyDescent="0.25">
      <c r="A134" t="s">
        <v>789</v>
      </c>
      <c r="B134" t="s">
        <v>915</v>
      </c>
      <c r="C134">
        <f>IFERROR(VLOOKUP(CONCATENATE(Table43_1[[#This Row],[Kode BARANG Win2]],1),'Form Fix'!$A$6:$F$310,4,0),0)</f>
        <v>150150</v>
      </c>
      <c r="D134">
        <f>IFERROR(VLOOKUP(CONCATENATE(Table43_1[[#This Row],[Kode BARANG Win2]],2),'Form Fix'!$A$6:$F$310,4,0),0)</f>
        <v>150239</v>
      </c>
      <c r="E134">
        <f>IFERROR(VLOOKUP(CONCATENATE(Table43_1[[#This Row],[Kode BARANG Win2]],3),'Form Fix'!$A$6:$F$310,4,0),0)</f>
        <v>150344</v>
      </c>
      <c r="F134">
        <f>IFERROR(VLOOKUP(CONCATENATE(Table43_1[[#This Row],[Kode BARANG Win2]],4),'Form Fix'!$A$6:$F$310,4,0),0)</f>
        <v>0</v>
      </c>
      <c r="G134">
        <f>IFERROR(VLOOKUP(CONCATENATE(Table43_1[[#This Row],[Kode BARANG Win2]],5),'Form Fix'!$A$6:$F$310,4,0),0)</f>
        <v>0</v>
      </c>
    </row>
    <row r="135" spans="1:7" x14ac:dyDescent="0.25">
      <c r="A135" t="s">
        <v>790</v>
      </c>
      <c r="B135" t="s">
        <v>916</v>
      </c>
      <c r="C135">
        <f>IFERROR(VLOOKUP(CONCATENATE(Table43_1[[#This Row],[Kode BARANG Win2]],1),'Form Fix'!$A$6:$F$310,4,0),0)</f>
        <v>150298</v>
      </c>
      <c r="D135">
        <f>IFERROR(VLOOKUP(CONCATENATE(Table43_1[[#This Row],[Kode BARANG Win2]],2),'Form Fix'!$A$6:$F$310,4,0),0)</f>
        <v>0</v>
      </c>
      <c r="E135">
        <f>IFERROR(VLOOKUP(CONCATENATE(Table43_1[[#This Row],[Kode BARANG Win2]],3),'Form Fix'!$A$6:$F$310,4,0),0)</f>
        <v>0</v>
      </c>
      <c r="F135">
        <f>IFERROR(VLOOKUP(CONCATENATE(Table43_1[[#This Row],[Kode BARANG Win2]],4),'Form Fix'!$A$6:$F$310,4,0),0)</f>
        <v>0</v>
      </c>
      <c r="G135">
        <f>IFERROR(VLOOKUP(CONCATENATE(Table43_1[[#This Row],[Kode BARANG Win2]],5),'Form Fix'!$A$6:$F$310,4,0),0)</f>
        <v>0</v>
      </c>
    </row>
    <row r="136" spans="1:7" x14ac:dyDescent="0.25">
      <c r="A136" t="s">
        <v>791</v>
      </c>
      <c r="B136" t="s">
        <v>917</v>
      </c>
      <c r="C136">
        <f>IFERROR(VLOOKUP(CONCATENATE(Table43_1[[#This Row],[Kode BARANG Win2]],1),'Form Fix'!$A$6:$F$310,4,0),0)</f>
        <v>150299</v>
      </c>
      <c r="D136">
        <f>IFERROR(VLOOKUP(CONCATENATE(Table43_1[[#This Row],[Kode BARANG Win2]],2),'Form Fix'!$A$6:$F$310,4,0),0)</f>
        <v>0</v>
      </c>
      <c r="E136">
        <f>IFERROR(VLOOKUP(CONCATENATE(Table43_1[[#This Row],[Kode BARANG Win2]],3),'Form Fix'!$A$6:$F$310,4,0),0)</f>
        <v>0</v>
      </c>
      <c r="F136">
        <f>IFERROR(VLOOKUP(CONCATENATE(Table43_1[[#This Row],[Kode BARANG Win2]],4),'Form Fix'!$A$6:$F$310,4,0),0)</f>
        <v>0</v>
      </c>
      <c r="G136">
        <f>IFERROR(VLOOKUP(CONCATENATE(Table43_1[[#This Row],[Kode BARANG Win2]],5),'Form Fix'!$A$6:$F$310,4,0),0)</f>
        <v>0</v>
      </c>
    </row>
    <row r="137" spans="1:7" x14ac:dyDescent="0.25">
      <c r="A137" t="s">
        <v>792</v>
      </c>
      <c r="B137" t="s">
        <v>918</v>
      </c>
      <c r="C137">
        <f>IFERROR(VLOOKUP(CONCATENATE(Table43_1[[#This Row],[Kode BARANG Win2]],1),'Form Fix'!$A$6:$F$310,4,0),0)</f>
        <v>150166</v>
      </c>
      <c r="D137">
        <f>IFERROR(VLOOKUP(CONCATENATE(Table43_1[[#This Row],[Kode BARANG Win2]],2),'Form Fix'!$A$6:$F$310,4,0),0)</f>
        <v>150291</v>
      </c>
      <c r="E137">
        <f>IFERROR(VLOOKUP(CONCATENATE(Table43_1[[#This Row],[Kode BARANG Win2]],3),'Form Fix'!$A$6:$F$310,4,0),0)</f>
        <v>0</v>
      </c>
      <c r="F137">
        <f>IFERROR(VLOOKUP(CONCATENATE(Table43_1[[#This Row],[Kode BARANG Win2]],4),'Form Fix'!$A$6:$F$310,4,0),0)</f>
        <v>0</v>
      </c>
      <c r="G137">
        <f>IFERROR(VLOOKUP(CONCATENATE(Table43_1[[#This Row],[Kode BARANG Win2]],5),'Form Fix'!$A$6:$F$310,4,0),0)</f>
        <v>0</v>
      </c>
    </row>
    <row r="138" spans="1:7" x14ac:dyDescent="0.25">
      <c r="A138" t="s">
        <v>793</v>
      </c>
      <c r="B138" t="s">
        <v>919</v>
      </c>
      <c r="C138">
        <f>IFERROR(VLOOKUP(CONCATENATE(Table43_1[[#This Row],[Kode BARANG Win2]],1),'Form Fix'!$A$6:$F$310,4,0),0)</f>
        <v>150173</v>
      </c>
      <c r="D138">
        <f>IFERROR(VLOOKUP(CONCATENATE(Table43_1[[#This Row],[Kode BARANG Win2]],2),'Form Fix'!$A$6:$F$310,4,0),0)</f>
        <v>150347</v>
      </c>
      <c r="E138">
        <f>IFERROR(VLOOKUP(CONCATENATE(Table43_1[[#This Row],[Kode BARANG Win2]],3),'Form Fix'!$A$6:$F$310,4,0),0)</f>
        <v>0</v>
      </c>
      <c r="F138">
        <f>IFERROR(VLOOKUP(CONCATENATE(Table43_1[[#This Row],[Kode BARANG Win2]],4),'Form Fix'!$A$6:$F$310,4,0),0)</f>
        <v>0</v>
      </c>
      <c r="G138">
        <f>IFERROR(VLOOKUP(CONCATENATE(Table43_1[[#This Row],[Kode BARANG Win2]],5),'Form Fix'!$A$6:$F$310,4,0),0)</f>
        <v>0</v>
      </c>
    </row>
    <row r="139" spans="1:7" x14ac:dyDescent="0.25">
      <c r="A139" t="s">
        <v>794</v>
      </c>
      <c r="B139" t="s">
        <v>920</v>
      </c>
      <c r="C139">
        <f>IFERROR(VLOOKUP(CONCATENATE(Table43_1[[#This Row],[Kode BARANG Win2]],1),'Form Fix'!$A$6:$F$310,4,0),0)</f>
        <v>150167</v>
      </c>
      <c r="D139">
        <f>IFERROR(VLOOKUP(CONCATENATE(Table43_1[[#This Row],[Kode BARANG Win2]],2),'Form Fix'!$A$6:$F$310,4,0),0)</f>
        <v>150292</v>
      </c>
      <c r="E139">
        <f>IFERROR(VLOOKUP(CONCATENATE(Table43_1[[#This Row],[Kode BARANG Win2]],3),'Form Fix'!$A$6:$F$310,4,0),0)</f>
        <v>0</v>
      </c>
      <c r="F139">
        <f>IFERROR(VLOOKUP(CONCATENATE(Table43_1[[#This Row],[Kode BARANG Win2]],4),'Form Fix'!$A$6:$F$310,4,0),0)</f>
        <v>0</v>
      </c>
      <c r="G139">
        <f>IFERROR(VLOOKUP(CONCATENATE(Table43_1[[#This Row],[Kode BARANG Win2]],5),'Form Fix'!$A$6:$F$310,4,0),0)</f>
        <v>0</v>
      </c>
    </row>
    <row r="140" spans="1:7" x14ac:dyDescent="0.25">
      <c r="A140" t="s">
        <v>795</v>
      </c>
      <c r="B140" t="s">
        <v>921</v>
      </c>
      <c r="C140">
        <f>IFERROR(VLOOKUP(CONCATENATE(Table43_1[[#This Row],[Kode BARANG Win2]],1),'Form Fix'!$A$6:$F$310,4,0),0)</f>
        <v>150174</v>
      </c>
      <c r="D140">
        <f>IFERROR(VLOOKUP(CONCATENATE(Table43_1[[#This Row],[Kode BARANG Win2]],2),'Form Fix'!$A$6:$F$310,4,0),0)</f>
        <v>150336</v>
      </c>
      <c r="E140">
        <f>IFERROR(VLOOKUP(CONCATENATE(Table43_1[[#This Row],[Kode BARANG Win2]],3),'Form Fix'!$A$6:$F$310,4,0),0)</f>
        <v>0</v>
      </c>
      <c r="F140">
        <f>IFERROR(VLOOKUP(CONCATENATE(Table43_1[[#This Row],[Kode BARANG Win2]],4),'Form Fix'!$A$6:$F$310,4,0),0)</f>
        <v>0</v>
      </c>
      <c r="G140">
        <f>IFERROR(VLOOKUP(CONCATENATE(Table43_1[[#This Row],[Kode BARANG Win2]],5),'Form Fix'!$A$6:$F$310,4,0),0)</f>
        <v>0</v>
      </c>
    </row>
    <row r="141" spans="1:7" x14ac:dyDescent="0.25">
      <c r="A141" t="s">
        <v>796</v>
      </c>
      <c r="B141" t="s">
        <v>922</v>
      </c>
      <c r="C141">
        <f>IFERROR(VLOOKUP(CONCATENATE(Table43_1[[#This Row],[Kode BARANG Win2]],1),'Form Fix'!$A$6:$F$310,4,0),0)</f>
        <v>150175</v>
      </c>
      <c r="D141">
        <f>IFERROR(VLOOKUP(CONCATENATE(Table43_1[[#This Row],[Kode BARANG Win2]],2),'Form Fix'!$A$6:$F$310,4,0),0)</f>
        <v>0</v>
      </c>
      <c r="E141">
        <f>IFERROR(VLOOKUP(CONCATENATE(Table43_1[[#This Row],[Kode BARANG Win2]],3),'Form Fix'!$A$6:$F$310,4,0),0)</f>
        <v>0</v>
      </c>
      <c r="F141">
        <f>IFERROR(VLOOKUP(CONCATENATE(Table43_1[[#This Row],[Kode BARANG Win2]],4),'Form Fix'!$A$6:$F$310,4,0),0)</f>
        <v>0</v>
      </c>
      <c r="G141">
        <f>IFERROR(VLOOKUP(CONCATENATE(Table43_1[[#This Row],[Kode BARANG Win2]],5),'Form Fix'!$A$6:$F$310,4,0),0)</f>
        <v>0</v>
      </c>
    </row>
    <row r="142" spans="1:7" x14ac:dyDescent="0.25">
      <c r="A142" t="s">
        <v>797</v>
      </c>
      <c r="B142" t="s">
        <v>923</v>
      </c>
      <c r="C142">
        <f>IFERROR(VLOOKUP(CONCATENATE(Table43_1[[#This Row],[Kode BARANG Win2]],1),'Form Fix'!$A$6:$F$310,4,0),0)</f>
        <v>150176</v>
      </c>
      <c r="D142">
        <f>IFERROR(VLOOKUP(CONCATENATE(Table43_1[[#This Row],[Kode BARANG Win2]],2),'Form Fix'!$A$6:$F$310,4,0),0)</f>
        <v>150371</v>
      </c>
      <c r="E142">
        <f>IFERROR(VLOOKUP(CONCATENATE(Table43_1[[#This Row],[Kode BARANG Win2]],3),'Form Fix'!$A$6:$F$310,4,0),0)</f>
        <v>0</v>
      </c>
      <c r="F142">
        <f>IFERROR(VLOOKUP(CONCATENATE(Table43_1[[#This Row],[Kode BARANG Win2]],4),'Form Fix'!$A$6:$F$310,4,0),0)</f>
        <v>0</v>
      </c>
      <c r="G142">
        <f>IFERROR(VLOOKUP(CONCATENATE(Table43_1[[#This Row],[Kode BARANG Win2]],5),'Form Fix'!$A$6:$F$310,4,0),0)</f>
        <v>0</v>
      </c>
    </row>
    <row r="143" spans="1:7" x14ac:dyDescent="0.25">
      <c r="A143" t="s">
        <v>734</v>
      </c>
      <c r="B143" t="s">
        <v>924</v>
      </c>
      <c r="C143">
        <f>IFERROR(VLOOKUP(CONCATENATE(Table43_1[[#This Row],[Kode BARANG Win2]],1),'Form Fix'!$A$6:$F$310,4,0),0)</f>
        <v>150190</v>
      </c>
      <c r="D143">
        <f>IFERROR(VLOOKUP(CONCATENATE(Table43_1[[#This Row],[Kode BARANG Win2]],2),'Form Fix'!$A$6:$F$310,4,0),0)</f>
        <v>0</v>
      </c>
      <c r="E143">
        <f>IFERROR(VLOOKUP(CONCATENATE(Table43_1[[#This Row],[Kode BARANG Win2]],3),'Form Fix'!$A$6:$F$310,4,0),0)</f>
        <v>0</v>
      </c>
      <c r="F143">
        <f>IFERROR(VLOOKUP(CONCATENATE(Table43_1[[#This Row],[Kode BARANG Win2]],4),'Form Fix'!$A$6:$F$310,4,0),0)</f>
        <v>0</v>
      </c>
      <c r="G143">
        <f>IFERROR(VLOOKUP(CONCATENATE(Table43_1[[#This Row],[Kode BARANG Win2]],5),'Form Fix'!$A$6:$F$310,4,0),0)</f>
        <v>0</v>
      </c>
    </row>
    <row r="144" spans="1:7" x14ac:dyDescent="0.25">
      <c r="A144" t="s">
        <v>735</v>
      </c>
      <c r="B144" t="s">
        <v>925</v>
      </c>
      <c r="C144">
        <f>IFERROR(VLOOKUP(CONCATENATE(Table43_1[[#This Row],[Kode BARANG Win2]],1),'Form Fix'!$A$6:$F$310,4,0),0)</f>
        <v>150189</v>
      </c>
      <c r="D144">
        <f>IFERROR(VLOOKUP(CONCATENATE(Table43_1[[#This Row],[Kode BARANG Win2]],2),'Form Fix'!$A$6:$F$310,4,0),0)</f>
        <v>150209</v>
      </c>
      <c r="E144">
        <f>IFERROR(VLOOKUP(CONCATENATE(Table43_1[[#This Row],[Kode BARANG Win2]],3),'Form Fix'!$A$6:$F$310,4,0),0)</f>
        <v>0</v>
      </c>
      <c r="F144">
        <f>IFERROR(VLOOKUP(CONCATENATE(Table43_1[[#This Row],[Kode BARANG Win2]],4),'Form Fix'!$A$6:$F$310,4,0),0)</f>
        <v>0</v>
      </c>
      <c r="G144">
        <f>IFERROR(VLOOKUP(CONCATENATE(Table43_1[[#This Row],[Kode BARANG Win2]],5),'Form Fix'!$A$6:$F$310,4,0),0)</f>
        <v>0</v>
      </c>
    </row>
    <row r="145" spans="1:7" x14ac:dyDescent="0.25">
      <c r="A145" t="s">
        <v>736</v>
      </c>
      <c r="B145" t="s">
        <v>926</v>
      </c>
      <c r="C145">
        <f>IFERROR(VLOOKUP(CONCATENATE(Table43_1[[#This Row],[Kode BARANG Win2]],1),'Form Fix'!$A$6:$F$310,4,0),0)</f>
        <v>612096</v>
      </c>
      <c r="D145">
        <f>IFERROR(VLOOKUP(CONCATENATE(Table43_1[[#This Row],[Kode BARANG Win2]],2),'Form Fix'!$A$6:$F$310,4,0),0)</f>
        <v>150194</v>
      </c>
      <c r="E145">
        <f>IFERROR(VLOOKUP(CONCATENATE(Table43_1[[#This Row],[Kode BARANG Win2]],3),'Form Fix'!$A$6:$F$310,4,0),0)</f>
        <v>150365</v>
      </c>
      <c r="F145">
        <f>IFERROR(VLOOKUP(CONCATENATE(Table43_1[[#This Row],[Kode BARANG Win2]],4),'Form Fix'!$A$6:$F$310,4,0),0)</f>
        <v>0</v>
      </c>
      <c r="G145">
        <f>IFERROR(VLOOKUP(CONCATENATE(Table43_1[[#This Row],[Kode BARANG Win2]],5),'Form Fix'!$A$6:$F$310,4,0),0)</f>
        <v>0</v>
      </c>
    </row>
    <row r="146" spans="1:7" x14ac:dyDescent="0.25">
      <c r="A146" t="s">
        <v>737</v>
      </c>
      <c r="B146" t="s">
        <v>927</v>
      </c>
      <c r="C146">
        <f>IFERROR(VLOOKUP(CONCATENATE(Table43_1[[#This Row],[Kode BARANG Win2]],1),'Form Fix'!$A$6:$F$310,4,0),0)</f>
        <v>150960</v>
      </c>
      <c r="D146">
        <f>IFERROR(VLOOKUP(CONCATENATE(Table43_1[[#This Row],[Kode BARANG Win2]],2),'Form Fix'!$A$6:$F$310,4,0),0)</f>
        <v>150971</v>
      </c>
      <c r="E146">
        <f>IFERROR(VLOOKUP(CONCATENATE(Table43_1[[#This Row],[Kode BARANG Win2]],3),'Form Fix'!$A$6:$F$310,4,0),0)</f>
        <v>0</v>
      </c>
      <c r="F146">
        <f>IFERROR(VLOOKUP(CONCATENATE(Table43_1[[#This Row],[Kode BARANG Win2]],4),'Form Fix'!$A$6:$F$310,4,0),0)</f>
        <v>0</v>
      </c>
      <c r="G146">
        <f>IFERROR(VLOOKUP(CONCATENATE(Table43_1[[#This Row],[Kode BARANG Win2]],5),'Form Fix'!$A$6:$F$310,4,0),0)</f>
        <v>0</v>
      </c>
    </row>
    <row r="147" spans="1:7" x14ac:dyDescent="0.25">
      <c r="A147" t="s">
        <v>999</v>
      </c>
      <c r="B147" t="s">
        <v>1000</v>
      </c>
      <c r="C147">
        <f>IFERROR(VLOOKUP(CONCATENATE(Table43_1[[#This Row],[Kode BARANG Win2]],1),'Form Fix'!$A$6:$F$310,4,0),0)</f>
        <v>150990</v>
      </c>
      <c r="D147">
        <f>IFERROR(VLOOKUP(CONCATENATE(Table43_1[[#This Row],[Kode BARANG Win2]],2),'Form Fix'!$A$6:$F$310,4,0),0)</f>
        <v>0</v>
      </c>
      <c r="E147">
        <f>IFERROR(VLOOKUP(CONCATENATE(Table43_1[[#This Row],[Kode BARANG Win2]],3),'Form Fix'!$A$6:$F$310,4,0),0)</f>
        <v>0</v>
      </c>
      <c r="F147">
        <f>IFERROR(VLOOKUP(CONCATENATE(Table43_1[[#This Row],[Kode BARANG Win2]],4),'Form Fix'!$A$6:$F$310,4,0),0)</f>
        <v>0</v>
      </c>
      <c r="G147">
        <f>IFERROR(VLOOKUP(CONCATENATE(Table43_1[[#This Row],[Kode BARANG Win2]],5),'Form Fix'!$A$6:$F$310,4,0),0)</f>
        <v>0</v>
      </c>
    </row>
    <row r="148" spans="1:7" x14ac:dyDescent="0.25">
      <c r="A148" t="s">
        <v>1044</v>
      </c>
      <c r="B148" t="s">
        <v>1047</v>
      </c>
      <c r="C148">
        <f>IFERROR(VLOOKUP(CONCATENATE(Table43_1[[#This Row],[Kode BARANG Win2]],1),'Form Fix'!$A$6:$F$310,4,0),0)</f>
        <v>150994</v>
      </c>
      <c r="D148">
        <f>IFERROR(VLOOKUP(CONCATENATE(Table43_1[[#This Row],[Kode BARANG Win2]],2),'Form Fix'!$A$6:$F$310,4,0),0)</f>
        <v>150995</v>
      </c>
      <c r="E148">
        <f>IFERROR(VLOOKUP(CONCATENATE(Table43_1[[#This Row],[Kode BARANG Win2]],3),'Form Fix'!$A$6:$F$310,4,0),0)</f>
        <v>0</v>
      </c>
      <c r="F148">
        <f>IFERROR(VLOOKUP(CONCATENATE(Table43_1[[#This Row],[Kode BARANG Win2]],4),'Form Fix'!$A$6:$F$310,4,0),0)</f>
        <v>0</v>
      </c>
      <c r="G148">
        <f>IFERROR(VLOOKUP(CONCATENATE(Table43_1[[#This Row],[Kode BARANG Win2]],5),'Form Fix'!$A$6:$F$310,4,0),0)</f>
        <v>0</v>
      </c>
    </row>
    <row r="149" spans="1:7" x14ac:dyDescent="0.25">
      <c r="A149" t="s">
        <v>740</v>
      </c>
      <c r="B149" t="s">
        <v>928</v>
      </c>
      <c r="C149">
        <f>IFERROR(VLOOKUP(CONCATENATE(Table43_1[[#This Row],[Kode BARANG Win2]],1),'Form Fix'!$A$6:$F$310,4,0),0)</f>
        <v>150319</v>
      </c>
      <c r="D149">
        <f>IFERROR(VLOOKUP(CONCATENATE(Table43_1[[#This Row],[Kode BARANG Win2]],2),'Form Fix'!$A$6:$F$310,4,0),0)</f>
        <v>150375</v>
      </c>
      <c r="E149">
        <f>IFERROR(VLOOKUP(CONCATENATE(Table43_1[[#This Row],[Kode BARANG Win2]],3),'Form Fix'!$A$6:$F$310,4,0),0)</f>
        <v>0</v>
      </c>
      <c r="F149">
        <f>IFERROR(VLOOKUP(CONCATENATE(Table43_1[[#This Row],[Kode BARANG Win2]],4),'Form Fix'!$A$6:$F$310,4,0),0)</f>
        <v>0</v>
      </c>
      <c r="G149">
        <f>IFERROR(VLOOKUP(CONCATENATE(Table43_1[[#This Row],[Kode BARANG Win2]],5),'Form Fix'!$A$6:$F$310,4,0),0)</f>
        <v>0</v>
      </c>
    </row>
    <row r="150" spans="1:7" x14ac:dyDescent="0.25">
      <c r="A150" t="s">
        <v>738</v>
      </c>
      <c r="B150" t="s">
        <v>929</v>
      </c>
      <c r="C150">
        <f>IFERROR(VLOOKUP(CONCATENATE(Table43_1[[#This Row],[Kode BARANG Win2]],1),'Form Fix'!$A$6:$F$310,4,0),0)</f>
        <v>150193</v>
      </c>
      <c r="D150">
        <f>IFERROR(VLOOKUP(CONCATENATE(Table43_1[[#This Row],[Kode BARANG Win2]],2),'Form Fix'!$A$6:$F$310,4,0),0)</f>
        <v>150360</v>
      </c>
      <c r="E150">
        <f>IFERROR(VLOOKUP(CONCATENATE(Table43_1[[#This Row],[Kode BARANG Win2]],3),'Form Fix'!$A$6:$F$310,4,0),0)</f>
        <v>0</v>
      </c>
      <c r="F150">
        <f>IFERROR(VLOOKUP(CONCATENATE(Table43_1[[#This Row],[Kode BARANG Win2]],4),'Form Fix'!$A$6:$F$310,4,0),0)</f>
        <v>0</v>
      </c>
      <c r="G150">
        <f>IFERROR(VLOOKUP(CONCATENATE(Table43_1[[#This Row],[Kode BARANG Win2]],5),'Form Fix'!$A$6:$F$310,4,0),0)</f>
        <v>0</v>
      </c>
    </row>
    <row r="151" spans="1:7" x14ac:dyDescent="0.25">
      <c r="A151" t="s">
        <v>739</v>
      </c>
      <c r="B151" t="s">
        <v>930</v>
      </c>
      <c r="C151">
        <f>IFERROR(VLOOKUP(CONCATENATE(Table43_1[[#This Row],[Kode BARANG Win2]],1),'Form Fix'!$A$6:$F$310,4,0),0)</f>
        <v>150961</v>
      </c>
      <c r="D151">
        <f>IFERROR(VLOOKUP(CONCATENATE(Table43_1[[#This Row],[Kode BARANG Win2]],2),'Form Fix'!$A$6:$F$310,4,0),0)</f>
        <v>0</v>
      </c>
      <c r="E151">
        <f>IFERROR(VLOOKUP(CONCATENATE(Table43_1[[#This Row],[Kode BARANG Win2]],3),'Form Fix'!$A$6:$F$310,4,0),0)</f>
        <v>0</v>
      </c>
      <c r="F151">
        <f>IFERROR(VLOOKUP(CONCATENATE(Table43_1[[#This Row],[Kode BARANG Win2]],4),'Form Fix'!$A$6:$F$310,4,0),0)</f>
        <v>0</v>
      </c>
      <c r="G151">
        <f>IFERROR(VLOOKUP(CONCATENATE(Table43_1[[#This Row],[Kode BARANG Win2]],5),'Form Fix'!$A$6:$F$310,4,0),0)</f>
        <v>0</v>
      </c>
    </row>
    <row r="152" spans="1:7" x14ac:dyDescent="0.25">
      <c r="A152" t="s">
        <v>741</v>
      </c>
      <c r="B152" t="s">
        <v>931</v>
      </c>
      <c r="C152">
        <f>IFERROR(VLOOKUP(CONCATENATE(Table43_1[[#This Row],[Kode BARANG Win2]],1),'Form Fix'!$A$6:$F$310,4,0),0)</f>
        <v>612095</v>
      </c>
      <c r="D152">
        <f>IFERROR(VLOOKUP(CONCATENATE(Table43_1[[#This Row],[Kode BARANG Win2]],2),'Form Fix'!$A$6:$F$310,4,0),0)</f>
        <v>0</v>
      </c>
      <c r="E152">
        <f>IFERROR(VLOOKUP(CONCATENATE(Table43_1[[#This Row],[Kode BARANG Win2]],3),'Form Fix'!$A$6:$F$310,4,0),0)</f>
        <v>0</v>
      </c>
      <c r="F152">
        <f>IFERROR(VLOOKUP(CONCATENATE(Table43_1[[#This Row],[Kode BARANG Win2]],4),'Form Fix'!$A$6:$F$310,4,0),0)</f>
        <v>0</v>
      </c>
      <c r="G152">
        <f>IFERROR(VLOOKUP(CONCATENATE(Table43_1[[#This Row],[Kode BARANG Win2]],5),'Form Fix'!$A$6:$F$310,4,0),0)</f>
        <v>0</v>
      </c>
    </row>
    <row r="153" spans="1:7" x14ac:dyDescent="0.25">
      <c r="A153" t="s">
        <v>743</v>
      </c>
      <c r="B153" t="s">
        <v>932</v>
      </c>
      <c r="C153">
        <f>IFERROR(VLOOKUP(CONCATENATE(Table43_1[[#This Row],[Kode BARANG Win2]],1),'Form Fix'!$A$6:$F$310,4,0),0)</f>
        <v>612098</v>
      </c>
      <c r="D153">
        <f>IFERROR(VLOOKUP(CONCATENATE(Table43_1[[#This Row],[Kode BARANG Win2]],2),'Form Fix'!$A$6:$F$310,4,0),0)</f>
        <v>150196</v>
      </c>
      <c r="E153">
        <f>IFERROR(VLOOKUP(CONCATENATE(Table43_1[[#This Row],[Kode BARANG Win2]],3),'Form Fix'!$A$6:$F$310,4,0),0)</f>
        <v>0</v>
      </c>
      <c r="F153">
        <f>IFERROR(VLOOKUP(CONCATENATE(Table43_1[[#This Row],[Kode BARANG Win2]],4),'Form Fix'!$A$6:$F$310,4,0),0)</f>
        <v>0</v>
      </c>
      <c r="G153">
        <f>IFERROR(VLOOKUP(CONCATENATE(Table43_1[[#This Row],[Kode BARANG Win2]],5),'Form Fix'!$A$6:$F$310,4,0),0)</f>
        <v>0</v>
      </c>
    </row>
    <row r="154" spans="1:7" x14ac:dyDescent="0.25">
      <c r="A154" t="s">
        <v>742</v>
      </c>
      <c r="B154" t="s">
        <v>933</v>
      </c>
      <c r="C154">
        <f>IFERROR(VLOOKUP(CONCATENATE(Table43_1[[#This Row],[Kode BARANG Win2]],1),'Form Fix'!$A$6:$F$310,4,0),0)</f>
        <v>612954</v>
      </c>
      <c r="D154">
        <f>IFERROR(VLOOKUP(CONCATENATE(Table43_1[[#This Row],[Kode BARANG Win2]],2),'Form Fix'!$A$6:$F$310,4,0),0)</f>
        <v>150978</v>
      </c>
      <c r="E154">
        <f>IFERROR(VLOOKUP(CONCATENATE(Table43_1[[#This Row],[Kode BARANG Win2]],3),'Form Fix'!$A$6:$F$310,4,0),0)</f>
        <v>0</v>
      </c>
      <c r="F154">
        <f>IFERROR(VLOOKUP(CONCATENATE(Table43_1[[#This Row],[Kode BARANG Win2]],4),'Form Fix'!$A$6:$F$310,4,0),0)</f>
        <v>0</v>
      </c>
      <c r="G154">
        <f>IFERROR(VLOOKUP(CONCATENATE(Table43_1[[#This Row],[Kode BARANG Win2]],5),'Form Fix'!$A$6:$F$310,4,0),0)</f>
        <v>0</v>
      </c>
    </row>
    <row r="155" spans="1:7" x14ac:dyDescent="0.25">
      <c r="A155" t="s">
        <v>745</v>
      </c>
      <c r="B155" t="s">
        <v>934</v>
      </c>
      <c r="C155">
        <f>IFERROR(VLOOKUP(CONCATENATE(Table43_1[[#This Row],[Kode BARANG Win2]],1),'Form Fix'!$A$6:$F$310,4,0),0)</f>
        <v>612128</v>
      </c>
      <c r="D155">
        <f>IFERROR(VLOOKUP(CONCATENATE(Table43_1[[#This Row],[Kode BARANG Win2]],2),'Form Fix'!$A$6:$F$310,4,0),0)</f>
        <v>0</v>
      </c>
      <c r="E155">
        <f>IFERROR(VLOOKUP(CONCATENATE(Table43_1[[#This Row],[Kode BARANG Win2]],3),'Form Fix'!$A$6:$F$310,4,0),0)</f>
        <v>0</v>
      </c>
      <c r="F155">
        <f>IFERROR(VLOOKUP(CONCATENATE(Table43_1[[#This Row],[Kode BARANG Win2]],4),'Form Fix'!$A$6:$F$310,4,0),0)</f>
        <v>0</v>
      </c>
      <c r="G155">
        <f>IFERROR(VLOOKUP(CONCATENATE(Table43_1[[#This Row],[Kode BARANG Win2]],5),'Form Fix'!$A$6:$F$310,4,0),0)</f>
        <v>0</v>
      </c>
    </row>
    <row r="156" spans="1:7" x14ac:dyDescent="0.25">
      <c r="A156" t="s">
        <v>744</v>
      </c>
      <c r="B156" t="s">
        <v>935</v>
      </c>
      <c r="C156">
        <f>IFERROR(VLOOKUP(CONCATENATE(Table43_1[[#This Row],[Kode BARANG Win2]],1),'Form Fix'!$A$6:$F$310,4,0),0)</f>
        <v>612955</v>
      </c>
      <c r="D156">
        <f>IFERROR(VLOOKUP(CONCATENATE(Table43_1[[#This Row],[Kode BARANG Win2]],2),'Form Fix'!$A$6:$F$310,4,0),0)</f>
        <v>0</v>
      </c>
      <c r="E156">
        <f>IFERROR(VLOOKUP(CONCATENATE(Table43_1[[#This Row],[Kode BARANG Win2]],3),'Form Fix'!$A$6:$F$310,4,0),0)</f>
        <v>0</v>
      </c>
      <c r="F156">
        <f>IFERROR(VLOOKUP(CONCATENATE(Table43_1[[#This Row],[Kode BARANG Win2]],4),'Form Fix'!$A$6:$F$310,4,0),0)</f>
        <v>0</v>
      </c>
      <c r="G156">
        <f>IFERROR(VLOOKUP(CONCATENATE(Table43_1[[#This Row],[Kode BARANG Win2]],5),'Form Fix'!$A$6:$F$310,4,0),0)</f>
        <v>0</v>
      </c>
    </row>
    <row r="157" spans="1:7" x14ac:dyDescent="0.25">
      <c r="A157" t="s">
        <v>747</v>
      </c>
      <c r="B157" t="s">
        <v>936</v>
      </c>
      <c r="C157">
        <f>IFERROR(VLOOKUP(CONCATENATE(Table43_1[[#This Row],[Kode BARANG Win2]],1),'Form Fix'!$A$6:$F$310,4,0),0)</f>
        <v>612130</v>
      </c>
      <c r="D157">
        <f>IFERROR(VLOOKUP(CONCATENATE(Table43_1[[#This Row],[Kode BARANG Win2]],2),'Form Fix'!$A$6:$F$310,4,0),0)</f>
        <v>150202</v>
      </c>
      <c r="E157">
        <f>IFERROR(VLOOKUP(CONCATENATE(Table43_1[[#This Row],[Kode BARANG Win2]],3),'Form Fix'!$A$6:$F$310,4,0),0)</f>
        <v>0</v>
      </c>
      <c r="F157">
        <f>IFERROR(VLOOKUP(CONCATENATE(Table43_1[[#This Row],[Kode BARANG Win2]],4),'Form Fix'!$A$6:$F$310,4,0),0)</f>
        <v>0</v>
      </c>
      <c r="G157">
        <f>IFERROR(VLOOKUP(CONCATENATE(Table43_1[[#This Row],[Kode BARANG Win2]],5),'Form Fix'!$A$6:$F$310,4,0),0)</f>
        <v>0</v>
      </c>
    </row>
    <row r="158" spans="1:7" x14ac:dyDescent="0.25">
      <c r="A158" t="s">
        <v>746</v>
      </c>
      <c r="B158" t="s">
        <v>937</v>
      </c>
      <c r="C158">
        <f>IFERROR(VLOOKUP(CONCATENATE(Table43_1[[#This Row],[Kode BARANG Win2]],1),'Form Fix'!$A$6:$F$310,4,0),0)</f>
        <v>612957</v>
      </c>
      <c r="D158">
        <f>IFERROR(VLOOKUP(CONCATENATE(Table43_1[[#This Row],[Kode BARANG Win2]],2),'Form Fix'!$A$6:$F$310,4,0),0)</f>
        <v>0</v>
      </c>
      <c r="E158">
        <f>IFERROR(VLOOKUP(CONCATENATE(Table43_1[[#This Row],[Kode BARANG Win2]],3),'Form Fix'!$A$6:$F$310,4,0),0)</f>
        <v>0</v>
      </c>
      <c r="F158">
        <f>IFERROR(VLOOKUP(CONCATENATE(Table43_1[[#This Row],[Kode BARANG Win2]],4),'Form Fix'!$A$6:$F$310,4,0),0)</f>
        <v>0</v>
      </c>
      <c r="G158">
        <f>IFERROR(VLOOKUP(CONCATENATE(Table43_1[[#This Row],[Kode BARANG Win2]],5),'Form Fix'!$A$6:$F$310,4,0),0)</f>
        <v>0</v>
      </c>
    </row>
    <row r="159" spans="1:7" x14ac:dyDescent="0.25">
      <c r="A159" t="s">
        <v>749</v>
      </c>
      <c r="B159" t="s">
        <v>938</v>
      </c>
      <c r="C159">
        <f>IFERROR(VLOOKUP(CONCATENATE(Table43_1[[#This Row],[Kode BARANG Win2]],1),'Form Fix'!$A$6:$F$310,4,0),0)</f>
        <v>612100</v>
      </c>
      <c r="D159">
        <f>IFERROR(VLOOKUP(CONCATENATE(Table43_1[[#This Row],[Kode BARANG Win2]],2),'Form Fix'!$A$6:$F$310,4,0),0)</f>
        <v>0</v>
      </c>
      <c r="E159">
        <f>IFERROR(VLOOKUP(CONCATENATE(Table43_1[[#This Row],[Kode BARANG Win2]],3),'Form Fix'!$A$6:$F$310,4,0),0)</f>
        <v>0</v>
      </c>
      <c r="F159">
        <f>IFERROR(VLOOKUP(CONCATENATE(Table43_1[[#This Row],[Kode BARANG Win2]],4),'Form Fix'!$A$6:$F$310,4,0),0)</f>
        <v>0</v>
      </c>
      <c r="G159">
        <f>IFERROR(VLOOKUP(CONCATENATE(Table43_1[[#This Row],[Kode BARANG Win2]],5),'Form Fix'!$A$6:$F$310,4,0),0)</f>
        <v>0</v>
      </c>
    </row>
    <row r="160" spans="1:7" x14ac:dyDescent="0.25">
      <c r="A160" t="s">
        <v>748</v>
      </c>
      <c r="B160" t="s">
        <v>939</v>
      </c>
      <c r="C160">
        <f>IFERROR(VLOOKUP(CONCATENATE(Table43_1[[#This Row],[Kode BARANG Win2]],1),'Form Fix'!$A$6:$F$310,4,0),0)</f>
        <v>612956</v>
      </c>
      <c r="D160">
        <f>IFERROR(VLOOKUP(CONCATENATE(Table43_1[[#This Row],[Kode BARANG Win2]],2),'Form Fix'!$A$6:$F$310,4,0),0)</f>
        <v>0</v>
      </c>
      <c r="E160">
        <f>IFERROR(VLOOKUP(CONCATENATE(Table43_1[[#This Row],[Kode BARANG Win2]],3),'Form Fix'!$A$6:$F$310,4,0),0)</f>
        <v>0</v>
      </c>
      <c r="F160">
        <f>IFERROR(VLOOKUP(CONCATENATE(Table43_1[[#This Row],[Kode BARANG Win2]],4),'Form Fix'!$A$6:$F$310,4,0),0)</f>
        <v>0</v>
      </c>
      <c r="G160">
        <f>IFERROR(VLOOKUP(CONCATENATE(Table43_1[[#This Row],[Kode BARANG Win2]],5),'Form Fix'!$A$6:$F$310,4,0),0)</f>
        <v>0</v>
      </c>
    </row>
    <row r="161" spans="1:7" x14ac:dyDescent="0.25">
      <c r="A161" t="s">
        <v>798</v>
      </c>
      <c r="B161" t="s">
        <v>940</v>
      </c>
      <c r="C161">
        <f>IFERROR(VLOOKUP(CONCATENATE(Table43_1[[#This Row],[Kode BARANG Win2]],1),'Form Fix'!$A$6:$F$310,4,0),0)</f>
        <v>150148</v>
      </c>
      <c r="D161">
        <f>IFERROR(VLOOKUP(CONCATENATE(Table43_1[[#This Row],[Kode BARANG Win2]],2),'Form Fix'!$A$6:$F$310,4,0),0)</f>
        <v>150218</v>
      </c>
      <c r="E161">
        <f>IFERROR(VLOOKUP(CONCATENATE(Table43_1[[#This Row],[Kode BARANG Win2]],3),'Form Fix'!$A$6:$F$310,4,0),0)</f>
        <v>0</v>
      </c>
      <c r="F161">
        <f>IFERROR(VLOOKUP(CONCATENATE(Table43_1[[#This Row],[Kode BARANG Win2]],4),'Form Fix'!$A$6:$F$310,4,0),0)</f>
        <v>0</v>
      </c>
      <c r="G161">
        <f>IFERROR(VLOOKUP(CONCATENATE(Table43_1[[#This Row],[Kode BARANG Win2]],5),'Form Fix'!$A$6:$F$310,4,0),0)</f>
        <v>0</v>
      </c>
    </row>
    <row r="162" spans="1:7" x14ac:dyDescent="0.25">
      <c r="A162" t="s">
        <v>799</v>
      </c>
      <c r="B162" t="s">
        <v>941</v>
      </c>
      <c r="C162">
        <f>IFERROR(VLOOKUP(CONCATENATE(Table43_1[[#This Row],[Kode BARANG Win2]],1),'Form Fix'!$A$6:$F$310,4,0),0)</f>
        <v>150217</v>
      </c>
      <c r="D162">
        <f>IFERROR(VLOOKUP(CONCATENATE(Table43_1[[#This Row],[Kode BARANG Win2]],2),'Form Fix'!$A$6:$F$310,4,0),0)</f>
        <v>0</v>
      </c>
      <c r="E162">
        <f>IFERROR(VLOOKUP(CONCATENATE(Table43_1[[#This Row],[Kode BARANG Win2]],3),'Form Fix'!$A$6:$F$310,4,0),0)</f>
        <v>0</v>
      </c>
      <c r="F162">
        <f>IFERROR(VLOOKUP(CONCATENATE(Table43_1[[#This Row],[Kode BARANG Win2]],4),'Form Fix'!$A$6:$F$310,4,0),0)</f>
        <v>0</v>
      </c>
      <c r="G162">
        <f>IFERROR(VLOOKUP(CONCATENATE(Table43_1[[#This Row],[Kode BARANG Win2]],5),'Form Fix'!$A$6:$F$310,4,0),0)</f>
        <v>0</v>
      </c>
    </row>
    <row r="163" spans="1:7" x14ac:dyDescent="0.25">
      <c r="A163" t="s">
        <v>800</v>
      </c>
      <c r="B163" t="s">
        <v>942</v>
      </c>
      <c r="C163">
        <f>IFERROR(VLOOKUP(CONCATENATE(Table43_1[[#This Row],[Kode BARANG Win2]],1),'Form Fix'!$A$6:$F$310,4,0),0)</f>
        <v>150219</v>
      </c>
      <c r="D163">
        <f>IFERROR(VLOOKUP(CONCATENATE(Table43_1[[#This Row],[Kode BARANG Win2]],2),'Form Fix'!$A$6:$F$310,4,0),0)</f>
        <v>0</v>
      </c>
      <c r="E163">
        <f>IFERROR(VLOOKUP(CONCATENATE(Table43_1[[#This Row],[Kode BARANG Win2]],3),'Form Fix'!$A$6:$F$310,4,0),0)</f>
        <v>0</v>
      </c>
      <c r="F163">
        <f>IFERROR(VLOOKUP(CONCATENATE(Table43_1[[#This Row],[Kode BARANG Win2]],4),'Form Fix'!$A$6:$F$310,4,0),0)</f>
        <v>0</v>
      </c>
      <c r="G163">
        <f>IFERROR(VLOOKUP(CONCATENATE(Table43_1[[#This Row],[Kode BARANG Win2]],5),'Form Fix'!$A$6:$F$310,4,0),0)</f>
        <v>0</v>
      </c>
    </row>
    <row r="164" spans="1:7" x14ac:dyDescent="0.25">
      <c r="A164" t="s">
        <v>801</v>
      </c>
      <c r="B164" t="s">
        <v>943</v>
      </c>
      <c r="C164">
        <f>IFERROR(VLOOKUP(CONCATENATE(Table43_1[[#This Row],[Kode BARANG Win2]],1),'Form Fix'!$A$6:$F$310,4,0),0)</f>
        <v>150159</v>
      </c>
      <c r="D164">
        <f>IFERROR(VLOOKUP(CONCATENATE(Table43_1[[#This Row],[Kode BARANG Win2]],2),'Form Fix'!$A$6:$F$310,4,0),0)</f>
        <v>0</v>
      </c>
      <c r="E164">
        <f>IFERROR(VLOOKUP(CONCATENATE(Table43_1[[#This Row],[Kode BARANG Win2]],3),'Form Fix'!$A$6:$F$310,4,0),0)</f>
        <v>0</v>
      </c>
      <c r="F164">
        <f>IFERROR(VLOOKUP(CONCATENATE(Table43_1[[#This Row],[Kode BARANG Win2]],4),'Form Fix'!$A$6:$F$310,4,0),0)</f>
        <v>0</v>
      </c>
      <c r="G164">
        <f>IFERROR(VLOOKUP(CONCATENATE(Table43_1[[#This Row],[Kode BARANG Win2]],5),'Form Fix'!$A$6:$F$310,4,0),0)</f>
        <v>0</v>
      </c>
    </row>
    <row r="165" spans="1:7" x14ac:dyDescent="0.25">
      <c r="A165" t="s">
        <v>805</v>
      </c>
      <c r="B165" t="s">
        <v>944</v>
      </c>
      <c r="C165">
        <f>IFERROR(VLOOKUP(CONCATENATE(Table43_1[[#This Row],[Kode BARANG Win2]],1),'Form Fix'!$A$6:$F$310,4,0),0)</f>
        <v>150184</v>
      </c>
      <c r="D165">
        <f>IFERROR(VLOOKUP(CONCATENATE(Table43_1[[#This Row],[Kode BARANG Win2]],2),'Form Fix'!$A$6:$F$310,4,0),0)</f>
        <v>0</v>
      </c>
      <c r="E165">
        <f>IFERROR(VLOOKUP(CONCATENATE(Table43_1[[#This Row],[Kode BARANG Win2]],3),'Form Fix'!$A$6:$F$310,4,0),0)</f>
        <v>0</v>
      </c>
      <c r="F165">
        <f>IFERROR(VLOOKUP(CONCATENATE(Table43_1[[#This Row],[Kode BARANG Win2]],4),'Form Fix'!$A$6:$F$310,4,0),0)</f>
        <v>0</v>
      </c>
      <c r="G165">
        <f>IFERROR(VLOOKUP(CONCATENATE(Table43_1[[#This Row],[Kode BARANG Win2]],5),'Form Fix'!$A$6:$F$310,4,0),0)</f>
        <v>0</v>
      </c>
    </row>
    <row r="166" spans="1:7" x14ac:dyDescent="0.25">
      <c r="A166" t="s">
        <v>804</v>
      </c>
      <c r="B166" t="s">
        <v>945</v>
      </c>
      <c r="C166">
        <f>IFERROR(VLOOKUP(CONCATENATE(Table43_1[[#This Row],[Kode BARANG Win2]],1),'Form Fix'!$A$6:$F$310,4,0),0)</f>
        <v>900005</v>
      </c>
      <c r="D166">
        <f>IFERROR(VLOOKUP(CONCATENATE(Table43_1[[#This Row],[Kode BARANG Win2]],2),'Form Fix'!$A$6:$F$310,4,0),0)</f>
        <v>0</v>
      </c>
      <c r="E166">
        <f>IFERROR(VLOOKUP(CONCATENATE(Table43_1[[#This Row],[Kode BARANG Win2]],3),'Form Fix'!$A$6:$F$310,4,0),0)</f>
        <v>0</v>
      </c>
      <c r="F166">
        <f>IFERROR(VLOOKUP(CONCATENATE(Table43_1[[#This Row],[Kode BARANG Win2]],4),'Form Fix'!$A$6:$F$310,4,0),0)</f>
        <v>0</v>
      </c>
      <c r="G166">
        <f>IFERROR(VLOOKUP(CONCATENATE(Table43_1[[#This Row],[Kode BARANG Win2]],5),'Form Fix'!$A$6:$F$310,4,0),0)</f>
        <v>0</v>
      </c>
    </row>
    <row r="167" spans="1:7" x14ac:dyDescent="0.25">
      <c r="A167" t="s">
        <v>1008</v>
      </c>
      <c r="B167" t="s">
        <v>1009</v>
      </c>
      <c r="C167">
        <f>IFERROR(VLOOKUP(CONCATENATE(Table43_1[[#This Row],[Kode BARANG Win2]],1),'Form Fix'!$A$6:$F$310,4,0),0)</f>
        <v>900053</v>
      </c>
      <c r="D167">
        <f>IFERROR(VLOOKUP(CONCATENATE(Table43_1[[#This Row],[Kode BARANG Win2]],2),'Form Fix'!$A$6:$F$310,4,0),0)</f>
        <v>0</v>
      </c>
      <c r="E167">
        <f>IFERROR(VLOOKUP(CONCATENATE(Table43_1[[#This Row],[Kode BARANG Win2]],3),'Form Fix'!$A$6:$F$310,4,0),0)</f>
        <v>0</v>
      </c>
      <c r="F167">
        <f>IFERROR(VLOOKUP(CONCATENATE(Table43_1[[#This Row],[Kode BARANG Win2]],4),'Form Fix'!$A$6:$F$310,4,0),0)</f>
        <v>0</v>
      </c>
      <c r="G167">
        <f>IFERROR(VLOOKUP(CONCATENATE(Table43_1[[#This Row],[Kode BARANG Win2]],5),'Form Fix'!$A$6:$F$310,4,0),0)</f>
        <v>0</v>
      </c>
    </row>
    <row r="168" spans="1:7" x14ac:dyDescent="0.25">
      <c r="A168" t="s">
        <v>1103</v>
      </c>
      <c r="B168" t="s">
        <v>1104</v>
      </c>
      <c r="C168">
        <f>IFERROR(VLOOKUP(CONCATENATE(Table43_1[[#This Row],[Kode BARANG Win2]],1),'Form Fix'!$A$6:$F$310,4,0),0)</f>
        <v>900044</v>
      </c>
      <c r="D168">
        <f>IFERROR(VLOOKUP(CONCATENATE(Table43_1[[#This Row],[Kode BARANG Win2]],2),'Form Fix'!$A$6:$F$310,4,0),0)</f>
        <v>0</v>
      </c>
      <c r="E168">
        <f>IFERROR(VLOOKUP(CONCATENATE(Table43_1[[#This Row],[Kode BARANG Win2]],3),'Form Fix'!$A$6:$F$310,4,0),0)</f>
        <v>0</v>
      </c>
      <c r="F168">
        <f>IFERROR(VLOOKUP(CONCATENATE(Table43_1[[#This Row],[Kode BARANG Win2]],4),'Form Fix'!$A$6:$F$310,4,0),0)</f>
        <v>0</v>
      </c>
      <c r="G168">
        <f>IFERROR(VLOOKUP(CONCATENATE(Table43_1[[#This Row],[Kode BARANG Win2]],5),'Form Fix'!$A$6:$F$310,4,0),0)</f>
        <v>0</v>
      </c>
    </row>
  </sheetData>
  <conditionalFormatting sqref="A1:A1048576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CF3C-3C76-4C87-AEC2-206693260AA1}">
  <sheetPr codeName="Sheet9">
    <tabColor rgb="FF00B050"/>
  </sheetPr>
  <dimension ref="A1:BX310"/>
  <sheetViews>
    <sheetView topLeftCell="A25" zoomScaleNormal="100" workbookViewId="0">
      <selection activeCell="F45" sqref="F45"/>
    </sheetView>
  </sheetViews>
  <sheetFormatPr defaultRowHeight="15" outlineLevelCol="1" x14ac:dyDescent="0.25"/>
  <cols>
    <col min="1" max="1" width="17.5703125" bestFit="1" customWidth="1"/>
    <col min="2" max="2" width="10.28515625" bestFit="1" customWidth="1"/>
    <col min="3" max="3" width="11.5703125" style="4" bestFit="1" customWidth="1"/>
    <col min="4" max="4" width="14.28515625" style="4" bestFit="1" customWidth="1"/>
    <col min="5" max="5" width="25.7109375" style="4" hidden="1" customWidth="1"/>
    <col min="6" max="6" width="53" style="4" bestFit="1" customWidth="1"/>
    <col min="7" max="7" width="12.140625" style="4" customWidth="1"/>
    <col min="8" max="8" width="16.5703125" style="36" customWidth="1"/>
    <col min="9" max="9" width="13" style="4" customWidth="1"/>
    <col min="10" max="10" width="27.5703125" style="4" customWidth="1"/>
    <col min="11" max="11" width="19.7109375" style="4" customWidth="1"/>
    <col min="12" max="12" width="23.85546875" style="4" customWidth="1"/>
    <col min="13" max="13" width="8.28515625" style="11" customWidth="1"/>
    <col min="14" max="14" width="64.5703125" style="14" customWidth="1"/>
    <col min="15" max="15" width="8.28515625" style="11" customWidth="1"/>
    <col min="16" max="16" width="10.7109375" style="4" customWidth="1" outlineLevel="1"/>
    <col min="17" max="17" width="16.42578125" style="7" customWidth="1" outlineLevel="1"/>
    <col min="18" max="18" width="24.5703125" style="4" customWidth="1" outlineLevel="1"/>
    <col min="19" max="19" width="16.42578125" style="7" customWidth="1" outlineLevel="1"/>
    <col min="20" max="20" width="23" style="4" customWidth="1" outlineLevel="1"/>
    <col min="21" max="21" width="16.42578125" style="7" customWidth="1" outlineLevel="1"/>
    <col min="22" max="22" width="24" style="7" customWidth="1" outlineLevel="1"/>
    <col min="23" max="23" width="16.42578125" style="7" customWidth="1" outlineLevel="1"/>
    <col min="24" max="24" width="25.7109375" style="4" customWidth="1" outlineLevel="1"/>
    <col min="25" max="25" width="13.140625" style="7" customWidth="1" outlineLevel="1"/>
    <col min="26" max="26" width="17" style="4" customWidth="1" outlineLevel="1"/>
    <col min="27" max="27" width="16.42578125" style="7" customWidth="1" outlineLevel="1"/>
    <col min="28" max="28" width="15.5703125" style="4" customWidth="1" outlineLevel="1"/>
    <col min="29" max="29" width="16.42578125" style="7" customWidth="1" outlineLevel="1"/>
    <col min="30" max="30" width="11.42578125" style="4" customWidth="1" outlineLevel="1"/>
    <col min="31" max="31" width="16.42578125" style="7" customWidth="1" outlineLevel="1"/>
    <col min="32" max="32" width="28" style="7" customWidth="1" outlineLevel="1"/>
    <col min="33" max="33" width="16.42578125" style="7" customWidth="1" outlineLevel="1"/>
    <col min="34" max="34" width="20.85546875" style="7" customWidth="1" outlineLevel="1"/>
    <col min="35" max="35" width="20.5703125" style="7" customWidth="1" outlineLevel="1"/>
    <col min="36" max="37" width="12.42578125" style="7" customWidth="1" outlineLevel="1"/>
    <col min="38" max="38" width="18.28515625" style="29" customWidth="1" outlineLevel="1"/>
    <col min="39" max="39" width="18" style="29" customWidth="1" outlineLevel="1"/>
    <col min="40" max="40" width="18.28515625" style="29" customWidth="1" outlineLevel="1"/>
    <col min="41" max="41" width="18" style="29" customWidth="1" outlineLevel="1"/>
    <col min="42" max="42" width="21.140625" style="29" bestFit="1" customWidth="1"/>
    <col min="43" max="43" width="20.85546875" style="29" customWidth="1"/>
    <col min="44" max="44" width="21.140625" style="29" bestFit="1" customWidth="1"/>
    <col min="45" max="45" width="20.85546875" style="29" bestFit="1" customWidth="1"/>
    <col min="46" max="46" width="21.5703125" style="29" bestFit="1" customWidth="1"/>
    <col min="47" max="47" width="21.28515625" style="29" bestFit="1" customWidth="1"/>
    <col min="48" max="48" width="21.5703125" style="29" bestFit="1" customWidth="1"/>
    <col min="49" max="49" width="21.28515625" style="29" bestFit="1" customWidth="1"/>
    <col min="50" max="50" width="21.28515625" style="29" customWidth="1"/>
    <col min="51" max="51" width="15.7109375" style="4" bestFit="1" customWidth="1"/>
    <col min="52" max="52" width="15.85546875" style="4" bestFit="1" customWidth="1"/>
    <col min="53" max="53" width="15.7109375" style="4" bestFit="1" customWidth="1"/>
    <col min="54" max="54" width="11" style="4" bestFit="1" customWidth="1"/>
    <col min="55" max="55" width="11" style="4" customWidth="1"/>
    <col min="56" max="56" width="10.140625" style="4" bestFit="1" customWidth="1"/>
    <col min="57" max="58" width="14.140625" style="4" bestFit="1" customWidth="1"/>
    <col min="59" max="59" width="12.42578125" style="4" bestFit="1" customWidth="1"/>
    <col min="60" max="60" width="11.85546875" style="4" bestFit="1" customWidth="1"/>
    <col min="61" max="61" width="12.5703125" style="4" bestFit="1" customWidth="1"/>
    <col min="62" max="62" width="8.28515625" style="4" bestFit="1" customWidth="1"/>
    <col min="63" max="63" width="10.140625" style="4" bestFit="1" customWidth="1"/>
    <col min="64" max="64" width="11.140625" style="4" bestFit="1" customWidth="1"/>
    <col min="65" max="65" width="12.28515625" style="4" bestFit="1" customWidth="1"/>
    <col min="66" max="66" width="13" style="4" bestFit="1" customWidth="1"/>
    <col min="67" max="67" width="37.28515625" style="4" bestFit="1" customWidth="1"/>
    <col min="68" max="68" width="17" style="4" customWidth="1"/>
    <col min="69" max="69" width="13" style="4" bestFit="1" customWidth="1"/>
    <col min="70" max="70" width="8.85546875" style="4"/>
    <col min="72" max="72" width="10.5703125" bestFit="1" customWidth="1"/>
  </cols>
  <sheetData>
    <row r="1" spans="1:76" x14ac:dyDescent="0.25">
      <c r="C1" s="17" t="s">
        <v>34</v>
      </c>
      <c r="D1" s="13"/>
      <c r="E1" s="13"/>
      <c r="N1" s="4"/>
    </row>
    <row r="2" spans="1:76" x14ac:dyDescent="0.25">
      <c r="N2" s="4"/>
      <c r="O2" s="11">
        <f>COUNTIF(Table43[LEN 50], "&gt;50")</f>
        <v>1</v>
      </c>
    </row>
    <row r="3" spans="1:76" ht="18.75" x14ac:dyDescent="0.25">
      <c r="D3" s="137" t="s">
        <v>33</v>
      </c>
      <c r="E3" s="138"/>
      <c r="F3" s="138"/>
      <c r="G3" s="139"/>
      <c r="H3" s="37"/>
      <c r="I3" s="143"/>
      <c r="J3" s="144"/>
      <c r="K3" s="144"/>
      <c r="L3" s="144"/>
      <c r="M3" s="144"/>
      <c r="N3" s="145"/>
      <c r="P3" s="11" t="s">
        <v>172</v>
      </c>
      <c r="Q3" s="11"/>
      <c r="AL3" s="146" t="s">
        <v>40</v>
      </c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50"/>
      <c r="AY3" s="147" t="s">
        <v>47</v>
      </c>
      <c r="AZ3" s="147"/>
    </row>
    <row r="4" spans="1:76" ht="60" x14ac:dyDescent="0.25">
      <c r="D4" s="140"/>
      <c r="E4" s="141"/>
      <c r="F4" s="141"/>
      <c r="G4" s="142"/>
      <c r="H4" s="38"/>
      <c r="I4" s="18" t="s">
        <v>35</v>
      </c>
      <c r="J4" s="18"/>
      <c r="K4" s="148" t="s">
        <v>36</v>
      </c>
      <c r="L4" s="148"/>
      <c r="M4" s="148"/>
      <c r="N4" s="148"/>
      <c r="O4" s="148"/>
      <c r="P4" s="149" t="s">
        <v>26</v>
      </c>
      <c r="Q4" s="149"/>
      <c r="AL4" s="146" t="s">
        <v>41</v>
      </c>
      <c r="AM4" s="146"/>
      <c r="AN4" s="146"/>
      <c r="AO4" s="146"/>
      <c r="AP4" s="146" t="s">
        <v>46</v>
      </c>
      <c r="AQ4" s="146"/>
      <c r="AR4" s="146"/>
      <c r="AS4" s="146"/>
      <c r="AT4" s="146" t="s">
        <v>657</v>
      </c>
      <c r="AU4" s="146"/>
      <c r="AV4" s="146"/>
      <c r="AW4" s="146"/>
      <c r="AX4" s="50" t="s">
        <v>234</v>
      </c>
      <c r="AY4" s="147"/>
      <c r="AZ4" s="147"/>
      <c r="BA4" s="23"/>
      <c r="BB4" s="24"/>
      <c r="BC4" s="24"/>
      <c r="BD4" s="136" t="s">
        <v>133</v>
      </c>
      <c r="BE4" s="136"/>
      <c r="BF4" s="136"/>
      <c r="BG4" s="136"/>
      <c r="BH4" s="136"/>
      <c r="BI4" s="136"/>
      <c r="BJ4" s="136"/>
      <c r="BK4" s="136"/>
      <c r="BL4" s="136"/>
      <c r="BM4" s="136"/>
      <c r="BN4" s="136"/>
    </row>
    <row r="5" spans="1:76" s="6" customFormat="1" ht="60" x14ac:dyDescent="0.25">
      <c r="A5" s="22" t="s">
        <v>162</v>
      </c>
      <c r="B5" s="22" t="s">
        <v>146</v>
      </c>
      <c r="C5" s="5" t="s">
        <v>13</v>
      </c>
      <c r="D5" s="5" t="s">
        <v>2</v>
      </c>
      <c r="E5" s="5" t="s">
        <v>10</v>
      </c>
      <c r="F5" s="5" t="s">
        <v>9</v>
      </c>
      <c r="G5" s="5" t="s">
        <v>6</v>
      </c>
      <c r="H5" s="39" t="s">
        <v>228</v>
      </c>
      <c r="I5" s="5" t="s">
        <v>14</v>
      </c>
      <c r="J5" s="5" t="s">
        <v>39</v>
      </c>
      <c r="K5" s="9" t="s">
        <v>175</v>
      </c>
      <c r="L5" s="10" t="s">
        <v>32</v>
      </c>
      <c r="M5" s="12" t="s">
        <v>24</v>
      </c>
      <c r="N5" s="10" t="s">
        <v>23</v>
      </c>
      <c r="O5" s="12" t="s">
        <v>25</v>
      </c>
      <c r="P5" s="5" t="s">
        <v>15</v>
      </c>
      <c r="Q5" s="8" t="s">
        <v>16</v>
      </c>
      <c r="R5" s="5" t="s">
        <v>17</v>
      </c>
      <c r="S5" s="8" t="s">
        <v>18</v>
      </c>
      <c r="T5" s="15" t="s">
        <v>19</v>
      </c>
      <c r="U5" s="8" t="s">
        <v>20</v>
      </c>
      <c r="V5" s="15" t="s">
        <v>149</v>
      </c>
      <c r="W5" s="8" t="s">
        <v>150</v>
      </c>
      <c r="X5" s="5" t="s">
        <v>21</v>
      </c>
      <c r="Y5" s="8" t="s">
        <v>29</v>
      </c>
      <c r="Z5" s="5" t="s">
        <v>168</v>
      </c>
      <c r="AA5" s="8" t="s">
        <v>22</v>
      </c>
      <c r="AB5" s="5" t="s">
        <v>209</v>
      </c>
      <c r="AC5" s="8" t="s">
        <v>148</v>
      </c>
      <c r="AD5" s="5" t="s">
        <v>27</v>
      </c>
      <c r="AE5" s="8" t="s">
        <v>30</v>
      </c>
      <c r="AF5" s="5" t="s">
        <v>170</v>
      </c>
      <c r="AG5" s="8" t="s">
        <v>174</v>
      </c>
      <c r="AH5" s="5" t="s">
        <v>169</v>
      </c>
      <c r="AI5" s="5" t="s">
        <v>213</v>
      </c>
      <c r="AJ5" s="8" t="s">
        <v>212</v>
      </c>
      <c r="AK5" s="8" t="s">
        <v>226</v>
      </c>
      <c r="AL5" s="33" t="s">
        <v>43</v>
      </c>
      <c r="AM5" s="33" t="s">
        <v>42</v>
      </c>
      <c r="AN5" s="33" t="s">
        <v>44</v>
      </c>
      <c r="AO5" s="33" t="s">
        <v>45</v>
      </c>
      <c r="AP5" s="34" t="s">
        <v>134</v>
      </c>
      <c r="AQ5" s="34" t="s">
        <v>135</v>
      </c>
      <c r="AR5" s="34" t="s">
        <v>136</v>
      </c>
      <c r="AS5" s="34" t="s">
        <v>137</v>
      </c>
      <c r="AT5" s="35" t="s">
        <v>138</v>
      </c>
      <c r="AU5" s="35" t="s">
        <v>139</v>
      </c>
      <c r="AV5" s="35" t="s">
        <v>140</v>
      </c>
      <c r="AW5" s="35" t="s">
        <v>141</v>
      </c>
      <c r="AX5" s="35" t="s">
        <v>234</v>
      </c>
      <c r="AY5" s="19" t="s">
        <v>120</v>
      </c>
      <c r="AZ5" s="19" t="s">
        <v>121</v>
      </c>
      <c r="BA5" s="22" t="s">
        <v>124</v>
      </c>
      <c r="BB5" s="22" t="s">
        <v>125</v>
      </c>
      <c r="BC5" s="22" t="s">
        <v>227</v>
      </c>
      <c r="BD5" s="22" t="s">
        <v>122</v>
      </c>
      <c r="BE5" s="22" t="s">
        <v>145</v>
      </c>
      <c r="BF5" s="22" t="s">
        <v>211</v>
      </c>
      <c r="BG5" s="22" t="s">
        <v>126</v>
      </c>
      <c r="BH5" s="22" t="s">
        <v>176</v>
      </c>
      <c r="BI5" s="22" t="s">
        <v>127</v>
      </c>
      <c r="BJ5" s="22" t="s">
        <v>128</v>
      </c>
      <c r="BK5" s="22" t="s">
        <v>130</v>
      </c>
      <c r="BL5" s="22" t="s">
        <v>131</v>
      </c>
      <c r="BM5" s="22" t="s">
        <v>132</v>
      </c>
      <c r="BN5" s="22" t="s">
        <v>123</v>
      </c>
      <c r="BO5" s="22" t="s">
        <v>236</v>
      </c>
      <c r="BP5" s="8" t="s">
        <v>1025</v>
      </c>
      <c r="BQ5" s="8" t="s">
        <v>1026</v>
      </c>
      <c r="BR5" s="8" t="s">
        <v>1027</v>
      </c>
      <c r="BS5" s="57" t="s">
        <v>1025</v>
      </c>
      <c r="BT5" s="57" t="s">
        <v>1026</v>
      </c>
      <c r="BU5" s="59" t="s">
        <v>1027</v>
      </c>
      <c r="BV5" s="6" t="s">
        <v>1034</v>
      </c>
      <c r="BW5" s="59" t="s">
        <v>1027</v>
      </c>
      <c r="BX5" s="6" t="s">
        <v>1035</v>
      </c>
    </row>
    <row r="6" spans="1:76" x14ac:dyDescent="0.25">
      <c r="A6" s="4" t="str">
        <f>CONCATENATE(Table43[[#This Row],[Kode BARANG Win2]],Table43[[#This Row],[No. Urut
Item Sama]])</f>
        <v>A10110000062101</v>
      </c>
      <c r="B6" s="7">
        <v>1</v>
      </c>
      <c r="C6" s="4">
        <v>1</v>
      </c>
      <c r="D6" s="49">
        <v>100189</v>
      </c>
      <c r="E6" s="49" t="s">
        <v>237</v>
      </c>
      <c r="F6" s="49" t="s">
        <v>238</v>
      </c>
      <c r="G6" s="27">
        <v>48</v>
      </c>
      <c r="H6" s="48" t="s">
        <v>2736</v>
      </c>
      <c r="I6" s="27" t="str">
        <f>Table43[[#This Row],[Nama Jenis Kemasan]]</f>
        <v>PCH</v>
      </c>
      <c r="J6" s="4" t="str">
        <f>TRIM(CONCATENATE(Table43[[#This Row],[Nama            KLP]]," ",Table43[[#This Row],[Nama            Sub KLP]]))</f>
        <v>KECAP MANIS</v>
      </c>
      <c r="K6" s="4" t="str">
        <f>CONCATENATE(Table43[[#This Row],[kode  2 Digit                (hrf+No)]],Table43[[#This Row],[kode  2 Digit                (Nomor)]],Table43[[#This Row],[kode  1 Digit                (Nomor)]])</f>
        <v>A1011</v>
      </c>
      <c r="L6" s="4" t="str">
        <f>IF(AG6="",CONCATENATE(Q6,S6,U6,W6,Y6,AA6,AC6,AE6,Table43[[#This Row],[Tanda Kode Revisi]]),CONCATENATE(Q6,S6,U6,W6,Y6,AA6,AC6,AG6))</f>
        <v>A1011000006210</v>
      </c>
      <c r="M6" s="11">
        <f t="shared" ref="M6:M73" si="0">LEN(L6)</f>
        <v>14</v>
      </c>
      <c r="N6" s="14" t="str">
        <f>IF(AF6&lt;&gt;"",TRIM(UPPER(CONCATENATE(P6," ",R6," ",T6," ",V6," ",X6," ",Z6," ","X"," ",Table43[[#This Row],[ISI/CTN]]," ",AF6," ",AB6," ",AD6," ",AH6))),TRIM(UPPER(CONCATENATE(P6," ",R6," ",T6," ",V6," ",X6," ",Z6," ","X"," ",Table43[[#This Row],[ISI/CTN]]," ",AB6," ",AD6," ",AH6))))</f>
        <v>ABC KECAP MANIS 62 GR X 48 PCH</v>
      </c>
      <c r="O6" s="11">
        <f t="shared" ref="O6:O73" si="1">LEN(N6)</f>
        <v>30</v>
      </c>
      <c r="P6" s="4" t="s">
        <v>28</v>
      </c>
      <c r="Q6" s="7" t="s">
        <v>85</v>
      </c>
      <c r="R6" s="4" t="s">
        <v>474</v>
      </c>
      <c r="S6" s="43" t="s">
        <v>0</v>
      </c>
      <c r="T6" s="44" t="s">
        <v>475</v>
      </c>
      <c r="U6" s="7">
        <v>1</v>
      </c>
      <c r="V6" s="44"/>
      <c r="W6" s="43" t="s">
        <v>1</v>
      </c>
      <c r="Y6" s="45" t="s">
        <v>476</v>
      </c>
      <c r="Z6" s="4" t="s">
        <v>477</v>
      </c>
      <c r="AA6" s="45" t="s">
        <v>478</v>
      </c>
      <c r="AB6" s="4" t="s">
        <v>479</v>
      </c>
      <c r="AC6" s="7" t="s">
        <v>480</v>
      </c>
      <c r="AE6" s="7" t="s">
        <v>1</v>
      </c>
      <c r="AI6" s="7" t="s">
        <v>215</v>
      </c>
      <c r="AJ6" s="7">
        <v>1</v>
      </c>
      <c r="AL6" s="40">
        <f>Table43[[#This Row],[Harga Jual Pcs GT
(-PPN)]]-(Table43[[#This Row],[Harga Jual Pcs GT
(-PPN)]]*6%)</f>
        <v>1354.9536000000001</v>
      </c>
      <c r="AM6" s="41">
        <f>Table43[[#This Row],[Harga Beli Pcs
(-PPN)]]*Table43[[#This Row],[ISI/CTN]]</f>
        <v>65037.772800000006</v>
      </c>
      <c r="AN6" s="41">
        <f>Table43[[#This Row],[Harga Beli Pcs
(-PPN)]]*1.11</f>
        <v>1503.9984960000002</v>
      </c>
      <c r="AO6" s="41">
        <f>Table43[[#This Row],[Harga Beli Krt
(- PPN)]]*1.11</f>
        <v>72191.927808000008</v>
      </c>
      <c r="AP6" s="41">
        <v>1441.44</v>
      </c>
      <c r="AQ6" s="41">
        <f>Table43[[#This Row],[Harga Jual Pcs GT
(-PPN)]]*Table43[[#This Row],[ISI/CTN]]</f>
        <v>69189.119999999995</v>
      </c>
      <c r="AR6" s="41">
        <f>Table43[[#This Row],[Harga Jual Pcs GT
(-PPN)]]*1.11</f>
        <v>1599.9984000000002</v>
      </c>
      <c r="AS6" s="41">
        <f>Table43[[#This Row],[Harga Jual Krt GT
(- PPN)]]*1.11</f>
        <v>76799.923200000005</v>
      </c>
      <c r="AT6" s="41">
        <v>1556.76</v>
      </c>
      <c r="AU6" s="41">
        <f>(Table43[[#This Row],[Harga Jual Pcs MT
(-PPN)]]*Table43[[#This Row],[ISI/CTN]])</f>
        <v>74724.479999999996</v>
      </c>
      <c r="AV6" s="41">
        <f>Table43[[#This Row],[Harga Jual Pcs MT
(-PPN)]]*1.11</f>
        <v>1728.0036000000002</v>
      </c>
      <c r="AW6" s="41">
        <f>Table43[[#This Row],[Harga Jual Pcs MT
(+PPN)]]*Table43[[#This Row],[ISI/CTN]]</f>
        <v>82944.172800000015</v>
      </c>
      <c r="AX6" s="41"/>
      <c r="AY6" s="46">
        <v>45553</v>
      </c>
      <c r="AZ6" s="54">
        <v>45553</v>
      </c>
      <c r="BA6" s="7" t="str">
        <f ca="1">IF(TODAY()-Table43[[#This Row],[Efektif
Pembuatan]]&gt;60,"Lama","Baru")</f>
        <v>Lama</v>
      </c>
      <c r="BB6" s="7" t="str">
        <f ca="1">IF(TODAY()-Table43[[#This Row],[Efektif Naik Harga]]&lt;30,"Naik","Sama")</f>
        <v>Sama</v>
      </c>
      <c r="BC6" s="7" t="s">
        <v>235</v>
      </c>
      <c r="BD6" s="7" t="str">
        <f>IF(Table43[[#This Row],[Kode BARANG Win2]]&lt;&gt;"","IDR","")</f>
        <v>IDR</v>
      </c>
      <c r="BE6" s="8" t="str">
        <f>CONCATENATE(Table43[[#This Row],[kode  1 Digit
(Nomor)]],Table43[[#This Row],[kode  4 Digit                (Nomor)]])</f>
        <v>10062</v>
      </c>
      <c r="BF6" s="7" t="str">
        <f>Table43[[#This Row],[Nama            Gramasi atau Jumlah Pack per CTN]]</f>
        <v>62 GR</v>
      </c>
      <c r="BG6" s="7" t="s">
        <v>653</v>
      </c>
      <c r="BH6" s="51" t="s">
        <v>654</v>
      </c>
      <c r="BI6" s="4" t="str">
        <f>IF(Table43[[#This Row],[SATUAN Fix Win]]&lt;&gt;"","KRT")</f>
        <v>KRT</v>
      </c>
      <c r="BJ6" s="4" t="str">
        <f>IF(Table43[[#This Row],[SATUAN Fix Win]]&lt;&gt;"","GD01")</f>
        <v>GD01</v>
      </c>
      <c r="BK6" s="4">
        <f>IF(Table43[[#This Row],[SATUAN Fix Win]]&lt;&gt;"",11611)</f>
        <v>11611</v>
      </c>
      <c r="BL6" s="4">
        <f>IF(Table43[[#This Row],[SATUAN Fix Win]]&lt;&gt;"",11612)</f>
        <v>11612</v>
      </c>
      <c r="BM6" s="47" t="s">
        <v>655</v>
      </c>
      <c r="BN6" s="4">
        <f>IF(Table43[[#This Row],[SATUAN Fix Win]]&lt;&gt;"",1)</f>
        <v>1</v>
      </c>
      <c r="BO6" s="4" t="s">
        <v>656</v>
      </c>
      <c r="BP6" s="4">
        <f>IFERROR(VLOOKUP(Table43[[#This Row],[Kode Pcpl]],'[1]HEINZ ABC'!$A$4:$E$112,8,0),0)</f>
        <v>0</v>
      </c>
      <c r="BQ6" s="55">
        <f>Table43[[#This Row],[Harga Jual Pcs GT
(-PPN)]]-Table43[[#This Row],[HARGA NAIK GT]]</f>
        <v>1441.44</v>
      </c>
      <c r="BR6" s="4">
        <f>IF(Table43[[#This Row],[HARGA NAIK GT]]=0,Table43[[#This Row],[Harga Jual Pcs GT
(-PPN)]],Table43[[#This Row],[HARGA NAIK GT]])</f>
        <v>1441.44</v>
      </c>
      <c r="BS6">
        <f>IFERROR(VLOOKUP(Table43[[#This Row],[Kode Pcpl]],'[1]HEINZ ABC'!$A$4:$E$112,8,0),0)</f>
        <v>0</v>
      </c>
      <c r="BT6" s="58">
        <f>Table43[[#This Row],[Harga Jual Pcs GT
(-PPN)]]-BS6</f>
        <v>1441.44</v>
      </c>
      <c r="BU6">
        <f>IF(BS6=0,Table43[[#This Row],[Harga Jual Pcs MT
(-PPN)]])</f>
        <v>1556.76</v>
      </c>
      <c r="BV6">
        <f>IFERROR(VLOOKUP(Table43[[#This Row],[Kode Pcpl]],[2]Pricelist!$A$4:$K$112,11,0),0)</f>
        <v>0</v>
      </c>
      <c r="BW6">
        <f>IFERROR(VLOOKUP(Table43[[#This Row],[Kode BARANG Win2]],[3]!RECKITT211216[[KDBRG]:[HRG_JL_PCS-PPN]],11,0),0)</f>
        <v>0</v>
      </c>
      <c r="BX6">
        <f>BV6/1.11</f>
        <v>0</v>
      </c>
    </row>
    <row r="7" spans="1:76" x14ac:dyDescent="0.25">
      <c r="A7" s="4" t="str">
        <f>CONCATENATE(Table43[[#This Row],[Kode BARANG Win2]],Table43[[#This Row],[No. Urut
Item Sama]])</f>
        <v>A10110000062102</v>
      </c>
      <c r="B7" s="7">
        <v>2</v>
      </c>
      <c r="C7" s="4">
        <v>2</v>
      </c>
      <c r="D7" s="27">
        <v>100222</v>
      </c>
      <c r="E7" s="27" t="s">
        <v>237</v>
      </c>
      <c r="F7" s="27" t="s">
        <v>239</v>
      </c>
      <c r="G7" s="27">
        <v>48</v>
      </c>
      <c r="H7" s="42" t="s">
        <v>2734</v>
      </c>
      <c r="I7" s="27" t="str">
        <f>Table43[[#This Row],[Nama Jenis Kemasan]]</f>
        <v>PCH</v>
      </c>
      <c r="J7" s="4" t="str">
        <f>TRIM(CONCATENATE(Table43[[#This Row],[Nama            KLP]]," ",Table43[[#This Row],[Nama            Sub KLP]]))</f>
        <v>KECAP MANIS</v>
      </c>
      <c r="K7" s="4" t="str">
        <f>CONCATENATE(Table43[[#This Row],[kode  2 Digit                (hrf+No)]],Table43[[#This Row],[kode  2 Digit                (Nomor)]],Table43[[#This Row],[kode  1 Digit                (Nomor)]])</f>
        <v>A1011</v>
      </c>
      <c r="L7" s="4" t="str">
        <f>IF(AG7="",CONCATENATE(Q7,S7,U7,W7,Y7,AA7,AC7,AE7,Table43[[#This Row],[Tanda Kode Revisi]]),CONCATENATE(Q7,S7,U7,W7,Y7,AA7,AC7,AG7))</f>
        <v>A1011000006210</v>
      </c>
      <c r="M7" s="11">
        <f t="shared" si="0"/>
        <v>14</v>
      </c>
      <c r="N7" s="14" t="str">
        <f>IF(AF7&lt;&gt;"",TRIM(UPPER(CONCATENATE(P7," ",R7," ",T7," ",V7," ",X7," ",Z7," ","X"," ",Table43[[#This Row],[ISI/CTN]]," ",AF7," ",AB7," ",AD7," ",AH7))),TRIM(UPPER(CONCATENATE(P7," ",R7," ",T7," ",V7," ",X7," ",Z7," ","X"," ",Table43[[#This Row],[ISI/CTN]]," ",AB7," ",AD7," ",AH7))))</f>
        <v>ABC KECAP MANIS 62 GR X 48 PCH</v>
      </c>
      <c r="O7" s="11">
        <f t="shared" si="1"/>
        <v>30</v>
      </c>
      <c r="P7" s="4" t="s">
        <v>28</v>
      </c>
      <c r="Q7" s="7" t="s">
        <v>85</v>
      </c>
      <c r="R7" s="4" t="s">
        <v>474</v>
      </c>
      <c r="S7" s="43" t="s">
        <v>0</v>
      </c>
      <c r="T7" s="44" t="s">
        <v>475</v>
      </c>
      <c r="U7" s="7">
        <v>1</v>
      </c>
      <c r="V7" s="44"/>
      <c r="W7" s="43" t="s">
        <v>1</v>
      </c>
      <c r="Y7" s="45" t="s">
        <v>476</v>
      </c>
      <c r="Z7" s="4" t="s">
        <v>477</v>
      </c>
      <c r="AA7" s="45" t="s">
        <v>478</v>
      </c>
      <c r="AB7" s="4" t="s">
        <v>479</v>
      </c>
      <c r="AC7" s="7" t="s">
        <v>480</v>
      </c>
      <c r="AE7" s="7" t="s">
        <v>1</v>
      </c>
      <c r="AI7" s="7" t="s">
        <v>215</v>
      </c>
      <c r="AJ7" s="7">
        <v>1</v>
      </c>
      <c r="AL7" s="40">
        <f>Table43[[#This Row],[Harga Jual Pcs GT
(-PPN)]]-(Table43[[#This Row],[Harga Jual Pcs GT
(-PPN)]]*6%)</f>
        <v>1354.9536000000001</v>
      </c>
      <c r="AM7" s="41">
        <f>Table43[[#This Row],[Harga Beli Pcs
(-PPN)]]*Table43[[#This Row],[ISI/CTN]]</f>
        <v>65037.772800000006</v>
      </c>
      <c r="AN7" s="41">
        <f>Table43[[#This Row],[Harga Beli Pcs
(-PPN)]]*1.11</f>
        <v>1503.9984960000002</v>
      </c>
      <c r="AO7" s="41">
        <f>Table43[[#This Row],[Harga Beli Krt
(- PPN)]]*1.11</f>
        <v>72191.927808000008</v>
      </c>
      <c r="AP7" s="41">
        <v>1441.44</v>
      </c>
      <c r="AQ7" s="41">
        <f>Table43[[#This Row],[Harga Jual Pcs GT
(-PPN)]]*Table43[[#This Row],[ISI/CTN]]</f>
        <v>69189.119999999995</v>
      </c>
      <c r="AR7" s="41">
        <f>Table43[[#This Row],[Harga Jual Pcs GT
(-PPN)]]*1.11</f>
        <v>1599.9984000000002</v>
      </c>
      <c r="AS7" s="41">
        <f>Table43[[#This Row],[Harga Jual Krt GT
(- PPN)]]*1.11</f>
        <v>76799.923200000005</v>
      </c>
      <c r="AT7" s="41">
        <v>1556.76</v>
      </c>
      <c r="AU7" s="41">
        <f>(Table43[[#This Row],[Harga Jual Pcs MT
(-PPN)]]*Table43[[#This Row],[ISI/CTN]])</f>
        <v>74724.479999999996</v>
      </c>
      <c r="AV7" s="41">
        <f>Table43[[#This Row],[Harga Jual Pcs MT
(-PPN)]]*1.11</f>
        <v>1728.0036000000002</v>
      </c>
      <c r="AW7" s="41">
        <f>Table43[[#This Row],[Harga Jual Pcs MT
(+PPN)]]*Table43[[#This Row],[ISI/CTN]]</f>
        <v>82944.172800000015</v>
      </c>
      <c r="AX7" s="41"/>
      <c r="AY7" s="46">
        <v>45553</v>
      </c>
      <c r="AZ7" s="54">
        <v>45553</v>
      </c>
      <c r="BA7" s="7" t="str">
        <f ca="1">IF(TODAY()-Table43[[#This Row],[Efektif
Pembuatan]]&gt;60,"Lama","Baru")</f>
        <v>Lama</v>
      </c>
      <c r="BB7" s="7" t="str">
        <f ca="1">IF(TODAY()-Table43[[#This Row],[Efektif Naik Harga]]&lt;30,"Naik","Sama")</f>
        <v>Sama</v>
      </c>
      <c r="BC7" s="7" t="s">
        <v>235</v>
      </c>
      <c r="BD7" s="7" t="str">
        <f>IF(Table43[[#This Row],[Kode BARANG Win2]]&lt;&gt;"","IDR","")</f>
        <v>IDR</v>
      </c>
      <c r="BE7" s="8" t="str">
        <f>CONCATENATE(Table43[[#This Row],[kode  1 Digit
(Nomor)]],Table43[[#This Row],[kode  4 Digit                (Nomor)]])</f>
        <v>10062</v>
      </c>
      <c r="BF7" s="7" t="str">
        <f>Table43[[#This Row],[Nama            Gramasi atau Jumlah Pack per CTN]]</f>
        <v>62 GR</v>
      </c>
      <c r="BG7" s="7" t="s">
        <v>653</v>
      </c>
      <c r="BH7" s="51" t="s">
        <v>654</v>
      </c>
      <c r="BI7" s="4" t="str">
        <f>IF(Table43[[#This Row],[SATUAN Fix Win]]&lt;&gt;"","KRT")</f>
        <v>KRT</v>
      </c>
      <c r="BJ7" s="4" t="str">
        <f>IF(Table43[[#This Row],[SATUAN Fix Win]]&lt;&gt;"","GD01")</f>
        <v>GD01</v>
      </c>
      <c r="BK7" s="4">
        <f>IF(Table43[[#This Row],[SATUAN Fix Win]]&lt;&gt;"",11611)</f>
        <v>11611</v>
      </c>
      <c r="BL7" s="4">
        <f>IF(Table43[[#This Row],[SATUAN Fix Win]]&lt;&gt;"",11612)</f>
        <v>11612</v>
      </c>
      <c r="BM7" s="47" t="s">
        <v>655</v>
      </c>
      <c r="BN7" s="4">
        <f>IF(Table43[[#This Row],[SATUAN Fix Win]]&lt;&gt;"",1)</f>
        <v>1</v>
      </c>
      <c r="BO7" s="4" t="s">
        <v>656</v>
      </c>
      <c r="BP7" s="4">
        <f>IFERROR(VLOOKUP(Table43[[#This Row],[Kode Pcpl]],'[1]HEINZ ABC'!$A$4:$E$112,8,0),0)</f>
        <v>0</v>
      </c>
      <c r="BQ7" s="55">
        <f>Table43[[#This Row],[Harga Jual Pcs GT
(-PPN)]]-Table43[[#This Row],[HARGA NAIK GT]]</f>
        <v>1441.44</v>
      </c>
      <c r="BR7" s="4">
        <f>IF(Table43[[#This Row],[HARGA NAIK GT]]=0,Table43[[#This Row],[Harga Jual Pcs GT
(-PPN)]],Table43[[#This Row],[HARGA NAIK GT]])</f>
        <v>1441.44</v>
      </c>
      <c r="BS7">
        <f>IFERROR(VLOOKUP(Table43[[#This Row],[Kode Pcpl]],'[1]HEINZ ABC'!$A$4:$E$112,8,0),0)</f>
        <v>0</v>
      </c>
      <c r="BT7" s="58">
        <f>Table43[[#This Row],[Harga Jual Pcs GT
(-PPN)]]-BS7</f>
        <v>1441.44</v>
      </c>
      <c r="BU7">
        <f>IF(BS7=0,Table43[[#This Row],[Harga Jual Pcs MT
(-PPN)]])</f>
        <v>1556.76</v>
      </c>
      <c r="BV7">
        <f>IFERROR(VLOOKUP(Table43[[#This Row],[Kode Pcpl]],[2]Pricelist!$A$4:$K$112,11,0),0)</f>
        <v>0</v>
      </c>
      <c r="BW7">
        <f>IFERROR(VLOOKUP(Table43[[#This Row],[Kode BARANG Win2]],[3]!RECKITT211216[[KDBRG]:[HRG_JL_PCS-PPN]],11,0),0)</f>
        <v>0</v>
      </c>
      <c r="BX7">
        <f t="shared" ref="BX7:BX81" si="2">BV7/1.11</f>
        <v>0</v>
      </c>
    </row>
    <row r="8" spans="1:76" x14ac:dyDescent="0.25">
      <c r="A8" s="4" t="str">
        <f>CONCATENATE(Table43[[#This Row],[Kode BARANG Win2]],Table43[[#This Row],[No. Urut
Item Sama]])</f>
        <v>A10110000062103</v>
      </c>
      <c r="B8" s="7">
        <v>3</v>
      </c>
      <c r="C8" s="4">
        <v>3</v>
      </c>
      <c r="D8" s="27">
        <v>100240</v>
      </c>
      <c r="E8" s="27" t="s">
        <v>237</v>
      </c>
      <c r="F8" s="27" t="s">
        <v>240</v>
      </c>
      <c r="G8" s="27">
        <v>48</v>
      </c>
      <c r="H8" s="42" t="s">
        <v>2664</v>
      </c>
      <c r="I8" s="27" t="str">
        <f>Table43[[#This Row],[Nama Jenis Kemasan]]</f>
        <v>PCH</v>
      </c>
      <c r="J8" s="4" t="str">
        <f>TRIM(CONCATENATE(Table43[[#This Row],[Nama            KLP]]," ",Table43[[#This Row],[Nama            Sub KLP]]))</f>
        <v>KECAP MANIS</v>
      </c>
      <c r="K8" s="4" t="str">
        <f>CONCATENATE(Table43[[#This Row],[kode  2 Digit                (hrf+No)]],Table43[[#This Row],[kode  2 Digit                (Nomor)]],Table43[[#This Row],[kode  1 Digit                (Nomor)]])</f>
        <v>A1011</v>
      </c>
      <c r="L8" s="4" t="str">
        <f>IF(AG8="",CONCATENATE(Q8,S8,U8,W8,Y8,AA8,AC8,AE8,Table43[[#This Row],[Tanda Kode Revisi]]),CONCATENATE(Q8,S8,U8,W8,Y8,AA8,AC8,AG8))</f>
        <v>A1011000006210</v>
      </c>
      <c r="M8" s="11">
        <f t="shared" si="0"/>
        <v>14</v>
      </c>
      <c r="N8" s="14" t="str">
        <f>IF(AF8&lt;&gt;"",TRIM(UPPER(CONCATENATE(P8," ",R8," ",T8," ",V8," ",X8," ",Z8," ","X"," ",Table43[[#This Row],[ISI/CTN]]," ",AF8," ",AB8," ",AD8," ",AH8))),TRIM(UPPER(CONCATENATE(P8," ",R8," ",T8," ",V8," ",X8," ",Z8," ","X"," ",Table43[[#This Row],[ISI/CTN]]," ",AB8," ",AD8," ",AH8))))</f>
        <v>ABC KECAP MANIS 62 GR X 48 PCH</v>
      </c>
      <c r="O8" s="11">
        <f t="shared" si="1"/>
        <v>30</v>
      </c>
      <c r="P8" s="4" t="s">
        <v>28</v>
      </c>
      <c r="Q8" s="7" t="s">
        <v>85</v>
      </c>
      <c r="R8" s="4" t="s">
        <v>474</v>
      </c>
      <c r="S8" s="43" t="s">
        <v>0</v>
      </c>
      <c r="T8" s="44" t="s">
        <v>475</v>
      </c>
      <c r="U8" s="7">
        <v>1</v>
      </c>
      <c r="V8" s="44"/>
      <c r="W8" s="43" t="s">
        <v>1</v>
      </c>
      <c r="Y8" s="45" t="s">
        <v>476</v>
      </c>
      <c r="Z8" s="4" t="s">
        <v>477</v>
      </c>
      <c r="AA8" s="45" t="s">
        <v>478</v>
      </c>
      <c r="AB8" s="4" t="s">
        <v>479</v>
      </c>
      <c r="AC8" s="7" t="s">
        <v>480</v>
      </c>
      <c r="AE8" s="7" t="s">
        <v>1</v>
      </c>
      <c r="AI8" s="7" t="s">
        <v>215</v>
      </c>
      <c r="AJ8" s="7">
        <v>1</v>
      </c>
      <c r="AL8" s="40">
        <f>Table43[[#This Row],[Harga Jual Pcs GT
(-PPN)]]-(Table43[[#This Row],[Harga Jual Pcs GT
(-PPN)]]*6%)</f>
        <v>1354.9536000000001</v>
      </c>
      <c r="AM8" s="41">
        <f>Table43[[#This Row],[Harga Beli Pcs
(-PPN)]]*Table43[[#This Row],[ISI/CTN]]</f>
        <v>65037.772800000006</v>
      </c>
      <c r="AN8" s="41">
        <f>Table43[[#This Row],[Harga Beli Pcs
(-PPN)]]*1.11</f>
        <v>1503.9984960000002</v>
      </c>
      <c r="AO8" s="41">
        <f>Table43[[#This Row],[Harga Beli Krt
(- PPN)]]*1.11</f>
        <v>72191.927808000008</v>
      </c>
      <c r="AP8" s="41">
        <v>1441.44</v>
      </c>
      <c r="AQ8" s="41">
        <f>Table43[[#This Row],[Harga Jual Pcs GT
(-PPN)]]*Table43[[#This Row],[ISI/CTN]]</f>
        <v>69189.119999999995</v>
      </c>
      <c r="AR8" s="41">
        <f>Table43[[#This Row],[Harga Jual Pcs GT
(-PPN)]]*1.11</f>
        <v>1599.9984000000002</v>
      </c>
      <c r="AS8" s="41">
        <f>Table43[[#This Row],[Harga Jual Krt GT
(- PPN)]]*1.11</f>
        <v>76799.923200000005</v>
      </c>
      <c r="AT8" s="41">
        <v>1556.76</v>
      </c>
      <c r="AU8" s="41">
        <f>(Table43[[#This Row],[Harga Jual Pcs MT
(-PPN)]]*Table43[[#This Row],[ISI/CTN]])</f>
        <v>74724.479999999996</v>
      </c>
      <c r="AV8" s="41">
        <f>Table43[[#This Row],[Harga Jual Pcs MT
(-PPN)]]*1.11</f>
        <v>1728.0036000000002</v>
      </c>
      <c r="AW8" s="41">
        <f>Table43[[#This Row],[Harga Jual Pcs MT
(+PPN)]]*Table43[[#This Row],[ISI/CTN]]</f>
        <v>82944.172800000015</v>
      </c>
      <c r="AX8" s="41"/>
      <c r="AY8" s="46">
        <v>45602</v>
      </c>
      <c r="AZ8" s="54">
        <v>45553</v>
      </c>
      <c r="BA8" s="7" t="str">
        <f ca="1">IF(TODAY()-Table43[[#This Row],[Efektif
Pembuatan]]&gt;60,"Lama","Baru")</f>
        <v>Lama</v>
      </c>
      <c r="BB8" s="7" t="str">
        <f ca="1">IF(TODAY()-Table43[[#This Row],[Efektif Naik Harga]]&lt;30,"Naik","Sama")</f>
        <v>Sama</v>
      </c>
      <c r="BC8" s="7" t="s">
        <v>235</v>
      </c>
      <c r="BD8" s="7" t="str">
        <f>IF(Table43[[#This Row],[Kode BARANG Win2]]&lt;&gt;"","IDR","")</f>
        <v>IDR</v>
      </c>
      <c r="BE8" s="7" t="str">
        <f>CONCATENATE(Table43[[#This Row],[kode  1 Digit
(Nomor)]],Table43[[#This Row],[kode  4 Digit                (Nomor)]])</f>
        <v>10062</v>
      </c>
      <c r="BF8" s="7" t="str">
        <f>Table43[[#This Row],[Nama            Gramasi atau Jumlah Pack per CTN]]</f>
        <v>62 GR</v>
      </c>
      <c r="BG8" s="7" t="s">
        <v>653</v>
      </c>
      <c r="BH8" s="51" t="s">
        <v>654</v>
      </c>
      <c r="BI8" s="4" t="str">
        <f>IF(Table43[[#This Row],[SATUAN Fix Win]]&lt;&gt;"","KRT")</f>
        <v>KRT</v>
      </c>
      <c r="BJ8" s="4" t="str">
        <f>IF(Table43[[#This Row],[SATUAN Fix Win]]&lt;&gt;"","GD01")</f>
        <v>GD01</v>
      </c>
      <c r="BK8" s="4">
        <f>IF(Table43[[#This Row],[SATUAN Fix Win]]&lt;&gt;"",11611)</f>
        <v>11611</v>
      </c>
      <c r="BL8" s="4">
        <f>IF(Table43[[#This Row],[SATUAN Fix Win]]&lt;&gt;"",11612)</f>
        <v>11612</v>
      </c>
      <c r="BM8" s="47" t="s">
        <v>655</v>
      </c>
      <c r="BN8" s="4">
        <f>IF(Table43[[#This Row],[SATUAN Fix Win]]&lt;&gt;"",1)</f>
        <v>1</v>
      </c>
      <c r="BO8" s="4" t="s">
        <v>656</v>
      </c>
      <c r="BP8" s="4">
        <f>IFERROR(VLOOKUP(Table43[[#This Row],[Kode Pcpl]],'[1]HEINZ ABC'!$A$4:$E$112,8,0),0)</f>
        <v>0</v>
      </c>
      <c r="BQ8" s="55">
        <f>Table43[[#This Row],[Harga Jual Pcs GT
(-PPN)]]-Table43[[#This Row],[HARGA NAIK GT]]</f>
        <v>1441.44</v>
      </c>
      <c r="BR8" s="4">
        <f>IF(Table43[[#This Row],[HARGA NAIK GT]]=0,Table43[[#This Row],[Harga Jual Pcs GT
(-PPN)]],Table43[[#This Row],[HARGA NAIK GT]])</f>
        <v>1441.44</v>
      </c>
      <c r="BS8">
        <f>IFERROR(VLOOKUP(Table43[[#This Row],[Kode Pcpl]],'[1]HEINZ ABC'!$A$4:$E$112,8,0),0)</f>
        <v>0</v>
      </c>
      <c r="BT8" s="58">
        <f>Table43[[#This Row],[Harga Jual Pcs GT
(-PPN)]]-BS8</f>
        <v>1441.44</v>
      </c>
      <c r="BU8">
        <f>IF(BS8=0,Table43[[#This Row],[Harga Jual Pcs MT
(-PPN)]])</f>
        <v>1556.76</v>
      </c>
      <c r="BV8">
        <f>IFERROR(VLOOKUP(Table43[[#This Row],[Kode Pcpl]],[2]Pricelist!$A$4:$K$112,11,0),0)</f>
        <v>0</v>
      </c>
      <c r="BW8">
        <f>IFERROR(VLOOKUP(Table43[[#This Row],[Kode BARANG Win2]],[3]!RECKITT211216[[KDBRG]:[HRG_JL_PCS-PPN]],11,0),0)</f>
        <v>0</v>
      </c>
      <c r="BX8">
        <f t="shared" si="2"/>
        <v>0</v>
      </c>
    </row>
    <row r="9" spans="1:76" x14ac:dyDescent="0.25">
      <c r="A9" s="4" t="str">
        <f>CONCATENATE(Table43[[#This Row],[Kode BARANG Win2]],Table43[[#This Row],[No. Urut
Item Sama]])</f>
        <v>A10110000062111</v>
      </c>
      <c r="B9" s="7">
        <v>1</v>
      </c>
      <c r="C9" s="4">
        <v>4</v>
      </c>
      <c r="D9" s="27">
        <v>100986</v>
      </c>
      <c r="E9" s="27" t="s">
        <v>237</v>
      </c>
      <c r="F9" s="27" t="s">
        <v>241</v>
      </c>
      <c r="G9" s="27">
        <v>48</v>
      </c>
      <c r="H9" s="42" t="s">
        <v>2747</v>
      </c>
      <c r="I9" s="27" t="str">
        <f>Table43[[#This Row],[Nama Jenis Kemasan]]</f>
        <v>PCH</v>
      </c>
      <c r="J9" s="4" t="str">
        <f>TRIM(CONCATENATE(Table43[[#This Row],[Nama            KLP]]," ",Table43[[#This Row],[Nama            Sub KLP]]))</f>
        <v>KECAP MANIS</v>
      </c>
      <c r="K9" s="4" t="str">
        <f>CONCATENATE(Table43[[#This Row],[kode  2 Digit                (hrf+No)]],Table43[[#This Row],[kode  2 Digit                (Nomor)]],Table43[[#This Row],[kode  1 Digit                (Nomor)]])</f>
        <v>A1011</v>
      </c>
      <c r="L9" s="4" t="str">
        <f>IF(AG9="",CONCATENATE(Q9,S9,U9,W9,Y9,AA9,AC9,AE9,Table43[[#This Row],[Tanda Kode Revisi]]),CONCATENATE(Q9,S9,U9,W9,Y9,AA9,AC9,AG9))</f>
        <v>A1011000006211</v>
      </c>
      <c r="M9" s="11">
        <f t="shared" si="0"/>
        <v>14</v>
      </c>
      <c r="N9" s="14" t="str">
        <f>IF(AF9&lt;&gt;"",TRIM(UPPER(CONCATENATE(P9," ",R9," ",T9," ",V9," ",X9," ",Z9," ","X"," ",Table43[[#This Row],[ISI/CTN]]," ",AF9," ",AB9," ",AD9," ",AH9))),TRIM(UPPER(CONCATENATE(P9," ",R9," ",T9," ",V9," ",X9," ",Z9," ","X"," ",Table43[[#This Row],[ISI/CTN]]," ",AB9," ",AD9," ",AH9))))</f>
        <v>ABC KECAP MANIS 62 GR X 48 PCH B5G1</v>
      </c>
      <c r="O9" s="11">
        <f t="shared" si="1"/>
        <v>35</v>
      </c>
      <c r="P9" s="4" t="s">
        <v>28</v>
      </c>
      <c r="Q9" s="7" t="s">
        <v>85</v>
      </c>
      <c r="R9" s="4" t="s">
        <v>474</v>
      </c>
      <c r="S9" s="43" t="s">
        <v>0</v>
      </c>
      <c r="T9" s="44" t="s">
        <v>475</v>
      </c>
      <c r="U9" s="7">
        <v>1</v>
      </c>
      <c r="V9" s="44"/>
      <c r="W9" s="43" t="s">
        <v>1</v>
      </c>
      <c r="Y9" s="45" t="s">
        <v>476</v>
      </c>
      <c r="Z9" s="4" t="s">
        <v>477</v>
      </c>
      <c r="AA9" s="45" t="s">
        <v>478</v>
      </c>
      <c r="AB9" s="4" t="s">
        <v>479</v>
      </c>
      <c r="AC9" s="7" t="s">
        <v>480</v>
      </c>
      <c r="AD9" s="4" t="s">
        <v>481</v>
      </c>
      <c r="AE9" s="7">
        <v>1</v>
      </c>
      <c r="AI9" s="7" t="s">
        <v>215</v>
      </c>
      <c r="AJ9" s="7">
        <v>1</v>
      </c>
      <c r="AL9" s="40">
        <f>Table43[[#This Row],[Harga Jual Pcs GT
(-PPN)]]-(Table43[[#This Row],[Harga Jual Pcs GT
(-PPN)]]*6%)</f>
        <v>1129.1280000000002</v>
      </c>
      <c r="AM9" s="41">
        <f>Table43[[#This Row],[Harga Beli Pcs
(-PPN)]]*Table43[[#This Row],[ISI/CTN]]</f>
        <v>54198.144000000008</v>
      </c>
      <c r="AN9" s="41">
        <f>Table43[[#This Row],[Harga Beli Pcs
(-PPN)]]*1.11</f>
        <v>1253.3320800000004</v>
      </c>
      <c r="AO9" s="41">
        <f>Table43[[#This Row],[Harga Beli Krt
(- PPN)]]*1.11</f>
        <v>60159.939840000014</v>
      </c>
      <c r="AP9" s="41">
        <v>1201.2</v>
      </c>
      <c r="AQ9" s="41">
        <f>Table43[[#This Row],[Harga Jual Pcs GT
(-PPN)]]*Table43[[#This Row],[ISI/CTN]]</f>
        <v>57657.600000000006</v>
      </c>
      <c r="AR9" s="41">
        <f>Table43[[#This Row],[Harga Jual Pcs GT
(-PPN)]]*1.11</f>
        <v>1333.3320000000001</v>
      </c>
      <c r="AS9" s="41">
        <f>Table43[[#This Row],[Harga Jual Krt GT
(- PPN)]]*1.11</f>
        <v>63999.936000000009</v>
      </c>
      <c r="AT9" s="41">
        <v>1297.3</v>
      </c>
      <c r="AU9" s="41">
        <f>(Table43[[#This Row],[Harga Jual Pcs MT
(-PPN)]]*Table43[[#This Row],[ISI/CTN]])</f>
        <v>62270.399999999994</v>
      </c>
      <c r="AV9" s="41">
        <f>Table43[[#This Row],[Harga Jual Pcs MT
(-PPN)]]*1.11</f>
        <v>1440.0030000000002</v>
      </c>
      <c r="AW9" s="41">
        <f>Table43[[#This Row],[Harga Jual Pcs MT
(+PPN)]]*Table43[[#This Row],[ISI/CTN]]</f>
        <v>69120.144</v>
      </c>
      <c r="AX9" s="41"/>
      <c r="AY9" s="46">
        <v>45553</v>
      </c>
      <c r="AZ9" s="54">
        <v>45553</v>
      </c>
      <c r="BA9" s="7" t="str">
        <f ca="1">IF(TODAY()-Table43[[#This Row],[Efektif
Pembuatan]]&gt;60,"Lama","Baru")</f>
        <v>Lama</v>
      </c>
      <c r="BB9" s="7" t="str">
        <f ca="1">IF(TODAY()-Table43[[#This Row],[Efektif Naik Harga]]&lt;30,"Naik","Sama")</f>
        <v>Sama</v>
      </c>
      <c r="BC9" s="7" t="s">
        <v>235</v>
      </c>
      <c r="BD9" s="7" t="str">
        <f>IF(Table43[[#This Row],[Kode BARANG Win2]]&lt;&gt;"","IDR","")</f>
        <v>IDR</v>
      </c>
      <c r="BE9" s="7" t="str">
        <f>CONCATENATE(Table43[[#This Row],[kode  1 Digit
(Nomor)]],Table43[[#This Row],[kode  4 Digit                (Nomor)]])</f>
        <v>10062</v>
      </c>
      <c r="BF9" s="7" t="str">
        <f>Table43[[#This Row],[Nama            Gramasi atau Jumlah Pack per CTN]]</f>
        <v>62 GR</v>
      </c>
      <c r="BG9" s="7" t="s">
        <v>653</v>
      </c>
      <c r="BH9" s="51" t="s">
        <v>654</v>
      </c>
      <c r="BI9" s="4" t="str">
        <f>IF(Table43[[#This Row],[SATUAN Fix Win]]&lt;&gt;"","KRT")</f>
        <v>KRT</v>
      </c>
      <c r="BJ9" s="4" t="str">
        <f>IF(Table43[[#This Row],[SATUAN Fix Win]]&lt;&gt;"","GD01")</f>
        <v>GD01</v>
      </c>
      <c r="BK9" s="4">
        <f>IF(Table43[[#This Row],[SATUAN Fix Win]]&lt;&gt;"",11611)</f>
        <v>11611</v>
      </c>
      <c r="BL9" s="4">
        <f>IF(Table43[[#This Row],[SATUAN Fix Win]]&lt;&gt;"",11612)</f>
        <v>11612</v>
      </c>
      <c r="BM9" s="47" t="s">
        <v>655</v>
      </c>
      <c r="BN9" s="4">
        <f>IF(Table43[[#This Row],[SATUAN Fix Win]]&lt;&gt;"",1)</f>
        <v>1</v>
      </c>
      <c r="BO9" s="4" t="s">
        <v>656</v>
      </c>
      <c r="BP9" s="4">
        <f>IFERROR(VLOOKUP(Table43[[#This Row],[Kode Pcpl]],'[1]HEINZ ABC'!$A$4:$E$112,8,0),0)</f>
        <v>0</v>
      </c>
      <c r="BQ9" s="55">
        <f>Table43[[#This Row],[Harga Jual Pcs GT
(-PPN)]]-Table43[[#This Row],[HARGA NAIK GT]]</f>
        <v>1201.2</v>
      </c>
      <c r="BR9" s="4">
        <f>IF(Table43[[#This Row],[HARGA NAIK GT]]=0,Table43[[#This Row],[Harga Jual Pcs GT
(-PPN)]],Table43[[#This Row],[HARGA NAIK GT]])</f>
        <v>1201.2</v>
      </c>
      <c r="BS9">
        <f>IFERROR(VLOOKUP(Table43[[#This Row],[Kode Pcpl]],'[1]HEINZ ABC'!$A$4:$E$112,8,0),0)</f>
        <v>0</v>
      </c>
      <c r="BT9" s="58">
        <f>Table43[[#This Row],[Harga Jual Pcs GT
(-PPN)]]-BS9</f>
        <v>1201.2</v>
      </c>
      <c r="BU9">
        <f>IF(BS9=0,Table43[[#This Row],[Harga Jual Pcs MT
(-PPN)]])</f>
        <v>1297.3</v>
      </c>
      <c r="BV9">
        <f>IFERROR(VLOOKUP(Table43[[#This Row],[Kode Pcpl]],[2]Pricelist!$A$4:$K$112,11,0),0)</f>
        <v>0</v>
      </c>
      <c r="BW9">
        <f>IFERROR(VLOOKUP(Table43[[#This Row],[Kode BARANG Win2]],[3]!RECKITT211216[[KDBRG]:[HRG_JL_PCS-PPN]],11,0),0)</f>
        <v>0</v>
      </c>
      <c r="BX9">
        <f t="shared" si="2"/>
        <v>0</v>
      </c>
    </row>
    <row r="10" spans="1:76" x14ac:dyDescent="0.25">
      <c r="A10" s="4" t="str">
        <f>CONCATENATE(Table43[[#This Row],[Kode BARANG Win2]],Table43[[#This Row],[No. Urut
Item Sama]])</f>
        <v>A10110000080101</v>
      </c>
      <c r="B10" s="7">
        <v>1</v>
      </c>
      <c r="C10" s="4">
        <v>5</v>
      </c>
      <c r="D10" s="27">
        <v>100179</v>
      </c>
      <c r="E10" s="27" t="s">
        <v>237</v>
      </c>
      <c r="F10" s="27" t="s">
        <v>242</v>
      </c>
      <c r="G10" s="27">
        <v>48</v>
      </c>
      <c r="H10" s="42">
        <v>0</v>
      </c>
      <c r="I10" s="27" t="str">
        <f>Table43[[#This Row],[Nama Jenis Kemasan]]</f>
        <v>PCH</v>
      </c>
      <c r="J10" s="4" t="str">
        <f>TRIM(CONCATENATE(Table43[[#This Row],[Nama            KLP]]," ",Table43[[#This Row],[Nama            Sub KLP]]))</f>
        <v>KECAP MANIS</v>
      </c>
      <c r="K10" s="4" t="str">
        <f>CONCATENATE(Table43[[#This Row],[kode  2 Digit                (hrf+No)]],Table43[[#This Row],[kode  2 Digit                (Nomor)]],Table43[[#This Row],[kode  1 Digit                (Nomor)]])</f>
        <v>A1011</v>
      </c>
      <c r="L10" s="4" t="str">
        <f>IF(AG10="",CONCATENATE(Q10,S10,U10,W10,Y10,AA10,AC10,AE10,Table43[[#This Row],[Tanda Kode Revisi]]),CONCATENATE(Q10,S10,U10,W10,Y10,AA10,AC10,AG10))</f>
        <v>A1011000008010</v>
      </c>
      <c r="M10" s="11">
        <f t="shared" si="0"/>
        <v>14</v>
      </c>
      <c r="N10" s="14" t="str">
        <f>IF(AF10&lt;&gt;"",TRIM(UPPER(CONCATENATE(P10," ",R10," ",T10," ",V10," ",X10," ",Z10," ","X"," ",Table43[[#This Row],[ISI/CTN]]," ",AF10," ",AB10," ",AD10," ",AH10))),TRIM(UPPER(CONCATENATE(P10," ",R10," ",T10," ",V10," ",X10," ",Z10," ","X"," ",Table43[[#This Row],[ISI/CTN]]," ",AB10," ",AD10," ",AH10))))</f>
        <v>ABC KECAP MANIS 80 ML X 48 PCH</v>
      </c>
      <c r="O10" s="11">
        <f t="shared" si="1"/>
        <v>30</v>
      </c>
      <c r="P10" s="4" t="s">
        <v>28</v>
      </c>
      <c r="Q10" s="7" t="s">
        <v>85</v>
      </c>
      <c r="R10" s="4" t="s">
        <v>474</v>
      </c>
      <c r="S10" s="43" t="s">
        <v>0</v>
      </c>
      <c r="T10" s="44" t="s">
        <v>475</v>
      </c>
      <c r="U10" s="7">
        <v>1</v>
      </c>
      <c r="V10" s="44"/>
      <c r="W10" s="43" t="s">
        <v>1</v>
      </c>
      <c r="Y10" s="45" t="s">
        <v>476</v>
      </c>
      <c r="Z10" s="4" t="s">
        <v>482</v>
      </c>
      <c r="AA10" s="45" t="s">
        <v>483</v>
      </c>
      <c r="AB10" s="4" t="s">
        <v>479</v>
      </c>
      <c r="AC10" s="7" t="s">
        <v>480</v>
      </c>
      <c r="AE10" s="7" t="s">
        <v>1</v>
      </c>
      <c r="AI10" s="7" t="s">
        <v>214</v>
      </c>
      <c r="AJ10" s="7">
        <v>2</v>
      </c>
      <c r="AL10" s="40">
        <f>Table43[[#This Row],[Harga Jual Pcs GT
(-PPN)]]-(Table43[[#This Row],[Harga Jual Pcs GT
(-PPN)]]*6%)</f>
        <v>1990.0927999999999</v>
      </c>
      <c r="AM10" s="41">
        <f>Table43[[#This Row],[Harga Beli Pcs
(-PPN)]]*Table43[[#This Row],[ISI/CTN]]</f>
        <v>95524.454399999988</v>
      </c>
      <c r="AN10" s="41">
        <f>Table43[[#This Row],[Harga Beli Pcs
(-PPN)]]*1.11</f>
        <v>2209.0030080000001</v>
      </c>
      <c r="AO10" s="41">
        <f>Table43[[#This Row],[Harga Beli Krt
(- PPN)]]*1.11</f>
        <v>106032.144384</v>
      </c>
      <c r="AP10" s="41">
        <v>2117.12</v>
      </c>
      <c r="AQ10" s="41">
        <f>Table43[[#This Row],[Harga Jual Pcs GT
(-PPN)]]*Table43[[#This Row],[ISI/CTN]]</f>
        <v>101621.75999999999</v>
      </c>
      <c r="AR10" s="41">
        <f>Table43[[#This Row],[Harga Jual Pcs GT
(-PPN)]]*1.11</f>
        <v>2350.0032000000001</v>
      </c>
      <c r="AS10" s="41">
        <f>Table43[[#This Row],[Harga Jual Krt GT
(- PPN)]]*1.11</f>
        <v>112800.15360000001</v>
      </c>
      <c r="AT10" s="41">
        <v>2286.4864864864871</v>
      </c>
      <c r="AU10" s="41">
        <f>(Table43[[#This Row],[Harga Jual Pcs MT
(-PPN)]]*Table43[[#This Row],[ISI/CTN]])</f>
        <v>109751.35135135139</v>
      </c>
      <c r="AV10" s="41">
        <f>Table43[[#This Row],[Harga Jual Pcs MT
(-PPN)]]*1.11</f>
        <v>2538.0000000000009</v>
      </c>
      <c r="AW10" s="41">
        <f>Table43[[#This Row],[Harga Jual Pcs MT
(+PPN)]]*Table43[[#This Row],[ISI/CTN]]</f>
        <v>121824.00000000004</v>
      </c>
      <c r="AX10" s="41"/>
      <c r="AY10" s="46">
        <v>45553</v>
      </c>
      <c r="AZ10" s="54">
        <v>45553</v>
      </c>
      <c r="BA10" s="7" t="str">
        <f ca="1">IF(TODAY()-Table43[[#This Row],[Efektif
Pembuatan]]&gt;60,"Lama","Baru")</f>
        <v>Lama</v>
      </c>
      <c r="BB10" s="7" t="str">
        <f ca="1">IF(TODAY()-Table43[[#This Row],[Efektif Naik Harga]]&lt;30,"Naik","Sama")</f>
        <v>Sama</v>
      </c>
      <c r="BC10" s="7" t="s">
        <v>235</v>
      </c>
      <c r="BD10" s="7" t="str">
        <f>IF(Table43[[#This Row],[Kode BARANG Win2]]&lt;&gt;"","IDR","")</f>
        <v>IDR</v>
      </c>
      <c r="BE10" s="7" t="str">
        <f>CONCATENATE(Table43[[#This Row],[kode  1 Digit
(Nomor)]],Table43[[#This Row],[kode  4 Digit                (Nomor)]])</f>
        <v>20080</v>
      </c>
      <c r="BF10" s="7" t="str">
        <f>Table43[[#This Row],[Nama            Gramasi atau Jumlah Pack per CTN]]</f>
        <v>80 ML</v>
      </c>
      <c r="BG10" s="7" t="s">
        <v>653</v>
      </c>
      <c r="BH10" s="51" t="s">
        <v>654</v>
      </c>
      <c r="BI10" s="4" t="str">
        <f>IF(Table43[[#This Row],[SATUAN Fix Win]]&lt;&gt;"","KRT")</f>
        <v>KRT</v>
      </c>
      <c r="BJ10" s="4" t="str">
        <f>IF(Table43[[#This Row],[SATUAN Fix Win]]&lt;&gt;"","GD01")</f>
        <v>GD01</v>
      </c>
      <c r="BK10" s="4">
        <f>IF(Table43[[#This Row],[SATUAN Fix Win]]&lt;&gt;"",11611)</f>
        <v>11611</v>
      </c>
      <c r="BL10" s="4">
        <f>IF(Table43[[#This Row],[SATUAN Fix Win]]&lt;&gt;"",11612)</f>
        <v>11612</v>
      </c>
      <c r="BM10" s="47" t="s">
        <v>655</v>
      </c>
      <c r="BN10" s="4">
        <f>IF(Table43[[#This Row],[SATUAN Fix Win]]&lt;&gt;"",1)</f>
        <v>1</v>
      </c>
      <c r="BO10" s="4" t="s">
        <v>656</v>
      </c>
      <c r="BP10" s="4">
        <f>IFERROR(VLOOKUP(Table43[[#This Row],[Kode Pcpl]],'[1]HEINZ ABC'!$A$4:$E$112,8,0),0)</f>
        <v>0</v>
      </c>
      <c r="BQ10" s="55">
        <f>Table43[[#This Row],[Harga Jual Pcs GT
(-PPN)]]-Table43[[#This Row],[HARGA NAIK GT]]</f>
        <v>2117.12</v>
      </c>
      <c r="BR10" s="4">
        <f>IF(Table43[[#This Row],[HARGA NAIK GT]]=0,Table43[[#This Row],[Harga Jual Pcs GT
(-PPN)]],Table43[[#This Row],[HARGA NAIK GT]])</f>
        <v>2117.12</v>
      </c>
      <c r="BS10">
        <f>IFERROR(VLOOKUP(Table43[[#This Row],[Kode Pcpl]],'[1]HEINZ ABC'!$A$4:$E$112,8,0),0)</f>
        <v>0</v>
      </c>
      <c r="BT10" s="58">
        <f>Table43[[#This Row],[Harga Jual Pcs GT
(-PPN)]]-BS10</f>
        <v>2117.12</v>
      </c>
      <c r="BU10">
        <f>IF(BS10=0,Table43[[#This Row],[Harga Jual Pcs MT
(-PPN)]])</f>
        <v>2286.4864864864871</v>
      </c>
      <c r="BV10">
        <f>IFERROR(VLOOKUP(Table43[[#This Row],[Kode Pcpl]],[2]Pricelist!$A$4:$K$112,11,0),0)</f>
        <v>0</v>
      </c>
      <c r="BW10">
        <f>IFERROR(VLOOKUP(Table43[[#This Row],[Kode BARANG Win2]],[3]!RECKITT211216[[KDBRG]:[HRG_JL_PCS-PPN]],11,0),0)</f>
        <v>0</v>
      </c>
      <c r="BX10">
        <f t="shared" si="2"/>
        <v>0</v>
      </c>
    </row>
    <row r="11" spans="1:76" x14ac:dyDescent="0.25">
      <c r="A11" s="4" t="str">
        <f>CONCATENATE(Table43[[#This Row],[Kode BARANG Win2]],Table43[[#This Row],[No. Urut
Item Sama]])</f>
        <v>A10110000130101</v>
      </c>
      <c r="B11" s="7">
        <v>1</v>
      </c>
      <c r="C11" s="4">
        <v>6</v>
      </c>
      <c r="D11" s="27">
        <v>100234</v>
      </c>
      <c r="E11" s="27" t="s">
        <v>237</v>
      </c>
      <c r="F11" s="27" t="s">
        <v>243</v>
      </c>
      <c r="G11" s="27">
        <v>48</v>
      </c>
      <c r="H11" s="42" t="s">
        <v>2659</v>
      </c>
      <c r="I11" s="27" t="str">
        <f>Table43[[#This Row],[Nama Jenis Kemasan]]</f>
        <v>BTL</v>
      </c>
      <c r="J11" s="4" t="str">
        <f>TRIM(CONCATENATE(Table43[[#This Row],[Nama            KLP]]," ",Table43[[#This Row],[Nama            Sub KLP]]))</f>
        <v>KECAP MANIS</v>
      </c>
      <c r="K11" s="4" t="str">
        <f>CONCATENATE(Table43[[#This Row],[kode  2 Digit                (hrf+No)]],Table43[[#This Row],[kode  2 Digit                (Nomor)]],Table43[[#This Row],[kode  1 Digit                (Nomor)]])</f>
        <v>A1011</v>
      </c>
      <c r="L11" s="4" t="str">
        <f>IF(AG11="",CONCATENATE(Q11,S11,U11,W11,Y11,AA11,AC11,AE11,Table43[[#This Row],[Tanda Kode Revisi]]),CONCATENATE(Q11,S11,U11,W11,Y11,AA11,AC11,AG11))</f>
        <v>A1011000013010</v>
      </c>
      <c r="M11" s="11">
        <f t="shared" si="0"/>
        <v>14</v>
      </c>
      <c r="N11" s="14" t="str">
        <f>IF(AF11&lt;&gt;"",TRIM(UPPER(CONCATENATE(P11," ",R11," ",T11," ",V11," ",X11," ",Z11," ","X"," ",Table43[[#This Row],[ISI/CTN]]," ",AF11," ",AB11," ",AD11," ",AH11))),TRIM(UPPER(CONCATENATE(P11," ",R11," ",T11," ",V11," ",X11," ",Z11," ","X"," ",Table43[[#This Row],[ISI/CTN]]," ",AB11," ",AD11," ",AH11))))</f>
        <v>ABC KECAP MANIS 135 ML X 48 BTL</v>
      </c>
      <c r="O11" s="11">
        <f t="shared" si="1"/>
        <v>31</v>
      </c>
      <c r="P11" s="4" t="s">
        <v>28</v>
      </c>
      <c r="Q11" s="7" t="s">
        <v>85</v>
      </c>
      <c r="R11" s="4" t="s">
        <v>474</v>
      </c>
      <c r="S11" s="43" t="s">
        <v>0</v>
      </c>
      <c r="T11" s="44" t="s">
        <v>475</v>
      </c>
      <c r="U11" s="7">
        <v>1</v>
      </c>
      <c r="V11" s="44"/>
      <c r="W11" s="43" t="s">
        <v>1</v>
      </c>
      <c r="Y11" s="45" t="s">
        <v>476</v>
      </c>
      <c r="Z11" s="4" t="s">
        <v>484</v>
      </c>
      <c r="AA11" s="45" t="s">
        <v>485</v>
      </c>
      <c r="AB11" s="4" t="s">
        <v>486</v>
      </c>
      <c r="AC11" s="7" t="s">
        <v>480</v>
      </c>
      <c r="AE11" s="7">
        <v>0</v>
      </c>
      <c r="AI11" s="7" t="s">
        <v>214</v>
      </c>
      <c r="AJ11" s="7">
        <v>2</v>
      </c>
      <c r="AL11" s="40">
        <f>Table43[[#This Row],[Harga Jual Pcs GT
(-PPN)]]-(Table43[[#This Row],[Harga Jual Pcs GT
(-PPN)]]*6%)</f>
        <v>6382.6</v>
      </c>
      <c r="AM11" s="41">
        <f>Table43[[#This Row],[Harga Beli Pcs
(-PPN)]]*Table43[[#This Row],[ISI/CTN]]</f>
        <v>306364.80000000005</v>
      </c>
      <c r="AN11" s="41">
        <f>Table43[[#This Row],[Harga Beli Pcs
(-PPN)]]*1.11</f>
        <v>7084.6860000000006</v>
      </c>
      <c r="AO11" s="41">
        <f>Table43[[#This Row],[Harga Beli Krt
(- PPN)]]*1.11</f>
        <v>340064.92800000007</v>
      </c>
      <c r="AP11" s="41">
        <v>6790</v>
      </c>
      <c r="AQ11" s="41">
        <f>Table43[[#This Row],[Harga Jual Pcs GT
(-PPN)]]*Table43[[#This Row],[ISI/CTN]]</f>
        <v>325920</v>
      </c>
      <c r="AR11" s="41">
        <f>Table43[[#This Row],[Harga Jual Pcs GT
(-PPN)]]*1.11</f>
        <v>7536.9000000000005</v>
      </c>
      <c r="AS11" s="41">
        <f>Table43[[#This Row],[Harga Jual Krt GT
(- PPN)]]*1.11</f>
        <v>361771.2</v>
      </c>
      <c r="AT11" s="41">
        <v>0</v>
      </c>
      <c r="AU11" s="41">
        <f>(Table43[[#This Row],[Harga Jual Pcs MT
(-PPN)]]*Table43[[#This Row],[ISI/CTN]])</f>
        <v>0</v>
      </c>
      <c r="AV11" s="41">
        <f>Table43[[#This Row],[Harga Jual Pcs MT
(-PPN)]]*1.11</f>
        <v>0</v>
      </c>
      <c r="AW11" s="41">
        <f>Table43[[#This Row],[Harga Jual Pcs MT
(+PPN)]]*Table43[[#This Row],[ISI/CTN]]</f>
        <v>0</v>
      </c>
      <c r="AX11" s="41"/>
      <c r="AY11" s="46">
        <v>45553</v>
      </c>
      <c r="AZ11" s="54">
        <v>45553</v>
      </c>
      <c r="BA11" s="7" t="str">
        <f ca="1">IF(TODAY()-Table43[[#This Row],[Efektif
Pembuatan]]&gt;60,"Lama","Baru")</f>
        <v>Lama</v>
      </c>
      <c r="BB11" s="7" t="str">
        <f ca="1">IF(TODAY()-Table43[[#This Row],[Efektif Naik Harga]]&lt;30,"Naik","Sama")</f>
        <v>Sama</v>
      </c>
      <c r="BC11" s="7" t="s">
        <v>235</v>
      </c>
      <c r="BD11" s="7" t="str">
        <f>IF(Table43[[#This Row],[Kode BARANG Win2]]&lt;&gt;"","IDR","")</f>
        <v>IDR</v>
      </c>
      <c r="BE11" s="7" t="str">
        <f>CONCATENATE(Table43[[#This Row],[kode  1 Digit
(Nomor)]],Table43[[#This Row],[kode  4 Digit                (Nomor)]])</f>
        <v>20130</v>
      </c>
      <c r="BF11" s="7" t="str">
        <f>Table43[[#This Row],[Nama            Gramasi atau Jumlah Pack per CTN]]</f>
        <v>135 ML</v>
      </c>
      <c r="BG11" s="7" t="s">
        <v>653</v>
      </c>
      <c r="BH11" s="51" t="s">
        <v>654</v>
      </c>
      <c r="BI11" s="4" t="str">
        <f>IF(Table43[[#This Row],[SATUAN Fix Win]]&lt;&gt;"","KRT")</f>
        <v>KRT</v>
      </c>
      <c r="BJ11" s="4" t="str">
        <f>IF(Table43[[#This Row],[SATUAN Fix Win]]&lt;&gt;"","GD01")</f>
        <v>GD01</v>
      </c>
      <c r="BK11" s="4">
        <f>IF(Table43[[#This Row],[SATUAN Fix Win]]&lt;&gt;"",11611)</f>
        <v>11611</v>
      </c>
      <c r="BL11" s="4">
        <f>IF(Table43[[#This Row],[SATUAN Fix Win]]&lt;&gt;"",11612)</f>
        <v>11612</v>
      </c>
      <c r="BM11" s="47" t="s">
        <v>655</v>
      </c>
      <c r="BN11" s="4">
        <f>IF(Table43[[#This Row],[SATUAN Fix Win]]&lt;&gt;"",1)</f>
        <v>1</v>
      </c>
      <c r="BO11" s="4" t="s">
        <v>656</v>
      </c>
      <c r="BP11" s="4">
        <f>IFERROR(VLOOKUP(Table43[[#This Row],[Kode Pcpl]],'[1]HEINZ ABC'!$A$4:$E$112,8,0),0)</f>
        <v>0</v>
      </c>
      <c r="BQ11" s="55">
        <f>Table43[[#This Row],[Harga Jual Pcs GT
(-PPN)]]-Table43[[#This Row],[HARGA NAIK GT]]</f>
        <v>6790</v>
      </c>
      <c r="BR11" s="4">
        <f>IF(Table43[[#This Row],[HARGA NAIK GT]]=0,Table43[[#This Row],[Harga Jual Pcs GT
(-PPN)]],Table43[[#This Row],[HARGA NAIK GT]])</f>
        <v>6790</v>
      </c>
      <c r="BS11">
        <f>IFERROR(VLOOKUP(Table43[[#This Row],[Kode Pcpl]],'[1]HEINZ ABC'!$A$4:$E$112,8,0),0)</f>
        <v>0</v>
      </c>
      <c r="BT11" s="58">
        <f>Table43[[#This Row],[Harga Jual Pcs GT
(-PPN)]]-BS11</f>
        <v>6790</v>
      </c>
      <c r="BU11">
        <f>IF(BS11=0,Table43[[#This Row],[Harga Jual Pcs MT
(-PPN)]])</f>
        <v>0</v>
      </c>
      <c r="BV11">
        <f>IFERROR(VLOOKUP(Table43[[#This Row],[Kode Pcpl]],[2]Pricelist!$A$4:$K$112,11,0),0)</f>
        <v>0</v>
      </c>
      <c r="BW11">
        <f>IFERROR(VLOOKUP(Table43[[#This Row],[Kode BARANG Win2]],[3]!RECKITT211216[[KDBRG]:[HRG_JL_PCS-PPN]],11,0),0)</f>
        <v>0</v>
      </c>
      <c r="BX11">
        <f t="shared" si="2"/>
        <v>0</v>
      </c>
    </row>
    <row r="12" spans="1:76" x14ac:dyDescent="0.25">
      <c r="A12" s="4" t="str">
        <f>CONCATENATE(Table43[[#This Row],[Kode BARANG Win2]],Table43[[#This Row],[No. Urut
Item Sama]])</f>
        <v>A10110000135101</v>
      </c>
      <c r="B12" s="7">
        <v>1</v>
      </c>
      <c r="C12" s="4">
        <v>7</v>
      </c>
      <c r="D12" s="27">
        <v>100161</v>
      </c>
      <c r="E12" s="27" t="s">
        <v>237</v>
      </c>
      <c r="F12" s="27" t="s">
        <v>244</v>
      </c>
      <c r="G12" s="27">
        <v>48</v>
      </c>
      <c r="H12" s="42">
        <v>0</v>
      </c>
      <c r="I12" s="27" t="str">
        <f>Table43[[#This Row],[Nama Jenis Kemasan]]</f>
        <v>BTL</v>
      </c>
      <c r="J12" s="4" t="str">
        <f>TRIM(CONCATENATE(Table43[[#This Row],[Nama            KLP]]," ",Table43[[#This Row],[Nama            Sub KLP]]))</f>
        <v>KECAP MANIS</v>
      </c>
      <c r="K12" s="4" t="str">
        <f>CONCATENATE(Table43[[#This Row],[kode  2 Digit                (hrf+No)]],Table43[[#This Row],[kode  2 Digit                (Nomor)]],Table43[[#This Row],[kode  1 Digit                (Nomor)]])</f>
        <v>A1011</v>
      </c>
      <c r="L12" s="4" t="str">
        <f>IF(AG12="",CONCATENATE(Q12,S12,U12,W12,Y12,AA12,AC12,AE12,Table43[[#This Row],[Tanda Kode Revisi]]),CONCATENATE(Q12,S12,U12,W12,Y12,AA12,AC12,AG12))</f>
        <v>A1011000013510</v>
      </c>
      <c r="M12" s="11">
        <f t="shared" si="0"/>
        <v>14</v>
      </c>
      <c r="N12" s="14" t="str">
        <f>IF(AF12&lt;&gt;"",TRIM(UPPER(CONCATENATE(P12," ",R12," ",T12," ",V12," ",X12," ",Z12," ","X"," ",Table43[[#This Row],[ISI/CTN]]," ",AF12," ",AB12," ",AD12," ",AH12))),TRIM(UPPER(CONCATENATE(P12," ",R12," ",T12," ",V12," ",X12," ",Z12," ","X"," ",Table43[[#This Row],[ISI/CTN]]," ",AB12," ",AD12," ",AH12))))</f>
        <v>ABC KECAP MANIS 135 ML X 48 BTL</v>
      </c>
      <c r="O12" s="11">
        <f t="shared" si="1"/>
        <v>31</v>
      </c>
      <c r="P12" s="4" t="s">
        <v>28</v>
      </c>
      <c r="Q12" s="7" t="s">
        <v>85</v>
      </c>
      <c r="R12" s="4" t="s">
        <v>474</v>
      </c>
      <c r="S12" s="43" t="s">
        <v>0</v>
      </c>
      <c r="T12" s="44" t="s">
        <v>475</v>
      </c>
      <c r="U12" s="7">
        <v>1</v>
      </c>
      <c r="V12" s="44"/>
      <c r="W12" s="43" t="s">
        <v>1</v>
      </c>
      <c r="Y12" s="45" t="s">
        <v>476</v>
      </c>
      <c r="Z12" s="4" t="s">
        <v>484</v>
      </c>
      <c r="AA12" s="45" t="s">
        <v>487</v>
      </c>
      <c r="AB12" s="4" t="s">
        <v>486</v>
      </c>
      <c r="AC12" s="7" t="s">
        <v>480</v>
      </c>
      <c r="AE12" s="7">
        <v>0</v>
      </c>
      <c r="AI12" s="7" t="s">
        <v>214</v>
      </c>
      <c r="AJ12" s="7">
        <v>2</v>
      </c>
      <c r="AL12" s="40">
        <f>Table43[[#This Row],[Harga Jual Pcs GT
(-PPN)]]-(Table43[[#This Row],[Harga Jual Pcs GT
(-PPN)]]*6%)</f>
        <v>7181.2616000000007</v>
      </c>
      <c r="AM12" s="41">
        <f>Table43[[#This Row],[Harga Beli Pcs
(-PPN)]]*Table43[[#This Row],[ISI/CTN]]</f>
        <v>344700.55680000002</v>
      </c>
      <c r="AN12" s="41">
        <f>Table43[[#This Row],[Harga Beli Pcs
(-PPN)]]*1.11</f>
        <v>7971.2003760000016</v>
      </c>
      <c r="AO12" s="41">
        <f>Table43[[#This Row],[Harga Beli Krt
(- PPN)]]*1.11</f>
        <v>382617.61804800003</v>
      </c>
      <c r="AP12" s="41">
        <v>7639.64</v>
      </c>
      <c r="AQ12" s="41">
        <f>Table43[[#This Row],[Harga Jual Pcs GT
(-PPN)]]*Table43[[#This Row],[ISI/CTN]]</f>
        <v>366702.72000000003</v>
      </c>
      <c r="AR12" s="41">
        <f>Table43[[#This Row],[Harga Jual Pcs GT
(-PPN)]]*1.11</f>
        <v>8480.0004000000008</v>
      </c>
      <c r="AS12" s="41">
        <f>Table43[[#This Row],[Harga Jual Krt GT
(- PPN)]]*1.11</f>
        <v>407040.0192000001</v>
      </c>
      <c r="AT12" s="41">
        <v>8250.81</v>
      </c>
      <c r="AU12" s="41">
        <f>(Table43[[#This Row],[Harga Jual Pcs MT
(-PPN)]]*Table43[[#This Row],[ISI/CTN]])</f>
        <v>396038.88</v>
      </c>
      <c r="AV12" s="41">
        <f>Table43[[#This Row],[Harga Jual Pcs MT
(-PPN)]]*1.11</f>
        <v>9158.3991000000005</v>
      </c>
      <c r="AW12" s="41">
        <f>Table43[[#This Row],[Harga Jual Pcs MT
(+PPN)]]*Table43[[#This Row],[ISI/CTN]]</f>
        <v>439603.1568</v>
      </c>
      <c r="AX12" s="41"/>
      <c r="AY12" s="46">
        <v>45553</v>
      </c>
      <c r="AZ12" s="54">
        <v>45553</v>
      </c>
      <c r="BA12" s="7" t="str">
        <f ca="1">IF(TODAY()-Table43[[#This Row],[Efektif
Pembuatan]]&gt;60,"Lama","Baru")</f>
        <v>Lama</v>
      </c>
      <c r="BB12" s="7" t="str">
        <f ca="1">IF(TODAY()-Table43[[#This Row],[Efektif Naik Harga]]&lt;30,"Naik","Sama")</f>
        <v>Sama</v>
      </c>
      <c r="BC12" s="7" t="s">
        <v>235</v>
      </c>
      <c r="BD12" s="7" t="str">
        <f>IF(Table43[[#This Row],[Kode BARANG Win2]]&lt;&gt;"","IDR","")</f>
        <v>IDR</v>
      </c>
      <c r="BE12" s="7" t="str">
        <f>CONCATENATE(Table43[[#This Row],[kode  1 Digit
(Nomor)]],Table43[[#This Row],[kode  4 Digit                (Nomor)]])</f>
        <v>20135</v>
      </c>
      <c r="BF12" s="7" t="str">
        <f>Table43[[#This Row],[Nama            Gramasi atau Jumlah Pack per CTN]]</f>
        <v>135 ML</v>
      </c>
      <c r="BG12" s="7" t="s">
        <v>653</v>
      </c>
      <c r="BH12" s="51" t="s">
        <v>654</v>
      </c>
      <c r="BI12" s="4" t="str">
        <f>IF(Table43[[#This Row],[SATUAN Fix Win]]&lt;&gt;"","KRT")</f>
        <v>KRT</v>
      </c>
      <c r="BJ12" s="4" t="str">
        <f>IF(Table43[[#This Row],[SATUAN Fix Win]]&lt;&gt;"","GD01")</f>
        <v>GD01</v>
      </c>
      <c r="BK12" s="4">
        <f>IF(Table43[[#This Row],[SATUAN Fix Win]]&lt;&gt;"",11611)</f>
        <v>11611</v>
      </c>
      <c r="BL12" s="4">
        <f>IF(Table43[[#This Row],[SATUAN Fix Win]]&lt;&gt;"",11612)</f>
        <v>11612</v>
      </c>
      <c r="BM12" s="47" t="s">
        <v>655</v>
      </c>
      <c r="BN12" s="4">
        <f>IF(Table43[[#This Row],[SATUAN Fix Win]]&lt;&gt;"",1)</f>
        <v>1</v>
      </c>
      <c r="BO12" s="4" t="s">
        <v>656</v>
      </c>
      <c r="BP12" s="4">
        <f>IFERROR(VLOOKUP(Table43[[#This Row],[Kode Pcpl]],'[1]HEINZ ABC'!$A$4:$E$112,8,0),0)</f>
        <v>0</v>
      </c>
      <c r="BQ12" s="55">
        <f>Table43[[#This Row],[Harga Jual Pcs GT
(-PPN)]]-Table43[[#This Row],[HARGA NAIK GT]]</f>
        <v>7639.64</v>
      </c>
      <c r="BR12" s="4">
        <f>IF(Table43[[#This Row],[HARGA NAIK GT]]=0,Table43[[#This Row],[Harga Jual Pcs GT
(-PPN)]],Table43[[#This Row],[HARGA NAIK GT]])</f>
        <v>7639.64</v>
      </c>
      <c r="BS12">
        <f>IFERROR(VLOOKUP(Table43[[#This Row],[Kode Pcpl]],'[1]HEINZ ABC'!$A$4:$E$112,8,0),0)</f>
        <v>0</v>
      </c>
      <c r="BT12" s="58">
        <f>Table43[[#This Row],[Harga Jual Pcs GT
(-PPN)]]-BS12</f>
        <v>7639.64</v>
      </c>
      <c r="BU12">
        <f>IF(BS12=0,Table43[[#This Row],[Harga Jual Pcs MT
(-PPN)]])</f>
        <v>8250.81</v>
      </c>
      <c r="BV12">
        <f>IFERROR(VLOOKUP(Table43[[#This Row],[Kode Pcpl]],[2]Pricelist!$A$4:$K$112,11,0),0)</f>
        <v>0</v>
      </c>
      <c r="BW12">
        <f>IFERROR(VLOOKUP(Table43[[#This Row],[Kode BARANG Win2]],[3]!RECKITT211216[[KDBRG]:[HRG_JL_PCS-PPN]],11,0),0)</f>
        <v>0</v>
      </c>
      <c r="BX12">
        <f t="shared" si="2"/>
        <v>0</v>
      </c>
    </row>
    <row r="13" spans="1:76" x14ac:dyDescent="0.25">
      <c r="A13" s="4" t="str">
        <f>CONCATENATE(Table43[[#This Row],[Kode BARANG Win2]],Table43[[#This Row],[No. Urut
Item Sama]])</f>
        <v>A10110000250101</v>
      </c>
      <c r="B13" s="7">
        <v>1</v>
      </c>
      <c r="C13" s="4">
        <v>8</v>
      </c>
      <c r="D13" s="27">
        <v>100220</v>
      </c>
      <c r="E13" s="27" t="s">
        <v>237</v>
      </c>
      <c r="F13" s="27" t="s">
        <v>245</v>
      </c>
      <c r="G13" s="27">
        <v>24</v>
      </c>
      <c r="H13" s="42" t="s">
        <v>2731</v>
      </c>
      <c r="I13" s="27" t="str">
        <f>Table43[[#This Row],[Nama Jenis Kemasan]]</f>
        <v>PCH</v>
      </c>
      <c r="J13" s="4" t="str">
        <f>TRIM(CONCATENATE(Table43[[#This Row],[Nama            KLP]]," ",Table43[[#This Row],[Nama            Sub KLP]]))</f>
        <v>KECAP MANIS</v>
      </c>
      <c r="K13" s="4" t="str">
        <f>CONCATENATE(Table43[[#This Row],[kode  2 Digit                (hrf+No)]],Table43[[#This Row],[kode  2 Digit                (Nomor)]],Table43[[#This Row],[kode  1 Digit                (Nomor)]])</f>
        <v>A1011</v>
      </c>
      <c r="L13" s="4" t="str">
        <f>IF(AG13="",CONCATENATE(Q13,S13,U13,W13,Y13,AA13,AC13,AE13,Table43[[#This Row],[Tanda Kode Revisi]]),CONCATENATE(Q13,S13,U13,W13,Y13,AA13,AC13,AG13))</f>
        <v>A1011000025010</v>
      </c>
      <c r="M13" s="11">
        <f t="shared" si="0"/>
        <v>14</v>
      </c>
      <c r="N13" s="14" t="str">
        <f>IF(AF13&lt;&gt;"",TRIM(UPPER(CONCATENATE(P13," ",R13," ",T13," ",V13," ",X13," ",Z13," ","X"," ",Table43[[#This Row],[ISI/CTN]]," ",AF13," ",AB13," ",AD13," ",AH13))),TRIM(UPPER(CONCATENATE(P13," ",R13," ",T13," ",V13," ",X13," ",Z13," ","X"," ",Table43[[#This Row],[ISI/CTN]]," ",AB13," ",AD13," ",AH13))))</f>
        <v>ABC KECAP MANIS 250 GR X 24 PCH</v>
      </c>
      <c r="O13" s="11">
        <f t="shared" si="1"/>
        <v>31</v>
      </c>
      <c r="P13" s="4" t="s">
        <v>28</v>
      </c>
      <c r="Q13" s="7" t="s">
        <v>85</v>
      </c>
      <c r="R13" s="4" t="s">
        <v>474</v>
      </c>
      <c r="S13" s="43" t="s">
        <v>0</v>
      </c>
      <c r="T13" s="44" t="s">
        <v>475</v>
      </c>
      <c r="U13" s="7">
        <v>1</v>
      </c>
      <c r="V13" s="44"/>
      <c r="W13" s="43" t="s">
        <v>1</v>
      </c>
      <c r="Y13" s="45" t="s">
        <v>476</v>
      </c>
      <c r="Z13" s="4" t="s">
        <v>488</v>
      </c>
      <c r="AA13" s="45" t="s">
        <v>489</v>
      </c>
      <c r="AB13" s="4" t="s">
        <v>479</v>
      </c>
      <c r="AC13" s="7" t="s">
        <v>480</v>
      </c>
      <c r="AE13" s="7" t="s">
        <v>1</v>
      </c>
      <c r="AI13" s="7" t="s">
        <v>215</v>
      </c>
      <c r="AJ13" s="7">
        <v>1</v>
      </c>
      <c r="AL13" s="40">
        <f>Table43[[#This Row],[Harga Jual Pcs GT
(-PPN)]]-(Table43[[#This Row],[Harga Jual Pcs GT
(-PPN)]]*6%)</f>
        <v>6117.2849999999999</v>
      </c>
      <c r="AM13" s="41">
        <f>Table43[[#This Row],[Harga Beli Pcs
(-PPN)]]*Table43[[#This Row],[ISI/CTN]]</f>
        <v>146814.84</v>
      </c>
      <c r="AN13" s="41">
        <f>Table43[[#This Row],[Harga Beli Pcs
(-PPN)]]*1.11</f>
        <v>6790.1863500000009</v>
      </c>
      <c r="AO13" s="41">
        <f>Table43[[#This Row],[Harga Beli Krt
(- PPN)]]*1.11</f>
        <v>162964.4724</v>
      </c>
      <c r="AP13" s="132">
        <v>6507.75</v>
      </c>
      <c r="AQ13" s="41">
        <f>Table43[[#This Row],[Harga Jual Pcs GT
(-PPN)]]*Table43[[#This Row],[ISI/CTN]]</f>
        <v>156186</v>
      </c>
      <c r="AR13" s="41">
        <f>Table43[[#This Row],[Harga Jual Pcs GT
(-PPN)]]*1.11</f>
        <v>7223.6025000000009</v>
      </c>
      <c r="AS13" s="41">
        <f>Table43[[#This Row],[Harga Jual Krt GT
(- PPN)]]*1.11</f>
        <v>173366.46000000002</v>
      </c>
      <c r="AT13" s="132">
        <v>7028.37</v>
      </c>
      <c r="AU13" s="41">
        <f>(Table43[[#This Row],[Harga Jual Pcs MT
(-PPN)]]*Table43[[#This Row],[ISI/CTN]])</f>
        <v>168680.88</v>
      </c>
      <c r="AV13" s="41">
        <f>Table43[[#This Row],[Harga Jual Pcs MT
(-PPN)]]*1.11</f>
        <v>7801.4907000000003</v>
      </c>
      <c r="AW13" s="41">
        <f>Table43[[#This Row],[Harga Jual Pcs MT
(+PPN)]]*Table43[[#This Row],[ISI/CTN]]</f>
        <v>187235.77679999999</v>
      </c>
      <c r="AX13" s="41"/>
      <c r="AY13" s="46">
        <v>45553</v>
      </c>
      <c r="AZ13" s="54">
        <v>45945</v>
      </c>
      <c r="BA13" s="7" t="str">
        <f ca="1">IF(TODAY()-Table43[[#This Row],[Efektif
Pembuatan]]&gt;60,"Lama","Baru")</f>
        <v>Lama</v>
      </c>
      <c r="BB13" s="7" t="str">
        <f ca="1">IF(TODAY()-Table43[[#This Row],[Efektif Naik Harga]]&lt;30,"Naik","Sama")</f>
        <v>Sama</v>
      </c>
      <c r="BC13" s="7" t="s">
        <v>235</v>
      </c>
      <c r="BD13" s="7" t="str">
        <f>IF(Table43[[#This Row],[Kode BARANG Win2]]&lt;&gt;"","IDR","")</f>
        <v>IDR</v>
      </c>
      <c r="BE13" s="7" t="str">
        <f>CONCATENATE(Table43[[#This Row],[kode  1 Digit
(Nomor)]],Table43[[#This Row],[kode  4 Digit                (Nomor)]])</f>
        <v>10250</v>
      </c>
      <c r="BF13" s="7" t="str">
        <f>Table43[[#This Row],[Nama            Gramasi atau Jumlah Pack per CTN]]</f>
        <v>250 GR</v>
      </c>
      <c r="BG13" s="7" t="s">
        <v>653</v>
      </c>
      <c r="BH13" s="51" t="s">
        <v>654</v>
      </c>
      <c r="BI13" s="4" t="str">
        <f>IF(Table43[[#This Row],[SATUAN Fix Win]]&lt;&gt;"","KRT")</f>
        <v>KRT</v>
      </c>
      <c r="BJ13" s="4" t="str">
        <f>IF(Table43[[#This Row],[SATUAN Fix Win]]&lt;&gt;"","GD01")</f>
        <v>GD01</v>
      </c>
      <c r="BK13" s="4">
        <f>IF(Table43[[#This Row],[SATUAN Fix Win]]&lt;&gt;"",11611)</f>
        <v>11611</v>
      </c>
      <c r="BL13" s="4">
        <f>IF(Table43[[#This Row],[SATUAN Fix Win]]&lt;&gt;"",11612)</f>
        <v>11612</v>
      </c>
      <c r="BM13" s="47" t="s">
        <v>655</v>
      </c>
      <c r="BN13" s="4">
        <f>IF(Table43[[#This Row],[SATUAN Fix Win]]&lt;&gt;"",1)</f>
        <v>1</v>
      </c>
      <c r="BO13" s="4" t="s">
        <v>656</v>
      </c>
      <c r="BP13" s="4">
        <f>IFERROR(VLOOKUP(Table43[[#This Row],[Kode Pcpl]],'[1]HEINZ ABC'!$A$4:$E$112,8,0),0)</f>
        <v>0</v>
      </c>
      <c r="BQ13" s="55">
        <f>Table43[[#This Row],[Harga Jual Pcs GT
(-PPN)]]-Table43[[#This Row],[HARGA NAIK GT]]</f>
        <v>6507.75</v>
      </c>
      <c r="BR13" s="4">
        <f>IF(Table43[[#This Row],[HARGA NAIK GT]]=0,Table43[[#This Row],[Harga Jual Pcs GT
(-PPN)]],Table43[[#This Row],[HARGA NAIK GT]])</f>
        <v>6507.75</v>
      </c>
      <c r="BS13">
        <f>IFERROR(VLOOKUP(Table43[[#This Row],[Kode Pcpl]],'[1]HEINZ ABC'!$A$4:$E$112,8,0),0)</f>
        <v>0</v>
      </c>
      <c r="BT13" s="58">
        <f>Table43[[#This Row],[Harga Jual Pcs GT
(-PPN)]]-BS13</f>
        <v>6507.75</v>
      </c>
      <c r="BU13">
        <f>IF(BS13=0,Table43[[#This Row],[Harga Jual Pcs MT
(-PPN)]])</f>
        <v>7028.37</v>
      </c>
      <c r="BV13">
        <f>IFERROR(VLOOKUP(Table43[[#This Row],[Kode Pcpl]],[2]Pricelist!$A$4:$K$112,11,0),0)</f>
        <v>0</v>
      </c>
      <c r="BW13">
        <f>IFERROR(VLOOKUP(Table43[[#This Row],[Kode BARANG Win2]],[3]!RECKITT211216[[KDBRG]:[HRG_JL_PCS-PPN]],11,0),0)</f>
        <v>0</v>
      </c>
      <c r="BX13">
        <f t="shared" si="2"/>
        <v>0</v>
      </c>
    </row>
    <row r="14" spans="1:76" x14ac:dyDescent="0.25">
      <c r="A14" s="4" t="str">
        <f>CONCATENATE(Table43[[#This Row],[Kode BARANG Win2]],Table43[[#This Row],[No. Urut
Item Sama]])</f>
        <v>A10110000250102</v>
      </c>
      <c r="B14" s="7">
        <v>2</v>
      </c>
      <c r="C14" s="4">
        <v>9</v>
      </c>
      <c r="D14" s="27">
        <v>100238</v>
      </c>
      <c r="E14" s="27" t="s">
        <v>237</v>
      </c>
      <c r="F14" s="27" t="s">
        <v>245</v>
      </c>
      <c r="G14" s="27">
        <v>24</v>
      </c>
      <c r="H14" s="42" t="s">
        <v>2656</v>
      </c>
      <c r="I14" s="27" t="str">
        <f>Table43[[#This Row],[Nama Jenis Kemasan]]</f>
        <v>PCH</v>
      </c>
      <c r="J14" s="4" t="str">
        <f>TRIM(CONCATENATE(Table43[[#This Row],[Nama            KLP]]," ",Table43[[#This Row],[Nama            Sub KLP]]))</f>
        <v>KECAP MANIS</v>
      </c>
      <c r="K14" s="4" t="str">
        <f>CONCATENATE(Table43[[#This Row],[kode  2 Digit                (hrf+No)]],Table43[[#This Row],[kode  2 Digit                (Nomor)]],Table43[[#This Row],[kode  1 Digit                (Nomor)]])</f>
        <v>A1011</v>
      </c>
      <c r="L14" s="4" t="str">
        <f>IF(AG14="",CONCATENATE(Q14,S14,U14,W14,Y14,AA14,AC14,AE14,Table43[[#This Row],[Tanda Kode Revisi]]),CONCATENATE(Q14,S14,U14,W14,Y14,AA14,AC14,AG14))</f>
        <v>A1011000025010</v>
      </c>
      <c r="M14" s="11">
        <f t="shared" si="0"/>
        <v>14</v>
      </c>
      <c r="N14" s="14" t="str">
        <f>IF(AF14&lt;&gt;"",TRIM(UPPER(CONCATENATE(P14," ",R14," ",T14," ",V14," ",X14," ",Z14," ","X"," ",Table43[[#This Row],[ISI/CTN]]," ",AF14," ",AB14," ",AD14," ",AH14))),TRIM(UPPER(CONCATENATE(P14," ",R14," ",T14," ",V14," ",X14," ",Z14," ","X"," ",Table43[[#This Row],[ISI/CTN]]," ",AB14," ",AD14," ",AH14))))</f>
        <v>ABC KECAP MANIS 250 GR X 24 PCH</v>
      </c>
      <c r="O14" s="11">
        <f t="shared" si="1"/>
        <v>31</v>
      </c>
      <c r="P14" s="4" t="s">
        <v>28</v>
      </c>
      <c r="Q14" s="7" t="s">
        <v>85</v>
      </c>
      <c r="R14" s="4" t="s">
        <v>474</v>
      </c>
      <c r="S14" s="43" t="s">
        <v>0</v>
      </c>
      <c r="T14" s="44" t="s">
        <v>475</v>
      </c>
      <c r="U14" s="7">
        <v>1</v>
      </c>
      <c r="V14" s="44"/>
      <c r="W14" s="43" t="s">
        <v>1</v>
      </c>
      <c r="Y14" s="45" t="s">
        <v>476</v>
      </c>
      <c r="Z14" s="4" t="s">
        <v>488</v>
      </c>
      <c r="AA14" s="45" t="s">
        <v>489</v>
      </c>
      <c r="AB14" s="4" t="s">
        <v>479</v>
      </c>
      <c r="AC14" s="7" t="s">
        <v>480</v>
      </c>
      <c r="AE14" s="7" t="s">
        <v>1</v>
      </c>
      <c r="AI14" s="7" t="s">
        <v>215</v>
      </c>
      <c r="AJ14" s="7">
        <v>1</v>
      </c>
      <c r="AL14" s="40">
        <f>Table43[[#This Row],[Harga Jual Pcs GT
(-PPN)]]-(Table43[[#This Row],[Harga Jual Pcs GT
(-PPN)]]*6%)</f>
        <v>6117.2849999999999</v>
      </c>
      <c r="AM14" s="41">
        <f>Table43[[#This Row],[Harga Beli Pcs
(-PPN)]]*Table43[[#This Row],[ISI/CTN]]</f>
        <v>146814.84</v>
      </c>
      <c r="AN14" s="41">
        <f>Table43[[#This Row],[Harga Beli Pcs
(-PPN)]]*1.11</f>
        <v>6790.1863500000009</v>
      </c>
      <c r="AO14" s="41">
        <f>Table43[[#This Row],[Harga Beli Krt
(- PPN)]]*1.11</f>
        <v>162964.4724</v>
      </c>
      <c r="AP14" s="132">
        <v>6507.75</v>
      </c>
      <c r="AQ14" s="41">
        <f>Table43[[#This Row],[Harga Jual Pcs GT
(-PPN)]]*Table43[[#This Row],[ISI/CTN]]</f>
        <v>156186</v>
      </c>
      <c r="AR14" s="41">
        <f>Table43[[#This Row],[Harga Jual Pcs GT
(-PPN)]]*1.11</f>
        <v>7223.6025000000009</v>
      </c>
      <c r="AS14" s="41">
        <f>Table43[[#This Row],[Harga Jual Krt GT
(- PPN)]]*1.11</f>
        <v>173366.46000000002</v>
      </c>
      <c r="AT14" s="132">
        <v>7028.37</v>
      </c>
      <c r="AU14" s="41">
        <f>(Table43[[#This Row],[Harga Jual Pcs MT
(-PPN)]]*Table43[[#This Row],[ISI/CTN]])</f>
        <v>168680.88</v>
      </c>
      <c r="AV14" s="41">
        <f>Table43[[#This Row],[Harga Jual Pcs MT
(-PPN)]]*1.11</f>
        <v>7801.4907000000003</v>
      </c>
      <c r="AW14" s="41">
        <f>Table43[[#This Row],[Harga Jual Pcs MT
(+PPN)]]*Table43[[#This Row],[ISI/CTN]]</f>
        <v>187235.77679999999</v>
      </c>
      <c r="AX14" s="41"/>
      <c r="AY14" s="46"/>
      <c r="AZ14" s="54">
        <v>45945</v>
      </c>
      <c r="BA14" s="7" t="str">
        <f ca="1">IF(TODAY()-Table43[[#This Row],[Efektif
Pembuatan]]&gt;60,"Lama","Baru")</f>
        <v>Lama</v>
      </c>
      <c r="BB14" s="7" t="str">
        <f ca="1">IF(TODAY()-Table43[[#This Row],[Efektif Naik Harga]]&lt;30,"Naik","Sama")</f>
        <v>Sama</v>
      </c>
      <c r="BC14" s="7" t="s">
        <v>235</v>
      </c>
      <c r="BD14" s="7" t="str">
        <f>IF(Table43[[#This Row],[Kode BARANG Win2]]&lt;&gt;"","IDR","")</f>
        <v>IDR</v>
      </c>
      <c r="BE14" s="7" t="str">
        <f>CONCATENATE(Table43[[#This Row],[kode  1 Digit
(Nomor)]],Table43[[#This Row],[kode  4 Digit                (Nomor)]])</f>
        <v>10250</v>
      </c>
      <c r="BF14" s="7" t="str">
        <f>Table43[[#This Row],[Nama            Gramasi atau Jumlah Pack per CTN]]</f>
        <v>250 GR</v>
      </c>
      <c r="BG14" s="7" t="s">
        <v>653</v>
      </c>
      <c r="BH14" s="51" t="s">
        <v>654</v>
      </c>
      <c r="BI14" s="4" t="str">
        <f>IF(Table43[[#This Row],[SATUAN Fix Win]]&lt;&gt;"","KRT")</f>
        <v>KRT</v>
      </c>
      <c r="BJ14" s="4" t="str">
        <f>IF(Table43[[#This Row],[SATUAN Fix Win]]&lt;&gt;"","GD01")</f>
        <v>GD01</v>
      </c>
      <c r="BK14" s="4">
        <f>IF(Table43[[#This Row],[SATUAN Fix Win]]&lt;&gt;"",11611)</f>
        <v>11611</v>
      </c>
      <c r="BL14" s="4">
        <f>IF(Table43[[#This Row],[SATUAN Fix Win]]&lt;&gt;"",11612)</f>
        <v>11612</v>
      </c>
      <c r="BM14" s="47" t="s">
        <v>655</v>
      </c>
      <c r="BN14" s="4">
        <f>IF(Table43[[#This Row],[SATUAN Fix Win]]&lt;&gt;"",1)</f>
        <v>1</v>
      </c>
      <c r="BO14" s="4" t="s">
        <v>656</v>
      </c>
      <c r="BP14" s="4">
        <f>IFERROR(VLOOKUP(Table43[[#This Row],[Kode Pcpl]],'[1]HEINZ ABC'!$A$4:$E$112,8,0),0)</f>
        <v>0</v>
      </c>
      <c r="BQ14" s="55">
        <f>Table43[[#This Row],[Harga Jual Pcs GT
(-PPN)]]-Table43[[#This Row],[HARGA NAIK GT]]</f>
        <v>6507.75</v>
      </c>
      <c r="BR14" s="4">
        <f>IF(Table43[[#This Row],[HARGA NAIK GT]]=0,Table43[[#This Row],[Harga Jual Pcs GT
(-PPN)]],Table43[[#This Row],[HARGA NAIK GT]])</f>
        <v>6507.75</v>
      </c>
      <c r="BS14">
        <f>IFERROR(VLOOKUP(Table43[[#This Row],[Kode Pcpl]],'[1]HEINZ ABC'!$A$4:$E$112,8,0),0)</f>
        <v>0</v>
      </c>
      <c r="BT14" s="58">
        <f>Table43[[#This Row],[Harga Jual Pcs GT
(-PPN)]]-BS14</f>
        <v>6507.75</v>
      </c>
      <c r="BU14">
        <f>IF(BS14=0,Table43[[#This Row],[Harga Jual Pcs MT
(-PPN)]])</f>
        <v>7028.37</v>
      </c>
      <c r="BV14">
        <f>IFERROR(VLOOKUP(Table43[[#This Row],[Kode Pcpl]],[2]Pricelist!$A$4:$K$112,11,0),0)</f>
        <v>0</v>
      </c>
      <c r="BW14">
        <f>IFERROR(VLOOKUP(Table43[[#This Row],[Kode BARANG Win2]],[3]!RECKITT211216[[KDBRG]:[HRG_JL_PCS-PPN]],11,0),0)</f>
        <v>0</v>
      </c>
      <c r="BX14">
        <f t="shared" si="2"/>
        <v>0</v>
      </c>
    </row>
    <row r="15" spans="1:76" x14ac:dyDescent="0.25">
      <c r="A15" s="4" t="str">
        <f>CONCATENATE(Table43[[#This Row],[Kode BARANG Win2]],Table43[[#This Row],[No. Urut
Item Sama]])</f>
        <v>A10110000250111</v>
      </c>
      <c r="B15" s="7">
        <v>1</v>
      </c>
      <c r="C15" s="4">
        <v>10</v>
      </c>
      <c r="D15" s="27">
        <v>100992</v>
      </c>
      <c r="E15" s="27" t="s">
        <v>237</v>
      </c>
      <c r="F15" s="27" t="s">
        <v>1012</v>
      </c>
      <c r="G15" s="27">
        <v>24</v>
      </c>
      <c r="H15" s="42" t="s">
        <v>2655</v>
      </c>
      <c r="I15" s="27" t="str">
        <f>Table43[[#This Row],[Nama Jenis Kemasan]]</f>
        <v>PCH</v>
      </c>
      <c r="J15" s="4" t="str">
        <f>TRIM(CONCATENATE(Table43[[#This Row],[Nama            KLP]]," ",Table43[[#This Row],[Nama            Sub KLP]]))</f>
        <v>KECAP MANIS</v>
      </c>
      <c r="K15" s="4" t="str">
        <f>CONCATENATE(Table43[[#This Row],[kode  2 Digit                (hrf+No)]],Table43[[#This Row],[kode  2 Digit                (Nomor)]],Table43[[#This Row],[kode  1 Digit                (Nomor)]])</f>
        <v>A1011</v>
      </c>
      <c r="L15" s="4" t="str">
        <f>IF(AG15="",CONCATENATE(Q15,S15,U15,W15,Y15,AA15,AC15,AE15,Table43[[#This Row],[Tanda Kode Revisi]]),CONCATENATE(Q15,S15,U15,W15,Y15,AA15,AC15,AG15))</f>
        <v>A1011000025011</v>
      </c>
      <c r="M15" s="11">
        <f t="shared" si="0"/>
        <v>14</v>
      </c>
      <c r="N15" s="14" t="str">
        <f>IF(AF15&lt;&gt;"",TRIM(UPPER(CONCATENATE(P15," ",R15," ",T15," ",V15," ",X15," ",Z15," ","X"," ",Table43[[#This Row],[ISI/CTN]]," ",AF15," ",AB15," ",AD15," ",AH15))),TRIM(UPPER(CONCATENATE(P15," ",R15," ",T15," ",V15," ",X15," ",Z15," ","X"," ",Table43[[#This Row],[ISI/CTN]]," ",AB15," ",AD15," ",AH15))))</f>
        <v>ABC KECAP MANIS 250 GR X 24 PCH BANDED</v>
      </c>
      <c r="O15" s="11">
        <f t="shared" si="1"/>
        <v>38</v>
      </c>
      <c r="P15" s="4" t="s">
        <v>28</v>
      </c>
      <c r="Q15" s="7" t="s">
        <v>85</v>
      </c>
      <c r="R15" s="4" t="s">
        <v>474</v>
      </c>
      <c r="S15" s="43" t="s">
        <v>0</v>
      </c>
      <c r="T15" s="44" t="s">
        <v>475</v>
      </c>
      <c r="U15" s="7">
        <v>1</v>
      </c>
      <c r="V15" s="44"/>
      <c r="W15" s="43" t="s">
        <v>1</v>
      </c>
      <c r="Y15" s="45" t="s">
        <v>476</v>
      </c>
      <c r="Z15" s="4" t="s">
        <v>488</v>
      </c>
      <c r="AA15" s="45" t="s">
        <v>489</v>
      </c>
      <c r="AB15" s="4" t="s">
        <v>479</v>
      </c>
      <c r="AC15" s="7" t="s">
        <v>480</v>
      </c>
      <c r="AD15" s="4" t="s">
        <v>496</v>
      </c>
      <c r="AE15" s="7">
        <v>1</v>
      </c>
      <c r="AI15" s="7" t="s">
        <v>215</v>
      </c>
      <c r="AJ15" s="7">
        <v>1</v>
      </c>
      <c r="AL15" s="40">
        <f>Table43[[#This Row],[Harga Jual Pcs GT
(-PPN)]]-(Table43[[#This Row],[Harga Jual Pcs GT
(-PPN)]]*6%)</f>
        <v>6117.2849999999999</v>
      </c>
      <c r="AM15" s="41">
        <f>Table43[[#This Row],[Harga Beli Pcs
(-PPN)]]*Table43[[#This Row],[ISI/CTN]]</f>
        <v>146814.84</v>
      </c>
      <c r="AN15" s="41">
        <f>Table43[[#This Row],[Harga Beli Pcs
(-PPN)]]*1.11</f>
        <v>6790.1863500000009</v>
      </c>
      <c r="AO15" s="41">
        <f>Table43[[#This Row],[Harga Beli Krt
(- PPN)]]*1.11</f>
        <v>162964.4724</v>
      </c>
      <c r="AP15" s="132">
        <v>6507.75</v>
      </c>
      <c r="AQ15" s="41">
        <f>Table43[[#This Row],[Harga Jual Pcs GT
(-PPN)]]*Table43[[#This Row],[ISI/CTN]]</f>
        <v>156186</v>
      </c>
      <c r="AR15" s="41">
        <f>Table43[[#This Row],[Harga Jual Pcs GT
(-PPN)]]*1.11</f>
        <v>7223.6025000000009</v>
      </c>
      <c r="AS15" s="41">
        <f>Table43[[#This Row],[Harga Jual Krt GT
(- PPN)]]*1.11</f>
        <v>173366.46000000002</v>
      </c>
      <c r="AT15" s="132">
        <v>7028.37</v>
      </c>
      <c r="AU15" s="41">
        <f>(Table43[[#This Row],[Harga Jual Pcs MT
(-PPN)]]*Table43[[#This Row],[ISI/CTN]])</f>
        <v>168680.88</v>
      </c>
      <c r="AV15" s="41">
        <f>Table43[[#This Row],[Harga Jual Pcs MT
(-PPN)]]*1.11</f>
        <v>7801.4907000000003</v>
      </c>
      <c r="AW15" s="41">
        <f>Table43[[#This Row],[Harga Jual Pcs MT
(+PPN)]]*Table43[[#This Row],[ISI/CTN]]</f>
        <v>187235.77679999999</v>
      </c>
      <c r="AX15" s="41"/>
      <c r="AY15" s="46">
        <v>45730</v>
      </c>
      <c r="AZ15" s="54">
        <v>45945</v>
      </c>
      <c r="BA15" s="7" t="str">
        <f ca="1">IF(TODAY()-Table43[[#This Row],[Efektif
Pembuatan]]&gt;60,"Lama","Baru")</f>
        <v>Lama</v>
      </c>
      <c r="BB15" s="7" t="str">
        <f ca="1">IF(TODAY()-Table43[[#This Row],[Efektif Naik Harga]]&lt;30,"Naik","Sama")</f>
        <v>Sama</v>
      </c>
      <c r="BC15" s="7" t="s">
        <v>235</v>
      </c>
      <c r="BD15" s="7" t="str">
        <f>IF(Table43[[#This Row],[Kode BARANG Win2]]&lt;&gt;"","IDR","")</f>
        <v>IDR</v>
      </c>
      <c r="BE15" s="7" t="str">
        <f>CONCATENATE(Table43[[#This Row],[kode  1 Digit
(Nomor)]],Table43[[#This Row],[kode  4 Digit                (Nomor)]])</f>
        <v>10250</v>
      </c>
      <c r="BF15" s="7" t="str">
        <f>Table43[[#This Row],[Nama            Gramasi atau Jumlah Pack per CTN]]</f>
        <v>250 GR</v>
      </c>
      <c r="BG15" s="7" t="s">
        <v>653</v>
      </c>
      <c r="BH15" s="51" t="s">
        <v>654</v>
      </c>
      <c r="BI15" s="4" t="str">
        <f>IF(Table43[[#This Row],[SATUAN Fix Win]]&lt;&gt;"","KRT")</f>
        <v>KRT</v>
      </c>
      <c r="BJ15" s="4" t="str">
        <f>IF(Table43[[#This Row],[SATUAN Fix Win]]&lt;&gt;"","GD01")</f>
        <v>GD01</v>
      </c>
      <c r="BK15" s="4">
        <f>IF(Table43[[#This Row],[SATUAN Fix Win]]&lt;&gt;"",11611)</f>
        <v>11611</v>
      </c>
      <c r="BL15" s="4">
        <f>IF(Table43[[#This Row],[SATUAN Fix Win]]&lt;&gt;"",11612)</f>
        <v>11612</v>
      </c>
      <c r="BM15" s="47" t="s">
        <v>655</v>
      </c>
      <c r="BN15" s="4">
        <f>IF(Table43[[#This Row],[SATUAN Fix Win]]&lt;&gt;"",1)</f>
        <v>1</v>
      </c>
      <c r="BO15" s="4" t="s">
        <v>656</v>
      </c>
      <c r="BP15" s="4">
        <f>IFERROR(VLOOKUP(Table43[[#This Row],[Kode Pcpl]],'[1]HEINZ ABC'!$A$4:$E$112,8,0),0)</f>
        <v>0</v>
      </c>
      <c r="BQ15" s="55">
        <f>Table43[[#This Row],[Harga Jual Pcs GT
(-PPN)]]-Table43[[#This Row],[HARGA NAIK GT]]</f>
        <v>6507.75</v>
      </c>
      <c r="BR15" s="4">
        <f>IF(Table43[[#This Row],[HARGA NAIK GT]]=0,Table43[[#This Row],[Harga Jual Pcs GT
(-PPN)]],Table43[[#This Row],[HARGA NAIK GT]])</f>
        <v>6507.75</v>
      </c>
      <c r="BS15">
        <f>IFERROR(VLOOKUP(Table43[[#This Row],[Kode Pcpl]],'[1]HEINZ ABC'!$A$4:$E$112,8,0),0)</f>
        <v>0</v>
      </c>
      <c r="BT15" s="58">
        <f>Table43[[#This Row],[Harga Jual Pcs GT
(-PPN)]]-BS15</f>
        <v>6507.75</v>
      </c>
      <c r="BU15">
        <f>IF(BS15=0,Table43[[#This Row],[Harga Jual Pcs MT
(-PPN)]])</f>
        <v>7028.37</v>
      </c>
      <c r="BV15">
        <f>IFERROR(VLOOKUP(Table43[[#This Row],[Kode Pcpl]],[2]Pricelist!$A$4:$K$112,11,0),0)</f>
        <v>0</v>
      </c>
      <c r="BW15">
        <f>IFERROR(VLOOKUP(Table43[[#This Row],[Kode BARANG Win2]],[3]!RECKITT211216[[KDBRG]:[HRG_JL_PCS-PPN]],11,0),0)</f>
        <v>0</v>
      </c>
      <c r="BX15">
        <f t="shared" si="2"/>
        <v>0</v>
      </c>
    </row>
    <row r="16" spans="1:76" x14ac:dyDescent="0.25">
      <c r="A16" s="4" t="str">
        <f>CONCATENATE(Table43[[#This Row],[Kode BARANG Win2]],Table43[[#This Row],[No. Urut
Item Sama]])</f>
        <v>A10110000600111</v>
      </c>
      <c r="B16" s="7">
        <v>1</v>
      </c>
      <c r="D16" s="27"/>
      <c r="E16" s="27"/>
      <c r="F16" s="27"/>
      <c r="G16" s="27"/>
      <c r="H16" s="42">
        <v>0</v>
      </c>
      <c r="I16" s="27" t="str">
        <f>Table43[[#This Row],[Nama Jenis Kemasan]]</f>
        <v>PCH</v>
      </c>
      <c r="J16" s="4" t="str">
        <f>TRIM(CONCATENATE(Table43[[#This Row],[Nama            KLP]]," ",Table43[[#This Row],[Nama            Sub KLP]]))</f>
        <v>KECAP MANIS</v>
      </c>
      <c r="K16" s="4" t="str">
        <f>CONCATENATE(Table43[[#This Row],[kode  2 Digit                (hrf+No)]],Table43[[#This Row],[kode  2 Digit                (Nomor)]],Table43[[#This Row],[kode  1 Digit                (Nomor)]])</f>
        <v>A1011</v>
      </c>
      <c r="L16" s="4" t="str">
        <f>IF(AG16="",CONCATENATE(Q16,S16,U16,W16,Y16,AA16,AC16,AE16,Table43[[#This Row],[Tanda Kode Revisi]]),CONCATENATE(Q16,S16,U16,W16,Y16,AA16,AC16,AG16))</f>
        <v>A1011000060011</v>
      </c>
      <c r="M16" s="11">
        <f>LEN(L16)</f>
        <v>14</v>
      </c>
      <c r="N16" s="14" t="str">
        <f>IF(AF16&lt;&gt;"",TRIM(UPPER(CONCATENATE(P16," ",R16," ",T16," ",V16," ",X16," ",Z16," ","X"," ",Table43[[#This Row],[ISI/CTN]]," ",AF16," ",AB16," ",AD16," ",AH16))),TRIM(UPPER(CONCATENATE(P16," ",R16," ",T16," ",V16," ",X16," ",Z16," ","X"," ",Table43[[#This Row],[ISI/CTN]]," ",AB16," ",AD16," ",AH16))))</f>
        <v>ABC KECAP MANIS 600 GR X PCH BANDED</v>
      </c>
      <c r="O16" s="11">
        <f>LEN(N16)</f>
        <v>35</v>
      </c>
      <c r="P16" s="4" t="s">
        <v>28</v>
      </c>
      <c r="Q16" s="7" t="s">
        <v>85</v>
      </c>
      <c r="R16" s="4" t="s">
        <v>474</v>
      </c>
      <c r="S16" s="43" t="s">
        <v>0</v>
      </c>
      <c r="T16" s="44" t="s">
        <v>475</v>
      </c>
      <c r="U16" s="7">
        <v>1</v>
      </c>
      <c r="V16" s="44"/>
      <c r="W16" s="43" t="s">
        <v>1</v>
      </c>
      <c r="Y16" s="45" t="s">
        <v>476</v>
      </c>
      <c r="Z16" s="4" t="s">
        <v>495</v>
      </c>
      <c r="AA16" s="45" t="s">
        <v>218</v>
      </c>
      <c r="AB16" s="4" t="s">
        <v>479</v>
      </c>
      <c r="AC16" s="7" t="s">
        <v>480</v>
      </c>
      <c r="AD16" s="4" t="s">
        <v>496</v>
      </c>
      <c r="AE16" s="7">
        <v>1</v>
      </c>
      <c r="AI16" s="7" t="s">
        <v>215</v>
      </c>
      <c r="AJ16" s="7">
        <v>1</v>
      </c>
      <c r="AL16" s="40">
        <f>Table43[[#This Row],[Harga Jual Pcs GT
(-PPN)]]-(Table43[[#This Row],[Harga Jual Pcs GT
(-PPN)]]*6%)</f>
        <v>16126.64</v>
      </c>
      <c r="AM16" s="41">
        <f>Table43[[#This Row],[Harga Beli Pcs
(-PPN)]]*Table43[[#This Row],[ISI/CTN]]</f>
        <v>0</v>
      </c>
      <c r="AN16" s="41">
        <f>Table43[[#This Row],[Harga Beli Pcs
(-PPN)]]*1.11</f>
        <v>17900.570400000001</v>
      </c>
      <c r="AO16" s="41">
        <f>Table43[[#This Row],[Harga Beli Krt
(- PPN)]]*1.11</f>
        <v>0</v>
      </c>
      <c r="AP16" s="41">
        <v>17156</v>
      </c>
      <c r="AQ16" s="41">
        <f>Table43[[#This Row],[Harga Jual Pcs GT
(-PPN)]]*Table43[[#This Row],[ISI/CTN]]</f>
        <v>0</v>
      </c>
      <c r="AR16" s="41">
        <f>Table43[[#This Row],[Harga Jual Pcs GT
(-PPN)]]*1.11</f>
        <v>19043.160000000003</v>
      </c>
      <c r="AS16" s="41">
        <f>Table43[[#This Row],[Harga Jual Krt GT
(- PPN)]]*1.11</f>
        <v>0</v>
      </c>
      <c r="AT16" s="41">
        <v>18528.48</v>
      </c>
      <c r="AU16" s="41">
        <f>(Table43[[#This Row],[Harga Jual Pcs MT
(-PPN)]]*Table43[[#This Row],[ISI/CTN]])</f>
        <v>0</v>
      </c>
      <c r="AV16" s="41">
        <f>Table43[[#This Row],[Harga Jual Pcs MT
(-PPN)]]*1.11</f>
        <v>20566.612800000003</v>
      </c>
      <c r="AW16" s="41">
        <f>Table43[[#This Row],[Harga Jual Pcs MT
(+PPN)]]*Table43[[#This Row],[ISI/CTN]]</f>
        <v>0</v>
      </c>
      <c r="AX16" s="41"/>
      <c r="AY16" s="46">
        <v>46059</v>
      </c>
      <c r="AZ16" s="54"/>
      <c r="BA16" s="7" t="str">
        <f ca="1">IF(TODAY()-Table43[[#This Row],[Efektif
Pembuatan]]&gt;60,"Lama","Baru")</f>
        <v>Lama</v>
      </c>
      <c r="BB16" s="7" t="str">
        <f ca="1">IF(TODAY()-Table43[[#This Row],[Efektif Naik Harga]]&lt;30,"Naik","Sama")</f>
        <v>Sama</v>
      </c>
      <c r="BC16" s="7" t="s">
        <v>1101</v>
      </c>
      <c r="BD16" s="7" t="str">
        <f>IF(Table43[[#This Row],[Kode BARANG Win2]]&lt;&gt;"","IDR","")</f>
        <v>IDR</v>
      </c>
      <c r="BE16" s="7" t="str">
        <f>CONCATENATE(Table43[[#This Row],[kode  1 Digit
(Nomor)]],Table43[[#This Row],[kode  4 Digit                (Nomor)]])</f>
        <v>10600</v>
      </c>
      <c r="BF16" s="7" t="str">
        <f>Table43[[#This Row],[Nama            Gramasi atau Jumlah Pack per CTN]]</f>
        <v>600 GR</v>
      </c>
      <c r="BG16" s="7" t="s">
        <v>653</v>
      </c>
      <c r="BH16" s="51" t="s">
        <v>654</v>
      </c>
      <c r="BI16" s="4" t="str">
        <f>IF(Table43[[#This Row],[SATUAN Fix Win]]&lt;&gt;"","KRT")</f>
        <v>KRT</v>
      </c>
      <c r="BJ16" s="4" t="str">
        <f>IF(Table43[[#This Row],[SATUAN Fix Win]]&lt;&gt;"","GD01")</f>
        <v>GD01</v>
      </c>
      <c r="BK16" s="4">
        <f>IF(Table43[[#This Row],[SATUAN Fix Win]]&lt;&gt;"",11611)</f>
        <v>11611</v>
      </c>
      <c r="BL16" s="4">
        <f>IF(Table43[[#This Row],[SATUAN Fix Win]]&lt;&gt;"",11612)</f>
        <v>11612</v>
      </c>
      <c r="BM16" s="47" t="s">
        <v>655</v>
      </c>
      <c r="BN16" s="4">
        <f>IF(Table43[[#This Row],[SATUAN Fix Win]]&lt;&gt;"",1)</f>
        <v>1</v>
      </c>
      <c r="BO16" s="4" t="s">
        <v>656</v>
      </c>
      <c r="BP16" s="4">
        <f>IFERROR(VLOOKUP(Table43[[#This Row],[Kode Pcpl]],'[1]HEINZ ABC'!$A$4:$E$112,8,0),0)</f>
        <v>0</v>
      </c>
      <c r="BQ16" s="55">
        <f>Table43[[#This Row],[Harga Jual Pcs GT
(-PPN)]]-Table43[[#This Row],[HARGA NAIK GT]]</f>
        <v>17156</v>
      </c>
      <c r="BR16" s="4">
        <f>IF(Table43[[#This Row],[HARGA NAIK GT]]=0,Table43[[#This Row],[Harga Jual Pcs GT
(-PPN)]],Table43[[#This Row],[HARGA NAIK GT]])</f>
        <v>17156</v>
      </c>
      <c r="BT16" s="58"/>
    </row>
    <row r="17" spans="1:76" x14ac:dyDescent="0.25">
      <c r="A17" s="4" t="str">
        <f>CONCATENATE(Table43[[#This Row],[Kode BARANG Win2]],Table43[[#This Row],[No. Urut
Item Sama]])</f>
        <v>A10110000275201</v>
      </c>
      <c r="B17" s="7">
        <v>1</v>
      </c>
      <c r="C17" s="4">
        <v>11</v>
      </c>
      <c r="D17" s="27">
        <v>100162</v>
      </c>
      <c r="E17" s="27" t="s">
        <v>237</v>
      </c>
      <c r="F17" s="27" t="s">
        <v>246</v>
      </c>
      <c r="G17" s="27">
        <v>24</v>
      </c>
      <c r="H17" s="42">
        <v>0</v>
      </c>
      <c r="I17" s="27" t="str">
        <f>Table43[[#This Row],[Nama Jenis Kemasan]]</f>
        <v>BTL</v>
      </c>
      <c r="J17" s="4" t="str">
        <f>TRIM(CONCATENATE(Table43[[#This Row],[Nama            KLP]]," ",Table43[[#This Row],[Nama            Sub KLP]]))</f>
        <v>KECAP MANIS</v>
      </c>
      <c r="K17" s="4" t="str">
        <f>CONCATENATE(Table43[[#This Row],[kode  2 Digit                (hrf+No)]],Table43[[#This Row],[kode  2 Digit                (Nomor)]],Table43[[#This Row],[kode  1 Digit                (Nomor)]])</f>
        <v>A1011</v>
      </c>
      <c r="L17" s="4" t="str">
        <f>IF(AG17="",CONCATENATE(Q17,S17,U17,W17,Y17,AA17,AC17,AE17,Table43[[#This Row],[Tanda Kode Revisi]]),CONCATENATE(Q17,S17,U17,W17,Y17,AA17,AC17,AG17))</f>
        <v>A1011000027520</v>
      </c>
      <c r="M17" s="11">
        <f t="shared" si="0"/>
        <v>14</v>
      </c>
      <c r="N17" s="14" t="str">
        <f>IF(AF17&lt;&gt;"",TRIM(UPPER(CONCATENATE(P17," ",R17," ",T17," ",V17," ",X17," ",Z17," ","X"," ",Table43[[#This Row],[ISI/CTN]]," ",AF17," ",AB17," ",AD17," ",AH17))),TRIM(UPPER(CONCATENATE(P17," ",R17," ",T17," ",V17," ",X17," ",Z17," ","X"," ",Table43[[#This Row],[ISI/CTN]]," ",AB17," ",AD17," ",AH17))))</f>
        <v>ABC KECAP MANIS 275 ML X 24 BTL</v>
      </c>
      <c r="O17" s="11">
        <f t="shared" si="1"/>
        <v>31</v>
      </c>
      <c r="P17" s="4" t="s">
        <v>28</v>
      </c>
      <c r="Q17" s="7" t="s">
        <v>85</v>
      </c>
      <c r="R17" s="4" t="s">
        <v>474</v>
      </c>
      <c r="S17" s="43" t="s">
        <v>0</v>
      </c>
      <c r="T17" s="44" t="s">
        <v>475</v>
      </c>
      <c r="U17" s="7">
        <v>1</v>
      </c>
      <c r="V17" s="44"/>
      <c r="W17" s="43" t="s">
        <v>1</v>
      </c>
      <c r="Y17" s="45" t="s">
        <v>476</v>
      </c>
      <c r="Z17" s="4" t="s">
        <v>490</v>
      </c>
      <c r="AA17" s="45" t="s">
        <v>491</v>
      </c>
      <c r="AB17" s="4" t="s">
        <v>486</v>
      </c>
      <c r="AC17" s="7" t="s">
        <v>492</v>
      </c>
      <c r="AE17" s="7">
        <v>0</v>
      </c>
      <c r="AI17" s="7" t="s">
        <v>214</v>
      </c>
      <c r="AJ17" s="7">
        <v>2</v>
      </c>
      <c r="AL17" s="40">
        <f>Table43[[#This Row],[Harga Jual Pcs GT
(-PPN)]]-(Table43[[#This Row],[Harga Jual Pcs GT
(-PPN)]]*6%)</f>
        <v>15649.731000000002</v>
      </c>
      <c r="AM17" s="41">
        <f>Table43[[#This Row],[Harga Beli Pcs
(-PPN)]]*Table43[[#This Row],[ISI/CTN]]</f>
        <v>375593.54400000005</v>
      </c>
      <c r="AN17" s="41">
        <f>Table43[[#This Row],[Harga Beli Pcs
(-PPN)]]*1.11</f>
        <v>17371.201410000001</v>
      </c>
      <c r="AO17" s="41">
        <f>Table43[[#This Row],[Harga Beli Krt
(- PPN)]]*1.11</f>
        <v>416908.83384000009</v>
      </c>
      <c r="AP17" s="41">
        <v>16648.650000000001</v>
      </c>
      <c r="AQ17" s="41">
        <f>Table43[[#This Row],[Harga Jual Pcs GT
(-PPN)]]*Table43[[#This Row],[ISI/CTN]]</f>
        <v>399567.60000000003</v>
      </c>
      <c r="AR17" s="41">
        <f>Table43[[#This Row],[Harga Jual Pcs GT
(-PPN)]]*1.11</f>
        <v>18480.001500000002</v>
      </c>
      <c r="AS17" s="41">
        <f>Table43[[#This Row],[Harga Jual Krt GT
(- PPN)]]*1.11</f>
        <v>443520.03600000008</v>
      </c>
      <c r="AT17" s="41">
        <v>17980.54</v>
      </c>
      <c r="AU17" s="41">
        <f>(Table43[[#This Row],[Harga Jual Pcs MT
(-PPN)]]*Table43[[#This Row],[ISI/CTN]])</f>
        <v>431532.96</v>
      </c>
      <c r="AV17" s="41">
        <f>Table43[[#This Row],[Harga Jual Pcs MT
(-PPN)]]*1.11</f>
        <v>19958.399400000002</v>
      </c>
      <c r="AW17" s="41">
        <f>Table43[[#This Row],[Harga Jual Pcs MT
(+PPN)]]*Table43[[#This Row],[ISI/CTN]]</f>
        <v>479001.58560000005</v>
      </c>
      <c r="AX17" s="41"/>
      <c r="AY17" s="46">
        <v>45553</v>
      </c>
      <c r="AZ17" s="54">
        <v>45553</v>
      </c>
      <c r="BA17" s="7" t="str">
        <f ca="1">IF(TODAY()-Table43[[#This Row],[Efektif
Pembuatan]]&gt;60,"Lama","Baru")</f>
        <v>Lama</v>
      </c>
      <c r="BB17" s="7" t="str">
        <f ca="1">IF(TODAY()-Table43[[#This Row],[Efektif Naik Harga]]&lt;30,"Naik","Sama")</f>
        <v>Sama</v>
      </c>
      <c r="BC17" s="7" t="s">
        <v>235</v>
      </c>
      <c r="BD17" s="7" t="str">
        <f>IF(Table43[[#This Row],[Kode BARANG Win2]]&lt;&gt;"","IDR","")</f>
        <v>IDR</v>
      </c>
      <c r="BE17" s="7" t="str">
        <f>CONCATENATE(Table43[[#This Row],[kode  1 Digit
(Nomor)]],Table43[[#This Row],[kode  4 Digit                (Nomor)]])</f>
        <v>20275</v>
      </c>
      <c r="BF17" s="7" t="str">
        <f>Table43[[#This Row],[Nama            Gramasi atau Jumlah Pack per CTN]]</f>
        <v>275 ML</v>
      </c>
      <c r="BG17" s="7" t="s">
        <v>653</v>
      </c>
      <c r="BH17" s="51" t="s">
        <v>654</v>
      </c>
      <c r="BI17" s="4" t="str">
        <f>IF(Table43[[#This Row],[SATUAN Fix Win]]&lt;&gt;"","KRT")</f>
        <v>KRT</v>
      </c>
      <c r="BJ17" s="4" t="str">
        <f>IF(Table43[[#This Row],[SATUAN Fix Win]]&lt;&gt;"","GD01")</f>
        <v>GD01</v>
      </c>
      <c r="BK17" s="4">
        <f>IF(Table43[[#This Row],[SATUAN Fix Win]]&lt;&gt;"",11611)</f>
        <v>11611</v>
      </c>
      <c r="BL17" s="4">
        <f>IF(Table43[[#This Row],[SATUAN Fix Win]]&lt;&gt;"",11612)</f>
        <v>11612</v>
      </c>
      <c r="BM17" s="47" t="s">
        <v>655</v>
      </c>
      <c r="BN17" s="4">
        <f>IF(Table43[[#This Row],[SATUAN Fix Win]]&lt;&gt;"",1)</f>
        <v>1</v>
      </c>
      <c r="BO17" s="4" t="s">
        <v>656</v>
      </c>
      <c r="BP17" s="4">
        <f>IFERROR(VLOOKUP(Table43[[#This Row],[Kode Pcpl]],'[1]HEINZ ABC'!$A$4:$E$112,8,0),0)</f>
        <v>0</v>
      </c>
      <c r="BQ17" s="55">
        <f>Table43[[#This Row],[Harga Jual Pcs GT
(-PPN)]]-Table43[[#This Row],[HARGA NAIK GT]]</f>
        <v>16648.650000000001</v>
      </c>
      <c r="BR17" s="4">
        <f>IF(Table43[[#This Row],[HARGA NAIK GT]]=0,Table43[[#This Row],[Harga Jual Pcs GT
(-PPN)]],Table43[[#This Row],[HARGA NAIK GT]])</f>
        <v>16648.650000000001</v>
      </c>
      <c r="BS17">
        <f>IFERROR(VLOOKUP(Table43[[#This Row],[Kode Pcpl]],'[1]HEINZ ABC'!$A$4:$E$112,8,0),0)</f>
        <v>0</v>
      </c>
      <c r="BT17" s="58">
        <f>Table43[[#This Row],[Harga Jual Pcs GT
(-PPN)]]-BS17</f>
        <v>16648.650000000001</v>
      </c>
      <c r="BU17">
        <f>IF(BS17=0,Table43[[#This Row],[Harga Jual Pcs MT
(-PPN)]])</f>
        <v>17980.54</v>
      </c>
      <c r="BV17">
        <f>IFERROR(VLOOKUP(Table43[[#This Row],[Kode Pcpl]],[2]Pricelist!$A$4:$K$112,11,0),0)</f>
        <v>0</v>
      </c>
      <c r="BW17">
        <f>IFERROR(VLOOKUP(Table43[[#This Row],[Kode BARANG Win2]],[3]!RECKITT211216[[KDBRG]:[HRG_JL_PCS-PPN]],11,0),0)</f>
        <v>0</v>
      </c>
      <c r="BX17">
        <f t="shared" si="2"/>
        <v>0</v>
      </c>
    </row>
    <row r="18" spans="1:76" x14ac:dyDescent="0.25">
      <c r="A18" s="4" t="str">
        <f>CONCATENATE(Table43[[#This Row],[Kode BARANG Win2]],Table43[[#This Row],[No. Urut
Item Sama]])</f>
        <v>A10110000275202</v>
      </c>
      <c r="B18" s="7">
        <v>2</v>
      </c>
      <c r="C18" s="4">
        <v>12</v>
      </c>
      <c r="D18" s="27">
        <v>100236</v>
      </c>
      <c r="E18" s="27" t="s">
        <v>237</v>
      </c>
      <c r="F18" s="27" t="s">
        <v>246</v>
      </c>
      <c r="G18" s="27">
        <v>24</v>
      </c>
      <c r="H18" s="42" t="s">
        <v>2683</v>
      </c>
      <c r="I18" s="27" t="str">
        <f>Table43[[#This Row],[Nama Jenis Kemasan]]</f>
        <v>BTL</v>
      </c>
      <c r="J18" s="4" t="str">
        <f>TRIM(CONCATENATE(Table43[[#This Row],[Nama            KLP]]," ",Table43[[#This Row],[Nama            Sub KLP]]))</f>
        <v>KECAP MANIS</v>
      </c>
      <c r="K18" s="4" t="str">
        <f>CONCATENATE(Table43[[#This Row],[kode  2 Digit                (hrf+No)]],Table43[[#This Row],[kode  2 Digit                (Nomor)]],Table43[[#This Row],[kode  1 Digit                (Nomor)]])</f>
        <v>A1011</v>
      </c>
      <c r="L18" s="4" t="str">
        <f>IF(AG18="",CONCATENATE(Q18,S18,U18,W18,Y18,AA18,AC18,AE18,Table43[[#This Row],[Tanda Kode Revisi]]),CONCATENATE(Q18,S18,U18,W18,Y18,AA18,AC18,AG18))</f>
        <v>A1011000027520</v>
      </c>
      <c r="M18" s="11">
        <f t="shared" si="0"/>
        <v>14</v>
      </c>
      <c r="N18" s="14" t="str">
        <f>IF(AF18&lt;&gt;"",TRIM(UPPER(CONCATENATE(P18," ",R18," ",T18," ",V18," ",X18," ",Z18," ","X"," ",Table43[[#This Row],[ISI/CTN]]," ",AF18," ",AB18," ",AD18," ",AH18))),TRIM(UPPER(CONCATENATE(P18," ",R18," ",T18," ",V18," ",X18," ",Z18," ","X"," ",Table43[[#This Row],[ISI/CTN]]," ",AB18," ",AD18," ",AH18))))</f>
        <v>ABC KECAP MANIS 275 ML X 24 BTL</v>
      </c>
      <c r="O18" s="11">
        <f t="shared" si="1"/>
        <v>31</v>
      </c>
      <c r="P18" s="4" t="s">
        <v>28</v>
      </c>
      <c r="Q18" s="7" t="s">
        <v>85</v>
      </c>
      <c r="R18" s="4" t="s">
        <v>474</v>
      </c>
      <c r="S18" s="43" t="s">
        <v>0</v>
      </c>
      <c r="T18" s="44" t="s">
        <v>475</v>
      </c>
      <c r="U18" s="7">
        <v>1</v>
      </c>
      <c r="V18" s="44"/>
      <c r="W18" s="43" t="s">
        <v>1</v>
      </c>
      <c r="Y18" s="45" t="s">
        <v>476</v>
      </c>
      <c r="Z18" s="4" t="s">
        <v>490</v>
      </c>
      <c r="AA18" s="45" t="s">
        <v>491</v>
      </c>
      <c r="AB18" s="4" t="s">
        <v>486</v>
      </c>
      <c r="AC18" s="7" t="s">
        <v>492</v>
      </c>
      <c r="AE18" s="7">
        <v>0</v>
      </c>
      <c r="AI18" s="7" t="s">
        <v>214</v>
      </c>
      <c r="AJ18" s="7">
        <v>2</v>
      </c>
      <c r="AL18" s="40">
        <f>Table43[[#This Row],[Harga Jual Pcs GT
(-PPN)]]-(Table43[[#This Row],[Harga Jual Pcs GT
(-PPN)]]*6%)</f>
        <v>15649.731000000002</v>
      </c>
      <c r="AM18" s="41">
        <f>Table43[[#This Row],[Harga Beli Pcs
(-PPN)]]*Table43[[#This Row],[ISI/CTN]]</f>
        <v>375593.54400000005</v>
      </c>
      <c r="AN18" s="41">
        <f>Table43[[#This Row],[Harga Beli Pcs
(-PPN)]]*1.11</f>
        <v>17371.201410000001</v>
      </c>
      <c r="AO18" s="41">
        <f>Table43[[#This Row],[Harga Beli Krt
(- PPN)]]*1.11</f>
        <v>416908.83384000009</v>
      </c>
      <c r="AP18" s="41">
        <v>16648.650000000001</v>
      </c>
      <c r="AQ18" s="41">
        <f>Table43[[#This Row],[Harga Jual Pcs GT
(-PPN)]]*Table43[[#This Row],[ISI/CTN]]</f>
        <v>399567.60000000003</v>
      </c>
      <c r="AR18" s="41">
        <f>Table43[[#This Row],[Harga Jual Pcs GT
(-PPN)]]*1.11</f>
        <v>18480.001500000002</v>
      </c>
      <c r="AS18" s="41">
        <f>Table43[[#This Row],[Harga Jual Krt GT
(- PPN)]]*1.11</f>
        <v>443520.03600000008</v>
      </c>
      <c r="AT18" s="41">
        <v>17980.54</v>
      </c>
      <c r="AU18" s="41">
        <f>(Table43[[#This Row],[Harga Jual Pcs MT
(-PPN)]]*Table43[[#This Row],[ISI/CTN]])</f>
        <v>431532.96</v>
      </c>
      <c r="AV18" s="41">
        <f>Table43[[#This Row],[Harga Jual Pcs MT
(-PPN)]]*1.11</f>
        <v>19958.399400000002</v>
      </c>
      <c r="AW18" s="41">
        <f>Table43[[#This Row],[Harga Jual Pcs MT
(+PPN)]]*Table43[[#This Row],[ISI/CTN]]</f>
        <v>479001.58560000005</v>
      </c>
      <c r="AX18" s="41"/>
      <c r="AY18" s="46">
        <v>45565</v>
      </c>
      <c r="AZ18" s="54">
        <v>45553</v>
      </c>
      <c r="BA18" s="7" t="str">
        <f ca="1">IF(TODAY()-Table43[[#This Row],[Efektif
Pembuatan]]&gt;60,"Lama","Baru")</f>
        <v>Lama</v>
      </c>
      <c r="BB18" s="7" t="str">
        <f ca="1">IF(TODAY()-Table43[[#This Row],[Efektif Naik Harga]]&lt;30,"Naik","Sama")</f>
        <v>Sama</v>
      </c>
      <c r="BC18" s="7" t="s">
        <v>235</v>
      </c>
      <c r="BD18" s="7" t="str">
        <f>IF(Table43[[#This Row],[Kode BARANG Win2]]&lt;&gt;"","IDR","")</f>
        <v>IDR</v>
      </c>
      <c r="BE18" s="7" t="str">
        <f>CONCATENATE(Table43[[#This Row],[kode  1 Digit
(Nomor)]],Table43[[#This Row],[kode  4 Digit                (Nomor)]])</f>
        <v>20275</v>
      </c>
      <c r="BF18" s="7" t="str">
        <f>Table43[[#This Row],[Nama            Gramasi atau Jumlah Pack per CTN]]</f>
        <v>275 ML</v>
      </c>
      <c r="BG18" s="7" t="s">
        <v>653</v>
      </c>
      <c r="BH18" s="51" t="s">
        <v>654</v>
      </c>
      <c r="BI18" s="4" t="str">
        <f>IF(Table43[[#This Row],[SATUAN Fix Win]]&lt;&gt;"","KRT")</f>
        <v>KRT</v>
      </c>
      <c r="BJ18" s="4" t="str">
        <f>IF(Table43[[#This Row],[SATUAN Fix Win]]&lt;&gt;"","GD01")</f>
        <v>GD01</v>
      </c>
      <c r="BK18" s="4">
        <f>IF(Table43[[#This Row],[SATUAN Fix Win]]&lt;&gt;"",11611)</f>
        <v>11611</v>
      </c>
      <c r="BL18" s="4">
        <f>IF(Table43[[#This Row],[SATUAN Fix Win]]&lt;&gt;"",11612)</f>
        <v>11612</v>
      </c>
      <c r="BM18" s="47" t="s">
        <v>655</v>
      </c>
      <c r="BN18" s="4">
        <f>IF(Table43[[#This Row],[SATUAN Fix Win]]&lt;&gt;"",1)</f>
        <v>1</v>
      </c>
      <c r="BO18" s="4" t="s">
        <v>656</v>
      </c>
      <c r="BP18" s="4">
        <f>IFERROR(VLOOKUP(Table43[[#This Row],[Kode Pcpl]],'[1]HEINZ ABC'!$A$4:$E$112,8,0),0)</f>
        <v>0</v>
      </c>
      <c r="BQ18" s="55">
        <f>Table43[[#This Row],[Harga Jual Pcs GT
(-PPN)]]-Table43[[#This Row],[HARGA NAIK GT]]</f>
        <v>16648.650000000001</v>
      </c>
      <c r="BR18" s="4">
        <f>IF(Table43[[#This Row],[HARGA NAIK GT]]=0,Table43[[#This Row],[Harga Jual Pcs GT
(-PPN)]],Table43[[#This Row],[HARGA NAIK GT]])</f>
        <v>16648.650000000001</v>
      </c>
      <c r="BS18">
        <f>IFERROR(VLOOKUP(Table43[[#This Row],[Kode Pcpl]],'[1]HEINZ ABC'!$A$4:$E$112,8,0),0)</f>
        <v>0</v>
      </c>
      <c r="BT18" s="58">
        <f>Table43[[#This Row],[Harga Jual Pcs GT
(-PPN)]]-BS18</f>
        <v>16648.650000000001</v>
      </c>
      <c r="BU18">
        <f>IF(BS18=0,Table43[[#This Row],[Harga Jual Pcs MT
(-PPN)]])</f>
        <v>17980.54</v>
      </c>
      <c r="BV18">
        <f>IFERROR(VLOOKUP(Table43[[#This Row],[Kode Pcpl]],[2]Pricelist!$A$4:$K$112,11,0),0)</f>
        <v>0</v>
      </c>
      <c r="BW18">
        <f>IFERROR(VLOOKUP(Table43[[#This Row],[Kode BARANG Win2]],[3]!RECKITT211216[[KDBRG]:[HRG_JL_PCS-PPN]],11,0),0)</f>
        <v>0</v>
      </c>
      <c r="BX18">
        <f t="shared" si="2"/>
        <v>0</v>
      </c>
    </row>
    <row r="19" spans="1:76" x14ac:dyDescent="0.25">
      <c r="A19" s="4" t="str">
        <f>CONCATENATE(Table43[[#This Row],[Kode BARANG Win2]],Table43[[#This Row],[No. Urut
Item Sama]])</f>
        <v>A10110000300101</v>
      </c>
      <c r="B19" s="7">
        <v>1</v>
      </c>
      <c r="C19" s="4">
        <v>13</v>
      </c>
      <c r="D19" s="27">
        <v>100158</v>
      </c>
      <c r="E19" s="27" t="s">
        <v>237</v>
      </c>
      <c r="F19" s="27" t="s">
        <v>247</v>
      </c>
      <c r="G19" s="27">
        <v>24</v>
      </c>
      <c r="H19" s="42" t="s">
        <v>2749</v>
      </c>
      <c r="I19" s="27" t="str">
        <f>Table43[[#This Row],[Nama Jenis Kemasan]]</f>
        <v>PCH</v>
      </c>
      <c r="J19" s="4" t="str">
        <f>TRIM(CONCATENATE(Table43[[#This Row],[Nama            KLP]]," ",Table43[[#This Row],[Nama            Sub KLP]]))</f>
        <v>KECAP MANIS</v>
      </c>
      <c r="K19" s="4" t="str">
        <f>CONCATENATE(Table43[[#This Row],[kode  2 Digit                (hrf+No)]],Table43[[#This Row],[kode  2 Digit                (Nomor)]],Table43[[#This Row],[kode  1 Digit                (Nomor)]])</f>
        <v>A1011</v>
      </c>
      <c r="L19" s="4" t="str">
        <f>IF(AG19="",CONCATENATE(Q19,S19,U19,W19,Y19,AA19,AC19,AE19,Table43[[#This Row],[Tanda Kode Revisi]]),CONCATENATE(Q19,S19,U19,W19,Y19,AA19,AC19,AG19))</f>
        <v>A1011000030010</v>
      </c>
      <c r="M19" s="11">
        <f t="shared" si="0"/>
        <v>14</v>
      </c>
      <c r="N19" s="14" t="str">
        <f>IF(AF19&lt;&gt;"",TRIM(UPPER(CONCATENATE(P19," ",R19," ",T19," ",V19," ",X19," ",Z19," ","X"," ",Table43[[#This Row],[ISI/CTN]]," ",AF19," ",AB19," ",AD19," ",AH19))),TRIM(UPPER(CONCATENATE(P19," ",R19," ",T19," ",V19," ",X19," ",Z19," ","X"," ",Table43[[#This Row],[ISI/CTN]]," ",AB19," ",AD19," ",AH19))))</f>
        <v>ABC KECAP MANIS 300 GR X 24 PCH</v>
      </c>
      <c r="O19" s="11">
        <f t="shared" si="1"/>
        <v>31</v>
      </c>
      <c r="P19" s="4" t="s">
        <v>28</v>
      </c>
      <c r="Q19" s="7" t="s">
        <v>85</v>
      </c>
      <c r="R19" s="4" t="s">
        <v>474</v>
      </c>
      <c r="S19" s="43" t="s">
        <v>0</v>
      </c>
      <c r="T19" s="44" t="s">
        <v>475</v>
      </c>
      <c r="U19" s="7">
        <v>1</v>
      </c>
      <c r="V19" s="44"/>
      <c r="W19" s="43" t="s">
        <v>1</v>
      </c>
      <c r="Y19" s="45" t="s">
        <v>476</v>
      </c>
      <c r="Z19" s="4" t="s">
        <v>493</v>
      </c>
      <c r="AA19" s="45" t="s">
        <v>494</v>
      </c>
      <c r="AB19" s="4" t="s">
        <v>479</v>
      </c>
      <c r="AC19" s="7" t="s">
        <v>480</v>
      </c>
      <c r="AE19" s="7" t="s">
        <v>1</v>
      </c>
      <c r="AI19" s="7" t="s">
        <v>215</v>
      </c>
      <c r="AJ19" s="7">
        <v>1</v>
      </c>
      <c r="AL19" s="40">
        <f>Table43[[#This Row],[Harga Jual Pcs GT
(-PPN)]]-(Table43[[#This Row],[Harga Jual Pcs GT
(-PPN)]]*6%)</f>
        <v>8383.7847999999994</v>
      </c>
      <c r="AM19" s="41">
        <f>Table43[[#This Row],[Harga Beli Pcs
(-PPN)]]*Table43[[#This Row],[ISI/CTN]]</f>
        <v>201210.83519999997</v>
      </c>
      <c r="AN19" s="41">
        <f>Table43[[#This Row],[Harga Beli Pcs
(-PPN)]]*1.11</f>
        <v>9306.0011279999999</v>
      </c>
      <c r="AO19" s="41">
        <f>Table43[[#This Row],[Harga Beli Krt
(- PPN)]]*1.11</f>
        <v>223344.027072</v>
      </c>
      <c r="AP19" s="41">
        <v>8918.92</v>
      </c>
      <c r="AQ19" s="41">
        <f>Table43[[#This Row],[Harga Jual Pcs GT
(-PPN)]]*Table43[[#This Row],[ISI/CTN]]</f>
        <v>214054.08000000002</v>
      </c>
      <c r="AR19" s="41">
        <f>Table43[[#This Row],[Harga Jual Pcs GT
(-PPN)]]*1.11</f>
        <v>9900.0012000000006</v>
      </c>
      <c r="AS19" s="41">
        <f>Table43[[#This Row],[Harga Jual Krt GT
(- PPN)]]*1.11</f>
        <v>237600.02880000003</v>
      </c>
      <c r="AT19" s="41">
        <v>9632.43</v>
      </c>
      <c r="AU19" s="41">
        <f>(Table43[[#This Row],[Harga Jual Pcs MT
(-PPN)]]*Table43[[#This Row],[ISI/CTN]])</f>
        <v>231178.32</v>
      </c>
      <c r="AV19" s="41">
        <f>Table43[[#This Row],[Harga Jual Pcs MT
(-PPN)]]*1.11</f>
        <v>10691.997300000001</v>
      </c>
      <c r="AW19" s="41">
        <f>Table43[[#This Row],[Harga Jual Pcs MT
(+PPN)]]*Table43[[#This Row],[ISI/CTN]]</f>
        <v>256607.93520000001</v>
      </c>
      <c r="AX19" s="41"/>
      <c r="AY19" s="46">
        <v>45553</v>
      </c>
      <c r="AZ19" s="54">
        <v>45553</v>
      </c>
      <c r="BA19" s="7" t="str">
        <f ca="1">IF(TODAY()-Table43[[#This Row],[Efektif
Pembuatan]]&gt;60,"Lama","Baru")</f>
        <v>Lama</v>
      </c>
      <c r="BB19" s="7" t="str">
        <f ca="1">IF(TODAY()-Table43[[#This Row],[Efektif Naik Harga]]&lt;30,"Naik","Sama")</f>
        <v>Sama</v>
      </c>
      <c r="BC19" s="7" t="s">
        <v>235</v>
      </c>
      <c r="BD19" s="7" t="str">
        <f>IF(Table43[[#This Row],[Kode BARANG Win2]]&lt;&gt;"","IDR","")</f>
        <v>IDR</v>
      </c>
      <c r="BE19" s="7" t="str">
        <f>CONCATENATE(Table43[[#This Row],[kode  1 Digit
(Nomor)]],Table43[[#This Row],[kode  4 Digit                (Nomor)]])</f>
        <v>10300</v>
      </c>
      <c r="BF19" s="7" t="str">
        <f>Table43[[#This Row],[Nama            Gramasi atau Jumlah Pack per CTN]]</f>
        <v>300 GR</v>
      </c>
      <c r="BG19" s="7" t="s">
        <v>653</v>
      </c>
      <c r="BH19" s="51" t="s">
        <v>654</v>
      </c>
      <c r="BI19" s="4" t="str">
        <f>IF(Table43[[#This Row],[SATUAN Fix Win]]&lt;&gt;"","KRT")</f>
        <v>KRT</v>
      </c>
      <c r="BJ19" s="4" t="str">
        <f>IF(Table43[[#This Row],[SATUAN Fix Win]]&lt;&gt;"","GD01")</f>
        <v>GD01</v>
      </c>
      <c r="BK19" s="4">
        <f>IF(Table43[[#This Row],[SATUAN Fix Win]]&lt;&gt;"",11611)</f>
        <v>11611</v>
      </c>
      <c r="BL19" s="4">
        <f>IF(Table43[[#This Row],[SATUAN Fix Win]]&lt;&gt;"",11612)</f>
        <v>11612</v>
      </c>
      <c r="BM19" s="47" t="s">
        <v>655</v>
      </c>
      <c r="BN19" s="4">
        <f>IF(Table43[[#This Row],[SATUAN Fix Win]]&lt;&gt;"",1)</f>
        <v>1</v>
      </c>
      <c r="BO19" s="4" t="s">
        <v>656</v>
      </c>
      <c r="BP19" s="4">
        <f>IFERROR(VLOOKUP(Table43[[#This Row],[Kode Pcpl]],'[1]HEINZ ABC'!$A$4:$E$112,8,0),0)</f>
        <v>0</v>
      </c>
      <c r="BQ19" s="55">
        <f>Table43[[#This Row],[Harga Jual Pcs GT
(-PPN)]]-Table43[[#This Row],[HARGA NAIK GT]]</f>
        <v>8918.92</v>
      </c>
      <c r="BR19" s="4">
        <f>IF(Table43[[#This Row],[HARGA NAIK GT]]=0,Table43[[#This Row],[Harga Jual Pcs GT
(-PPN)]],Table43[[#This Row],[HARGA NAIK GT]])</f>
        <v>8918.92</v>
      </c>
      <c r="BS19">
        <f>IFERROR(VLOOKUP(Table43[[#This Row],[Kode Pcpl]],'[1]HEINZ ABC'!$A$4:$E$112,8,0),0)</f>
        <v>0</v>
      </c>
      <c r="BT19" s="58">
        <f>Table43[[#This Row],[Harga Jual Pcs GT
(-PPN)]]-BS19</f>
        <v>8918.92</v>
      </c>
      <c r="BU19">
        <f>IF(BS19=0,Table43[[#This Row],[Harga Jual Pcs MT
(-PPN)]])</f>
        <v>9632.43</v>
      </c>
      <c r="BV19">
        <f>IFERROR(VLOOKUP(Table43[[#This Row],[Kode Pcpl]],[2]Pricelist!$A$4:$K$112,11,0),0)</f>
        <v>0</v>
      </c>
      <c r="BW19">
        <f>IFERROR(VLOOKUP(Table43[[#This Row],[Kode BARANG Win2]],[3]!RECKITT211216[[KDBRG]:[HRG_JL_PCS-PPN]],11,0),0)</f>
        <v>0</v>
      </c>
      <c r="BX19">
        <f t="shared" si="2"/>
        <v>0</v>
      </c>
    </row>
    <row r="20" spans="1:76" x14ac:dyDescent="0.25">
      <c r="A20" s="4" t="str">
        <f>CONCATENATE(Table43[[#This Row],[Kode BARANG Win2]],Table43[[#This Row],[No. Urut
Item Sama]])</f>
        <v>A10110000300102</v>
      </c>
      <c r="B20" s="7">
        <v>2</v>
      </c>
      <c r="C20" s="4">
        <v>14</v>
      </c>
      <c r="D20" s="27">
        <v>100172</v>
      </c>
      <c r="E20" s="27" t="s">
        <v>237</v>
      </c>
      <c r="F20" s="27" t="s">
        <v>248</v>
      </c>
      <c r="G20" s="27">
        <v>24</v>
      </c>
      <c r="H20" s="42" t="s">
        <v>2732</v>
      </c>
      <c r="I20" s="27" t="str">
        <f>Table43[[#This Row],[Nama Jenis Kemasan]]</f>
        <v>PCH</v>
      </c>
      <c r="J20" s="4" t="str">
        <f>TRIM(CONCATENATE(Table43[[#This Row],[Nama            KLP]]," ",Table43[[#This Row],[Nama            Sub KLP]]))</f>
        <v>KECAP MANIS</v>
      </c>
      <c r="K20" s="4" t="str">
        <f>CONCATENATE(Table43[[#This Row],[kode  2 Digit                (hrf+No)]],Table43[[#This Row],[kode  2 Digit                (Nomor)]],Table43[[#This Row],[kode  1 Digit                (Nomor)]])</f>
        <v>A1011</v>
      </c>
      <c r="L20" s="4" t="str">
        <f>IF(AG20="",CONCATENATE(Q20,S20,U20,W20,Y20,AA20,AC20,AE20,Table43[[#This Row],[Tanda Kode Revisi]]),CONCATENATE(Q20,S20,U20,W20,Y20,AA20,AC20,AG20))</f>
        <v>A1011000030010</v>
      </c>
      <c r="M20" s="11">
        <f t="shared" si="0"/>
        <v>14</v>
      </c>
      <c r="N20" s="14" t="str">
        <f>IF(AF20&lt;&gt;"",TRIM(UPPER(CONCATENATE(P20," ",R20," ",T20," ",V20," ",X20," ",Z20," ","X"," ",Table43[[#This Row],[ISI/CTN]]," ",AF20," ",AB20," ",AD20," ",AH20))),TRIM(UPPER(CONCATENATE(P20," ",R20," ",T20," ",V20," ",X20," ",Z20," ","X"," ",Table43[[#This Row],[ISI/CTN]]," ",AB20," ",AD20," ",AH20))))</f>
        <v>ABC KECAP MANIS 300 GR X 24 PCH</v>
      </c>
      <c r="O20" s="11">
        <f t="shared" si="1"/>
        <v>31</v>
      </c>
      <c r="P20" s="4" t="s">
        <v>28</v>
      </c>
      <c r="Q20" s="7" t="s">
        <v>85</v>
      </c>
      <c r="R20" s="4" t="s">
        <v>474</v>
      </c>
      <c r="S20" s="43" t="s">
        <v>0</v>
      </c>
      <c r="T20" s="44" t="s">
        <v>475</v>
      </c>
      <c r="U20" s="7">
        <v>1</v>
      </c>
      <c r="V20" s="44"/>
      <c r="W20" s="43" t="s">
        <v>1</v>
      </c>
      <c r="Y20" s="45" t="s">
        <v>476</v>
      </c>
      <c r="Z20" s="4" t="s">
        <v>493</v>
      </c>
      <c r="AA20" s="45" t="s">
        <v>494</v>
      </c>
      <c r="AB20" s="4" t="s">
        <v>479</v>
      </c>
      <c r="AC20" s="7" t="s">
        <v>480</v>
      </c>
      <c r="AE20" s="7" t="s">
        <v>1</v>
      </c>
      <c r="AI20" s="7" t="s">
        <v>215</v>
      </c>
      <c r="AJ20" s="7">
        <v>1</v>
      </c>
      <c r="AL20" s="40">
        <f>Table43[[#This Row],[Harga Jual Pcs GT
(-PPN)]]-(Table43[[#This Row],[Harga Jual Pcs GT
(-PPN)]]*6%)</f>
        <v>8383.7847999999994</v>
      </c>
      <c r="AM20" s="41">
        <f>Table43[[#This Row],[Harga Beli Pcs
(-PPN)]]*Table43[[#This Row],[ISI/CTN]]</f>
        <v>201210.83519999997</v>
      </c>
      <c r="AN20" s="41">
        <f>Table43[[#This Row],[Harga Beli Pcs
(-PPN)]]*1.11</f>
        <v>9306.0011279999999</v>
      </c>
      <c r="AO20" s="41">
        <f>Table43[[#This Row],[Harga Beli Krt
(- PPN)]]*1.11</f>
        <v>223344.027072</v>
      </c>
      <c r="AP20" s="41">
        <v>8918.92</v>
      </c>
      <c r="AQ20" s="41">
        <f>Table43[[#This Row],[Harga Jual Pcs GT
(-PPN)]]*Table43[[#This Row],[ISI/CTN]]</f>
        <v>214054.08000000002</v>
      </c>
      <c r="AR20" s="41">
        <f>Table43[[#This Row],[Harga Jual Pcs GT
(-PPN)]]*1.11</f>
        <v>9900.0012000000006</v>
      </c>
      <c r="AS20" s="41">
        <f>Table43[[#This Row],[Harga Jual Krt GT
(- PPN)]]*1.11</f>
        <v>237600.02880000003</v>
      </c>
      <c r="AT20" s="41">
        <v>9632.43</v>
      </c>
      <c r="AU20" s="41">
        <f>(Table43[[#This Row],[Harga Jual Pcs MT
(-PPN)]]*Table43[[#This Row],[ISI/CTN]])</f>
        <v>231178.32</v>
      </c>
      <c r="AV20" s="41">
        <f>Table43[[#This Row],[Harga Jual Pcs MT
(-PPN)]]*1.11</f>
        <v>10691.997300000001</v>
      </c>
      <c r="AW20" s="41">
        <f>Table43[[#This Row],[Harga Jual Pcs MT
(+PPN)]]*Table43[[#This Row],[ISI/CTN]]</f>
        <v>256607.93520000001</v>
      </c>
      <c r="AX20" s="41"/>
      <c r="AY20" s="46">
        <v>45553</v>
      </c>
      <c r="AZ20" s="54">
        <v>45553</v>
      </c>
      <c r="BA20" s="7" t="str">
        <f ca="1">IF(TODAY()-Table43[[#This Row],[Efektif
Pembuatan]]&gt;60,"Lama","Baru")</f>
        <v>Lama</v>
      </c>
      <c r="BB20" s="7" t="str">
        <f ca="1">IF(TODAY()-Table43[[#This Row],[Efektif Naik Harga]]&lt;30,"Naik","Sama")</f>
        <v>Sama</v>
      </c>
      <c r="BC20" s="7" t="s">
        <v>235</v>
      </c>
      <c r="BD20" s="7" t="str">
        <f>IF(Table43[[#This Row],[Kode BARANG Win2]]&lt;&gt;"","IDR","")</f>
        <v>IDR</v>
      </c>
      <c r="BE20" s="7" t="str">
        <f>CONCATENATE(Table43[[#This Row],[kode  1 Digit
(Nomor)]],Table43[[#This Row],[kode  4 Digit                (Nomor)]])</f>
        <v>10300</v>
      </c>
      <c r="BF20" s="7" t="str">
        <f>Table43[[#This Row],[Nama            Gramasi atau Jumlah Pack per CTN]]</f>
        <v>300 GR</v>
      </c>
      <c r="BG20" s="7" t="s">
        <v>653</v>
      </c>
      <c r="BH20" s="51" t="s">
        <v>654</v>
      </c>
      <c r="BI20" s="4" t="str">
        <f>IF(Table43[[#This Row],[SATUAN Fix Win]]&lt;&gt;"","KRT")</f>
        <v>KRT</v>
      </c>
      <c r="BJ20" s="4" t="str">
        <f>IF(Table43[[#This Row],[SATUAN Fix Win]]&lt;&gt;"","GD01")</f>
        <v>GD01</v>
      </c>
      <c r="BK20" s="4">
        <f>IF(Table43[[#This Row],[SATUAN Fix Win]]&lt;&gt;"",11611)</f>
        <v>11611</v>
      </c>
      <c r="BL20" s="4">
        <f>IF(Table43[[#This Row],[SATUAN Fix Win]]&lt;&gt;"",11612)</f>
        <v>11612</v>
      </c>
      <c r="BM20" s="47" t="s">
        <v>655</v>
      </c>
      <c r="BN20" s="4">
        <f>IF(Table43[[#This Row],[SATUAN Fix Win]]&lt;&gt;"",1)</f>
        <v>1</v>
      </c>
      <c r="BO20" s="4" t="s">
        <v>656</v>
      </c>
      <c r="BP20" s="4">
        <f>IFERROR(VLOOKUP(Table43[[#This Row],[Kode Pcpl]],'[1]HEINZ ABC'!$A$4:$E$112,8,0),0)</f>
        <v>0</v>
      </c>
      <c r="BQ20" s="55">
        <f>Table43[[#This Row],[Harga Jual Pcs GT
(-PPN)]]-Table43[[#This Row],[HARGA NAIK GT]]</f>
        <v>8918.92</v>
      </c>
      <c r="BR20" s="4">
        <f>IF(Table43[[#This Row],[HARGA NAIK GT]]=0,Table43[[#This Row],[Harga Jual Pcs GT
(-PPN)]],Table43[[#This Row],[HARGA NAIK GT]])</f>
        <v>8918.92</v>
      </c>
      <c r="BS20">
        <f>IFERROR(VLOOKUP(Table43[[#This Row],[Kode Pcpl]],'[1]HEINZ ABC'!$A$4:$E$112,8,0),0)</f>
        <v>0</v>
      </c>
      <c r="BT20" s="58">
        <f>Table43[[#This Row],[Harga Jual Pcs GT
(-PPN)]]-BS20</f>
        <v>8918.92</v>
      </c>
      <c r="BU20">
        <f>IF(BS20=0,Table43[[#This Row],[Harga Jual Pcs MT
(-PPN)]])</f>
        <v>9632.43</v>
      </c>
      <c r="BV20">
        <f>IFERROR(VLOOKUP(Table43[[#This Row],[Kode Pcpl]],[2]Pricelist!$A$4:$K$112,11,0),0)</f>
        <v>0</v>
      </c>
      <c r="BW20">
        <f>IFERROR(VLOOKUP(Table43[[#This Row],[Kode BARANG Win2]],[3]!RECKITT211216[[KDBRG]:[HRG_JL_PCS-PPN]],11,0),0)</f>
        <v>0</v>
      </c>
      <c r="BX20">
        <f t="shared" si="2"/>
        <v>0</v>
      </c>
    </row>
    <row r="21" spans="1:76" x14ac:dyDescent="0.25">
      <c r="A21" s="4" t="str">
        <f>CONCATENATE(Table43[[#This Row],[Kode BARANG Win2]],Table43[[#This Row],[No. Urut
Item Sama]])</f>
        <v>A10110000300121</v>
      </c>
      <c r="B21" s="7">
        <v>1</v>
      </c>
      <c r="C21" s="4">
        <v>15</v>
      </c>
      <c r="D21" s="27">
        <v>100991</v>
      </c>
      <c r="E21" s="27" t="s">
        <v>237</v>
      </c>
      <c r="F21" s="27" t="s">
        <v>249</v>
      </c>
      <c r="G21" s="27">
        <v>12</v>
      </c>
      <c r="H21" s="42" t="s">
        <v>2666</v>
      </c>
      <c r="I21" s="27" t="str">
        <f>Table43[[#This Row],[Nama Jenis Kemasan]]</f>
        <v>PCH</v>
      </c>
      <c r="J21" s="4" t="str">
        <f>TRIM(CONCATENATE(Table43[[#This Row],[Nama            KLP]]," ",Table43[[#This Row],[Nama            Sub KLP]]))</f>
        <v>KECAP MANIS</v>
      </c>
      <c r="K21" s="4" t="str">
        <f>CONCATENATE(Table43[[#This Row],[kode  2 Digit                (hrf+No)]],Table43[[#This Row],[kode  2 Digit                (Nomor)]],Table43[[#This Row],[kode  1 Digit                (Nomor)]])</f>
        <v>A1011</v>
      </c>
      <c r="L21" s="4" t="str">
        <f>IF(AG21="",CONCATENATE(Q21,S21,U21,W21,Y21,AA21,AC21,AE21,Table43[[#This Row],[Tanda Kode Revisi]]),CONCATENATE(Q21,S21,U21,W21,Y21,AA21,AC21,AG21))</f>
        <v>A1011000030012</v>
      </c>
      <c r="M21" s="11">
        <f t="shared" si="0"/>
        <v>14</v>
      </c>
      <c r="N21" s="14" t="str">
        <f>IF(AF21&lt;&gt;"",TRIM(UPPER(CONCATENATE(P21," ",R21," ",T21," ",V21," ",X21," ",Z21," ","X"," ",Table43[[#This Row],[ISI/CTN]]," ",AF21," ",AB21," ",AD21," ",AH21))),TRIM(UPPER(CONCATENATE(P21," ",R21," ",T21," ",V21," ",X21," ",Z21," ","X"," ",Table43[[#This Row],[ISI/CTN]]," ",AB21," ",AD21," ",AH21))))</f>
        <v>ABC KECAP MANIS 600 GR X 12 PCH BANDED</v>
      </c>
      <c r="O21" s="11">
        <f t="shared" si="1"/>
        <v>38</v>
      </c>
      <c r="P21" s="4" t="s">
        <v>28</v>
      </c>
      <c r="Q21" s="7" t="s">
        <v>85</v>
      </c>
      <c r="R21" s="4" t="s">
        <v>474</v>
      </c>
      <c r="S21" s="43" t="s">
        <v>0</v>
      </c>
      <c r="T21" s="44" t="s">
        <v>475</v>
      </c>
      <c r="U21" s="7">
        <v>1</v>
      </c>
      <c r="V21" s="44"/>
      <c r="W21" s="43" t="s">
        <v>1</v>
      </c>
      <c r="Y21" s="45" t="s">
        <v>476</v>
      </c>
      <c r="Z21" s="4" t="s">
        <v>495</v>
      </c>
      <c r="AA21" s="45" t="s">
        <v>494</v>
      </c>
      <c r="AB21" s="4" t="s">
        <v>479</v>
      </c>
      <c r="AC21" s="7" t="s">
        <v>480</v>
      </c>
      <c r="AD21" s="4" t="s">
        <v>496</v>
      </c>
      <c r="AE21" s="7">
        <v>2</v>
      </c>
      <c r="AI21" s="7" t="s">
        <v>215</v>
      </c>
      <c r="AJ21" s="7">
        <v>1</v>
      </c>
      <c r="AL21" s="40">
        <f>Table43[[#This Row],[Harga Jual Pcs GT
(-PPN)]]-(Table43[[#This Row],[Harga Jual Pcs GT
(-PPN)]]*6%)</f>
        <v>16126.875</v>
      </c>
      <c r="AM21" s="41">
        <f>Table43[[#This Row],[Harga Beli Pcs
(-PPN)]]*Table43[[#This Row],[ISI/CTN]]</f>
        <v>193522.5</v>
      </c>
      <c r="AN21" s="41">
        <f>Table43[[#This Row],[Harga Beli Pcs
(-PPN)]]*1.11</f>
        <v>17900.831250000003</v>
      </c>
      <c r="AO21" s="41">
        <f>Table43[[#This Row],[Harga Beli Krt
(- PPN)]]*1.11</f>
        <v>214809.97500000001</v>
      </c>
      <c r="AP21" s="41">
        <v>17156.25</v>
      </c>
      <c r="AQ21" s="41">
        <f>Table43[[#This Row],[Harga Jual Pcs GT
(-PPN)]]*Table43[[#This Row],[ISI/CTN]]</f>
        <v>205875</v>
      </c>
      <c r="AR21" s="41">
        <f>Table43[[#This Row],[Harga Jual Pcs GT
(-PPN)]]*1.11</f>
        <v>19043.4375</v>
      </c>
      <c r="AS21" s="41">
        <f>Table43[[#This Row],[Harga Jual Krt GT
(- PPN)]]*1.11</f>
        <v>228521.25000000003</v>
      </c>
      <c r="AT21" s="41">
        <v>0</v>
      </c>
      <c r="AU21" s="41">
        <f>(Table43[[#This Row],[Harga Jual Pcs MT
(-PPN)]]*Table43[[#This Row],[ISI/CTN]])</f>
        <v>0</v>
      </c>
      <c r="AV21" s="41">
        <f>Table43[[#This Row],[Harga Jual Pcs MT
(-PPN)]]*1.11</f>
        <v>0</v>
      </c>
      <c r="AW21" s="41">
        <f>Table43[[#This Row],[Harga Jual Pcs MT
(+PPN)]]*Table43[[#This Row],[ISI/CTN]]</f>
        <v>0</v>
      </c>
      <c r="AX21" s="41"/>
      <c r="AY21" s="46">
        <v>45553</v>
      </c>
      <c r="AZ21" s="54">
        <v>45553</v>
      </c>
      <c r="BA21" s="7" t="str">
        <f ca="1">IF(TODAY()-Table43[[#This Row],[Efektif
Pembuatan]]&gt;60,"Lama","Baru")</f>
        <v>Lama</v>
      </c>
      <c r="BB21" s="7" t="str">
        <f ca="1">IF(TODAY()-Table43[[#This Row],[Efektif Naik Harga]]&lt;30,"Naik","Sama")</f>
        <v>Sama</v>
      </c>
      <c r="BC21" s="7" t="s">
        <v>235</v>
      </c>
      <c r="BD21" s="7" t="str">
        <f>IF(Table43[[#This Row],[Kode BARANG Win2]]&lt;&gt;"","IDR","")</f>
        <v>IDR</v>
      </c>
      <c r="BE21" s="7" t="str">
        <f>CONCATENATE(Table43[[#This Row],[kode  1 Digit
(Nomor)]],Table43[[#This Row],[kode  4 Digit                (Nomor)]])</f>
        <v>10300</v>
      </c>
      <c r="BF21" s="7" t="str">
        <f>Table43[[#This Row],[Nama            Gramasi atau Jumlah Pack per CTN]]</f>
        <v>600 GR</v>
      </c>
      <c r="BG21" s="7" t="s">
        <v>653</v>
      </c>
      <c r="BH21" s="51" t="s">
        <v>654</v>
      </c>
      <c r="BI21" s="4" t="str">
        <f>IF(Table43[[#This Row],[SATUAN Fix Win]]&lt;&gt;"","KRT")</f>
        <v>KRT</v>
      </c>
      <c r="BJ21" s="4" t="str">
        <f>IF(Table43[[#This Row],[SATUAN Fix Win]]&lt;&gt;"","GD01")</f>
        <v>GD01</v>
      </c>
      <c r="BK21" s="4">
        <f>IF(Table43[[#This Row],[SATUAN Fix Win]]&lt;&gt;"",11611)</f>
        <v>11611</v>
      </c>
      <c r="BL21" s="4">
        <f>IF(Table43[[#This Row],[SATUAN Fix Win]]&lt;&gt;"",11612)</f>
        <v>11612</v>
      </c>
      <c r="BM21" s="47" t="s">
        <v>655</v>
      </c>
      <c r="BN21" s="4">
        <f>IF(Table43[[#This Row],[SATUAN Fix Win]]&lt;&gt;"",1)</f>
        <v>1</v>
      </c>
      <c r="BO21" s="4" t="s">
        <v>656</v>
      </c>
      <c r="BP21" s="4">
        <f>IFERROR(VLOOKUP(Table43[[#This Row],[Kode Pcpl]],'[1]HEINZ ABC'!$A$4:$E$112,8,0),0)</f>
        <v>0</v>
      </c>
      <c r="BQ21" s="55">
        <f>Table43[[#This Row],[Harga Jual Pcs GT
(-PPN)]]-Table43[[#This Row],[HARGA NAIK GT]]</f>
        <v>17156.25</v>
      </c>
      <c r="BR21" s="4">
        <f>IF(Table43[[#This Row],[HARGA NAIK GT]]=0,Table43[[#This Row],[Harga Jual Pcs GT
(-PPN)]],Table43[[#This Row],[HARGA NAIK GT]])</f>
        <v>17156.25</v>
      </c>
      <c r="BS21">
        <f>IFERROR(VLOOKUP(Table43[[#This Row],[Kode Pcpl]],'[1]HEINZ ABC'!$A$4:$E$112,8,0),0)</f>
        <v>0</v>
      </c>
      <c r="BT21" s="58">
        <f>Table43[[#This Row],[Harga Jual Pcs GT
(-PPN)]]-BS21</f>
        <v>17156.25</v>
      </c>
      <c r="BU21">
        <f>IF(BS21=0,Table43[[#This Row],[Harga Jual Pcs MT
(-PPN)]])</f>
        <v>0</v>
      </c>
      <c r="BV21">
        <f>IFERROR(VLOOKUP(Table43[[#This Row],[Kode Pcpl]],[2]Pricelist!$A$4:$K$112,11,0),0)</f>
        <v>0</v>
      </c>
      <c r="BW21">
        <f>IFERROR(VLOOKUP(Table43[[#This Row],[Kode BARANG Win2]],[3]!RECKITT211216[[KDBRG]:[HRG_JL_PCS-PPN]],11,0),0)</f>
        <v>0</v>
      </c>
      <c r="BX21">
        <f t="shared" si="2"/>
        <v>0</v>
      </c>
    </row>
    <row r="22" spans="1:76" x14ac:dyDescent="0.25">
      <c r="A22" s="4" t="str">
        <f>CONCATENATE(Table43[[#This Row],[Kode BARANG Win2]],Table43[[#This Row],[No. Urut
Item Sama]])</f>
        <v>A10110000300122</v>
      </c>
      <c r="B22" s="7">
        <v>2</v>
      </c>
      <c r="C22" s="4">
        <v>282</v>
      </c>
      <c r="D22" s="27">
        <v>109002</v>
      </c>
      <c r="E22" s="27"/>
      <c r="F22" s="27" t="s">
        <v>1076</v>
      </c>
      <c r="G22" s="27">
        <v>12</v>
      </c>
      <c r="H22" s="42" t="s">
        <v>2671</v>
      </c>
      <c r="I22" s="27" t="str">
        <f>Table43[[#This Row],[Nama Jenis Kemasan]]</f>
        <v>PCH</v>
      </c>
      <c r="J22" s="4" t="str">
        <f>TRIM(CONCATENATE(Table43[[#This Row],[Nama            KLP]]," ",Table43[[#This Row],[Nama            Sub KLP]]))</f>
        <v>KECAP MANIS</v>
      </c>
      <c r="K22" s="4" t="str">
        <f>CONCATENATE(Table43[[#This Row],[kode  2 Digit                (hrf+No)]],Table43[[#This Row],[kode  2 Digit                (Nomor)]],Table43[[#This Row],[kode  1 Digit                (Nomor)]])</f>
        <v>A1011</v>
      </c>
      <c r="L22" s="4" t="str">
        <f>IF(AG22="",CONCATENATE(Q22,S22,U22,W22,Y22,AA22,AC22,AE22,Table43[[#This Row],[Tanda Kode Revisi]]),CONCATENATE(Q22,S22,U22,W22,Y22,AA22,AC22,AG22))</f>
        <v>A1011000030012</v>
      </c>
      <c r="M22" s="11">
        <f t="shared" si="0"/>
        <v>14</v>
      </c>
      <c r="N22" s="14" t="str">
        <f>IF(AF22&lt;&gt;"",TRIM(UPPER(CONCATENATE(P22," ",R22," ",T22," ",V22," ",X22," ",Z22," ","X"," ",Table43[[#This Row],[ISI/CTN]]," ",AF22," ",AB22," ",AD22," ",AH22))),TRIM(UPPER(CONCATENATE(P22," ",R22," ",T22," ",V22," ",X22," ",Z22," ","X"," ",Table43[[#This Row],[ISI/CTN]]," ",AB22," ",AD22," ",AH22))))</f>
        <v>ABC KECAP MANIS 600 GR X 12 PCH BANDED</v>
      </c>
      <c r="O22" s="11">
        <f t="shared" si="1"/>
        <v>38</v>
      </c>
      <c r="P22" s="4" t="s">
        <v>28</v>
      </c>
      <c r="Q22" s="7" t="s">
        <v>85</v>
      </c>
      <c r="R22" s="4" t="s">
        <v>474</v>
      </c>
      <c r="S22" s="43" t="s">
        <v>0</v>
      </c>
      <c r="T22" s="44" t="s">
        <v>475</v>
      </c>
      <c r="U22" s="7">
        <v>1</v>
      </c>
      <c r="V22" s="44"/>
      <c r="W22" s="43" t="s">
        <v>1</v>
      </c>
      <c r="Y22" s="45" t="s">
        <v>476</v>
      </c>
      <c r="Z22" s="4" t="s">
        <v>495</v>
      </c>
      <c r="AA22" s="45" t="s">
        <v>494</v>
      </c>
      <c r="AB22" s="4" t="s">
        <v>479</v>
      </c>
      <c r="AC22" s="7" t="s">
        <v>480</v>
      </c>
      <c r="AD22" s="4" t="s">
        <v>496</v>
      </c>
      <c r="AE22" s="7">
        <v>2</v>
      </c>
      <c r="AI22" s="7" t="s">
        <v>215</v>
      </c>
      <c r="AJ22" s="7">
        <v>1</v>
      </c>
      <c r="AL22" s="40">
        <f>Table43[[#This Row],[Harga Jual Pcs GT
(-PPN)]]-(Table43[[#This Row],[Harga Jual Pcs GT
(-PPN)]]*6%)</f>
        <v>16126.875</v>
      </c>
      <c r="AM22" s="41">
        <f>Table43[[#This Row],[Harga Beli Pcs
(-PPN)]]*Table43[[#This Row],[ISI/CTN]]</f>
        <v>193522.5</v>
      </c>
      <c r="AN22" s="41">
        <f>Table43[[#This Row],[Harga Beli Pcs
(-PPN)]]*1.11</f>
        <v>17900.831250000003</v>
      </c>
      <c r="AO22" s="41">
        <f>Table43[[#This Row],[Harga Beli Krt
(- PPN)]]*1.11</f>
        <v>214809.97500000001</v>
      </c>
      <c r="AP22" s="41">
        <v>17156.25</v>
      </c>
      <c r="AQ22" s="41">
        <f>Table43[[#This Row],[Harga Jual Pcs GT
(-PPN)]]*Table43[[#This Row],[ISI/CTN]]</f>
        <v>205875</v>
      </c>
      <c r="AR22" s="41">
        <f>Table43[[#This Row],[Harga Jual Pcs GT
(-PPN)]]*1.11</f>
        <v>19043.4375</v>
      </c>
      <c r="AS22" s="41">
        <f>Table43[[#This Row],[Harga Jual Krt GT
(- PPN)]]*1.11</f>
        <v>228521.25000000003</v>
      </c>
      <c r="AT22" s="41">
        <v>18528.75</v>
      </c>
      <c r="AU22" s="41">
        <f>(Table43[[#This Row],[Harga Jual Pcs MT
(-PPN)]]*Table43[[#This Row],[ISI/CTN]])</f>
        <v>222345</v>
      </c>
      <c r="AV22" s="41">
        <f>Table43[[#This Row],[Harga Jual Pcs MT
(-PPN)]]*1.11</f>
        <v>20566.912500000002</v>
      </c>
      <c r="AW22" s="41">
        <f>Table43[[#This Row],[Harga Jual Pcs MT
(+PPN)]]*Table43[[#This Row],[ISI/CTN]]</f>
        <v>246802.95</v>
      </c>
      <c r="AX22" s="41"/>
      <c r="AY22" s="46">
        <v>46027</v>
      </c>
      <c r="AZ22" s="54">
        <v>46027</v>
      </c>
      <c r="BA22" s="7" t="str">
        <f ca="1">IF(TODAY()-Table43[[#This Row],[Efektif
Pembuatan]]&gt;60,"Lama","Baru")</f>
        <v>Lama</v>
      </c>
      <c r="BB22" s="7" t="str">
        <f ca="1">IF(TODAY()-Table43[[#This Row],[Efektif Naik Harga]]&lt;30,"Naik","Sama")</f>
        <v>Sama</v>
      </c>
      <c r="BC22" s="7" t="s">
        <v>235</v>
      </c>
      <c r="BD22" s="7" t="str">
        <f>IF(Table43[[#This Row],[Kode BARANG Win2]]&lt;&gt;"","IDR","")</f>
        <v>IDR</v>
      </c>
      <c r="BE22" s="7" t="str">
        <f>CONCATENATE(Table43[[#This Row],[kode  1 Digit
(Nomor)]],Table43[[#This Row],[kode  4 Digit                (Nomor)]])</f>
        <v>10300</v>
      </c>
      <c r="BF22" s="7" t="str">
        <f>Table43[[#This Row],[Nama            Gramasi atau Jumlah Pack per CTN]]</f>
        <v>600 GR</v>
      </c>
      <c r="BG22" s="7" t="s">
        <v>653</v>
      </c>
      <c r="BH22" s="51" t="s">
        <v>654</v>
      </c>
      <c r="BI22" s="4" t="str">
        <f>IF(Table43[[#This Row],[SATUAN Fix Win]]&lt;&gt;"","KRT")</f>
        <v>KRT</v>
      </c>
      <c r="BJ22" s="4" t="str">
        <f>IF(Table43[[#This Row],[SATUAN Fix Win]]&lt;&gt;"","GD01")</f>
        <v>GD01</v>
      </c>
      <c r="BK22" s="4">
        <f>IF(Table43[[#This Row],[SATUAN Fix Win]]&lt;&gt;"",11611)</f>
        <v>11611</v>
      </c>
      <c r="BL22" s="4">
        <f>IF(Table43[[#This Row],[SATUAN Fix Win]]&lt;&gt;"",11612)</f>
        <v>11612</v>
      </c>
      <c r="BM22" s="47" t="s">
        <v>655</v>
      </c>
      <c r="BN22" s="4">
        <f>IF(Table43[[#This Row],[SATUAN Fix Win]]&lt;&gt;"",1)</f>
        <v>1</v>
      </c>
      <c r="BO22" s="4" t="s">
        <v>656</v>
      </c>
      <c r="BP22" s="4">
        <f>IFERROR(VLOOKUP(Table43[[#This Row],[Kode Pcpl]],'[1]HEINZ ABC'!$A$4:$E$112,8,0),0)</f>
        <v>0</v>
      </c>
      <c r="BQ22" s="55">
        <f>Table43[[#This Row],[Harga Jual Pcs GT
(-PPN)]]-Table43[[#This Row],[HARGA NAIK GT]]</f>
        <v>17156.25</v>
      </c>
      <c r="BR22" s="4">
        <f>IF(Table43[[#This Row],[HARGA NAIK GT]]=0,Table43[[#This Row],[Harga Jual Pcs GT
(-PPN)]],Table43[[#This Row],[HARGA NAIK GT]])</f>
        <v>17156.25</v>
      </c>
      <c r="BT22" s="58"/>
    </row>
    <row r="23" spans="1:76" x14ac:dyDescent="0.25">
      <c r="A23" s="4" t="str">
        <f>CONCATENATE(Table43[[#This Row],[Kode BARANG Win2]],Table43[[#This Row],[No. Urut
Item Sama]])</f>
        <v>A10110000300123</v>
      </c>
      <c r="B23" s="7">
        <v>3</v>
      </c>
      <c r="D23" s="27">
        <v>109001</v>
      </c>
      <c r="E23" s="27"/>
      <c r="F23" s="27" t="s">
        <v>1092</v>
      </c>
      <c r="G23" s="27">
        <v>12</v>
      </c>
      <c r="H23" s="42" t="s">
        <v>2814</v>
      </c>
      <c r="I23" s="27" t="str">
        <f>Table43[[#This Row],[Nama Jenis Kemasan]]</f>
        <v>PCH</v>
      </c>
      <c r="J23" s="4" t="str">
        <f>TRIM(CONCATENATE(Table43[[#This Row],[Nama            KLP]]," ",Table43[[#This Row],[Nama            Sub KLP]]))</f>
        <v>KECAP MANIS</v>
      </c>
      <c r="K23" s="4" t="str">
        <f>CONCATENATE(Table43[[#This Row],[kode  2 Digit                (hrf+No)]],Table43[[#This Row],[kode  2 Digit                (Nomor)]],Table43[[#This Row],[kode  1 Digit                (Nomor)]])</f>
        <v>A1011</v>
      </c>
      <c r="L23" s="4" t="str">
        <f>IF(AG23="",CONCATENATE(Q23,S23,U23,W23,Y23,AA23,AC23,AE23,Table43[[#This Row],[Tanda Kode Revisi]]),CONCATENATE(Q23,S23,U23,W23,Y23,AA23,AC23,AG23))</f>
        <v>A1011000030012</v>
      </c>
      <c r="M23" s="11">
        <f>LEN(L23)</f>
        <v>14</v>
      </c>
      <c r="N23" s="14" t="str">
        <f>IF(AF23&lt;&gt;"",TRIM(UPPER(CONCATENATE(P23," ",R23," ",T23," ",V23," ",X23," ",Z23," ","X"," ",Table43[[#This Row],[ISI/CTN]]," ",AF23," ",AB23," ",AD23," ",AH23))),TRIM(UPPER(CONCATENATE(P23," ",R23," ",T23," ",V23," ",X23," ",Z23," ","X"," ",Table43[[#This Row],[ISI/CTN]]," ",AB23," ",AD23," ",AH23))))</f>
        <v>ABC KECAP MANIS 600 GR X 12 PCH BANDED</v>
      </c>
      <c r="O23" s="11">
        <f>LEN(N23)</f>
        <v>38</v>
      </c>
      <c r="P23" s="4" t="s">
        <v>28</v>
      </c>
      <c r="Q23" s="7" t="s">
        <v>85</v>
      </c>
      <c r="R23" s="4" t="s">
        <v>474</v>
      </c>
      <c r="S23" s="43" t="s">
        <v>0</v>
      </c>
      <c r="T23" s="44" t="s">
        <v>475</v>
      </c>
      <c r="U23" s="7">
        <v>1</v>
      </c>
      <c r="V23" s="44"/>
      <c r="W23" s="43" t="s">
        <v>1</v>
      </c>
      <c r="Y23" s="45" t="s">
        <v>476</v>
      </c>
      <c r="Z23" s="4" t="s">
        <v>495</v>
      </c>
      <c r="AA23" s="45" t="s">
        <v>494</v>
      </c>
      <c r="AB23" s="4" t="s">
        <v>479</v>
      </c>
      <c r="AC23" s="7" t="s">
        <v>480</v>
      </c>
      <c r="AD23" s="4" t="s">
        <v>496</v>
      </c>
      <c r="AE23" s="7">
        <v>2</v>
      </c>
      <c r="AL23" s="40">
        <f>Table43[[#This Row],[Harga Jual Pcs GT
(-PPN)]]-(Table43[[#This Row],[Harga Jual Pcs GT
(-PPN)]]*6%)</f>
        <v>16126.875</v>
      </c>
      <c r="AM23" s="41">
        <f>Table43[[#This Row],[Harga Beli Pcs
(-PPN)]]*Table43[[#This Row],[ISI/CTN]]</f>
        <v>193522.5</v>
      </c>
      <c r="AN23" s="41">
        <f>Table43[[#This Row],[Harga Beli Pcs
(-PPN)]]*1.11</f>
        <v>17900.831250000003</v>
      </c>
      <c r="AO23" s="41">
        <f>Table43[[#This Row],[Harga Beli Krt
(- PPN)]]*1.11</f>
        <v>214809.97500000001</v>
      </c>
      <c r="AP23" s="41">
        <v>17156.25</v>
      </c>
      <c r="AQ23" s="41">
        <f>Table43[[#This Row],[Harga Jual Pcs GT
(-PPN)]]*Table43[[#This Row],[ISI/CTN]]</f>
        <v>205875</v>
      </c>
      <c r="AR23" s="41">
        <f>Table43[[#This Row],[Harga Jual Pcs GT
(-PPN)]]*1.11</f>
        <v>19043.4375</v>
      </c>
      <c r="AS23" s="41">
        <f>Table43[[#This Row],[Harga Jual Krt GT
(- PPN)]]*1.11</f>
        <v>228521.25000000003</v>
      </c>
      <c r="AT23" s="41">
        <v>18528.75</v>
      </c>
      <c r="AU23" s="41">
        <f>(Table43[[#This Row],[Harga Jual Pcs MT
(-PPN)]]*Table43[[#This Row],[ISI/CTN]])</f>
        <v>222345</v>
      </c>
      <c r="AV23" s="41">
        <f>Table43[[#This Row],[Harga Jual Pcs MT
(-PPN)]]*1.11</f>
        <v>20566.912500000002</v>
      </c>
      <c r="AW23" s="41">
        <f>Table43[[#This Row],[Harga Jual Pcs MT
(+PPN)]]*Table43[[#This Row],[ISI/CTN]]</f>
        <v>246802.95</v>
      </c>
      <c r="AX23" s="41"/>
      <c r="AY23" s="46"/>
      <c r="AZ23" s="54"/>
      <c r="BA23" s="7" t="str">
        <f ca="1">IF(TODAY()-Table43[[#This Row],[Efektif
Pembuatan]]&gt;60,"Lama","Baru")</f>
        <v>Lama</v>
      </c>
      <c r="BB23" s="7" t="str">
        <f ca="1">IF(TODAY()-Table43[[#This Row],[Efektif Naik Harga]]&lt;30,"Naik","Sama")</f>
        <v>Sama</v>
      </c>
      <c r="BC23" s="7" t="s">
        <v>235</v>
      </c>
      <c r="BD23" s="7" t="str">
        <f>IF(Table43[[#This Row],[Kode BARANG Win2]]&lt;&gt;"","IDR","")</f>
        <v>IDR</v>
      </c>
      <c r="BE23" s="7" t="str">
        <f>CONCATENATE(Table43[[#This Row],[kode  1 Digit
(Nomor)]],Table43[[#This Row],[kode  4 Digit                (Nomor)]])</f>
        <v>0300</v>
      </c>
      <c r="BF23" s="7" t="str">
        <f>Table43[[#This Row],[Nama            Gramasi atau Jumlah Pack per CTN]]</f>
        <v>600 GR</v>
      </c>
      <c r="BG23" s="7"/>
      <c r="BH23" s="51"/>
      <c r="BI23" s="4" t="str">
        <f>IF(Table43[[#This Row],[SATUAN Fix Win]]&lt;&gt;"","KRT")</f>
        <v>KRT</v>
      </c>
      <c r="BJ23" s="4" t="str">
        <f>IF(Table43[[#This Row],[SATUAN Fix Win]]&lt;&gt;"","GD01")</f>
        <v>GD01</v>
      </c>
      <c r="BK23" s="4">
        <f>IF(Table43[[#This Row],[SATUAN Fix Win]]&lt;&gt;"",11611)</f>
        <v>11611</v>
      </c>
      <c r="BL23" s="4">
        <f>IF(Table43[[#This Row],[SATUAN Fix Win]]&lt;&gt;"",11612)</f>
        <v>11612</v>
      </c>
      <c r="BM23" s="47"/>
      <c r="BN23" s="4">
        <f>IF(Table43[[#This Row],[SATUAN Fix Win]]&lt;&gt;"",1)</f>
        <v>1</v>
      </c>
      <c r="BP23" s="4">
        <f>IFERROR(VLOOKUP(Table43[[#This Row],[Kode Pcpl]],'[1]HEINZ ABC'!$A$4:$E$112,8,0),0)</f>
        <v>0</v>
      </c>
      <c r="BQ23" s="55">
        <f>Table43[[#This Row],[Harga Jual Pcs GT
(-PPN)]]-Table43[[#This Row],[HARGA NAIK GT]]</f>
        <v>17156.25</v>
      </c>
      <c r="BR23" s="4">
        <f>IF(Table43[[#This Row],[HARGA NAIK GT]]=0,Table43[[#This Row],[Harga Jual Pcs GT
(-PPN)]],Table43[[#This Row],[HARGA NAIK GT]])</f>
        <v>17156.25</v>
      </c>
      <c r="BT23" s="58"/>
    </row>
    <row r="24" spans="1:76" x14ac:dyDescent="0.25">
      <c r="A24" s="4" t="str">
        <f>CONCATENATE(Table43[[#This Row],[Kode BARANG Win2]],Table43[[#This Row],[No. Urut
Item Sama]])</f>
        <v>A10110000450101</v>
      </c>
      <c r="B24" s="7">
        <v>1</v>
      </c>
      <c r="C24" s="4">
        <v>283</v>
      </c>
      <c r="D24" s="27">
        <v>100241</v>
      </c>
      <c r="E24" s="27"/>
      <c r="F24" s="27" t="s">
        <v>1077</v>
      </c>
      <c r="G24" s="27">
        <v>12</v>
      </c>
      <c r="H24" s="42" t="s">
        <v>2682</v>
      </c>
      <c r="I24" s="27" t="str">
        <f>Table43[[#This Row],[Nama Jenis Kemasan]]</f>
        <v>PCH</v>
      </c>
      <c r="J24" s="4" t="str">
        <f>TRIM(CONCATENATE(Table43[[#This Row],[Nama            KLP]]," ",Table43[[#This Row],[Nama            Sub KLP]]))</f>
        <v>KECAP MANIS</v>
      </c>
      <c r="K24" s="4" t="str">
        <f>CONCATENATE(Table43[[#This Row],[kode  2 Digit                (hrf+No)]],Table43[[#This Row],[kode  2 Digit                (Nomor)]],Table43[[#This Row],[kode  1 Digit                (Nomor)]])</f>
        <v>A1011</v>
      </c>
      <c r="L24" s="4" t="str">
        <f>IF(AG24="",CONCATENATE(Q24,S24,U24,W24,Y24,AA24,AC24,AE24,Table43[[#This Row],[Tanda Kode Revisi]]),CONCATENATE(Q24,S24,U24,W24,Y24,AA24,AC24,AG24))</f>
        <v>A1011000045010</v>
      </c>
      <c r="M24" s="11">
        <f t="shared" si="0"/>
        <v>14</v>
      </c>
      <c r="N24" s="14" t="str">
        <f>IF(AF24&lt;&gt;"",TRIM(UPPER(CONCATENATE(P24," ",R24," ",T24," ",V24," ",X24," ",Z24," ","X"," ",Table43[[#This Row],[ISI/CTN]]," ",AF24," ",AB24," ",AD24," ",AH24))),TRIM(UPPER(CONCATENATE(P24," ",R24," ",T24," ",V24," ",X24," ",Z24," ","X"," ",Table43[[#This Row],[ISI/CTN]]," ",AB24," ",AD24," ",AH24))))</f>
        <v>ABC KECAP MANIS 450 GR X 12 PCH</v>
      </c>
      <c r="O24" s="11">
        <f t="shared" si="1"/>
        <v>31</v>
      </c>
      <c r="P24" s="4" t="s">
        <v>28</v>
      </c>
      <c r="Q24" s="7" t="s">
        <v>85</v>
      </c>
      <c r="R24" s="4" t="s">
        <v>474</v>
      </c>
      <c r="S24" s="43" t="s">
        <v>0</v>
      </c>
      <c r="T24" s="44" t="s">
        <v>475</v>
      </c>
      <c r="U24" s="7">
        <v>1</v>
      </c>
      <c r="V24" s="44"/>
      <c r="W24" s="43" t="s">
        <v>1</v>
      </c>
      <c r="Y24" s="45" t="s">
        <v>476</v>
      </c>
      <c r="Z24" s="4" t="s">
        <v>1078</v>
      </c>
      <c r="AA24" s="45" t="s">
        <v>575</v>
      </c>
      <c r="AB24" s="4" t="s">
        <v>479</v>
      </c>
      <c r="AC24" s="7">
        <v>1</v>
      </c>
      <c r="AE24" s="7">
        <v>0</v>
      </c>
      <c r="AI24" s="7" t="s">
        <v>215</v>
      </c>
      <c r="AJ24" s="7">
        <v>1</v>
      </c>
      <c r="AL24" s="40">
        <f>Table43[[#This Row],[Harga Jual Pcs GT
(-PPN)]]-(Table43[[#This Row],[Harga Jual Pcs GT
(-PPN)]]*6%)</f>
        <v>10467.0504</v>
      </c>
      <c r="AM24" s="41">
        <f>Table43[[#This Row],[Harga Beli Pcs
(-PPN)]]*Table43[[#This Row],[ISI/CTN]]</f>
        <v>125604.6048</v>
      </c>
      <c r="AN24" s="41">
        <f>Table43[[#This Row],[Harga Beli Pcs
(-PPN)]]*1.11</f>
        <v>11618.425944000001</v>
      </c>
      <c r="AO24" s="41">
        <f>Table43[[#This Row],[Harga Beli Krt
(- PPN)]]*1.11</f>
        <v>139421.111328</v>
      </c>
      <c r="AP24" s="41">
        <v>11135.16</v>
      </c>
      <c r="AQ24" s="41">
        <f>Table43[[#This Row],[Harga Jual Pcs GT
(-PPN)]]*Table43[[#This Row],[ISI/CTN]]</f>
        <v>133621.91999999998</v>
      </c>
      <c r="AR24" s="41">
        <f>Table43[[#This Row],[Harga Jual Pcs GT
(-PPN)]]*1.11</f>
        <v>12360.027600000001</v>
      </c>
      <c r="AS24" s="41">
        <f>Table43[[#This Row],[Harga Jual Krt GT
(- PPN)]]*1.11</f>
        <v>148320.33119999999</v>
      </c>
      <c r="AT24" s="41">
        <v>12025.97</v>
      </c>
      <c r="AU24" s="41">
        <f>(Table43[[#This Row],[Harga Jual Pcs MT
(-PPN)]]*Table43[[#This Row],[ISI/CTN]])</f>
        <v>144311.63999999998</v>
      </c>
      <c r="AV24" s="41">
        <f>Table43[[#This Row],[Harga Jual Pcs MT
(-PPN)]]*1.11</f>
        <v>13348.8267</v>
      </c>
      <c r="AW24" s="41">
        <f>Table43[[#This Row],[Harga Jual Pcs MT
(+PPN)]]*Table43[[#This Row],[ISI/CTN]]</f>
        <v>160185.9204</v>
      </c>
      <c r="AX24" s="41"/>
      <c r="AY24" s="46"/>
      <c r="AZ24" s="54"/>
      <c r="BA24" s="7" t="str">
        <f ca="1">IF(TODAY()-Table43[[#This Row],[Efektif
Pembuatan]]&gt;60,"Lama","Baru")</f>
        <v>Lama</v>
      </c>
      <c r="BB24" s="7" t="str">
        <f ca="1">IF(TODAY()-Table43[[#This Row],[Efektif Naik Harga]]&lt;30,"Naik","Sama")</f>
        <v>Sama</v>
      </c>
      <c r="BC24" s="7"/>
      <c r="BD24" s="7" t="str">
        <f>IF(Table43[[#This Row],[Kode BARANG Win2]]&lt;&gt;"","IDR","")</f>
        <v>IDR</v>
      </c>
      <c r="BE24" s="7" t="str">
        <f>CONCATENATE(Table43[[#This Row],[kode  1 Digit
(Nomor)]],Table43[[#This Row],[kode  4 Digit                (Nomor)]])</f>
        <v>10450</v>
      </c>
      <c r="BF24" s="7" t="str">
        <f>Table43[[#This Row],[Nama            Gramasi atau Jumlah Pack per CTN]]</f>
        <v>450 GR</v>
      </c>
      <c r="BG24" s="7"/>
      <c r="BH24" s="51"/>
      <c r="BI24" s="4" t="str">
        <f>IF(Table43[[#This Row],[SATUAN Fix Win]]&lt;&gt;"","KRT")</f>
        <v>KRT</v>
      </c>
      <c r="BJ24" s="4" t="str">
        <f>IF(Table43[[#This Row],[SATUAN Fix Win]]&lt;&gt;"","GD01")</f>
        <v>GD01</v>
      </c>
      <c r="BK24" s="4">
        <f>IF(Table43[[#This Row],[SATUAN Fix Win]]&lt;&gt;"",11611)</f>
        <v>11611</v>
      </c>
      <c r="BL24" s="4">
        <f>IF(Table43[[#This Row],[SATUAN Fix Win]]&lt;&gt;"",11612)</f>
        <v>11612</v>
      </c>
      <c r="BM24" s="47"/>
      <c r="BN24" s="4">
        <f>IF(Table43[[#This Row],[SATUAN Fix Win]]&lt;&gt;"",1)</f>
        <v>1</v>
      </c>
      <c r="BP24" s="4">
        <f>IFERROR(VLOOKUP(Table43[[#This Row],[Kode Pcpl]],'[1]HEINZ ABC'!$A$4:$E$112,8,0),0)</f>
        <v>0</v>
      </c>
      <c r="BQ24" s="55">
        <f>Table43[[#This Row],[Harga Jual Pcs GT
(-PPN)]]-Table43[[#This Row],[HARGA NAIK GT]]</f>
        <v>11135.16</v>
      </c>
      <c r="BR24" s="4">
        <f>IF(Table43[[#This Row],[HARGA NAIK GT]]=0,Table43[[#This Row],[Harga Jual Pcs GT
(-PPN)]],Table43[[#This Row],[HARGA NAIK GT]])</f>
        <v>11135.16</v>
      </c>
      <c r="BS24">
        <f>IFERROR(VLOOKUP(Table43[[#This Row],[Kode Pcpl]],'[1]HEINZ ABC'!$A$4:$E$112,8,0),0)</f>
        <v>0</v>
      </c>
      <c r="BT24" s="58">
        <f>Table43[[#This Row],[Harga Jual Pcs GT
(-PPN)]]-BS24</f>
        <v>11135.16</v>
      </c>
      <c r="BU24">
        <f>IF(BS24=0,Table43[[#This Row],[Harga Jual Pcs MT
(-PPN)]])</f>
        <v>12025.97</v>
      </c>
      <c r="BV24">
        <f>IFERROR(VLOOKUP(Table43[[#This Row],[Kode Pcpl]],[2]Pricelist!$A$4:$K$112,11,0),0)</f>
        <v>0</v>
      </c>
      <c r="BW24">
        <f>IFERROR(VLOOKUP(Table43[[#This Row],[Kode BARANG Win2]],[3]!RECKITT211216[[KDBRG]:[HRG_JL_PCS-PPN]],11,0),0)</f>
        <v>0</v>
      </c>
      <c r="BX24">
        <f t="shared" si="2"/>
        <v>0</v>
      </c>
    </row>
    <row r="25" spans="1:76" s="94" customFormat="1" x14ac:dyDescent="0.25">
      <c r="A25" s="4" t="str">
        <f>CONCATENATE(Table43[[#This Row],[Kode BARANG Win2]],Table43[[#This Row],[No. Urut
Item Sama]])</f>
        <v>A10110000600101</v>
      </c>
      <c r="B25" s="7">
        <v>1</v>
      </c>
      <c r="C25" s="4">
        <v>16</v>
      </c>
      <c r="D25" s="27">
        <v>100225</v>
      </c>
      <c r="E25" s="27" t="s">
        <v>237</v>
      </c>
      <c r="F25" s="27" t="s">
        <v>250</v>
      </c>
      <c r="G25" s="27">
        <v>12</v>
      </c>
      <c r="H25" s="42" t="s">
        <v>2728</v>
      </c>
      <c r="I25" s="27" t="str">
        <f>Table43[[#This Row],[Nama Jenis Kemasan]]</f>
        <v>PCH</v>
      </c>
      <c r="J25" s="4" t="str">
        <f>TRIM(CONCATENATE(Table43[[#This Row],[Nama            KLP]]," ",Table43[[#This Row],[Nama            Sub KLP]]))</f>
        <v>KECAP MANIS</v>
      </c>
      <c r="K25" s="4" t="str">
        <f>CONCATENATE(Table43[[#This Row],[kode  2 Digit                (hrf+No)]],Table43[[#This Row],[kode  2 Digit                (Nomor)]],Table43[[#This Row],[kode  1 Digit                (Nomor)]])</f>
        <v>A1011</v>
      </c>
      <c r="L25" s="4" t="str">
        <f>IF(AG25="",CONCATENATE(Q25,S25,U25,W25,Y25,AA25,AC25,AE25,Table43[[#This Row],[Tanda Kode Revisi]]),CONCATENATE(Q25,S25,U25,W25,Y25,AA25,AC25,AG25))</f>
        <v>A1011000060010</v>
      </c>
      <c r="M25" s="11">
        <f t="shared" si="0"/>
        <v>14</v>
      </c>
      <c r="N25" s="14" t="str">
        <f>IF(AF25&lt;&gt;"",TRIM(UPPER(CONCATENATE(P25," ",R25," ",T25," ",V25," ",X25," ",Z25," ","X"," ",Table43[[#This Row],[ISI/CTN]]," ",AF25," ",AB25," ",AD25," ",AH25))),TRIM(UPPER(CONCATENATE(P25," ",R25," ",T25," ",V25," ",X25," ",Z25," ","X"," ",Table43[[#This Row],[ISI/CTN]]," ",AB25," ",AD25," ",AH25))))</f>
        <v>ABC KECAP MANIS 600 GR X 12 PCH</v>
      </c>
      <c r="O25" s="11">
        <f t="shared" si="1"/>
        <v>31</v>
      </c>
      <c r="P25" s="4" t="s">
        <v>28</v>
      </c>
      <c r="Q25" s="7" t="s">
        <v>85</v>
      </c>
      <c r="R25" s="4" t="s">
        <v>474</v>
      </c>
      <c r="S25" s="43" t="s">
        <v>0</v>
      </c>
      <c r="T25" s="44" t="s">
        <v>475</v>
      </c>
      <c r="U25" s="7">
        <v>1</v>
      </c>
      <c r="V25" s="44"/>
      <c r="W25" s="43" t="s">
        <v>1</v>
      </c>
      <c r="X25" s="4"/>
      <c r="Y25" s="45" t="s">
        <v>476</v>
      </c>
      <c r="Z25" s="4" t="s">
        <v>495</v>
      </c>
      <c r="AA25" s="45" t="s">
        <v>218</v>
      </c>
      <c r="AB25" s="4" t="s">
        <v>479</v>
      </c>
      <c r="AC25" s="7" t="s">
        <v>480</v>
      </c>
      <c r="AD25" s="4"/>
      <c r="AE25" s="7" t="s">
        <v>1</v>
      </c>
      <c r="AF25" s="7"/>
      <c r="AG25" s="7"/>
      <c r="AH25" s="7"/>
      <c r="AI25" s="7" t="s">
        <v>215</v>
      </c>
      <c r="AJ25" s="7">
        <v>1</v>
      </c>
      <c r="AK25" s="7"/>
      <c r="AL25" s="40">
        <f>Table43[[#This Row],[Harga Jual Pcs GT
(-PPN)]]-(Table43[[#This Row],[Harga Jual Pcs GT
(-PPN)]]*6%)</f>
        <v>16126.921999999999</v>
      </c>
      <c r="AM25" s="41">
        <f>Table43[[#This Row],[Harga Beli Pcs
(-PPN)]]*Table43[[#This Row],[ISI/CTN]]</f>
        <v>193523.06399999998</v>
      </c>
      <c r="AN25" s="41">
        <f>Table43[[#This Row],[Harga Beli Pcs
(-PPN)]]*1.11</f>
        <v>17900.883419999998</v>
      </c>
      <c r="AO25" s="41">
        <f>Table43[[#This Row],[Harga Beli Krt
(- PPN)]]*1.11</f>
        <v>214810.60104000001</v>
      </c>
      <c r="AP25" s="41">
        <v>17156.3</v>
      </c>
      <c r="AQ25" s="41">
        <f>Table43[[#This Row],[Harga Jual Pcs GT
(-PPN)]]*Table43[[#This Row],[ISI/CTN]]</f>
        <v>205875.59999999998</v>
      </c>
      <c r="AR25" s="41">
        <f>Table43[[#This Row],[Harga Jual Pcs GT
(-PPN)]]*1.11</f>
        <v>19043.493000000002</v>
      </c>
      <c r="AS25" s="41">
        <f>Table43[[#This Row],[Harga Jual Krt GT
(- PPN)]]*1.11</f>
        <v>228521.916</v>
      </c>
      <c r="AT25" s="41">
        <v>18528.804</v>
      </c>
      <c r="AU25" s="41">
        <f>(Table43[[#This Row],[Harga Jual Pcs MT
(-PPN)]]*Table43[[#This Row],[ISI/CTN]])</f>
        <v>222345.64799999999</v>
      </c>
      <c r="AV25" s="41">
        <f>Table43[[#This Row],[Harga Jual Pcs MT
(-PPN)]]*1.11</f>
        <v>20566.972440000001</v>
      </c>
      <c r="AW25" s="41">
        <f>Table43[[#This Row],[Harga Jual Pcs MT
(+PPN)]]*Table43[[#This Row],[ISI/CTN]]</f>
        <v>246803.66928000003</v>
      </c>
      <c r="AX25" s="41"/>
      <c r="AY25" s="46">
        <v>45553</v>
      </c>
      <c r="AZ25" s="54">
        <v>45553</v>
      </c>
      <c r="BA25" s="7" t="str">
        <f ca="1">IF(TODAY()-Table43[[#This Row],[Efektif
Pembuatan]]&gt;60,"Lama","Baru")</f>
        <v>Lama</v>
      </c>
      <c r="BB25" s="7" t="str">
        <f ca="1">IF(TODAY()-Table43[[#This Row],[Efektif Naik Harga]]&lt;30,"Naik","Sama")</f>
        <v>Sama</v>
      </c>
      <c r="BC25" s="7" t="s">
        <v>235</v>
      </c>
      <c r="BD25" s="7" t="str">
        <f>IF(Table43[[#This Row],[Kode BARANG Win2]]&lt;&gt;"","IDR","")</f>
        <v>IDR</v>
      </c>
      <c r="BE25" s="7" t="str">
        <f>CONCATENATE(Table43[[#This Row],[kode  1 Digit
(Nomor)]],Table43[[#This Row],[kode  4 Digit                (Nomor)]])</f>
        <v>10600</v>
      </c>
      <c r="BF25" s="7" t="str">
        <f>Table43[[#This Row],[Nama            Gramasi atau Jumlah Pack per CTN]]</f>
        <v>600 GR</v>
      </c>
      <c r="BG25" s="7" t="s">
        <v>653</v>
      </c>
      <c r="BH25" s="51" t="s">
        <v>654</v>
      </c>
      <c r="BI25" s="4" t="str">
        <f>IF(Table43[[#This Row],[SATUAN Fix Win]]&lt;&gt;"","KRT")</f>
        <v>KRT</v>
      </c>
      <c r="BJ25" s="4" t="str">
        <f>IF(Table43[[#This Row],[SATUAN Fix Win]]&lt;&gt;"","GD01")</f>
        <v>GD01</v>
      </c>
      <c r="BK25" s="4">
        <f>IF(Table43[[#This Row],[SATUAN Fix Win]]&lt;&gt;"",11611)</f>
        <v>11611</v>
      </c>
      <c r="BL25" s="4">
        <f>IF(Table43[[#This Row],[SATUAN Fix Win]]&lt;&gt;"",11612)</f>
        <v>11612</v>
      </c>
      <c r="BM25" s="47" t="s">
        <v>655</v>
      </c>
      <c r="BN25" s="4">
        <f>IF(Table43[[#This Row],[SATUAN Fix Win]]&lt;&gt;"",1)</f>
        <v>1</v>
      </c>
      <c r="BO25" s="4" t="s">
        <v>656</v>
      </c>
      <c r="BP25" s="4">
        <f>IFERROR(VLOOKUP(Table43[[#This Row],[Kode Pcpl]],'[1]HEINZ ABC'!$A$4:$E$112,8,0),0)</f>
        <v>0</v>
      </c>
      <c r="BQ25" s="55">
        <f>Table43[[#This Row],[Harga Jual Pcs GT
(-PPN)]]-Table43[[#This Row],[HARGA NAIK GT]]</f>
        <v>17156.3</v>
      </c>
      <c r="BR25" s="4">
        <f>IF(Table43[[#This Row],[HARGA NAIK GT]]=0,Table43[[#This Row],[Harga Jual Pcs GT
(-PPN)]],Table43[[#This Row],[HARGA NAIK GT]])</f>
        <v>17156.3</v>
      </c>
      <c r="BT25" s="95"/>
    </row>
    <row r="26" spans="1:76" x14ac:dyDescent="0.25">
      <c r="A26" s="4" t="str">
        <f>CONCATENATE(Table43[[#This Row],[Kode BARANG Win2]],Table43[[#This Row],[No. Urut
Item Sama]])</f>
        <v>A10110000600102</v>
      </c>
      <c r="B26" s="7">
        <v>2</v>
      </c>
      <c r="C26" s="4">
        <v>17</v>
      </c>
      <c r="D26" s="27">
        <v>100242</v>
      </c>
      <c r="E26" s="27" t="s">
        <v>237</v>
      </c>
      <c r="F26" s="27" t="s">
        <v>251</v>
      </c>
      <c r="G26" s="27">
        <v>12</v>
      </c>
      <c r="H26" s="42" t="s">
        <v>2669</v>
      </c>
      <c r="I26" s="27" t="str">
        <f>Table43[[#This Row],[Nama Jenis Kemasan]]</f>
        <v>PCH</v>
      </c>
      <c r="J26" s="4" t="str">
        <f>TRIM(CONCATENATE(Table43[[#This Row],[Nama            KLP]]," ",Table43[[#This Row],[Nama            Sub KLP]]))</f>
        <v>KECAP MANIS</v>
      </c>
      <c r="K26" s="4" t="str">
        <f>CONCATENATE(Table43[[#This Row],[kode  2 Digit                (hrf+No)]],Table43[[#This Row],[kode  2 Digit                (Nomor)]],Table43[[#This Row],[kode  1 Digit                (Nomor)]])</f>
        <v>A1011</v>
      </c>
      <c r="L26" s="4" t="str">
        <f>IF(AG26="",CONCATENATE(Q26,S26,U26,W26,Y26,AA26,AC26,AE26,Table43[[#This Row],[Tanda Kode Revisi]]),CONCATENATE(Q26,S26,U26,W26,Y26,AA26,AC26,AG26))</f>
        <v>A1011000060010</v>
      </c>
      <c r="M26" s="11">
        <f t="shared" si="0"/>
        <v>14</v>
      </c>
      <c r="N26" s="14" t="str">
        <f>IF(AF26&lt;&gt;"",TRIM(UPPER(CONCATENATE(P26," ",R26," ",T26," ",V26," ",X26," ",Z26," ","X"," ",Table43[[#This Row],[ISI/CTN]]," ",AF26," ",AB26," ",AD26," ",AH26))),TRIM(UPPER(CONCATENATE(P26," ",R26," ",T26," ",V26," ",X26," ",Z26," ","X"," ",Table43[[#This Row],[ISI/CTN]]," ",AB26," ",AD26," ",AH26))))</f>
        <v>ABC KECAP MANIS 600 GR X 12 PCH</v>
      </c>
      <c r="O26" s="11">
        <f t="shared" si="1"/>
        <v>31</v>
      </c>
      <c r="P26" s="4" t="s">
        <v>28</v>
      </c>
      <c r="Q26" s="7" t="s">
        <v>85</v>
      </c>
      <c r="R26" s="4" t="s">
        <v>474</v>
      </c>
      <c r="S26" s="43" t="s">
        <v>0</v>
      </c>
      <c r="T26" s="44" t="s">
        <v>475</v>
      </c>
      <c r="U26" s="7">
        <v>1</v>
      </c>
      <c r="V26" s="44"/>
      <c r="W26" s="43" t="s">
        <v>1</v>
      </c>
      <c r="Y26" s="45" t="s">
        <v>476</v>
      </c>
      <c r="Z26" s="4" t="s">
        <v>495</v>
      </c>
      <c r="AA26" s="45" t="s">
        <v>218</v>
      </c>
      <c r="AB26" s="4" t="s">
        <v>479</v>
      </c>
      <c r="AC26" s="7" t="s">
        <v>480</v>
      </c>
      <c r="AE26" s="7" t="s">
        <v>1</v>
      </c>
      <c r="AI26" s="7" t="s">
        <v>215</v>
      </c>
      <c r="AJ26" s="7">
        <v>1</v>
      </c>
      <c r="AL26" s="40">
        <f>Table43[[#This Row],[Harga Jual Pcs GT
(-PPN)]]-(Table43[[#This Row],[Harga Jual Pcs GT
(-PPN)]]*6%)</f>
        <v>16126.921999999999</v>
      </c>
      <c r="AM26" s="41">
        <f>Table43[[#This Row],[Harga Beli Pcs
(-PPN)]]*Table43[[#This Row],[ISI/CTN]]</f>
        <v>193523.06399999998</v>
      </c>
      <c r="AN26" s="41">
        <f>Table43[[#This Row],[Harga Beli Pcs
(-PPN)]]*1.11</f>
        <v>17900.883419999998</v>
      </c>
      <c r="AO26" s="41">
        <f>Table43[[#This Row],[Harga Beli Krt
(- PPN)]]*1.11</f>
        <v>214810.60104000001</v>
      </c>
      <c r="AP26" s="41">
        <v>17156.3</v>
      </c>
      <c r="AQ26" s="41">
        <f>Table43[[#This Row],[Harga Jual Pcs GT
(-PPN)]]*Table43[[#This Row],[ISI/CTN]]</f>
        <v>205875.59999999998</v>
      </c>
      <c r="AR26" s="41">
        <f>Table43[[#This Row],[Harga Jual Pcs GT
(-PPN)]]*1.11</f>
        <v>19043.493000000002</v>
      </c>
      <c r="AS26" s="41">
        <f>Table43[[#This Row],[Harga Jual Krt GT
(- PPN)]]*1.11</f>
        <v>228521.916</v>
      </c>
      <c r="AT26" s="41">
        <v>18528.804</v>
      </c>
      <c r="AU26" s="41">
        <f>(Table43[[#This Row],[Harga Jual Pcs MT
(-PPN)]]*Table43[[#This Row],[ISI/CTN]])</f>
        <v>222345.64799999999</v>
      </c>
      <c r="AV26" s="41">
        <f>Table43[[#This Row],[Harga Jual Pcs MT
(-PPN)]]*1.11</f>
        <v>20566.972440000001</v>
      </c>
      <c r="AW26" s="41">
        <f>Table43[[#This Row],[Harga Jual Pcs MT
(+PPN)]]*Table43[[#This Row],[ISI/CTN]]</f>
        <v>246803.66928000003</v>
      </c>
      <c r="AX26" s="41"/>
      <c r="AY26" s="46">
        <v>45589</v>
      </c>
      <c r="AZ26" s="54">
        <v>45553</v>
      </c>
      <c r="BA26" s="7" t="str">
        <f ca="1">IF(TODAY()-Table43[[#This Row],[Efektif
Pembuatan]]&gt;60,"Lama","Baru")</f>
        <v>Lama</v>
      </c>
      <c r="BB26" s="7" t="str">
        <f ca="1">IF(TODAY()-Table43[[#This Row],[Efektif Naik Harga]]&lt;30,"Naik","Sama")</f>
        <v>Sama</v>
      </c>
      <c r="BC26" s="7" t="s">
        <v>235</v>
      </c>
      <c r="BD26" s="7" t="str">
        <f>IF(Table43[[#This Row],[Kode BARANG Win2]]&lt;&gt;"","IDR","")</f>
        <v>IDR</v>
      </c>
      <c r="BE26" s="7" t="str">
        <f>CONCATENATE(Table43[[#This Row],[kode  1 Digit
(Nomor)]],Table43[[#This Row],[kode  4 Digit                (Nomor)]])</f>
        <v>10600</v>
      </c>
      <c r="BF26" s="7" t="str">
        <f>Table43[[#This Row],[Nama            Gramasi atau Jumlah Pack per CTN]]</f>
        <v>600 GR</v>
      </c>
      <c r="BG26" s="7" t="s">
        <v>653</v>
      </c>
      <c r="BH26" s="51" t="s">
        <v>654</v>
      </c>
      <c r="BI26" s="4" t="str">
        <f>IF(Table43[[#This Row],[SATUAN Fix Win]]&lt;&gt;"","KRT")</f>
        <v>KRT</v>
      </c>
      <c r="BJ26" s="4" t="str">
        <f>IF(Table43[[#This Row],[SATUAN Fix Win]]&lt;&gt;"","GD01")</f>
        <v>GD01</v>
      </c>
      <c r="BK26" s="4">
        <f>IF(Table43[[#This Row],[SATUAN Fix Win]]&lt;&gt;"",11611)</f>
        <v>11611</v>
      </c>
      <c r="BL26" s="4">
        <f>IF(Table43[[#This Row],[SATUAN Fix Win]]&lt;&gt;"",11612)</f>
        <v>11612</v>
      </c>
      <c r="BM26" s="47" t="s">
        <v>655</v>
      </c>
      <c r="BN26" s="4">
        <f>IF(Table43[[#This Row],[SATUAN Fix Win]]&lt;&gt;"",1)</f>
        <v>1</v>
      </c>
      <c r="BO26" s="4" t="s">
        <v>656</v>
      </c>
      <c r="BP26" s="4">
        <f>IFERROR(VLOOKUP(Table43[[#This Row],[Kode Pcpl]],'[1]HEINZ ABC'!$A$4:$E$112,8,0),0)</f>
        <v>0</v>
      </c>
      <c r="BQ26" s="55">
        <f>Table43[[#This Row],[Harga Jual Pcs GT
(-PPN)]]-Table43[[#This Row],[HARGA NAIK GT]]</f>
        <v>17156.3</v>
      </c>
      <c r="BR26" s="4">
        <f>IF(Table43[[#This Row],[HARGA NAIK GT]]=0,Table43[[#This Row],[Harga Jual Pcs GT
(-PPN)]],Table43[[#This Row],[HARGA NAIK GT]])</f>
        <v>17156.3</v>
      </c>
      <c r="BS26">
        <f>IFERROR(VLOOKUP(Table43[[#This Row],[Kode Pcpl]],'[1]HEINZ ABC'!$A$4:$E$112,8,0),0)</f>
        <v>0</v>
      </c>
      <c r="BT26" s="58">
        <f>Table43[[#This Row],[Harga Jual Pcs GT
(-PPN)]]-BS26</f>
        <v>17156.3</v>
      </c>
      <c r="BU26">
        <f>IF(BS26=0,Table43[[#This Row],[Harga Jual Pcs MT
(-PPN)]])</f>
        <v>18528.804</v>
      </c>
      <c r="BV26">
        <f>IFERROR(VLOOKUP(Table43[[#This Row],[Kode Pcpl]],[2]Pricelist!$A$4:$K$112,11,0),0)</f>
        <v>0</v>
      </c>
      <c r="BW26">
        <f>IFERROR(VLOOKUP(Table43[[#This Row],[Kode BARANG Win2]],[3]!RECKITT211216[[KDBRG]:[HRG_JL_PCS-PPN]],11,0),0)</f>
        <v>0</v>
      </c>
      <c r="BX26">
        <f t="shared" si="2"/>
        <v>0</v>
      </c>
    </row>
    <row r="27" spans="1:76" x14ac:dyDescent="0.25">
      <c r="A27" s="4" t="str">
        <f>CONCATENATE(Table43[[#This Row],[Kode BARANG Win2]],Table43[[#This Row],[No. Urut
Item Sama]])</f>
        <v>A10110000600201</v>
      </c>
      <c r="B27" s="7">
        <v>1</v>
      </c>
      <c r="C27" s="4">
        <v>18</v>
      </c>
      <c r="D27" s="27">
        <v>100163</v>
      </c>
      <c r="E27" s="27" t="s">
        <v>237</v>
      </c>
      <c r="F27" s="27" t="s">
        <v>252</v>
      </c>
      <c r="G27" s="27">
        <v>12</v>
      </c>
      <c r="H27" s="42">
        <v>0</v>
      </c>
      <c r="I27" s="27" t="str">
        <f>Table43[[#This Row],[Nama Jenis Kemasan]]</f>
        <v>BTL</v>
      </c>
      <c r="J27" s="4" t="str">
        <f>TRIM(CONCATENATE(Table43[[#This Row],[Nama            KLP]]," ",Table43[[#This Row],[Nama            Sub KLP]]))</f>
        <v>KECAP MANIS</v>
      </c>
      <c r="K27" s="4" t="str">
        <f>CONCATENATE(Table43[[#This Row],[kode  2 Digit                (hrf+No)]],Table43[[#This Row],[kode  2 Digit                (Nomor)]],Table43[[#This Row],[kode  1 Digit                (Nomor)]])</f>
        <v>A1011</v>
      </c>
      <c r="L27" s="4" t="str">
        <f>IF(AG27="",CONCATENATE(Q27,S27,U27,W27,Y27,AA27,AC27,AE27,Table43[[#This Row],[Tanda Kode Revisi]]),CONCATENATE(Q27,S27,U27,W27,Y27,AA27,AC27,AG27))</f>
        <v>A1011000060020</v>
      </c>
      <c r="M27" s="11">
        <f t="shared" si="0"/>
        <v>14</v>
      </c>
      <c r="N27" s="14" t="str">
        <f>IF(AF27&lt;&gt;"",TRIM(UPPER(CONCATENATE(P27," ",R27," ",T27," ",V27," ",X27," ",Z27," ","X"," ",Table43[[#This Row],[ISI/CTN]]," ",AF27," ",AB27," ",AD27," ",AH27))),TRIM(UPPER(CONCATENATE(P27," ",R27," ",T27," ",V27," ",X27," ",Z27," ","X"," ",Table43[[#This Row],[ISI/CTN]]," ",AB27," ",AD27," ",AH27))))</f>
        <v>ABC KECAP MANIS 600 ML X 12 BTL</v>
      </c>
      <c r="O27" s="11">
        <f t="shared" si="1"/>
        <v>31</v>
      </c>
      <c r="P27" s="4" t="s">
        <v>28</v>
      </c>
      <c r="Q27" s="7" t="s">
        <v>85</v>
      </c>
      <c r="R27" s="4" t="s">
        <v>474</v>
      </c>
      <c r="S27" s="43" t="s">
        <v>0</v>
      </c>
      <c r="T27" s="44" t="s">
        <v>475</v>
      </c>
      <c r="U27" s="7">
        <v>1</v>
      </c>
      <c r="V27" s="44"/>
      <c r="W27" s="43" t="s">
        <v>1</v>
      </c>
      <c r="Y27" s="45" t="s">
        <v>476</v>
      </c>
      <c r="Z27" s="4" t="s">
        <v>497</v>
      </c>
      <c r="AA27" s="45" t="s">
        <v>218</v>
      </c>
      <c r="AB27" s="4" t="s">
        <v>486</v>
      </c>
      <c r="AC27" s="7" t="s">
        <v>492</v>
      </c>
      <c r="AE27" s="7">
        <v>0</v>
      </c>
      <c r="AI27" s="7" t="s">
        <v>214</v>
      </c>
      <c r="AJ27" s="7">
        <v>2</v>
      </c>
      <c r="AL27" s="40">
        <f>Table43[[#This Row],[Harga Jual Pcs GT
(-PPN)]]-(Table43[[#This Row],[Harga Jual Pcs GT
(-PPN)]]*6%)</f>
        <v>23525.408199999998</v>
      </c>
      <c r="AM27" s="41">
        <f>Table43[[#This Row],[Harga Beli Pcs
(-PPN)]]*Table43[[#This Row],[ISI/CTN]]</f>
        <v>282304.89839999995</v>
      </c>
      <c r="AN27" s="41">
        <f>Table43[[#This Row],[Harga Beli Pcs
(-PPN)]]*1.11</f>
        <v>26113.203101999999</v>
      </c>
      <c r="AO27" s="41">
        <f>Table43[[#This Row],[Harga Beli Krt
(- PPN)]]*1.11</f>
        <v>313358.43722399999</v>
      </c>
      <c r="AP27" s="41">
        <v>25027.03</v>
      </c>
      <c r="AQ27" s="41">
        <f>Table43[[#This Row],[Harga Jual Pcs GT
(-PPN)]]*Table43[[#This Row],[ISI/CTN]]</f>
        <v>300324.36</v>
      </c>
      <c r="AR27" s="41">
        <f>Table43[[#This Row],[Harga Jual Pcs GT
(-PPN)]]*1.11</f>
        <v>27780.0033</v>
      </c>
      <c r="AS27" s="41">
        <f>Table43[[#This Row],[Harga Jual Krt GT
(- PPN)]]*1.11</f>
        <v>333360.03960000002</v>
      </c>
      <c r="AT27" s="41">
        <v>27029.19</v>
      </c>
      <c r="AU27" s="41">
        <f>(Table43[[#This Row],[Harga Jual Pcs MT
(-PPN)]]*Table43[[#This Row],[ISI/CTN]])</f>
        <v>324350.27999999997</v>
      </c>
      <c r="AV27" s="41">
        <f>Table43[[#This Row],[Harga Jual Pcs MT
(-PPN)]]*1.11</f>
        <v>30002.400900000001</v>
      </c>
      <c r="AW27" s="41">
        <f>Table43[[#This Row],[Harga Jual Pcs MT
(+PPN)]]*Table43[[#This Row],[ISI/CTN]]</f>
        <v>360028.81079999998</v>
      </c>
      <c r="AX27" s="41"/>
      <c r="AY27" s="46">
        <v>45553</v>
      </c>
      <c r="AZ27" s="54">
        <v>45553</v>
      </c>
      <c r="BA27" s="7" t="str">
        <f ca="1">IF(TODAY()-Table43[[#This Row],[Efektif
Pembuatan]]&gt;60,"Lama","Baru")</f>
        <v>Lama</v>
      </c>
      <c r="BB27" s="7" t="str">
        <f ca="1">IF(TODAY()-Table43[[#This Row],[Efektif Naik Harga]]&lt;30,"Naik","Sama")</f>
        <v>Sama</v>
      </c>
      <c r="BC27" s="7" t="s">
        <v>235</v>
      </c>
      <c r="BD27" s="7" t="str">
        <f>IF(Table43[[#This Row],[Kode BARANG Win2]]&lt;&gt;"","IDR","")</f>
        <v>IDR</v>
      </c>
      <c r="BE27" s="7" t="str">
        <f>CONCATENATE(Table43[[#This Row],[kode  1 Digit
(Nomor)]],Table43[[#This Row],[kode  4 Digit                (Nomor)]])</f>
        <v>20600</v>
      </c>
      <c r="BF27" s="7" t="str">
        <f>Table43[[#This Row],[Nama            Gramasi atau Jumlah Pack per CTN]]</f>
        <v>600 ML</v>
      </c>
      <c r="BG27" s="7" t="s">
        <v>653</v>
      </c>
      <c r="BH27" s="51" t="s">
        <v>654</v>
      </c>
      <c r="BI27" s="4" t="str">
        <f>IF(Table43[[#This Row],[SATUAN Fix Win]]&lt;&gt;"","KRT")</f>
        <v>KRT</v>
      </c>
      <c r="BJ27" s="4" t="str">
        <f>IF(Table43[[#This Row],[SATUAN Fix Win]]&lt;&gt;"","GD01")</f>
        <v>GD01</v>
      </c>
      <c r="BK27" s="4">
        <f>IF(Table43[[#This Row],[SATUAN Fix Win]]&lt;&gt;"",11611)</f>
        <v>11611</v>
      </c>
      <c r="BL27" s="4">
        <f>IF(Table43[[#This Row],[SATUAN Fix Win]]&lt;&gt;"",11612)</f>
        <v>11612</v>
      </c>
      <c r="BM27" s="47" t="s">
        <v>655</v>
      </c>
      <c r="BN27" s="4">
        <f>IF(Table43[[#This Row],[SATUAN Fix Win]]&lt;&gt;"",1)</f>
        <v>1</v>
      </c>
      <c r="BO27" s="4" t="s">
        <v>656</v>
      </c>
      <c r="BP27" s="4">
        <f>IFERROR(VLOOKUP(Table43[[#This Row],[Kode Pcpl]],'[1]HEINZ ABC'!$A$4:$E$112,8,0),0)</f>
        <v>0</v>
      </c>
      <c r="BQ27" s="55">
        <f>Table43[[#This Row],[Harga Jual Pcs GT
(-PPN)]]-Table43[[#This Row],[HARGA NAIK GT]]</f>
        <v>25027.03</v>
      </c>
      <c r="BR27" s="4">
        <f>IF(Table43[[#This Row],[HARGA NAIK GT]]=0,Table43[[#This Row],[Harga Jual Pcs GT
(-PPN)]],Table43[[#This Row],[HARGA NAIK GT]])</f>
        <v>25027.03</v>
      </c>
      <c r="BS27">
        <f>IFERROR(VLOOKUP(Table43[[#This Row],[Kode Pcpl]],'[1]HEINZ ABC'!$A$4:$E$112,8,0),0)</f>
        <v>0</v>
      </c>
      <c r="BT27" s="58">
        <f>Table43[[#This Row],[Harga Jual Pcs GT
(-PPN)]]-BS27</f>
        <v>25027.03</v>
      </c>
      <c r="BU27">
        <f>IF(BS27=0,Table43[[#This Row],[Harga Jual Pcs MT
(-PPN)]])</f>
        <v>27029.19</v>
      </c>
      <c r="BV27">
        <f>IFERROR(VLOOKUP(Table43[[#This Row],[Kode Pcpl]],[2]Pricelist!$A$4:$K$112,11,0),0)</f>
        <v>0</v>
      </c>
      <c r="BW27">
        <f>IFERROR(VLOOKUP(Table43[[#This Row],[Kode BARANG Win2]],[3]!RECKITT211216[[KDBRG]:[HRG_JL_PCS-PPN]],11,0),0)</f>
        <v>0</v>
      </c>
      <c r="BX27">
        <f t="shared" si="2"/>
        <v>0</v>
      </c>
    </row>
    <row r="28" spans="1:76" x14ac:dyDescent="0.25">
      <c r="A28" s="4" t="str">
        <f>CONCATENATE(Table43[[#This Row],[Kode BARANG Win2]],Table43[[#This Row],[No. Urut
Item Sama]])</f>
        <v>A10110000600202</v>
      </c>
      <c r="B28" s="7">
        <v>2</v>
      </c>
      <c r="C28" s="4">
        <v>19</v>
      </c>
      <c r="D28" s="27">
        <v>100226</v>
      </c>
      <c r="E28" s="27" t="s">
        <v>237</v>
      </c>
      <c r="F28" s="27" t="s">
        <v>253</v>
      </c>
      <c r="G28" s="27">
        <v>12</v>
      </c>
      <c r="H28" s="42" t="s">
        <v>2663</v>
      </c>
      <c r="I28" s="27" t="str">
        <f>Table43[[#This Row],[Nama Jenis Kemasan]]</f>
        <v>BTL</v>
      </c>
      <c r="J28" s="4" t="str">
        <f>TRIM(CONCATENATE(Table43[[#This Row],[Nama            KLP]]," ",Table43[[#This Row],[Nama            Sub KLP]]))</f>
        <v>KECAP MANIS</v>
      </c>
      <c r="K28" s="4" t="str">
        <f>CONCATENATE(Table43[[#This Row],[kode  2 Digit                (hrf+No)]],Table43[[#This Row],[kode  2 Digit                (Nomor)]],Table43[[#This Row],[kode  1 Digit                (Nomor)]])</f>
        <v>A1011</v>
      </c>
      <c r="L28" s="4" t="str">
        <f>IF(AG28="",CONCATENATE(Q28,S28,U28,W28,Y28,AA28,AC28,AE28,Table43[[#This Row],[Tanda Kode Revisi]]),CONCATENATE(Q28,S28,U28,W28,Y28,AA28,AC28,AG28))</f>
        <v>A1011000060020</v>
      </c>
      <c r="M28" s="11">
        <f t="shared" si="0"/>
        <v>14</v>
      </c>
      <c r="N28" s="14" t="str">
        <f>IF(AF28&lt;&gt;"",TRIM(UPPER(CONCATENATE(P28," ",R28," ",T28," ",V28," ",X28," ",Z28," ","X"," ",Table43[[#This Row],[ISI/CTN]]," ",AF28," ",AB28," ",AD28," ",AH28))),TRIM(UPPER(CONCATENATE(P28," ",R28," ",T28," ",V28," ",X28," ",Z28," ","X"," ",Table43[[#This Row],[ISI/CTN]]," ",AB28," ",AD28," ",AH28))))</f>
        <v>ABC KECAP MANIS 600 ML X 12 BTL</v>
      </c>
      <c r="O28" s="11">
        <f t="shared" si="1"/>
        <v>31</v>
      </c>
      <c r="P28" s="4" t="s">
        <v>28</v>
      </c>
      <c r="Q28" s="7" t="s">
        <v>85</v>
      </c>
      <c r="R28" s="4" t="s">
        <v>474</v>
      </c>
      <c r="S28" s="43" t="s">
        <v>0</v>
      </c>
      <c r="T28" s="44" t="s">
        <v>475</v>
      </c>
      <c r="U28" s="7">
        <v>1</v>
      </c>
      <c r="V28" s="44"/>
      <c r="W28" s="43" t="s">
        <v>1</v>
      </c>
      <c r="Y28" s="45" t="s">
        <v>476</v>
      </c>
      <c r="Z28" s="4" t="s">
        <v>497</v>
      </c>
      <c r="AA28" s="45" t="s">
        <v>218</v>
      </c>
      <c r="AB28" s="4" t="s">
        <v>486</v>
      </c>
      <c r="AC28" s="7" t="s">
        <v>492</v>
      </c>
      <c r="AE28" s="7">
        <v>0</v>
      </c>
      <c r="AI28" s="7" t="s">
        <v>214</v>
      </c>
      <c r="AJ28" s="7">
        <v>2</v>
      </c>
      <c r="AL28" s="40">
        <f>Table43[[#This Row],[Harga Jual Pcs GT
(-PPN)]]-(Table43[[#This Row],[Harga Jual Pcs GT
(-PPN)]]*6%)</f>
        <v>23525.408199999998</v>
      </c>
      <c r="AM28" s="41">
        <f>Table43[[#This Row],[Harga Beli Pcs
(-PPN)]]*Table43[[#This Row],[ISI/CTN]]</f>
        <v>282304.89839999995</v>
      </c>
      <c r="AN28" s="41">
        <f>Table43[[#This Row],[Harga Beli Pcs
(-PPN)]]*1.11</f>
        <v>26113.203101999999</v>
      </c>
      <c r="AO28" s="41">
        <f>Table43[[#This Row],[Harga Beli Krt
(- PPN)]]*1.11</f>
        <v>313358.43722399999</v>
      </c>
      <c r="AP28" s="41">
        <v>25027.03</v>
      </c>
      <c r="AQ28" s="41">
        <f>Table43[[#This Row],[Harga Jual Pcs GT
(-PPN)]]*Table43[[#This Row],[ISI/CTN]]</f>
        <v>300324.36</v>
      </c>
      <c r="AR28" s="41">
        <f>Table43[[#This Row],[Harga Jual Pcs GT
(-PPN)]]*1.11</f>
        <v>27780.0033</v>
      </c>
      <c r="AS28" s="41">
        <f>Table43[[#This Row],[Harga Jual Krt GT
(- PPN)]]*1.11</f>
        <v>333360.03960000002</v>
      </c>
      <c r="AT28" s="41">
        <v>27029.19</v>
      </c>
      <c r="AU28" s="41">
        <f>(Table43[[#This Row],[Harga Jual Pcs MT
(-PPN)]]*Table43[[#This Row],[ISI/CTN]])</f>
        <v>324350.27999999997</v>
      </c>
      <c r="AV28" s="41">
        <f>Table43[[#This Row],[Harga Jual Pcs MT
(-PPN)]]*1.11</f>
        <v>30002.400900000001</v>
      </c>
      <c r="AW28" s="41">
        <f>Table43[[#This Row],[Harga Jual Pcs MT
(+PPN)]]*Table43[[#This Row],[ISI/CTN]]</f>
        <v>360028.81079999998</v>
      </c>
      <c r="AX28" s="41"/>
      <c r="AY28" s="46">
        <v>45565</v>
      </c>
      <c r="AZ28" s="54">
        <v>45553</v>
      </c>
      <c r="BA28" s="7" t="str">
        <f ca="1">IF(TODAY()-Table43[[#This Row],[Efektif
Pembuatan]]&gt;60,"Lama","Baru")</f>
        <v>Lama</v>
      </c>
      <c r="BB28" s="7" t="str">
        <f ca="1">IF(TODAY()-Table43[[#This Row],[Efektif Naik Harga]]&lt;30,"Naik","Sama")</f>
        <v>Sama</v>
      </c>
      <c r="BC28" s="7" t="s">
        <v>235</v>
      </c>
      <c r="BD28" s="7" t="str">
        <f>IF(Table43[[#This Row],[Kode BARANG Win2]]&lt;&gt;"","IDR","")</f>
        <v>IDR</v>
      </c>
      <c r="BE28" s="7" t="str">
        <f>CONCATENATE(Table43[[#This Row],[kode  1 Digit
(Nomor)]],Table43[[#This Row],[kode  4 Digit                (Nomor)]])</f>
        <v>20600</v>
      </c>
      <c r="BF28" s="7" t="str">
        <f>Table43[[#This Row],[Nama            Gramasi atau Jumlah Pack per CTN]]</f>
        <v>600 ML</v>
      </c>
      <c r="BG28" s="7" t="s">
        <v>653</v>
      </c>
      <c r="BH28" s="51" t="s">
        <v>654</v>
      </c>
      <c r="BI28" s="4" t="str">
        <f>IF(Table43[[#This Row],[SATUAN Fix Win]]&lt;&gt;"","KRT")</f>
        <v>KRT</v>
      </c>
      <c r="BJ28" s="4" t="str">
        <f>IF(Table43[[#This Row],[SATUAN Fix Win]]&lt;&gt;"","GD01")</f>
        <v>GD01</v>
      </c>
      <c r="BK28" s="4">
        <f>IF(Table43[[#This Row],[SATUAN Fix Win]]&lt;&gt;"",11611)</f>
        <v>11611</v>
      </c>
      <c r="BL28" s="4">
        <f>IF(Table43[[#This Row],[SATUAN Fix Win]]&lt;&gt;"",11612)</f>
        <v>11612</v>
      </c>
      <c r="BM28" s="47" t="s">
        <v>655</v>
      </c>
      <c r="BN28" s="4">
        <f>IF(Table43[[#This Row],[SATUAN Fix Win]]&lt;&gt;"",1)</f>
        <v>1</v>
      </c>
      <c r="BO28" s="4" t="s">
        <v>656</v>
      </c>
      <c r="BP28" s="4">
        <f>IFERROR(VLOOKUP(Table43[[#This Row],[Kode Pcpl]],'[1]HEINZ ABC'!$A$4:$E$112,8,0),0)</f>
        <v>0</v>
      </c>
      <c r="BQ28" s="55">
        <f>Table43[[#This Row],[Harga Jual Pcs GT
(-PPN)]]-Table43[[#This Row],[HARGA NAIK GT]]</f>
        <v>25027.03</v>
      </c>
      <c r="BR28" s="4">
        <f>IF(Table43[[#This Row],[HARGA NAIK GT]]=0,Table43[[#This Row],[Harga Jual Pcs GT
(-PPN)]],Table43[[#This Row],[HARGA NAIK GT]])</f>
        <v>25027.03</v>
      </c>
      <c r="BS28">
        <f>IFERROR(VLOOKUP(Table43[[#This Row],[Kode Pcpl]],'[1]HEINZ ABC'!$A$4:$E$112,8,0),0)</f>
        <v>0</v>
      </c>
      <c r="BT28" s="58">
        <f>Table43[[#This Row],[Harga Jual Pcs GT
(-PPN)]]-BS28</f>
        <v>25027.03</v>
      </c>
      <c r="BU28">
        <f>IF(BS28=0,Table43[[#This Row],[Harga Jual Pcs MT
(-PPN)]])</f>
        <v>27029.19</v>
      </c>
      <c r="BV28">
        <f>IFERROR(VLOOKUP(Table43[[#This Row],[Kode Pcpl]],[2]Pricelist!$A$4:$K$112,11,0),0)</f>
        <v>0</v>
      </c>
      <c r="BW28">
        <f>IFERROR(VLOOKUP(Table43[[#This Row],[Kode BARANG Win2]],[3]!RECKITT211216[[KDBRG]:[HRG_JL_PCS-PPN]],11,0),0)</f>
        <v>0</v>
      </c>
      <c r="BX28">
        <f t="shared" si="2"/>
        <v>0</v>
      </c>
    </row>
    <row r="29" spans="1:76" s="76" customFormat="1" x14ac:dyDescent="0.25">
      <c r="A29" s="4" t="str">
        <f>CONCATENATE(Table43[[#This Row],[Kode BARANG Win2]],Table43[[#This Row],[No. Urut
Item Sama]])</f>
        <v>A10110000620101</v>
      </c>
      <c r="B29" s="7">
        <v>1</v>
      </c>
      <c r="C29" s="4">
        <v>20</v>
      </c>
      <c r="D29" s="27">
        <v>100166</v>
      </c>
      <c r="E29" s="27" t="s">
        <v>237</v>
      </c>
      <c r="F29" s="27" t="s">
        <v>254</v>
      </c>
      <c r="G29" s="27">
        <v>12</v>
      </c>
      <c r="H29" s="42">
        <v>0</v>
      </c>
      <c r="I29" s="27" t="str">
        <f>Table43[[#This Row],[Nama Jenis Kemasan]]</f>
        <v>BTL</v>
      </c>
      <c r="J29" s="4" t="str">
        <f>TRIM(CONCATENATE(Table43[[#This Row],[Nama            KLP]]," ",Table43[[#This Row],[Nama            Sub KLP]]))</f>
        <v>KECAP MANIS</v>
      </c>
      <c r="K29" s="4" t="str">
        <f>CONCATENATE(Table43[[#This Row],[kode  2 Digit                (hrf+No)]],Table43[[#This Row],[kode  2 Digit                (Nomor)]],Table43[[#This Row],[kode  1 Digit                (Nomor)]])</f>
        <v>A1011</v>
      </c>
      <c r="L29" s="4" t="str">
        <f>IF(AG29="",CONCATENATE(Q29,S29,U29,W29,Y29,AA29,AC29,AE29,Table43[[#This Row],[Tanda Kode Revisi]]),CONCATENATE(Q29,S29,U29,W29,Y29,AA29,AC29,AG29))</f>
        <v>A1011000062010</v>
      </c>
      <c r="M29" s="11">
        <f t="shared" si="0"/>
        <v>14</v>
      </c>
      <c r="N29" s="14" t="str">
        <f>IF(AF29&lt;&gt;"",TRIM(UPPER(CONCATENATE(P29," ",R29," ",T29," ",V29," ",X29," ",Z29," ","X"," ",Table43[[#This Row],[ISI/CTN]]," ",AF29," ",AB29," ",AD29," ",AH29))),TRIM(UPPER(CONCATENATE(P29," ",R29," ",T29," ",V29," ",X29," ",Z29," ","X"," ",Table43[[#This Row],[ISI/CTN]]," ",AB29," ",AD29," ",AH29))))</f>
        <v>ABC KECAP MANIS 620 ML X 12 BTL</v>
      </c>
      <c r="O29" s="11">
        <f t="shared" si="1"/>
        <v>31</v>
      </c>
      <c r="P29" s="4" t="s">
        <v>28</v>
      </c>
      <c r="Q29" s="7" t="s">
        <v>85</v>
      </c>
      <c r="R29" s="4" t="s">
        <v>474</v>
      </c>
      <c r="S29" s="43" t="s">
        <v>0</v>
      </c>
      <c r="T29" s="44" t="s">
        <v>475</v>
      </c>
      <c r="U29" s="7">
        <v>1</v>
      </c>
      <c r="V29" s="44"/>
      <c r="W29" s="43" t="s">
        <v>1</v>
      </c>
      <c r="X29" s="4"/>
      <c r="Y29" s="45" t="s">
        <v>476</v>
      </c>
      <c r="Z29" s="4" t="s">
        <v>498</v>
      </c>
      <c r="AA29" s="45" t="s">
        <v>499</v>
      </c>
      <c r="AB29" s="4" t="s">
        <v>486</v>
      </c>
      <c r="AC29" s="7" t="s">
        <v>480</v>
      </c>
      <c r="AD29" s="4"/>
      <c r="AE29" s="7">
        <v>0</v>
      </c>
      <c r="AF29" s="7"/>
      <c r="AG29" s="7"/>
      <c r="AH29" s="7"/>
      <c r="AI29" s="7" t="s">
        <v>214</v>
      </c>
      <c r="AJ29" s="7">
        <v>2</v>
      </c>
      <c r="AK29" s="7"/>
      <c r="AL29" s="40">
        <f>Table43[[#This Row],[Harga Jual Pcs GT
(-PPN)]]-(Table43[[#This Row],[Harga Jual Pcs GT
(-PPN)]]*6%)</f>
        <v>28098.3766</v>
      </c>
      <c r="AM29" s="41">
        <f>Table43[[#This Row],[Harga Beli Pcs
(-PPN)]]*Table43[[#This Row],[ISI/CTN]]</f>
        <v>337180.51919999998</v>
      </c>
      <c r="AN29" s="41">
        <f>Table43[[#This Row],[Harga Beli Pcs
(-PPN)]]*1.11</f>
        <v>31189.198026000002</v>
      </c>
      <c r="AO29" s="41">
        <f>Table43[[#This Row],[Harga Beli Krt
(- PPN)]]*1.11</f>
        <v>374270.37631200004</v>
      </c>
      <c r="AP29" s="41">
        <v>29891.89</v>
      </c>
      <c r="AQ29" s="41">
        <f>Table43[[#This Row],[Harga Jual Pcs GT
(-PPN)]]*Table43[[#This Row],[ISI/CTN]]</f>
        <v>358702.68</v>
      </c>
      <c r="AR29" s="41">
        <f>Table43[[#This Row],[Harga Jual Pcs GT
(-PPN)]]*1.11</f>
        <v>33179.997900000002</v>
      </c>
      <c r="AS29" s="41">
        <f>Table43[[#This Row],[Harga Jual Krt GT
(- PPN)]]*1.11</f>
        <v>398159.97480000003</v>
      </c>
      <c r="AT29" s="41">
        <v>32283.24</v>
      </c>
      <c r="AU29" s="41">
        <f>(Table43[[#This Row],[Harga Jual Pcs MT
(-PPN)]]*Table43[[#This Row],[ISI/CTN]])</f>
        <v>387398.88</v>
      </c>
      <c r="AV29" s="41">
        <f>Table43[[#This Row],[Harga Jual Pcs MT
(-PPN)]]*1.11</f>
        <v>35834.396400000005</v>
      </c>
      <c r="AW29" s="41">
        <f>Table43[[#This Row],[Harga Jual Pcs MT
(+PPN)]]*Table43[[#This Row],[ISI/CTN]]</f>
        <v>430012.75680000009</v>
      </c>
      <c r="AX29" s="41"/>
      <c r="AY29" s="46">
        <v>45553</v>
      </c>
      <c r="AZ29" s="54">
        <v>45553</v>
      </c>
      <c r="BA29" s="7" t="str">
        <f ca="1">IF(TODAY()-Table43[[#This Row],[Efektif
Pembuatan]]&gt;60,"Lama","Baru")</f>
        <v>Lama</v>
      </c>
      <c r="BB29" s="7" t="str">
        <f ca="1">IF(TODAY()-Table43[[#This Row],[Efektif Naik Harga]]&lt;30,"Naik","Sama")</f>
        <v>Sama</v>
      </c>
      <c r="BC29" s="7" t="s">
        <v>235</v>
      </c>
      <c r="BD29" s="7" t="str">
        <f>IF(Table43[[#This Row],[Kode BARANG Win2]]&lt;&gt;"","IDR","")</f>
        <v>IDR</v>
      </c>
      <c r="BE29" s="7" t="str">
        <f>CONCATENATE(Table43[[#This Row],[kode  1 Digit
(Nomor)]],Table43[[#This Row],[kode  4 Digit                (Nomor)]])</f>
        <v>20620</v>
      </c>
      <c r="BF29" s="7" t="str">
        <f>Table43[[#This Row],[Nama            Gramasi atau Jumlah Pack per CTN]]</f>
        <v>620 ML</v>
      </c>
      <c r="BG29" s="7" t="s">
        <v>653</v>
      </c>
      <c r="BH29" s="51" t="s">
        <v>654</v>
      </c>
      <c r="BI29" s="4" t="str">
        <f>IF(Table43[[#This Row],[SATUAN Fix Win]]&lt;&gt;"","KRT")</f>
        <v>KRT</v>
      </c>
      <c r="BJ29" s="4" t="str">
        <f>IF(Table43[[#This Row],[SATUAN Fix Win]]&lt;&gt;"","GD01")</f>
        <v>GD01</v>
      </c>
      <c r="BK29" s="4">
        <f>IF(Table43[[#This Row],[SATUAN Fix Win]]&lt;&gt;"",11611)</f>
        <v>11611</v>
      </c>
      <c r="BL29" s="4">
        <f>IF(Table43[[#This Row],[SATUAN Fix Win]]&lt;&gt;"",11612)</f>
        <v>11612</v>
      </c>
      <c r="BM29" s="47" t="s">
        <v>655</v>
      </c>
      <c r="BN29" s="4">
        <f>IF(Table43[[#This Row],[SATUAN Fix Win]]&lt;&gt;"",1)</f>
        <v>1</v>
      </c>
      <c r="BO29" s="4" t="s">
        <v>656</v>
      </c>
      <c r="BP29" s="4">
        <f>IFERROR(VLOOKUP(Table43[[#This Row],[Kode Pcpl]],'[1]HEINZ ABC'!$A$4:$E$112,8,0),0)</f>
        <v>0</v>
      </c>
      <c r="BQ29" s="55">
        <f>Table43[[#This Row],[Harga Jual Pcs GT
(-PPN)]]-Table43[[#This Row],[HARGA NAIK GT]]</f>
        <v>29891.89</v>
      </c>
      <c r="BR29" s="4">
        <f>IF(Table43[[#This Row],[HARGA NAIK GT]]=0,Table43[[#This Row],[Harga Jual Pcs GT
(-PPN)]],Table43[[#This Row],[HARGA NAIK GT]])</f>
        <v>29891.89</v>
      </c>
      <c r="BT29" s="77"/>
    </row>
    <row r="30" spans="1:76" x14ac:dyDescent="0.25">
      <c r="A30" s="4" t="str">
        <f>CONCATENATE(Table43[[#This Row],[Kode BARANG Win2]],Table43[[#This Row],[No. Urut
Item Sama]])</f>
        <v>A10110000685101</v>
      </c>
      <c r="B30" s="7">
        <v>1</v>
      </c>
      <c r="C30" s="4">
        <v>21</v>
      </c>
      <c r="D30" s="27">
        <v>100187</v>
      </c>
      <c r="E30" s="27" t="s">
        <v>237</v>
      </c>
      <c r="F30" s="27" t="s">
        <v>255</v>
      </c>
      <c r="G30" s="27">
        <v>12</v>
      </c>
      <c r="H30" s="42">
        <v>0</v>
      </c>
      <c r="I30" s="27" t="str">
        <f>Table43[[#This Row],[Nama Jenis Kemasan]]</f>
        <v>PCH</v>
      </c>
      <c r="J30" s="4" t="str">
        <f>TRIM(CONCATENATE(Table43[[#This Row],[Nama            KLP]]," ",Table43[[#This Row],[Nama            Sub KLP]]))</f>
        <v>KECAP MANIS</v>
      </c>
      <c r="K30" s="4" t="str">
        <f>CONCATENATE(Table43[[#This Row],[kode  2 Digit                (hrf+No)]],Table43[[#This Row],[kode  2 Digit                (Nomor)]],Table43[[#This Row],[kode  1 Digit                (Nomor)]])</f>
        <v>A1011</v>
      </c>
      <c r="L30" s="4" t="str">
        <f>IF(AG30="",CONCATENATE(Q30,S30,U30,W30,Y30,AA30,AC30,AE30,Table43[[#This Row],[Tanda Kode Revisi]]),CONCATENATE(Q30,S30,U30,W30,Y30,AA30,AC30,AG30))</f>
        <v>A1011000068510</v>
      </c>
      <c r="M30" s="11">
        <f t="shared" si="0"/>
        <v>14</v>
      </c>
      <c r="N30" s="14" t="str">
        <f>IF(AF30&lt;&gt;"",TRIM(UPPER(CONCATENATE(P30," ",R30," ",T30," ",V30," ",X30," ",Z30," ","X"," ",Table43[[#This Row],[ISI/CTN]]," ",AF30," ",AB30," ",AD30," ",AH30))),TRIM(UPPER(CONCATENATE(P30," ",R30," ",T30," ",V30," ",X30," ",Z30," ","X"," ",Table43[[#This Row],[ISI/CTN]]," ",AB30," ",AD30," ",AH30))))</f>
        <v>ABC KECAP MANIS 685 GR X 12 PCH</v>
      </c>
      <c r="O30" s="11">
        <f t="shared" si="1"/>
        <v>31</v>
      </c>
      <c r="P30" s="4" t="s">
        <v>28</v>
      </c>
      <c r="Q30" s="7" t="s">
        <v>85</v>
      </c>
      <c r="R30" s="4" t="s">
        <v>474</v>
      </c>
      <c r="S30" s="43" t="s">
        <v>0</v>
      </c>
      <c r="T30" s="44" t="s">
        <v>475</v>
      </c>
      <c r="U30" s="7">
        <v>1</v>
      </c>
      <c r="V30" s="44"/>
      <c r="W30" s="43" t="s">
        <v>1</v>
      </c>
      <c r="Y30" s="45" t="s">
        <v>476</v>
      </c>
      <c r="Z30" s="4" t="s">
        <v>500</v>
      </c>
      <c r="AA30" s="45" t="s">
        <v>229</v>
      </c>
      <c r="AB30" s="4" t="s">
        <v>479</v>
      </c>
      <c r="AC30" s="7" t="s">
        <v>480</v>
      </c>
      <c r="AE30" s="7" t="s">
        <v>1</v>
      </c>
      <c r="AI30" s="7" t="s">
        <v>215</v>
      </c>
      <c r="AJ30" s="7">
        <v>1</v>
      </c>
      <c r="AL30" s="40">
        <f>Table43[[#This Row],[Harga Jual Pcs GT
(-PPN)]]-(Table43[[#This Row],[Harga Jual Pcs GT
(-PPN)]]*6%)</f>
        <v>18545.946199999998</v>
      </c>
      <c r="AM30" s="41">
        <f>Table43[[#This Row],[Harga Beli Pcs
(-PPN)]]*Table43[[#This Row],[ISI/CTN]]</f>
        <v>222551.35439999998</v>
      </c>
      <c r="AN30" s="41">
        <f>Table43[[#This Row],[Harga Beli Pcs
(-PPN)]]*1.11</f>
        <v>20586.000282000001</v>
      </c>
      <c r="AO30" s="41">
        <f>Table43[[#This Row],[Harga Beli Krt
(- PPN)]]*1.11</f>
        <v>247032.00338400001</v>
      </c>
      <c r="AP30" s="41">
        <v>19729.73</v>
      </c>
      <c r="AQ30" s="41">
        <f>Table43[[#This Row],[Harga Jual Pcs GT
(-PPN)]]*Table43[[#This Row],[ISI/CTN]]</f>
        <v>236756.76</v>
      </c>
      <c r="AR30" s="41">
        <f>Table43[[#This Row],[Harga Jual Pcs GT
(-PPN)]]*1.11</f>
        <v>21900.0003</v>
      </c>
      <c r="AS30" s="41">
        <f>Table43[[#This Row],[Harga Jual Krt GT
(- PPN)]]*1.11</f>
        <v>262800.00360000005</v>
      </c>
      <c r="AT30" s="41">
        <v>21308.11</v>
      </c>
      <c r="AU30" s="41">
        <f>(Table43[[#This Row],[Harga Jual Pcs MT
(-PPN)]]*Table43[[#This Row],[ISI/CTN]])</f>
        <v>255697.32</v>
      </c>
      <c r="AV30" s="41">
        <f>Table43[[#This Row],[Harga Jual Pcs MT
(-PPN)]]*1.11</f>
        <v>23652.002100000002</v>
      </c>
      <c r="AW30" s="41">
        <f>Table43[[#This Row],[Harga Jual Pcs MT
(+PPN)]]*Table43[[#This Row],[ISI/CTN]]</f>
        <v>283824.02520000003</v>
      </c>
      <c r="AX30" s="41"/>
      <c r="AY30" s="46">
        <v>45553</v>
      </c>
      <c r="AZ30" s="54">
        <v>45553</v>
      </c>
      <c r="BA30" s="7" t="str">
        <f ca="1">IF(TODAY()-Table43[[#This Row],[Efektif
Pembuatan]]&gt;60,"Lama","Baru")</f>
        <v>Lama</v>
      </c>
      <c r="BB30" s="7" t="str">
        <f ca="1">IF(TODAY()-Table43[[#This Row],[Efektif Naik Harga]]&lt;30,"Naik","Sama")</f>
        <v>Sama</v>
      </c>
      <c r="BC30" s="7" t="s">
        <v>235</v>
      </c>
      <c r="BD30" s="7" t="str">
        <f>IF(Table43[[#This Row],[Kode BARANG Win2]]&lt;&gt;"","IDR","")</f>
        <v>IDR</v>
      </c>
      <c r="BE30" s="7" t="str">
        <f>CONCATENATE(Table43[[#This Row],[kode  1 Digit
(Nomor)]],Table43[[#This Row],[kode  4 Digit                (Nomor)]])</f>
        <v>10685</v>
      </c>
      <c r="BF30" s="7" t="str">
        <f>Table43[[#This Row],[Nama            Gramasi atau Jumlah Pack per CTN]]</f>
        <v>685 GR</v>
      </c>
      <c r="BG30" s="7" t="s">
        <v>653</v>
      </c>
      <c r="BH30" s="51" t="s">
        <v>654</v>
      </c>
      <c r="BI30" s="4" t="str">
        <f>IF(Table43[[#This Row],[SATUAN Fix Win]]&lt;&gt;"","KRT")</f>
        <v>KRT</v>
      </c>
      <c r="BJ30" s="4" t="str">
        <f>IF(Table43[[#This Row],[SATUAN Fix Win]]&lt;&gt;"","GD01")</f>
        <v>GD01</v>
      </c>
      <c r="BK30" s="4">
        <f>IF(Table43[[#This Row],[SATUAN Fix Win]]&lt;&gt;"",11611)</f>
        <v>11611</v>
      </c>
      <c r="BL30" s="4">
        <f>IF(Table43[[#This Row],[SATUAN Fix Win]]&lt;&gt;"",11612)</f>
        <v>11612</v>
      </c>
      <c r="BM30" s="47" t="s">
        <v>655</v>
      </c>
      <c r="BN30" s="4">
        <f>IF(Table43[[#This Row],[SATUAN Fix Win]]&lt;&gt;"",1)</f>
        <v>1</v>
      </c>
      <c r="BO30" s="4" t="s">
        <v>656</v>
      </c>
      <c r="BP30" s="4">
        <f>IFERROR(VLOOKUP(Table43[[#This Row],[Kode Pcpl]],'[1]HEINZ ABC'!$A$4:$E$112,8,0),0)</f>
        <v>0</v>
      </c>
      <c r="BQ30" s="55">
        <f>Table43[[#This Row],[Harga Jual Pcs GT
(-PPN)]]-Table43[[#This Row],[HARGA NAIK GT]]</f>
        <v>19729.73</v>
      </c>
      <c r="BR30" s="4">
        <f>IF(Table43[[#This Row],[HARGA NAIK GT]]=0,Table43[[#This Row],[Harga Jual Pcs GT
(-PPN)]],Table43[[#This Row],[HARGA NAIK GT]])</f>
        <v>19729.73</v>
      </c>
      <c r="BS30">
        <f>IFERROR(VLOOKUP(Table43[[#This Row],[Kode Pcpl]],'[1]HEINZ ABC'!$A$4:$E$112,8,0),0)</f>
        <v>0</v>
      </c>
      <c r="BT30" s="58">
        <f>Table43[[#This Row],[Harga Jual Pcs GT
(-PPN)]]-BS30</f>
        <v>19729.73</v>
      </c>
      <c r="BU30">
        <f>IF(BS30=0,Table43[[#This Row],[Harga Jual Pcs MT
(-PPN)]])</f>
        <v>21308.11</v>
      </c>
      <c r="BV30">
        <f>IFERROR(VLOOKUP(Table43[[#This Row],[Kode Pcpl]],[2]Pricelist!$A$4:$K$112,11,0),0)</f>
        <v>0</v>
      </c>
      <c r="BW30">
        <f>IFERROR(VLOOKUP(Table43[[#This Row],[Kode BARANG Win2]],[3]!RECKITT211216[[KDBRG]:[HRG_JL_PCS-PPN]],11,0),0)</f>
        <v>0</v>
      </c>
      <c r="BX30">
        <f t="shared" si="2"/>
        <v>0</v>
      </c>
    </row>
    <row r="31" spans="1:76" x14ac:dyDescent="0.25">
      <c r="A31" s="4" t="str">
        <f>CONCATENATE(Table43[[#This Row],[Kode BARANG Win2]],Table43[[#This Row],[No. Urut
Item Sama]])</f>
        <v>A10110000685102</v>
      </c>
      <c r="B31" s="7">
        <v>2</v>
      </c>
      <c r="C31" s="4">
        <v>22</v>
      </c>
      <c r="D31" s="27">
        <v>100165</v>
      </c>
      <c r="E31" s="27" t="s">
        <v>237</v>
      </c>
      <c r="F31" s="27" t="s">
        <v>256</v>
      </c>
      <c r="G31" s="27">
        <v>12</v>
      </c>
      <c r="H31" s="42" t="s">
        <v>2748</v>
      </c>
      <c r="I31" s="27" t="str">
        <f>Table43[[#This Row],[Nama Jenis Kemasan]]</f>
        <v>PCH</v>
      </c>
      <c r="J31" s="4" t="str">
        <f>TRIM(CONCATENATE(Table43[[#This Row],[Nama            KLP]]," ",Table43[[#This Row],[Nama            Sub KLP]]))</f>
        <v>KECAP MANIS</v>
      </c>
      <c r="K31" s="4" t="str">
        <f>CONCATENATE(Table43[[#This Row],[kode  2 Digit                (hrf+No)]],Table43[[#This Row],[kode  2 Digit                (Nomor)]],Table43[[#This Row],[kode  1 Digit                (Nomor)]])</f>
        <v>A1011</v>
      </c>
      <c r="L31" s="4" t="str">
        <f>IF(AG31="",CONCATENATE(Q31,S31,U31,W31,Y31,AA31,AC31,AE31,Table43[[#This Row],[Tanda Kode Revisi]]),CONCATENATE(Q31,S31,U31,W31,Y31,AA31,AC31,AG31))</f>
        <v>A1011000068510</v>
      </c>
      <c r="M31" s="11">
        <f t="shared" si="0"/>
        <v>14</v>
      </c>
      <c r="N31" s="14" t="str">
        <f>IF(AF31&lt;&gt;"",TRIM(UPPER(CONCATENATE(P31," ",R31," ",T31," ",V31," ",X31," ",Z31," ","X"," ",Table43[[#This Row],[ISI/CTN]]," ",AF31," ",AB31," ",AD31," ",AH31))),TRIM(UPPER(CONCATENATE(P31," ",R31," ",T31," ",V31," ",X31," ",Z31," ","X"," ",Table43[[#This Row],[ISI/CTN]]," ",AB31," ",AD31," ",AH31))))</f>
        <v>ABC KECAP MANIS 685 GR X 12 PCH</v>
      </c>
      <c r="O31" s="11">
        <f t="shared" si="1"/>
        <v>31</v>
      </c>
      <c r="P31" s="4" t="s">
        <v>28</v>
      </c>
      <c r="Q31" s="7" t="s">
        <v>85</v>
      </c>
      <c r="R31" s="4" t="s">
        <v>474</v>
      </c>
      <c r="S31" s="43" t="s">
        <v>0</v>
      </c>
      <c r="T31" s="44" t="s">
        <v>475</v>
      </c>
      <c r="U31" s="7">
        <v>1</v>
      </c>
      <c r="V31" s="44"/>
      <c r="W31" s="43" t="s">
        <v>1</v>
      </c>
      <c r="Y31" s="45" t="s">
        <v>476</v>
      </c>
      <c r="Z31" s="4" t="s">
        <v>500</v>
      </c>
      <c r="AA31" s="45" t="s">
        <v>229</v>
      </c>
      <c r="AB31" s="4" t="s">
        <v>479</v>
      </c>
      <c r="AC31" s="7" t="s">
        <v>480</v>
      </c>
      <c r="AE31" s="7" t="s">
        <v>1</v>
      </c>
      <c r="AI31" s="7" t="s">
        <v>215</v>
      </c>
      <c r="AJ31" s="7">
        <v>1</v>
      </c>
      <c r="AL31" s="40">
        <f>Table43[[#This Row],[Harga Jual Pcs GT
(-PPN)]]-(Table43[[#This Row],[Harga Jual Pcs GT
(-PPN)]]*6%)</f>
        <v>18545.946199999998</v>
      </c>
      <c r="AM31" s="41">
        <f>Table43[[#This Row],[Harga Beli Pcs
(-PPN)]]*Table43[[#This Row],[ISI/CTN]]</f>
        <v>222551.35439999998</v>
      </c>
      <c r="AN31" s="41">
        <f>Table43[[#This Row],[Harga Beli Pcs
(-PPN)]]*1.11</f>
        <v>20586.000282000001</v>
      </c>
      <c r="AO31" s="41">
        <f>Table43[[#This Row],[Harga Beli Krt
(- PPN)]]*1.11</f>
        <v>247032.00338400001</v>
      </c>
      <c r="AP31" s="41">
        <v>19729.73</v>
      </c>
      <c r="AQ31" s="41">
        <f>Table43[[#This Row],[Harga Jual Pcs GT
(-PPN)]]*Table43[[#This Row],[ISI/CTN]]</f>
        <v>236756.76</v>
      </c>
      <c r="AR31" s="41">
        <f>Table43[[#This Row],[Harga Jual Pcs GT
(-PPN)]]*1.11</f>
        <v>21900.0003</v>
      </c>
      <c r="AS31" s="41">
        <f>Table43[[#This Row],[Harga Jual Krt GT
(- PPN)]]*1.11</f>
        <v>262800.00360000005</v>
      </c>
      <c r="AT31" s="41">
        <v>21308.11</v>
      </c>
      <c r="AU31" s="41">
        <f>(Table43[[#This Row],[Harga Jual Pcs MT
(-PPN)]]*Table43[[#This Row],[ISI/CTN]])</f>
        <v>255697.32</v>
      </c>
      <c r="AV31" s="41">
        <f>Table43[[#This Row],[Harga Jual Pcs MT
(-PPN)]]*1.11</f>
        <v>23652.002100000002</v>
      </c>
      <c r="AW31" s="41">
        <f>Table43[[#This Row],[Harga Jual Pcs MT
(+PPN)]]*Table43[[#This Row],[ISI/CTN]]</f>
        <v>283824.02520000003</v>
      </c>
      <c r="AX31" s="41"/>
      <c r="AY31" s="46">
        <v>45553</v>
      </c>
      <c r="AZ31" s="54">
        <v>45553</v>
      </c>
      <c r="BA31" s="7" t="str">
        <f ca="1">IF(TODAY()-Table43[[#This Row],[Efektif
Pembuatan]]&gt;60,"Lama","Baru")</f>
        <v>Lama</v>
      </c>
      <c r="BB31" s="7" t="str">
        <f ca="1">IF(TODAY()-Table43[[#This Row],[Efektif Naik Harga]]&lt;30,"Naik","Sama")</f>
        <v>Sama</v>
      </c>
      <c r="BC31" s="7" t="s">
        <v>235</v>
      </c>
      <c r="BD31" s="7" t="str">
        <f>IF(Table43[[#This Row],[Kode BARANG Win2]]&lt;&gt;"","IDR","")</f>
        <v>IDR</v>
      </c>
      <c r="BE31" s="7" t="str">
        <f>CONCATENATE(Table43[[#This Row],[kode  1 Digit
(Nomor)]],Table43[[#This Row],[kode  4 Digit                (Nomor)]])</f>
        <v>10685</v>
      </c>
      <c r="BF31" s="7" t="str">
        <f>Table43[[#This Row],[Nama            Gramasi atau Jumlah Pack per CTN]]</f>
        <v>685 GR</v>
      </c>
      <c r="BG31" s="7" t="s">
        <v>653</v>
      </c>
      <c r="BH31" s="51" t="s">
        <v>654</v>
      </c>
      <c r="BI31" s="4" t="str">
        <f>IF(Table43[[#This Row],[SATUAN Fix Win]]&lt;&gt;"","KRT")</f>
        <v>KRT</v>
      </c>
      <c r="BJ31" s="4" t="str">
        <f>IF(Table43[[#This Row],[SATUAN Fix Win]]&lt;&gt;"","GD01")</f>
        <v>GD01</v>
      </c>
      <c r="BK31" s="4">
        <f>IF(Table43[[#This Row],[SATUAN Fix Win]]&lt;&gt;"",11611)</f>
        <v>11611</v>
      </c>
      <c r="BL31" s="4">
        <f>IF(Table43[[#This Row],[SATUAN Fix Win]]&lt;&gt;"",11612)</f>
        <v>11612</v>
      </c>
      <c r="BM31" s="47" t="s">
        <v>655</v>
      </c>
      <c r="BN31" s="4">
        <f>IF(Table43[[#This Row],[SATUAN Fix Win]]&lt;&gt;"",1)</f>
        <v>1</v>
      </c>
      <c r="BO31" s="4" t="s">
        <v>656</v>
      </c>
      <c r="BP31" s="4">
        <f>IFERROR(VLOOKUP(Table43[[#This Row],[Kode Pcpl]],'[1]HEINZ ABC'!$A$4:$E$112,8,0),0)</f>
        <v>0</v>
      </c>
      <c r="BQ31" s="55">
        <f>Table43[[#This Row],[Harga Jual Pcs GT
(-PPN)]]-Table43[[#This Row],[HARGA NAIK GT]]</f>
        <v>19729.73</v>
      </c>
      <c r="BR31" s="4">
        <f>IF(Table43[[#This Row],[HARGA NAIK GT]]=0,Table43[[#This Row],[Harga Jual Pcs GT
(-PPN)]],Table43[[#This Row],[HARGA NAIK GT]])</f>
        <v>19729.73</v>
      </c>
      <c r="BS31">
        <f>IFERROR(VLOOKUP(Table43[[#This Row],[Kode Pcpl]],'[1]HEINZ ABC'!$A$4:$E$112,8,0),0)</f>
        <v>0</v>
      </c>
      <c r="BT31" s="58">
        <f>Table43[[#This Row],[Harga Jual Pcs GT
(-PPN)]]-BS31</f>
        <v>19729.73</v>
      </c>
      <c r="BU31">
        <f>IF(BS31=0,Table43[[#This Row],[Harga Jual Pcs MT
(-PPN)]])</f>
        <v>21308.11</v>
      </c>
      <c r="BV31">
        <f>IFERROR(VLOOKUP(Table43[[#This Row],[Kode Pcpl]],[2]Pricelist!$A$4:$K$112,11,0),0)</f>
        <v>0</v>
      </c>
      <c r="BW31">
        <f>IFERROR(VLOOKUP(Table43[[#This Row],[Kode BARANG Win2]],[3]!RECKITT211216[[KDBRG]:[HRG_JL_PCS-PPN]],11,0),0)</f>
        <v>0</v>
      </c>
      <c r="BX31">
        <f t="shared" si="2"/>
        <v>0</v>
      </c>
    </row>
    <row r="32" spans="1:76" x14ac:dyDescent="0.25">
      <c r="A32" s="4" t="str">
        <f>CONCATENATE(Table43[[#This Row],[Kode BARANG Win2]],Table43[[#This Row],[No. Urut
Item Sama]])</f>
        <v>A10110000685121</v>
      </c>
      <c r="B32" s="7">
        <v>1</v>
      </c>
      <c r="C32" s="4">
        <v>23</v>
      </c>
      <c r="D32" s="27">
        <v>100976</v>
      </c>
      <c r="E32" s="27" t="s">
        <v>237</v>
      </c>
      <c r="F32" s="27" t="s">
        <v>257</v>
      </c>
      <c r="G32" s="27">
        <v>12</v>
      </c>
      <c r="H32" s="42">
        <v>0</v>
      </c>
      <c r="I32" s="27" t="str">
        <f>Table43[[#This Row],[Nama Jenis Kemasan]]</f>
        <v>PCH</v>
      </c>
      <c r="J32" s="4" t="str">
        <f>TRIM(CONCATENATE(Table43[[#This Row],[Nama            KLP]]," ",Table43[[#This Row],[Nama            Sub KLP]]))</f>
        <v>KECAP MANIS</v>
      </c>
      <c r="K32" s="4" t="str">
        <f>CONCATENATE(Table43[[#This Row],[kode  2 Digit                (hrf+No)]],Table43[[#This Row],[kode  2 Digit                (Nomor)]],Table43[[#This Row],[kode  1 Digit                (Nomor)]])</f>
        <v>A1011</v>
      </c>
      <c r="L32" s="4" t="str">
        <f>IF(AG32="",CONCATENATE(Q32,S32,U32,W32,Y32,AA32,AC32,AE32,Table43[[#This Row],[Tanda Kode Revisi]]),CONCATENATE(Q32,S32,U32,W32,Y32,AA32,AC32,AG32))</f>
        <v>A1011000068512</v>
      </c>
      <c r="M32" s="11">
        <f t="shared" si="0"/>
        <v>14</v>
      </c>
      <c r="N32" s="14" t="str">
        <f>IF(AF32&lt;&gt;"",TRIM(UPPER(CONCATENATE(P32," ",R32," ",T32," ",V32," ",X32," ",Z32," ","X"," ",Table43[[#This Row],[ISI/CTN]]," ",AF32," ",AB32," ",AD32," ",AH32))),TRIM(UPPER(CONCATENATE(P32," ",R32," ",T32," ",V32," ",X32," ",Z32," ","X"," ",Table43[[#This Row],[ISI/CTN]]," ",AB32," ",AD32," ",AH32))))</f>
        <v>ABC KECAP MANIS 685 GR X 12 PCH BANDED</v>
      </c>
      <c r="O32" s="11">
        <f t="shared" si="1"/>
        <v>38</v>
      </c>
      <c r="P32" s="4" t="s">
        <v>28</v>
      </c>
      <c r="Q32" s="7" t="s">
        <v>85</v>
      </c>
      <c r="R32" s="4" t="s">
        <v>474</v>
      </c>
      <c r="S32" s="43" t="s">
        <v>0</v>
      </c>
      <c r="T32" s="44" t="s">
        <v>475</v>
      </c>
      <c r="U32" s="7">
        <v>1</v>
      </c>
      <c r="V32" s="44"/>
      <c r="W32" s="43" t="s">
        <v>1</v>
      </c>
      <c r="Y32" s="45" t="s">
        <v>476</v>
      </c>
      <c r="Z32" s="4" t="s">
        <v>500</v>
      </c>
      <c r="AA32" s="45" t="s">
        <v>229</v>
      </c>
      <c r="AB32" s="4" t="s">
        <v>479</v>
      </c>
      <c r="AC32" s="7" t="s">
        <v>480</v>
      </c>
      <c r="AD32" s="4" t="s">
        <v>496</v>
      </c>
      <c r="AE32" s="7">
        <v>2</v>
      </c>
      <c r="AI32" s="7" t="s">
        <v>215</v>
      </c>
      <c r="AJ32" s="7">
        <v>1</v>
      </c>
      <c r="AL32" s="40">
        <f>Table43[[#This Row],[Harga Jual Pcs GT
(-PPN)]]-(Table43[[#This Row],[Harga Jual Pcs GT
(-PPN)]]*6%)</f>
        <v>18545.946199999998</v>
      </c>
      <c r="AM32" s="41">
        <f>Table43[[#This Row],[Harga Beli Pcs
(-PPN)]]*Table43[[#This Row],[ISI/CTN]]</f>
        <v>222551.35439999998</v>
      </c>
      <c r="AN32" s="41">
        <f>Table43[[#This Row],[Harga Beli Pcs
(-PPN)]]*1.11</f>
        <v>20586.000282000001</v>
      </c>
      <c r="AO32" s="41">
        <f>Table43[[#This Row],[Harga Beli Krt
(- PPN)]]*1.11</f>
        <v>247032.00338400001</v>
      </c>
      <c r="AP32" s="41">
        <v>19729.73</v>
      </c>
      <c r="AQ32" s="41">
        <f>Table43[[#This Row],[Harga Jual Pcs GT
(-PPN)]]*Table43[[#This Row],[ISI/CTN]]</f>
        <v>236756.76</v>
      </c>
      <c r="AR32" s="41">
        <f>Table43[[#This Row],[Harga Jual Pcs GT
(-PPN)]]*1.11</f>
        <v>21900.0003</v>
      </c>
      <c r="AS32" s="41">
        <f>Table43[[#This Row],[Harga Jual Krt GT
(- PPN)]]*1.11</f>
        <v>262800.00360000005</v>
      </c>
      <c r="AT32" s="41">
        <v>21308.11</v>
      </c>
      <c r="AU32" s="41">
        <f>(Table43[[#This Row],[Harga Jual Pcs MT
(-PPN)]]*Table43[[#This Row],[ISI/CTN]])</f>
        <v>255697.32</v>
      </c>
      <c r="AV32" s="41">
        <f>Table43[[#This Row],[Harga Jual Pcs MT
(-PPN)]]*1.11</f>
        <v>23652.002100000002</v>
      </c>
      <c r="AW32" s="41">
        <f>Table43[[#This Row],[Harga Jual Pcs MT
(+PPN)]]*Table43[[#This Row],[ISI/CTN]]</f>
        <v>283824.02520000003</v>
      </c>
      <c r="AX32" s="41"/>
      <c r="AY32" s="46">
        <v>45553</v>
      </c>
      <c r="AZ32" s="54">
        <v>45553</v>
      </c>
      <c r="BA32" s="7" t="str">
        <f ca="1">IF(TODAY()-Table43[[#This Row],[Efektif
Pembuatan]]&gt;60,"Lama","Baru")</f>
        <v>Lama</v>
      </c>
      <c r="BB32" s="7" t="str">
        <f ca="1">IF(TODAY()-Table43[[#This Row],[Efektif Naik Harga]]&lt;30,"Naik","Sama")</f>
        <v>Sama</v>
      </c>
      <c r="BC32" s="7" t="s">
        <v>235</v>
      </c>
      <c r="BD32" s="7" t="str">
        <f>IF(Table43[[#This Row],[Kode BARANG Win2]]&lt;&gt;"","IDR","")</f>
        <v>IDR</v>
      </c>
      <c r="BE32" s="7" t="str">
        <f>CONCATENATE(Table43[[#This Row],[kode  1 Digit
(Nomor)]],Table43[[#This Row],[kode  4 Digit                (Nomor)]])</f>
        <v>10685</v>
      </c>
      <c r="BF32" s="7" t="str">
        <f>Table43[[#This Row],[Nama            Gramasi atau Jumlah Pack per CTN]]</f>
        <v>685 GR</v>
      </c>
      <c r="BG32" s="7" t="s">
        <v>653</v>
      </c>
      <c r="BH32" s="51" t="s">
        <v>654</v>
      </c>
      <c r="BI32" s="4" t="str">
        <f>IF(Table43[[#This Row],[SATUAN Fix Win]]&lt;&gt;"","KRT")</f>
        <v>KRT</v>
      </c>
      <c r="BJ32" s="4" t="str">
        <f>IF(Table43[[#This Row],[SATUAN Fix Win]]&lt;&gt;"","GD01")</f>
        <v>GD01</v>
      </c>
      <c r="BK32" s="4">
        <f>IF(Table43[[#This Row],[SATUAN Fix Win]]&lt;&gt;"",11611)</f>
        <v>11611</v>
      </c>
      <c r="BL32" s="4">
        <f>IF(Table43[[#This Row],[SATUAN Fix Win]]&lt;&gt;"",11612)</f>
        <v>11612</v>
      </c>
      <c r="BM32" s="47" t="s">
        <v>655</v>
      </c>
      <c r="BN32" s="4">
        <f>IF(Table43[[#This Row],[SATUAN Fix Win]]&lt;&gt;"",1)</f>
        <v>1</v>
      </c>
      <c r="BO32" s="4" t="s">
        <v>656</v>
      </c>
      <c r="BP32" s="4">
        <f>IFERROR(VLOOKUP(Table43[[#This Row],[Kode Pcpl]],'[1]HEINZ ABC'!$A$4:$E$112,8,0),0)</f>
        <v>0</v>
      </c>
      <c r="BQ32" s="55">
        <f>Table43[[#This Row],[Harga Jual Pcs GT
(-PPN)]]-Table43[[#This Row],[HARGA NAIK GT]]</f>
        <v>19729.73</v>
      </c>
      <c r="BR32" s="4">
        <f>IF(Table43[[#This Row],[HARGA NAIK GT]]=0,Table43[[#This Row],[Harga Jual Pcs GT
(-PPN)]],Table43[[#This Row],[HARGA NAIK GT]])</f>
        <v>19729.73</v>
      </c>
      <c r="BS32">
        <f>IFERROR(VLOOKUP(Table43[[#This Row],[Kode Pcpl]],'[1]HEINZ ABC'!$A$4:$E$112,8,0),0)</f>
        <v>0</v>
      </c>
      <c r="BT32" s="58">
        <f>Table43[[#This Row],[Harga Jual Pcs GT
(-PPN)]]-BS32</f>
        <v>19729.73</v>
      </c>
      <c r="BU32">
        <f>IF(BS32=0,Table43[[#This Row],[Harga Jual Pcs MT
(-PPN)]])</f>
        <v>21308.11</v>
      </c>
      <c r="BV32">
        <f>IFERROR(VLOOKUP(Table43[[#This Row],[Kode Pcpl]],[2]Pricelist!$A$4:$K$112,11,0),0)</f>
        <v>0</v>
      </c>
      <c r="BW32">
        <f>IFERROR(VLOOKUP(Table43[[#This Row],[Kode BARANG Win2]],[3]!RECKITT211216[[KDBRG]:[HRG_JL_PCS-PPN]],11,0),0)</f>
        <v>0</v>
      </c>
      <c r="BX32">
        <f t="shared" si="2"/>
        <v>0</v>
      </c>
    </row>
    <row r="33" spans="1:76" x14ac:dyDescent="0.25">
      <c r="A33" s="4" t="str">
        <f>CONCATENATE(Table43[[#This Row],[Kode BARANG Win2]],Table43[[#This Row],[No. Urut
Item Sama]])</f>
        <v>A10110000685122</v>
      </c>
      <c r="B33" s="7">
        <v>2</v>
      </c>
      <c r="C33" s="4">
        <v>24</v>
      </c>
      <c r="D33" s="27">
        <v>100981</v>
      </c>
      <c r="E33" s="27" t="s">
        <v>237</v>
      </c>
      <c r="F33" s="27" t="s">
        <v>258</v>
      </c>
      <c r="G33" s="27">
        <v>12</v>
      </c>
      <c r="H33" s="42">
        <v>0</v>
      </c>
      <c r="I33" s="27" t="str">
        <f>Table43[[#This Row],[Nama Jenis Kemasan]]</f>
        <v>PCH</v>
      </c>
      <c r="J33" s="4" t="str">
        <f>TRIM(CONCATENATE(Table43[[#This Row],[Nama            KLP]]," ",Table43[[#This Row],[Nama            Sub KLP]]))</f>
        <v>KECAP MANIS</v>
      </c>
      <c r="K33" s="4" t="str">
        <f>CONCATENATE(Table43[[#This Row],[kode  2 Digit                (hrf+No)]],Table43[[#This Row],[kode  2 Digit                (Nomor)]],Table43[[#This Row],[kode  1 Digit                (Nomor)]])</f>
        <v>A1011</v>
      </c>
      <c r="L33" s="4" t="str">
        <f>IF(AG33="",CONCATENATE(Q33,S33,U33,W33,Y33,AA33,AC33,AE33,Table43[[#This Row],[Tanda Kode Revisi]]),CONCATENATE(Q33,S33,U33,W33,Y33,AA33,AC33,AG33))</f>
        <v>A1011000068512</v>
      </c>
      <c r="M33" s="11">
        <f t="shared" si="0"/>
        <v>14</v>
      </c>
      <c r="N33" s="14" t="str">
        <f>IF(AF33&lt;&gt;"",TRIM(UPPER(CONCATENATE(P33," ",R33," ",T33," ",V33," ",X33," ",Z33," ","X"," ",Table43[[#This Row],[ISI/CTN]]," ",AF33," ",AB33," ",AD33," ",AH33))),TRIM(UPPER(CONCATENATE(P33," ",R33," ",T33," ",V33," ",X33," ",Z33," ","X"," ",Table43[[#This Row],[ISI/CTN]]," ",AB33," ",AD33," ",AH33))))</f>
        <v>ABC KECAP MANIS 685 GR X 12 PCH BANDED</v>
      </c>
      <c r="O33" s="11">
        <f t="shared" si="1"/>
        <v>38</v>
      </c>
      <c r="P33" s="4" t="s">
        <v>28</v>
      </c>
      <c r="Q33" s="7" t="s">
        <v>85</v>
      </c>
      <c r="R33" s="4" t="s">
        <v>474</v>
      </c>
      <c r="S33" s="43" t="s">
        <v>0</v>
      </c>
      <c r="T33" s="44" t="s">
        <v>475</v>
      </c>
      <c r="U33" s="7">
        <v>1</v>
      </c>
      <c r="V33" s="44"/>
      <c r="W33" s="43" t="s">
        <v>1</v>
      </c>
      <c r="Y33" s="45" t="s">
        <v>476</v>
      </c>
      <c r="Z33" s="4" t="s">
        <v>500</v>
      </c>
      <c r="AA33" s="45" t="s">
        <v>229</v>
      </c>
      <c r="AB33" s="4" t="s">
        <v>479</v>
      </c>
      <c r="AC33" s="7" t="s">
        <v>480</v>
      </c>
      <c r="AD33" s="4" t="s">
        <v>496</v>
      </c>
      <c r="AE33" s="7">
        <v>2</v>
      </c>
      <c r="AI33" s="7" t="s">
        <v>215</v>
      </c>
      <c r="AJ33" s="7">
        <v>1</v>
      </c>
      <c r="AL33" s="40">
        <f>Table43[[#This Row],[Harga Jual Pcs GT
(-PPN)]]-(Table43[[#This Row],[Harga Jual Pcs GT
(-PPN)]]*6%)</f>
        <v>18545.946199999998</v>
      </c>
      <c r="AM33" s="41">
        <f>Table43[[#This Row],[Harga Beli Pcs
(-PPN)]]*Table43[[#This Row],[ISI/CTN]]</f>
        <v>222551.35439999998</v>
      </c>
      <c r="AN33" s="41">
        <f>Table43[[#This Row],[Harga Beli Pcs
(-PPN)]]*1.11</f>
        <v>20586.000282000001</v>
      </c>
      <c r="AO33" s="41">
        <f>Table43[[#This Row],[Harga Beli Krt
(- PPN)]]*1.11</f>
        <v>247032.00338400001</v>
      </c>
      <c r="AP33" s="41">
        <v>19729.73</v>
      </c>
      <c r="AQ33" s="41">
        <f>Table43[[#This Row],[Harga Jual Pcs GT
(-PPN)]]*Table43[[#This Row],[ISI/CTN]]</f>
        <v>236756.76</v>
      </c>
      <c r="AR33" s="41">
        <f>Table43[[#This Row],[Harga Jual Pcs GT
(-PPN)]]*1.11</f>
        <v>21900.0003</v>
      </c>
      <c r="AS33" s="41">
        <f>Table43[[#This Row],[Harga Jual Krt GT
(- PPN)]]*1.11</f>
        <v>262800.00360000005</v>
      </c>
      <c r="AT33" s="41">
        <v>21308.11</v>
      </c>
      <c r="AU33" s="41">
        <f>(Table43[[#This Row],[Harga Jual Pcs MT
(-PPN)]]*Table43[[#This Row],[ISI/CTN]])</f>
        <v>255697.32</v>
      </c>
      <c r="AV33" s="41">
        <f>Table43[[#This Row],[Harga Jual Pcs MT
(-PPN)]]*1.11</f>
        <v>23652.002100000002</v>
      </c>
      <c r="AW33" s="41">
        <f>Table43[[#This Row],[Harga Jual Pcs MT
(+PPN)]]*Table43[[#This Row],[ISI/CTN]]</f>
        <v>283824.02520000003</v>
      </c>
      <c r="AX33" s="41"/>
      <c r="AY33" s="46">
        <v>45553</v>
      </c>
      <c r="AZ33" s="54">
        <v>45553</v>
      </c>
      <c r="BA33" s="7" t="str">
        <f ca="1">IF(TODAY()-Table43[[#This Row],[Efektif
Pembuatan]]&gt;60,"Lama","Baru")</f>
        <v>Lama</v>
      </c>
      <c r="BB33" s="7" t="str">
        <f ca="1">IF(TODAY()-Table43[[#This Row],[Efektif Naik Harga]]&lt;30,"Naik","Sama")</f>
        <v>Sama</v>
      </c>
      <c r="BC33" s="7" t="s">
        <v>235</v>
      </c>
      <c r="BD33" s="7" t="str">
        <f>IF(Table43[[#This Row],[Kode BARANG Win2]]&lt;&gt;"","IDR","")</f>
        <v>IDR</v>
      </c>
      <c r="BE33" s="7" t="str">
        <f>CONCATENATE(Table43[[#This Row],[kode  1 Digit
(Nomor)]],Table43[[#This Row],[kode  4 Digit                (Nomor)]])</f>
        <v>10685</v>
      </c>
      <c r="BF33" s="7" t="str">
        <f>Table43[[#This Row],[Nama            Gramasi atau Jumlah Pack per CTN]]</f>
        <v>685 GR</v>
      </c>
      <c r="BG33" s="7" t="s">
        <v>653</v>
      </c>
      <c r="BH33" s="51" t="s">
        <v>654</v>
      </c>
      <c r="BI33" s="4" t="str">
        <f>IF(Table43[[#This Row],[SATUAN Fix Win]]&lt;&gt;"","KRT")</f>
        <v>KRT</v>
      </c>
      <c r="BJ33" s="4" t="str">
        <f>IF(Table43[[#This Row],[SATUAN Fix Win]]&lt;&gt;"","GD01")</f>
        <v>GD01</v>
      </c>
      <c r="BK33" s="4">
        <f>IF(Table43[[#This Row],[SATUAN Fix Win]]&lt;&gt;"",11611)</f>
        <v>11611</v>
      </c>
      <c r="BL33" s="4">
        <f>IF(Table43[[#This Row],[SATUAN Fix Win]]&lt;&gt;"",11612)</f>
        <v>11612</v>
      </c>
      <c r="BM33" s="47" t="s">
        <v>655</v>
      </c>
      <c r="BN33" s="4">
        <f>IF(Table43[[#This Row],[SATUAN Fix Win]]&lt;&gt;"",1)</f>
        <v>1</v>
      </c>
      <c r="BO33" s="4" t="s">
        <v>656</v>
      </c>
      <c r="BP33" s="4">
        <f>IFERROR(VLOOKUP(Table43[[#This Row],[Kode Pcpl]],'[1]HEINZ ABC'!$A$4:$E$112,8,0),0)</f>
        <v>0</v>
      </c>
      <c r="BQ33" s="55">
        <f>Table43[[#This Row],[Harga Jual Pcs GT
(-PPN)]]-Table43[[#This Row],[HARGA NAIK GT]]</f>
        <v>19729.73</v>
      </c>
      <c r="BR33" s="4">
        <f>IF(Table43[[#This Row],[HARGA NAIK GT]]=0,Table43[[#This Row],[Harga Jual Pcs GT
(-PPN)]],Table43[[#This Row],[HARGA NAIK GT]])</f>
        <v>19729.73</v>
      </c>
      <c r="BS33">
        <f>IFERROR(VLOOKUP(Table43[[#This Row],[Kode Pcpl]],'[1]HEINZ ABC'!$A$4:$E$112,8,0),0)</f>
        <v>0</v>
      </c>
      <c r="BT33" s="58">
        <f>Table43[[#This Row],[Harga Jual Pcs GT
(-PPN)]]-BS33</f>
        <v>19729.73</v>
      </c>
      <c r="BU33">
        <f>IF(BS33=0,Table43[[#This Row],[Harga Jual Pcs MT
(-PPN)]])</f>
        <v>21308.11</v>
      </c>
      <c r="BV33">
        <f>IFERROR(VLOOKUP(Table43[[#This Row],[Kode Pcpl]],[2]Pricelist!$A$4:$K$112,11,0),0)</f>
        <v>0</v>
      </c>
      <c r="BW33">
        <f>IFERROR(VLOOKUP(Table43[[#This Row],[Kode BARANG Win2]],[3]!RECKITT211216[[KDBRG]:[HRG_JL_PCS-PPN]],11,0),0)</f>
        <v>0</v>
      </c>
      <c r="BX33">
        <f t="shared" si="2"/>
        <v>0</v>
      </c>
    </row>
    <row r="34" spans="1:76" x14ac:dyDescent="0.25">
      <c r="A34" s="4" t="str">
        <f>CONCATENATE(Table43[[#This Row],[Kode BARANG Win2]],Table43[[#This Row],[No. Urut
Item Sama]])</f>
        <v>A10110000825102</v>
      </c>
      <c r="B34" s="7">
        <v>2</v>
      </c>
      <c r="C34" s="4">
        <v>25</v>
      </c>
      <c r="D34" s="27">
        <v>100252</v>
      </c>
      <c r="E34" s="27" t="s">
        <v>237</v>
      </c>
      <c r="F34" s="27" t="s">
        <v>259</v>
      </c>
      <c r="G34" s="27">
        <v>12</v>
      </c>
      <c r="H34" s="42" t="s">
        <v>2680</v>
      </c>
      <c r="I34" s="27" t="str">
        <f>Table43[[#This Row],[Nama Jenis Kemasan]]</f>
        <v>PCH</v>
      </c>
      <c r="J34" s="4" t="str">
        <f>TRIM(CONCATENATE(Table43[[#This Row],[Nama            KLP]]," ",Table43[[#This Row],[Nama            Sub KLP]]))</f>
        <v>KECAP MANIS</v>
      </c>
      <c r="K34" s="4" t="str">
        <f>CONCATENATE(Table43[[#This Row],[kode  2 Digit                (hrf+No)]],Table43[[#This Row],[kode  2 Digit                (Nomor)]],Table43[[#This Row],[kode  1 Digit                (Nomor)]])</f>
        <v>A1011</v>
      </c>
      <c r="L34" s="4" t="str">
        <f>IF(AG34="",CONCATENATE(Q34,S34,U34,W34,Y34,AA34,AC34,AE34,Table43[[#This Row],[Tanda Kode Revisi]]),CONCATENATE(Q34,S34,U34,W34,Y34,AA34,AC34,AG34))</f>
        <v>A1011000082510</v>
      </c>
      <c r="M34" s="11">
        <f t="shared" si="0"/>
        <v>14</v>
      </c>
      <c r="N34" s="14" t="str">
        <f>IF(AF34&lt;&gt;"",TRIM(UPPER(CONCATENATE(P34," ",R34," ",T34," ",V34," ",X34," ",Z34," ","X"," ",Table43[[#This Row],[ISI/CTN]]," ",AF34," ",AB34," ",AD34," ",AH34))),TRIM(UPPER(CONCATENATE(P34," ",R34," ",T34," ",V34," ",X34," ",Z34," ","X"," ",Table43[[#This Row],[ISI/CTN]]," ",AB34," ",AD34," ",AH34))))</f>
        <v>ABC KECAP MANIS 825 GR X 12 PCH</v>
      </c>
      <c r="O34" s="11">
        <f t="shared" si="1"/>
        <v>31</v>
      </c>
      <c r="P34" s="4" t="s">
        <v>28</v>
      </c>
      <c r="Q34" s="7" t="s">
        <v>85</v>
      </c>
      <c r="R34" s="4" t="s">
        <v>474</v>
      </c>
      <c r="S34" s="43" t="s">
        <v>0</v>
      </c>
      <c r="T34" s="44" t="s">
        <v>475</v>
      </c>
      <c r="U34" s="7">
        <v>1</v>
      </c>
      <c r="V34" s="44"/>
      <c r="W34" s="43" t="s">
        <v>1</v>
      </c>
      <c r="Y34" s="45" t="s">
        <v>476</v>
      </c>
      <c r="Z34" s="4" t="s">
        <v>501</v>
      </c>
      <c r="AA34" s="45" t="s">
        <v>502</v>
      </c>
      <c r="AB34" s="4" t="s">
        <v>479</v>
      </c>
      <c r="AC34" s="7" t="s">
        <v>480</v>
      </c>
      <c r="AE34" s="7">
        <v>0</v>
      </c>
      <c r="AI34" s="7" t="s">
        <v>215</v>
      </c>
      <c r="AJ34" s="7">
        <v>1</v>
      </c>
      <c r="AL34" s="40">
        <f>Table43[[#This Row],[Harga Jual Pcs GT
(-PPN)]]-(Table43[[#This Row],[Harga Jual Pcs GT
(-PPN)]]*6%)</f>
        <v>19897.732</v>
      </c>
      <c r="AM34" s="41">
        <f>Table43[[#This Row],[Harga Beli Pcs
(-PPN)]]*Table43[[#This Row],[ISI/CTN]]</f>
        <v>238772.78399999999</v>
      </c>
      <c r="AN34" s="41">
        <f>Table43[[#This Row],[Harga Beli Pcs
(-PPN)]]*1.11</f>
        <v>22086.482520000001</v>
      </c>
      <c r="AO34" s="41">
        <f>Table43[[#This Row],[Harga Beli Krt
(- PPN)]]*1.11</f>
        <v>265037.79024</v>
      </c>
      <c r="AP34" s="41">
        <v>21167.8</v>
      </c>
      <c r="AQ34" s="41">
        <f>Table43[[#This Row],[Harga Jual Pcs GT
(-PPN)]]*Table43[[#This Row],[ISI/CTN]]</f>
        <v>254013.59999999998</v>
      </c>
      <c r="AR34" s="41">
        <f>Table43[[#This Row],[Harga Jual Pcs GT
(-PPN)]]*1.11</f>
        <v>23496.258000000002</v>
      </c>
      <c r="AS34" s="41">
        <f>Table43[[#This Row],[Harga Jual Krt GT
(- PPN)]]*1.11</f>
        <v>281955.09600000002</v>
      </c>
      <c r="AT34" s="41">
        <v>22861.22</v>
      </c>
      <c r="AU34" s="41">
        <f>(Table43[[#This Row],[Harga Jual Pcs MT
(-PPN)]]*Table43[[#This Row],[ISI/CTN]])</f>
        <v>274334.64</v>
      </c>
      <c r="AV34" s="41">
        <f>Table43[[#This Row],[Harga Jual Pcs MT
(-PPN)]]*1.11</f>
        <v>25375.954200000004</v>
      </c>
      <c r="AW34" s="41">
        <f>Table43[[#This Row],[Harga Jual Pcs MT
(+PPN)]]*Table43[[#This Row],[ISI/CTN]]</f>
        <v>304511.45040000003</v>
      </c>
      <c r="AX34" s="41"/>
      <c r="AY34" s="46"/>
      <c r="AZ34" s="54">
        <v>45553</v>
      </c>
      <c r="BA34" s="7" t="str">
        <f ca="1">IF(TODAY()-Table43[[#This Row],[Efektif
Pembuatan]]&gt;60,"Lama","Baru")</f>
        <v>Lama</v>
      </c>
      <c r="BB34" s="7" t="str">
        <f ca="1">IF(TODAY()-Table43[[#This Row],[Efektif Naik Harga]]&lt;30,"Naik","Sama")</f>
        <v>Sama</v>
      </c>
      <c r="BC34" s="7" t="s">
        <v>235</v>
      </c>
      <c r="BD34" s="7" t="str">
        <f>IF(Table43[[#This Row],[Kode BARANG Win2]]&lt;&gt;"","IDR","")</f>
        <v>IDR</v>
      </c>
      <c r="BE34" s="7" t="str">
        <f>CONCATENATE(Table43[[#This Row],[kode  1 Digit
(Nomor)]],Table43[[#This Row],[kode  4 Digit                (Nomor)]])</f>
        <v>10825</v>
      </c>
      <c r="BF34" s="7" t="str">
        <f>Table43[[#This Row],[Nama            Gramasi atau Jumlah Pack per CTN]]</f>
        <v>825 GR</v>
      </c>
      <c r="BG34" s="7" t="s">
        <v>653</v>
      </c>
      <c r="BH34" s="51" t="s">
        <v>654</v>
      </c>
      <c r="BI34" s="4" t="str">
        <f>IF(Table43[[#This Row],[SATUAN Fix Win]]&lt;&gt;"","KRT")</f>
        <v>KRT</v>
      </c>
      <c r="BJ34" s="4" t="str">
        <f>IF(Table43[[#This Row],[SATUAN Fix Win]]&lt;&gt;"","GD01")</f>
        <v>GD01</v>
      </c>
      <c r="BK34" s="4">
        <f>IF(Table43[[#This Row],[SATUAN Fix Win]]&lt;&gt;"",11611)</f>
        <v>11611</v>
      </c>
      <c r="BL34" s="4">
        <f>IF(Table43[[#This Row],[SATUAN Fix Win]]&lt;&gt;"",11612)</f>
        <v>11612</v>
      </c>
      <c r="BM34" s="47" t="s">
        <v>655</v>
      </c>
      <c r="BN34" s="4">
        <f>IF(Table43[[#This Row],[SATUAN Fix Win]]&lt;&gt;"",1)</f>
        <v>1</v>
      </c>
      <c r="BO34" s="4" t="s">
        <v>656</v>
      </c>
      <c r="BP34" s="4">
        <f>IFERROR(VLOOKUP(Table43[[#This Row],[Kode Pcpl]],'[1]HEINZ ABC'!$A$4:$E$112,8,0),0)</f>
        <v>0</v>
      </c>
      <c r="BQ34" s="55">
        <f>Table43[[#This Row],[Harga Jual Pcs GT
(-PPN)]]-Table43[[#This Row],[HARGA NAIK GT]]</f>
        <v>21167.8</v>
      </c>
      <c r="BR34" s="4">
        <f>IF(Table43[[#This Row],[HARGA NAIK GT]]=0,Table43[[#This Row],[Harga Jual Pcs GT
(-PPN)]],Table43[[#This Row],[HARGA NAIK GT]])</f>
        <v>21167.8</v>
      </c>
      <c r="BS34">
        <f>IFERROR(VLOOKUP(Table43[[#This Row],[Kode Pcpl]],'[1]HEINZ ABC'!$A$4:$E$112,8,0),0)</f>
        <v>0</v>
      </c>
      <c r="BT34" s="58">
        <f>Table43[[#This Row],[Harga Jual Pcs GT
(-PPN)]]-BS34</f>
        <v>21167.8</v>
      </c>
      <c r="BU34">
        <f>IF(BS34=0,Table43[[#This Row],[Harga Jual Pcs MT
(-PPN)]])</f>
        <v>22861.22</v>
      </c>
      <c r="BV34">
        <f>IFERROR(VLOOKUP(Table43[[#This Row],[Kode Pcpl]],[2]Pricelist!$A$4:$K$112,11,0),0)</f>
        <v>0</v>
      </c>
      <c r="BW34">
        <f>IFERROR(VLOOKUP(Table43[[#This Row],[Kode BARANG Win2]],[3]!RECKITT211216[[KDBRG]:[HRG_JL_PCS-PPN]],11,0),0)</f>
        <v>0</v>
      </c>
      <c r="BX34">
        <f t="shared" si="2"/>
        <v>0</v>
      </c>
    </row>
    <row r="35" spans="1:76" x14ac:dyDescent="0.25">
      <c r="A35" s="4" t="str">
        <f>CONCATENATE(Table43[[#This Row],[Kode BARANG Win2]],Table43[[#This Row],[No. Urut
Item Sama]])</f>
        <v>A10110000825101</v>
      </c>
      <c r="B35" s="7">
        <v>1</v>
      </c>
      <c r="C35" s="4">
        <v>26</v>
      </c>
      <c r="D35" s="27">
        <v>100221</v>
      </c>
      <c r="E35" s="27" t="s">
        <v>237</v>
      </c>
      <c r="F35" s="27" t="s">
        <v>260</v>
      </c>
      <c r="G35" s="27">
        <v>12</v>
      </c>
      <c r="H35" s="42">
        <v>0</v>
      </c>
      <c r="I35" s="27" t="str">
        <f>Table43[[#This Row],[Nama Jenis Kemasan]]</f>
        <v>PCH</v>
      </c>
      <c r="J35" s="4" t="str">
        <f>TRIM(CONCATENATE(Table43[[#This Row],[Nama            KLP]]," ",Table43[[#This Row],[Nama            Sub KLP]]))</f>
        <v>KECAP MANIS</v>
      </c>
      <c r="K35" s="4" t="str">
        <f>CONCATENATE(Table43[[#This Row],[kode  2 Digit                (hrf+No)]],Table43[[#This Row],[kode  2 Digit                (Nomor)]],Table43[[#This Row],[kode  1 Digit                (Nomor)]])</f>
        <v>A1011</v>
      </c>
      <c r="L35" s="4" t="str">
        <f>IF(AG35="",CONCATENATE(Q35,S35,U35,W35,Y35,AA35,AC35,AE35,Table43[[#This Row],[Tanda Kode Revisi]]),CONCATENATE(Q35,S35,U35,W35,Y35,AA35,AC35,AG35))</f>
        <v>A1011000082510</v>
      </c>
      <c r="M35" s="11">
        <f t="shared" si="0"/>
        <v>14</v>
      </c>
      <c r="N35" s="14" t="str">
        <f>IF(AF35&lt;&gt;"",TRIM(UPPER(CONCATENATE(P35," ",R35," ",T35," ",V35," ",X35," ",Z35," ","X"," ",Table43[[#This Row],[ISI/CTN]]," ",AF35," ",AB35," ",AD35," ",AH35))),TRIM(UPPER(CONCATENATE(P35," ",R35," ",T35," ",V35," ",X35," ",Z35," ","X"," ",Table43[[#This Row],[ISI/CTN]]," ",AB35," ",AD35," ",AH35))))</f>
        <v>ABC KECAP MANIS 825 GR X 12 PCH</v>
      </c>
      <c r="O35" s="11">
        <f t="shared" si="1"/>
        <v>31</v>
      </c>
      <c r="P35" s="4" t="s">
        <v>28</v>
      </c>
      <c r="Q35" s="7" t="s">
        <v>85</v>
      </c>
      <c r="R35" s="4" t="s">
        <v>474</v>
      </c>
      <c r="S35" s="43" t="s">
        <v>0</v>
      </c>
      <c r="T35" s="44" t="s">
        <v>475</v>
      </c>
      <c r="U35" s="7">
        <v>1</v>
      </c>
      <c r="V35" s="44"/>
      <c r="W35" s="43" t="s">
        <v>1</v>
      </c>
      <c r="Y35" s="45" t="s">
        <v>476</v>
      </c>
      <c r="Z35" s="4" t="s">
        <v>501</v>
      </c>
      <c r="AA35" s="45" t="s">
        <v>502</v>
      </c>
      <c r="AB35" s="4" t="s">
        <v>479</v>
      </c>
      <c r="AC35" s="7" t="s">
        <v>480</v>
      </c>
      <c r="AE35" s="7">
        <v>0</v>
      </c>
      <c r="AI35" s="7" t="s">
        <v>215</v>
      </c>
      <c r="AJ35" s="7">
        <v>1</v>
      </c>
      <c r="AL35" s="40">
        <f>Table43[[#This Row],[Harga Jual Pcs GT
(-PPN)]]-(Table43[[#This Row],[Harga Jual Pcs GT
(-PPN)]]*6%)</f>
        <v>19897.732</v>
      </c>
      <c r="AM35" s="41">
        <f>Table43[[#This Row],[Harga Beli Pcs
(-PPN)]]*Table43[[#This Row],[ISI/CTN]]</f>
        <v>238772.78399999999</v>
      </c>
      <c r="AN35" s="41">
        <f>Table43[[#This Row],[Harga Beli Pcs
(-PPN)]]*1.11</f>
        <v>22086.482520000001</v>
      </c>
      <c r="AO35" s="41">
        <f>Table43[[#This Row],[Harga Beli Krt
(- PPN)]]*1.11</f>
        <v>265037.79024</v>
      </c>
      <c r="AP35" s="41">
        <v>21167.8</v>
      </c>
      <c r="AQ35" s="41">
        <f>Table43[[#This Row],[Harga Jual Pcs GT
(-PPN)]]*Table43[[#This Row],[ISI/CTN]]</f>
        <v>254013.59999999998</v>
      </c>
      <c r="AR35" s="41">
        <f>Table43[[#This Row],[Harga Jual Pcs GT
(-PPN)]]*1.11</f>
        <v>23496.258000000002</v>
      </c>
      <c r="AS35" s="41">
        <f>Table43[[#This Row],[Harga Jual Krt GT
(- PPN)]]*1.11</f>
        <v>281955.09600000002</v>
      </c>
      <c r="AT35" s="41">
        <v>22861.22</v>
      </c>
      <c r="AU35" s="41">
        <f>(Table43[[#This Row],[Harga Jual Pcs MT
(-PPN)]]*Table43[[#This Row],[ISI/CTN]])</f>
        <v>274334.64</v>
      </c>
      <c r="AV35" s="41">
        <f>Table43[[#This Row],[Harga Jual Pcs MT
(-PPN)]]*1.11</f>
        <v>25375.954200000004</v>
      </c>
      <c r="AW35" s="41">
        <f>Table43[[#This Row],[Harga Jual Pcs MT
(+PPN)]]*Table43[[#This Row],[ISI/CTN]]</f>
        <v>304511.45040000003</v>
      </c>
      <c r="AX35" s="41"/>
      <c r="AY35" s="46">
        <v>45553</v>
      </c>
      <c r="AZ35" s="54">
        <v>45553</v>
      </c>
      <c r="BA35" s="7" t="str">
        <f ca="1">IF(TODAY()-Table43[[#This Row],[Efektif
Pembuatan]]&gt;60,"Lama","Baru")</f>
        <v>Lama</v>
      </c>
      <c r="BB35" s="7" t="str">
        <f ca="1">IF(TODAY()-Table43[[#This Row],[Efektif Naik Harga]]&lt;30,"Naik","Sama")</f>
        <v>Sama</v>
      </c>
      <c r="BC35" s="7" t="s">
        <v>235</v>
      </c>
      <c r="BD35" s="7" t="str">
        <f>IF(Table43[[#This Row],[Kode BARANG Win2]]&lt;&gt;"","IDR","")</f>
        <v>IDR</v>
      </c>
      <c r="BE35" s="7" t="str">
        <f>CONCATENATE(Table43[[#This Row],[kode  1 Digit
(Nomor)]],Table43[[#This Row],[kode  4 Digit                (Nomor)]])</f>
        <v>10825</v>
      </c>
      <c r="BF35" s="7" t="str">
        <f>Table43[[#This Row],[Nama            Gramasi atau Jumlah Pack per CTN]]</f>
        <v>825 GR</v>
      </c>
      <c r="BG35" s="7" t="s">
        <v>653</v>
      </c>
      <c r="BH35" s="51" t="s">
        <v>654</v>
      </c>
      <c r="BI35" s="4" t="str">
        <f>IF(Table43[[#This Row],[SATUAN Fix Win]]&lt;&gt;"","KRT")</f>
        <v>KRT</v>
      </c>
      <c r="BJ35" s="4" t="str">
        <f>IF(Table43[[#This Row],[SATUAN Fix Win]]&lt;&gt;"","GD01")</f>
        <v>GD01</v>
      </c>
      <c r="BK35" s="4">
        <f>IF(Table43[[#This Row],[SATUAN Fix Win]]&lt;&gt;"",11611)</f>
        <v>11611</v>
      </c>
      <c r="BL35" s="4">
        <f>IF(Table43[[#This Row],[SATUAN Fix Win]]&lt;&gt;"",11612)</f>
        <v>11612</v>
      </c>
      <c r="BM35" s="47" t="s">
        <v>655</v>
      </c>
      <c r="BN35" s="4">
        <f>IF(Table43[[#This Row],[SATUAN Fix Win]]&lt;&gt;"",1)</f>
        <v>1</v>
      </c>
      <c r="BO35" s="4" t="s">
        <v>656</v>
      </c>
      <c r="BP35" s="4">
        <f>IFERROR(VLOOKUP(Table43[[#This Row],[Kode Pcpl]],'[1]HEINZ ABC'!$A$4:$E$112,8,0),0)</f>
        <v>0</v>
      </c>
      <c r="BQ35" s="55">
        <f>Table43[[#This Row],[Harga Jual Pcs GT
(-PPN)]]-Table43[[#This Row],[HARGA NAIK GT]]</f>
        <v>21167.8</v>
      </c>
      <c r="BR35" s="4">
        <f>IF(Table43[[#This Row],[HARGA NAIK GT]]=0,Table43[[#This Row],[Harga Jual Pcs GT
(-PPN)]],Table43[[#This Row],[HARGA NAIK GT]])</f>
        <v>21167.8</v>
      </c>
      <c r="BS35">
        <f>IFERROR(VLOOKUP(Table43[[#This Row],[Kode Pcpl]],'[1]HEINZ ABC'!$A$4:$E$112,8,0),0)</f>
        <v>0</v>
      </c>
      <c r="BT35" s="58">
        <f>Table43[[#This Row],[Harga Jual Pcs GT
(-PPN)]]-BS35</f>
        <v>21167.8</v>
      </c>
      <c r="BU35">
        <f>IF(BS35=0,Table43[[#This Row],[Harga Jual Pcs MT
(-PPN)]])</f>
        <v>22861.22</v>
      </c>
      <c r="BV35">
        <f>IFERROR(VLOOKUP(Table43[[#This Row],[Kode Pcpl]],[2]Pricelist!$A$4:$K$112,11,0),0)</f>
        <v>0</v>
      </c>
      <c r="BW35">
        <f>IFERROR(VLOOKUP(Table43[[#This Row],[Kode BARANG Win2]],[3]!RECKITT211216[[KDBRG]:[HRG_JL_PCS-PPN]],11,0),0)</f>
        <v>0</v>
      </c>
      <c r="BX35">
        <f t="shared" si="2"/>
        <v>0</v>
      </c>
    </row>
    <row r="36" spans="1:76" s="76" customFormat="1" x14ac:dyDescent="0.25">
      <c r="A36" s="4" t="str">
        <f>CONCATENATE(Table43[[#This Row],[Kode BARANG Win2]],Table43[[#This Row],[No. Urut
Item Sama]])</f>
        <v>A10110000825103</v>
      </c>
      <c r="B36" s="7">
        <v>3</v>
      </c>
      <c r="C36" s="4">
        <v>27</v>
      </c>
      <c r="D36" s="27">
        <v>100239</v>
      </c>
      <c r="E36" s="27" t="s">
        <v>237</v>
      </c>
      <c r="F36" s="27" t="s">
        <v>1017</v>
      </c>
      <c r="G36" s="27">
        <v>12</v>
      </c>
      <c r="H36" s="42" t="s">
        <v>2679</v>
      </c>
      <c r="I36" s="27" t="str">
        <f>Table43[[#This Row],[Nama Jenis Kemasan]]</f>
        <v>PCH</v>
      </c>
      <c r="J36" s="4" t="str">
        <f>TRIM(CONCATENATE(Table43[[#This Row],[Nama            KLP]]," ",Table43[[#This Row],[Nama            Sub KLP]]))</f>
        <v>KECAP MANIS</v>
      </c>
      <c r="K36" s="4" t="str">
        <f>CONCATENATE(Table43[[#This Row],[kode  2 Digit                (hrf+No)]],Table43[[#This Row],[kode  2 Digit                (Nomor)]],Table43[[#This Row],[kode  1 Digit                (Nomor)]])</f>
        <v>A1011</v>
      </c>
      <c r="L36" s="4" t="str">
        <f>IF(AG36="",CONCATENATE(Q36,S36,U36,W36,Y36,AA36,AC36,AE36,Table43[[#This Row],[Tanda Kode Revisi]]),CONCATENATE(Q36,S36,U36,W36,Y36,AA36,AC36,AG36))</f>
        <v>A1011000082510</v>
      </c>
      <c r="M36" s="11">
        <f t="shared" si="0"/>
        <v>14</v>
      </c>
      <c r="N36" s="14" t="str">
        <f>IF(AF36&lt;&gt;"",TRIM(UPPER(CONCATENATE(P36," ",R36," ",T36," ",V36," ",X36," ",Z36," ","X"," ",Table43[[#This Row],[ISI/CTN]]," ",AF36," ",AB36," ",AD36," ",AH36))),TRIM(UPPER(CONCATENATE(P36," ",R36," ",T36," ",V36," ",X36," ",Z36," ","X"," ",Table43[[#This Row],[ISI/CTN]]," ",AB36," ",AD36," ",AH36))))</f>
        <v>ABC KECAP MANIS 825 GR X 12 PCH</v>
      </c>
      <c r="O36" s="11">
        <f t="shared" si="1"/>
        <v>31</v>
      </c>
      <c r="P36" s="4" t="s">
        <v>28</v>
      </c>
      <c r="Q36" s="7" t="s">
        <v>85</v>
      </c>
      <c r="R36" s="4" t="s">
        <v>474</v>
      </c>
      <c r="S36" s="43" t="s">
        <v>0</v>
      </c>
      <c r="T36" s="44" t="s">
        <v>475</v>
      </c>
      <c r="U36" s="7">
        <v>1</v>
      </c>
      <c r="V36" s="44"/>
      <c r="W36" s="43" t="s">
        <v>1</v>
      </c>
      <c r="X36" s="4"/>
      <c r="Y36" s="45" t="s">
        <v>476</v>
      </c>
      <c r="Z36" s="4" t="s">
        <v>501</v>
      </c>
      <c r="AA36" s="45" t="s">
        <v>502</v>
      </c>
      <c r="AB36" s="4" t="s">
        <v>479</v>
      </c>
      <c r="AC36" s="7" t="s">
        <v>480</v>
      </c>
      <c r="AD36" s="4"/>
      <c r="AE36" s="7">
        <v>0</v>
      </c>
      <c r="AF36" s="7"/>
      <c r="AG36" s="7"/>
      <c r="AH36" s="7"/>
      <c r="AI36" s="7" t="s">
        <v>215</v>
      </c>
      <c r="AJ36" s="7">
        <v>1</v>
      </c>
      <c r="AK36" s="7"/>
      <c r="AL36" s="40">
        <f>Table43[[#This Row],[Harga Jual Pcs GT
(-PPN)]]-(Table43[[#This Row],[Harga Jual Pcs GT
(-PPN)]]*6%)</f>
        <v>19897.732</v>
      </c>
      <c r="AM36" s="41">
        <f>Table43[[#This Row],[Harga Beli Pcs
(-PPN)]]*Table43[[#This Row],[ISI/CTN]]</f>
        <v>238772.78399999999</v>
      </c>
      <c r="AN36" s="41">
        <f>Table43[[#This Row],[Harga Beli Pcs
(-PPN)]]*1.11</f>
        <v>22086.482520000001</v>
      </c>
      <c r="AO36" s="41">
        <f>Table43[[#This Row],[Harga Beli Krt
(- PPN)]]*1.11</f>
        <v>265037.79024</v>
      </c>
      <c r="AP36" s="41">
        <v>21167.8</v>
      </c>
      <c r="AQ36" s="41">
        <f>Table43[[#This Row],[Harga Jual Pcs GT
(-PPN)]]*Table43[[#This Row],[ISI/CTN]]</f>
        <v>254013.59999999998</v>
      </c>
      <c r="AR36" s="41">
        <f>Table43[[#This Row],[Harga Jual Pcs GT
(-PPN)]]*1.11</f>
        <v>23496.258000000002</v>
      </c>
      <c r="AS36" s="41">
        <f>Table43[[#This Row],[Harga Jual Krt GT
(- PPN)]]*1.11</f>
        <v>281955.09600000002</v>
      </c>
      <c r="AT36" s="41">
        <v>22861.22</v>
      </c>
      <c r="AU36" s="41">
        <f>(Table43[[#This Row],[Harga Jual Pcs MT
(-PPN)]]*Table43[[#This Row],[ISI/CTN]])</f>
        <v>274334.64</v>
      </c>
      <c r="AV36" s="41">
        <f>Table43[[#This Row],[Harga Jual Pcs MT
(-PPN)]]*1.11</f>
        <v>25375.954200000004</v>
      </c>
      <c r="AW36" s="41">
        <f>Table43[[#This Row],[Harga Jual Pcs MT
(+PPN)]]*Table43[[#This Row],[ISI/CTN]]</f>
        <v>304511.45040000003</v>
      </c>
      <c r="AX36" s="41"/>
      <c r="AY36" s="46">
        <v>45744</v>
      </c>
      <c r="AZ36" s="54">
        <v>45553</v>
      </c>
      <c r="BA36" s="7" t="str">
        <f ca="1">IF(TODAY()-Table43[[#This Row],[Efektif
Pembuatan]]&gt;60,"Lama","Baru")</f>
        <v>Lama</v>
      </c>
      <c r="BB36" s="7" t="str">
        <f ca="1">IF(TODAY()-Table43[[#This Row],[Efektif Naik Harga]]&lt;30,"Naik","Sama")</f>
        <v>Sama</v>
      </c>
      <c r="BC36" s="7" t="s">
        <v>235</v>
      </c>
      <c r="BD36" s="7" t="str">
        <f>IF(Table43[[#This Row],[Kode BARANG Win2]]&lt;&gt;"","IDR","")</f>
        <v>IDR</v>
      </c>
      <c r="BE36" s="7" t="str">
        <f>CONCATENATE(Table43[[#This Row],[kode  1 Digit
(Nomor)]],Table43[[#This Row],[kode  4 Digit                (Nomor)]])</f>
        <v>10825</v>
      </c>
      <c r="BF36" s="7" t="str">
        <f>Table43[[#This Row],[Nama            Gramasi atau Jumlah Pack per CTN]]</f>
        <v>825 GR</v>
      </c>
      <c r="BG36" s="7" t="s">
        <v>653</v>
      </c>
      <c r="BH36" s="51" t="s">
        <v>654</v>
      </c>
      <c r="BI36" s="4" t="str">
        <f>IF(Table43[[#This Row],[SATUAN Fix Win]]&lt;&gt;"","KRT")</f>
        <v>KRT</v>
      </c>
      <c r="BJ36" s="4" t="str">
        <f>IF(Table43[[#This Row],[SATUAN Fix Win]]&lt;&gt;"","GD01")</f>
        <v>GD01</v>
      </c>
      <c r="BK36" s="4">
        <f>IF(Table43[[#This Row],[SATUAN Fix Win]]&lt;&gt;"",11611)</f>
        <v>11611</v>
      </c>
      <c r="BL36" s="4">
        <f>IF(Table43[[#This Row],[SATUAN Fix Win]]&lt;&gt;"",11612)</f>
        <v>11612</v>
      </c>
      <c r="BM36" s="47" t="s">
        <v>655</v>
      </c>
      <c r="BN36" s="4">
        <f>IF(Table43[[#This Row],[SATUAN Fix Win]]&lt;&gt;"",1)</f>
        <v>1</v>
      </c>
      <c r="BO36" s="4" t="s">
        <v>656</v>
      </c>
      <c r="BP36" s="4">
        <f>IFERROR(VLOOKUP(Table43[[#This Row],[Kode Pcpl]],'[1]HEINZ ABC'!$A$4:$E$112,8,0),0)</f>
        <v>0</v>
      </c>
      <c r="BQ36" s="55">
        <f>Table43[[#This Row],[Harga Jual Pcs GT
(-PPN)]]-Table43[[#This Row],[HARGA NAIK GT]]</f>
        <v>21167.8</v>
      </c>
      <c r="BR36" s="4">
        <f>IF(Table43[[#This Row],[HARGA NAIK GT]]=0,Table43[[#This Row],[Harga Jual Pcs GT
(-PPN)]],Table43[[#This Row],[HARGA NAIK GT]])</f>
        <v>21167.8</v>
      </c>
      <c r="BS36" s="76">
        <f>IFERROR(VLOOKUP(Table43[[#This Row],[Kode Pcpl]],'[1]HEINZ ABC'!$A$4:$E$112,8,0),0)</f>
        <v>0</v>
      </c>
      <c r="BT36" s="77">
        <f>Table43[[#This Row],[Harga Jual Pcs GT
(-PPN)]]-BS36</f>
        <v>21167.8</v>
      </c>
      <c r="BU36" s="76">
        <f>IF(BS36=0,Table43[[#This Row],[Harga Jual Pcs MT
(-PPN)]])</f>
        <v>22861.22</v>
      </c>
      <c r="BV36" s="76">
        <f>IFERROR(VLOOKUP(Table43[[#This Row],[Kode Pcpl]],[2]Pricelist!$A$4:$K$112,11,0),0)</f>
        <v>0</v>
      </c>
      <c r="BW36" s="76">
        <f>IFERROR(VLOOKUP(Table43[[#This Row],[Kode BARANG Win2]],[3]!RECKITT211216[[KDBRG]:[HRG_JL_PCS-PPN]],11,0),0)</f>
        <v>0</v>
      </c>
      <c r="BX36" s="76">
        <f t="shared" si="2"/>
        <v>0</v>
      </c>
    </row>
    <row r="37" spans="1:76" s="76" customFormat="1" x14ac:dyDescent="0.25">
      <c r="A37" s="4" t="str">
        <f>CONCATENATE(Table43[[#This Row],[Kode BARANG Win2]],Table43[[#This Row],[No. Urut
Item Sama]])</f>
        <v>A10110000825104</v>
      </c>
      <c r="B37" s="7">
        <v>4</v>
      </c>
      <c r="C37" s="4">
        <v>28</v>
      </c>
      <c r="D37" s="27">
        <v>100267</v>
      </c>
      <c r="E37" s="27" t="s">
        <v>237</v>
      </c>
      <c r="F37" s="27" t="s">
        <v>1064</v>
      </c>
      <c r="G37" s="27">
        <v>12</v>
      </c>
      <c r="H37" s="42" t="s">
        <v>2678</v>
      </c>
      <c r="I37" s="27" t="str">
        <f>Table43[[#This Row],[Nama Jenis Kemasan]]</f>
        <v>PCH</v>
      </c>
      <c r="J37" s="4" t="str">
        <f>TRIM(CONCATENATE(Table43[[#This Row],[Nama            KLP]]," ",Table43[[#This Row],[Nama            Sub KLP]]))</f>
        <v>KECAP MANIS</v>
      </c>
      <c r="K37" s="4" t="str">
        <f>CONCATENATE(Table43[[#This Row],[kode  2 Digit                (hrf+No)]],Table43[[#This Row],[kode  2 Digit                (Nomor)]],Table43[[#This Row],[kode  1 Digit                (Nomor)]])</f>
        <v>A1011</v>
      </c>
      <c r="L37" s="4" t="str">
        <f>IF(AG37="",CONCATENATE(Q37,S37,U37,W37,Y37,AA37,AC37,AE37,Table43[[#This Row],[Tanda Kode Revisi]]),CONCATENATE(Q37,S37,U37,W37,Y37,AA37,AC37,AG37))</f>
        <v>A1011000082510</v>
      </c>
      <c r="M37" s="11">
        <f t="shared" si="0"/>
        <v>14</v>
      </c>
      <c r="N37" s="14" t="str">
        <f>IF(AF37&lt;&gt;"",TRIM(UPPER(CONCATENATE(P37," ",R37," ",T37," ",V37," ",X37," ",Z37," ","X"," ",Table43[[#This Row],[ISI/CTN]]," ",AF37," ",AB37," ",AD37," ",AH37))),TRIM(UPPER(CONCATENATE(P37," ",R37," ",T37," ",V37," ",X37," ",Z37," ","X"," ",Table43[[#This Row],[ISI/CTN]]," ",AB37," ",AD37," ",AH37))))</f>
        <v>ABC KECAP MANIS 825 GR X 12 PCH</v>
      </c>
      <c r="O37" s="11">
        <f t="shared" si="1"/>
        <v>31</v>
      </c>
      <c r="P37" s="4" t="s">
        <v>28</v>
      </c>
      <c r="Q37" s="7" t="s">
        <v>85</v>
      </c>
      <c r="R37" s="4" t="s">
        <v>474</v>
      </c>
      <c r="S37" s="43" t="s">
        <v>0</v>
      </c>
      <c r="T37" s="44" t="s">
        <v>475</v>
      </c>
      <c r="U37" s="7">
        <v>1</v>
      </c>
      <c r="V37" s="44"/>
      <c r="W37" s="43" t="s">
        <v>1</v>
      </c>
      <c r="X37" s="4"/>
      <c r="Y37" s="45" t="s">
        <v>476</v>
      </c>
      <c r="Z37" s="4" t="s">
        <v>501</v>
      </c>
      <c r="AA37" s="45" t="s">
        <v>502</v>
      </c>
      <c r="AB37" s="4" t="s">
        <v>479</v>
      </c>
      <c r="AC37" s="7" t="s">
        <v>480</v>
      </c>
      <c r="AD37" s="4"/>
      <c r="AE37" s="7">
        <v>0</v>
      </c>
      <c r="AF37" s="7"/>
      <c r="AG37" s="7"/>
      <c r="AH37" s="7"/>
      <c r="AI37" s="7" t="s">
        <v>215</v>
      </c>
      <c r="AJ37" s="7">
        <v>1</v>
      </c>
      <c r="AK37" s="7"/>
      <c r="AL37" s="40">
        <f>Table43[[#This Row],[Harga Jual Pcs GT
(-PPN)]]-(Table43[[#This Row],[Harga Jual Pcs GT
(-PPN)]]*6%)</f>
        <v>19897.732</v>
      </c>
      <c r="AM37" s="41">
        <f>Table43[[#This Row],[Harga Beli Pcs
(-PPN)]]*Table43[[#This Row],[ISI/CTN]]</f>
        <v>238772.78399999999</v>
      </c>
      <c r="AN37" s="41">
        <f>Table43[[#This Row],[Harga Beli Pcs
(-PPN)]]*1.11</f>
        <v>22086.482520000001</v>
      </c>
      <c r="AO37" s="41">
        <f>Table43[[#This Row],[Harga Beli Krt
(- PPN)]]*1.11</f>
        <v>265037.79024</v>
      </c>
      <c r="AP37" s="41">
        <v>21167.8</v>
      </c>
      <c r="AQ37" s="41">
        <f>Table43[[#This Row],[Harga Jual Pcs GT
(-PPN)]]*Table43[[#This Row],[ISI/CTN]]</f>
        <v>254013.59999999998</v>
      </c>
      <c r="AR37" s="41">
        <f>Table43[[#This Row],[Harga Jual Pcs GT
(-PPN)]]*1.11</f>
        <v>23496.258000000002</v>
      </c>
      <c r="AS37" s="41">
        <f>Table43[[#This Row],[Harga Jual Krt GT
(- PPN)]]*1.11</f>
        <v>281955.09600000002</v>
      </c>
      <c r="AT37" s="41">
        <v>22861.22</v>
      </c>
      <c r="AU37" s="41">
        <f>(Table43[[#This Row],[Harga Jual Pcs MT
(-PPN)]]*Table43[[#This Row],[ISI/CTN]])</f>
        <v>274334.64</v>
      </c>
      <c r="AV37" s="41">
        <f>Table43[[#This Row],[Harga Jual Pcs MT
(-PPN)]]*1.11</f>
        <v>25375.954200000004</v>
      </c>
      <c r="AW37" s="41">
        <f>Table43[[#This Row],[Harga Jual Pcs MT
(+PPN)]]*Table43[[#This Row],[ISI/CTN]]</f>
        <v>304511.45040000003</v>
      </c>
      <c r="AX37" s="41"/>
      <c r="AY37" s="46">
        <v>45945</v>
      </c>
      <c r="AZ37" s="54"/>
      <c r="BA37" s="7" t="str">
        <f ca="1">IF(TODAY()-Table43[[#This Row],[Efektif
Pembuatan]]&gt;60,"Lama","Baru")</f>
        <v>Lama</v>
      </c>
      <c r="BB37" s="7" t="str">
        <f ca="1">IF(TODAY()-Table43[[#This Row],[Efektif Naik Harga]]&lt;30,"Naik","Sama")</f>
        <v>Sama</v>
      </c>
      <c r="BC37" s="7" t="s">
        <v>235</v>
      </c>
      <c r="BD37" s="7" t="str">
        <f>IF(Table43[[#This Row],[Kode BARANG Win2]]&lt;&gt;"","IDR","")</f>
        <v>IDR</v>
      </c>
      <c r="BE37" s="7" t="str">
        <f>CONCATENATE(Table43[[#This Row],[kode  1 Digit
(Nomor)]],Table43[[#This Row],[kode  4 Digit                (Nomor)]])</f>
        <v>10825</v>
      </c>
      <c r="BF37" s="7" t="str">
        <f>Table43[[#This Row],[Nama            Gramasi atau Jumlah Pack per CTN]]</f>
        <v>825 GR</v>
      </c>
      <c r="BG37" s="7" t="s">
        <v>653</v>
      </c>
      <c r="BH37" s="51" t="s">
        <v>654</v>
      </c>
      <c r="BI37" s="4" t="str">
        <f>IF(Table43[[#This Row],[SATUAN Fix Win]]&lt;&gt;"","KRT")</f>
        <v>KRT</v>
      </c>
      <c r="BJ37" s="4" t="str">
        <f>IF(Table43[[#This Row],[SATUAN Fix Win]]&lt;&gt;"","GD01")</f>
        <v>GD01</v>
      </c>
      <c r="BK37" s="4">
        <f>IF(Table43[[#This Row],[SATUAN Fix Win]]&lt;&gt;"",11611)</f>
        <v>11611</v>
      </c>
      <c r="BL37" s="4">
        <f>IF(Table43[[#This Row],[SATUAN Fix Win]]&lt;&gt;"",11612)</f>
        <v>11612</v>
      </c>
      <c r="BM37" s="47" t="s">
        <v>655</v>
      </c>
      <c r="BN37" s="4">
        <f>IF(Table43[[#This Row],[SATUAN Fix Win]]&lt;&gt;"",1)</f>
        <v>1</v>
      </c>
      <c r="BO37" s="4" t="s">
        <v>656</v>
      </c>
      <c r="BP37" s="4">
        <f>IFERROR(VLOOKUP(Table43[[#This Row],[Kode Pcpl]],'[1]HEINZ ABC'!$A$4:$E$112,8,0),0)</f>
        <v>0</v>
      </c>
      <c r="BQ37" s="55">
        <f>Table43[[#This Row],[Harga Jual Pcs GT
(-PPN)]]-Table43[[#This Row],[HARGA NAIK GT]]</f>
        <v>21167.8</v>
      </c>
      <c r="BR37" s="4">
        <f>IF(Table43[[#This Row],[HARGA NAIK GT]]=0,Table43[[#This Row],[Harga Jual Pcs GT
(-PPN)]],Table43[[#This Row],[HARGA NAIK GT]])</f>
        <v>21167.8</v>
      </c>
      <c r="BT37" s="77"/>
    </row>
    <row r="38" spans="1:76" x14ac:dyDescent="0.25">
      <c r="A38" s="4" t="str">
        <f>CONCATENATE(Table43[[#This Row],[Kode BARANG Win2]],Table43[[#This Row],[No. Urut
Item Sama]])</f>
        <v>A10110000925101</v>
      </c>
      <c r="B38" s="7">
        <v>1</v>
      </c>
      <c r="C38" s="4">
        <v>29</v>
      </c>
      <c r="D38" s="27">
        <v>100176</v>
      </c>
      <c r="E38" s="27" t="s">
        <v>237</v>
      </c>
      <c r="F38" s="27" t="s">
        <v>261</v>
      </c>
      <c r="G38" s="27">
        <v>12</v>
      </c>
      <c r="H38" s="42" t="s">
        <v>2729</v>
      </c>
      <c r="I38" s="27" t="str">
        <f>Table43[[#This Row],[Nama Jenis Kemasan]]</f>
        <v>PCH</v>
      </c>
      <c r="J38" s="4" t="str">
        <f>TRIM(CONCATENATE(Table43[[#This Row],[Nama            KLP]]," ",Table43[[#This Row],[Nama            Sub KLP]]))</f>
        <v>KECAP MANIS</v>
      </c>
      <c r="K38" s="4" t="str">
        <f>CONCATENATE(Table43[[#This Row],[kode  2 Digit                (hrf+No)]],Table43[[#This Row],[kode  2 Digit                (Nomor)]],Table43[[#This Row],[kode  1 Digit                (Nomor)]])</f>
        <v>A1011</v>
      </c>
      <c r="L38" s="4" t="str">
        <f>IF(AG38="",CONCATENATE(Q38,S38,U38,W38,Y38,AA38,AC38,AE38,Table43[[#This Row],[Tanda Kode Revisi]]),CONCATENATE(Q38,S38,U38,W38,Y38,AA38,AC38,AG38))</f>
        <v>A1011000092510</v>
      </c>
      <c r="M38" s="11">
        <f t="shared" si="0"/>
        <v>14</v>
      </c>
      <c r="N38" s="14" t="str">
        <f>IF(AF38&lt;&gt;"",TRIM(UPPER(CONCATENATE(P38," ",R38," ",T38," ",V38," ",X38," ",Z38," ","X"," ",Table43[[#This Row],[ISI/CTN]]," ",AF38," ",AB38," ",AD38," ",AH38))),TRIM(UPPER(CONCATENATE(P38," ",R38," ",T38," ",V38," ",X38," ",Z38," ","X"," ",Table43[[#This Row],[ISI/CTN]]," ",AB38," ",AD38," ",AH38))))</f>
        <v>ABC KECAP MANIS 925 GR X 12 PCH</v>
      </c>
      <c r="O38" s="11">
        <f t="shared" si="1"/>
        <v>31</v>
      </c>
      <c r="P38" s="4" t="s">
        <v>28</v>
      </c>
      <c r="Q38" s="7" t="s">
        <v>85</v>
      </c>
      <c r="R38" s="4" t="s">
        <v>474</v>
      </c>
      <c r="S38" s="43" t="s">
        <v>0</v>
      </c>
      <c r="T38" s="44" t="s">
        <v>475</v>
      </c>
      <c r="U38" s="7">
        <v>1</v>
      </c>
      <c r="V38" s="44"/>
      <c r="W38" s="43" t="s">
        <v>1</v>
      </c>
      <c r="Y38" s="45" t="s">
        <v>476</v>
      </c>
      <c r="Z38" s="4" t="s">
        <v>503</v>
      </c>
      <c r="AA38" s="45" t="s">
        <v>504</v>
      </c>
      <c r="AB38" s="4" t="s">
        <v>479</v>
      </c>
      <c r="AC38" s="7" t="s">
        <v>480</v>
      </c>
      <c r="AE38" s="7" t="s">
        <v>1</v>
      </c>
      <c r="AI38" s="7" t="s">
        <v>215</v>
      </c>
      <c r="AJ38" s="7">
        <v>1</v>
      </c>
      <c r="AL38" s="40">
        <f>Table43[[#This Row],[Harga Jual Pcs GT
(-PPN)]]-(Table43[[#This Row],[Harga Jual Pcs GT
(-PPN)]]*6%)</f>
        <v>20620.723599999998</v>
      </c>
      <c r="AM38" s="41">
        <f>Table43[[#This Row],[Harga Beli Pcs
(-PPN)]]*Table43[[#This Row],[ISI/CTN]]</f>
        <v>247448.68319999997</v>
      </c>
      <c r="AN38" s="41">
        <f>Table43[[#This Row],[Harga Beli Pcs
(-PPN)]]*1.11</f>
        <v>22889.003195999998</v>
      </c>
      <c r="AO38" s="41">
        <f>Table43[[#This Row],[Harga Beli Krt
(- PPN)]]*1.11</f>
        <v>274668.038352</v>
      </c>
      <c r="AP38" s="41">
        <v>21936.94</v>
      </c>
      <c r="AQ38" s="41">
        <f>Table43[[#This Row],[Harga Jual Pcs GT
(-PPN)]]*Table43[[#This Row],[ISI/CTN]]</f>
        <v>263243.27999999997</v>
      </c>
      <c r="AR38" s="41">
        <f>Table43[[#This Row],[Harga Jual Pcs GT
(-PPN)]]*1.11</f>
        <v>24350.003400000001</v>
      </c>
      <c r="AS38" s="41">
        <f>Table43[[#This Row],[Harga Jual Krt GT
(- PPN)]]*1.11</f>
        <v>292200.04080000002</v>
      </c>
      <c r="AT38" s="41">
        <v>0</v>
      </c>
      <c r="AU38" s="41">
        <f>(Table43[[#This Row],[Harga Jual Pcs MT
(-PPN)]]*Table43[[#This Row],[ISI/CTN]])</f>
        <v>0</v>
      </c>
      <c r="AV38" s="41">
        <f>Table43[[#This Row],[Harga Jual Pcs MT
(-PPN)]]*1.11</f>
        <v>0</v>
      </c>
      <c r="AW38" s="41">
        <f>Table43[[#This Row],[Harga Jual Pcs MT
(+PPN)]]*Table43[[#This Row],[ISI/CTN]]</f>
        <v>0</v>
      </c>
      <c r="AX38" s="41"/>
      <c r="AY38" s="46">
        <v>45553</v>
      </c>
      <c r="AZ38" s="54">
        <v>45553</v>
      </c>
      <c r="BA38" s="7" t="str">
        <f ca="1">IF(TODAY()-Table43[[#This Row],[Efektif
Pembuatan]]&gt;60,"Lama","Baru")</f>
        <v>Lama</v>
      </c>
      <c r="BB38" s="7" t="str">
        <f ca="1">IF(TODAY()-Table43[[#This Row],[Efektif Naik Harga]]&lt;30,"Naik","Sama")</f>
        <v>Sama</v>
      </c>
      <c r="BC38" s="7" t="s">
        <v>235</v>
      </c>
      <c r="BD38" s="7" t="str">
        <f>IF(Table43[[#This Row],[Kode BARANG Win2]]&lt;&gt;"","IDR","")</f>
        <v>IDR</v>
      </c>
      <c r="BE38" s="7" t="str">
        <f>CONCATENATE(Table43[[#This Row],[kode  1 Digit
(Nomor)]],Table43[[#This Row],[kode  4 Digit                (Nomor)]])</f>
        <v>10925</v>
      </c>
      <c r="BF38" s="7" t="str">
        <f>Table43[[#This Row],[Nama            Gramasi atau Jumlah Pack per CTN]]</f>
        <v>925 GR</v>
      </c>
      <c r="BG38" s="7" t="s">
        <v>653</v>
      </c>
      <c r="BH38" s="51" t="s">
        <v>654</v>
      </c>
      <c r="BI38" s="4" t="str">
        <f>IF(Table43[[#This Row],[SATUAN Fix Win]]&lt;&gt;"","KRT")</f>
        <v>KRT</v>
      </c>
      <c r="BJ38" s="4" t="str">
        <f>IF(Table43[[#This Row],[SATUAN Fix Win]]&lt;&gt;"","GD01")</f>
        <v>GD01</v>
      </c>
      <c r="BK38" s="4">
        <f>IF(Table43[[#This Row],[SATUAN Fix Win]]&lt;&gt;"",11611)</f>
        <v>11611</v>
      </c>
      <c r="BL38" s="4">
        <f>IF(Table43[[#This Row],[SATUAN Fix Win]]&lt;&gt;"",11612)</f>
        <v>11612</v>
      </c>
      <c r="BM38" s="47" t="s">
        <v>655</v>
      </c>
      <c r="BN38" s="4">
        <f>IF(Table43[[#This Row],[SATUAN Fix Win]]&lt;&gt;"",1)</f>
        <v>1</v>
      </c>
      <c r="BO38" s="4" t="s">
        <v>656</v>
      </c>
      <c r="BP38" s="4">
        <f>IFERROR(VLOOKUP(Table43[[#This Row],[Kode Pcpl]],'[1]HEINZ ABC'!$A$4:$E$112,8,0),0)</f>
        <v>0</v>
      </c>
      <c r="BQ38" s="55">
        <f>Table43[[#This Row],[Harga Jual Pcs GT
(-PPN)]]-Table43[[#This Row],[HARGA NAIK GT]]</f>
        <v>21936.94</v>
      </c>
      <c r="BR38" s="4">
        <f>IF(Table43[[#This Row],[HARGA NAIK GT]]=0,Table43[[#This Row],[Harga Jual Pcs GT
(-PPN)]],Table43[[#This Row],[HARGA NAIK GT]])</f>
        <v>21936.94</v>
      </c>
      <c r="BS38">
        <f>IFERROR(VLOOKUP(Table43[[#This Row],[Kode Pcpl]],'[1]HEINZ ABC'!$A$4:$E$112,8,0),0)</f>
        <v>0</v>
      </c>
      <c r="BT38" s="58">
        <f>Table43[[#This Row],[Harga Jual Pcs GT
(-PPN)]]-BS38</f>
        <v>21936.94</v>
      </c>
      <c r="BU38">
        <f>IF(BS38=0,Table43[[#This Row],[Harga Jual Pcs MT
(-PPN)]])</f>
        <v>0</v>
      </c>
      <c r="BV38">
        <f>IFERROR(VLOOKUP(Table43[[#This Row],[Kode Pcpl]],[2]Pricelist!$A$4:$K$112,11,0),0)</f>
        <v>0</v>
      </c>
      <c r="BW38">
        <f>IFERROR(VLOOKUP(Table43[[#This Row],[Kode BARANG Win2]],[3]!RECKITT211216[[KDBRG]:[HRG_JL_PCS-PPN]],11,0),0)</f>
        <v>0</v>
      </c>
      <c r="BX38">
        <f t="shared" si="2"/>
        <v>0</v>
      </c>
    </row>
    <row r="39" spans="1:76" s="130" customFormat="1" x14ac:dyDescent="0.25">
      <c r="A39" s="4" t="str">
        <f>CONCATENATE(Table43[[#This Row],[Kode BARANG Win2]],Table43[[#This Row],[No. Urut
Item Sama]])</f>
        <v>A10110000925102</v>
      </c>
      <c r="B39" s="7">
        <v>2</v>
      </c>
      <c r="C39" s="4">
        <v>30</v>
      </c>
      <c r="D39" s="27">
        <v>100188</v>
      </c>
      <c r="E39" s="27" t="s">
        <v>237</v>
      </c>
      <c r="F39" s="27" t="s">
        <v>262</v>
      </c>
      <c r="G39" s="27">
        <v>12</v>
      </c>
      <c r="H39" s="42" t="s">
        <v>2730</v>
      </c>
      <c r="I39" s="27" t="str">
        <f>Table43[[#This Row],[Nama Jenis Kemasan]]</f>
        <v>PCH</v>
      </c>
      <c r="J39" s="4" t="str">
        <f>TRIM(CONCATENATE(Table43[[#This Row],[Nama            KLP]]," ",Table43[[#This Row],[Nama            Sub KLP]]))</f>
        <v>KECAP MANIS</v>
      </c>
      <c r="K39" s="4" t="str">
        <f>CONCATENATE(Table43[[#This Row],[kode  2 Digit                (hrf+No)]],Table43[[#This Row],[kode  2 Digit                (Nomor)]],Table43[[#This Row],[kode  1 Digit                (Nomor)]])</f>
        <v>A1011</v>
      </c>
      <c r="L39" s="4" t="str">
        <f>IF(AG39="",CONCATENATE(Q39,S39,U39,W39,Y39,AA39,AC39,AE39,Table43[[#This Row],[Tanda Kode Revisi]]),CONCATENATE(Q39,S39,U39,W39,Y39,AA39,AC39,AG39))</f>
        <v>A1011000092510</v>
      </c>
      <c r="M39" s="11">
        <f t="shared" si="0"/>
        <v>14</v>
      </c>
      <c r="N39" s="14" t="str">
        <f>IF(AF39&lt;&gt;"",TRIM(UPPER(CONCATENATE(P39," ",R39," ",T39," ",V39," ",X39," ",Z39," ","X"," ",Table43[[#This Row],[ISI/CTN]]," ",AF39," ",AB39," ",AD39," ",AH39))),TRIM(UPPER(CONCATENATE(P39," ",R39," ",T39," ",V39," ",X39," ",Z39," ","X"," ",Table43[[#This Row],[ISI/CTN]]," ",AB39," ",AD39," ",AH39))))</f>
        <v>ABC KECAP MANIS 925 GR X 12 PCH</v>
      </c>
      <c r="O39" s="11">
        <f t="shared" si="1"/>
        <v>31</v>
      </c>
      <c r="P39" s="4" t="s">
        <v>28</v>
      </c>
      <c r="Q39" s="7" t="s">
        <v>85</v>
      </c>
      <c r="R39" s="4" t="s">
        <v>474</v>
      </c>
      <c r="S39" s="43" t="s">
        <v>0</v>
      </c>
      <c r="T39" s="44" t="s">
        <v>475</v>
      </c>
      <c r="U39" s="7">
        <v>1</v>
      </c>
      <c r="V39" s="44"/>
      <c r="W39" s="43" t="s">
        <v>1</v>
      </c>
      <c r="X39" s="4"/>
      <c r="Y39" s="45" t="s">
        <v>476</v>
      </c>
      <c r="Z39" s="4" t="s">
        <v>503</v>
      </c>
      <c r="AA39" s="45" t="s">
        <v>504</v>
      </c>
      <c r="AB39" s="4" t="s">
        <v>479</v>
      </c>
      <c r="AC39" s="7" t="s">
        <v>480</v>
      </c>
      <c r="AD39" s="4"/>
      <c r="AE39" s="7" t="s">
        <v>1</v>
      </c>
      <c r="AF39" s="7"/>
      <c r="AG39" s="7"/>
      <c r="AH39" s="7"/>
      <c r="AI39" s="7" t="s">
        <v>215</v>
      </c>
      <c r="AJ39" s="7">
        <v>1</v>
      </c>
      <c r="AK39" s="7"/>
      <c r="AL39" s="40">
        <f>Table43[[#This Row],[Harga Jual Pcs GT
(-PPN)]]-(Table43[[#This Row],[Harga Jual Pcs GT
(-PPN)]]*6%)</f>
        <v>20620.723599999998</v>
      </c>
      <c r="AM39" s="41">
        <f>Table43[[#This Row],[Harga Beli Pcs
(-PPN)]]*Table43[[#This Row],[ISI/CTN]]</f>
        <v>247448.68319999997</v>
      </c>
      <c r="AN39" s="41">
        <f>Table43[[#This Row],[Harga Beli Pcs
(-PPN)]]*1.11</f>
        <v>22889.003195999998</v>
      </c>
      <c r="AO39" s="41">
        <f>Table43[[#This Row],[Harga Beli Krt
(- PPN)]]*1.11</f>
        <v>274668.038352</v>
      </c>
      <c r="AP39" s="41">
        <v>21936.94</v>
      </c>
      <c r="AQ39" s="41">
        <f>Table43[[#This Row],[Harga Jual Pcs GT
(-PPN)]]*Table43[[#This Row],[ISI/CTN]]</f>
        <v>263243.27999999997</v>
      </c>
      <c r="AR39" s="41">
        <f>Table43[[#This Row],[Harga Jual Pcs GT
(-PPN)]]*1.11</f>
        <v>24350.003400000001</v>
      </c>
      <c r="AS39" s="41">
        <f>Table43[[#This Row],[Harga Jual Krt GT
(- PPN)]]*1.11</f>
        <v>292200.04080000002</v>
      </c>
      <c r="AT39" s="41">
        <v>0</v>
      </c>
      <c r="AU39" s="41">
        <f>(Table43[[#This Row],[Harga Jual Pcs MT
(-PPN)]]*Table43[[#This Row],[ISI/CTN]])</f>
        <v>0</v>
      </c>
      <c r="AV39" s="41">
        <f>Table43[[#This Row],[Harga Jual Pcs MT
(-PPN)]]*1.11</f>
        <v>0</v>
      </c>
      <c r="AW39" s="41">
        <f>Table43[[#This Row],[Harga Jual Pcs MT
(+PPN)]]*Table43[[#This Row],[ISI/CTN]]</f>
        <v>0</v>
      </c>
      <c r="AX39" s="41"/>
      <c r="AY39" s="46">
        <v>45553</v>
      </c>
      <c r="AZ39" s="54">
        <v>45553</v>
      </c>
      <c r="BA39" s="7" t="str">
        <f ca="1">IF(TODAY()-Table43[[#This Row],[Efektif
Pembuatan]]&gt;60,"Lama","Baru")</f>
        <v>Lama</v>
      </c>
      <c r="BB39" s="7" t="str">
        <f ca="1">IF(TODAY()-Table43[[#This Row],[Efektif Naik Harga]]&lt;30,"Naik","Sama")</f>
        <v>Sama</v>
      </c>
      <c r="BC39" s="7" t="s">
        <v>235</v>
      </c>
      <c r="BD39" s="7" t="str">
        <f>IF(Table43[[#This Row],[Kode BARANG Win2]]&lt;&gt;"","IDR","")</f>
        <v>IDR</v>
      </c>
      <c r="BE39" s="7" t="str">
        <f>CONCATENATE(Table43[[#This Row],[kode  1 Digit
(Nomor)]],Table43[[#This Row],[kode  4 Digit                (Nomor)]])</f>
        <v>10925</v>
      </c>
      <c r="BF39" s="7" t="str">
        <f>Table43[[#This Row],[Nama            Gramasi atau Jumlah Pack per CTN]]</f>
        <v>925 GR</v>
      </c>
      <c r="BG39" s="7" t="s">
        <v>653</v>
      </c>
      <c r="BH39" s="51" t="s">
        <v>654</v>
      </c>
      <c r="BI39" s="4" t="str">
        <f>IF(Table43[[#This Row],[SATUAN Fix Win]]&lt;&gt;"","KRT")</f>
        <v>KRT</v>
      </c>
      <c r="BJ39" s="4" t="str">
        <f>IF(Table43[[#This Row],[SATUAN Fix Win]]&lt;&gt;"","GD01")</f>
        <v>GD01</v>
      </c>
      <c r="BK39" s="4">
        <f>IF(Table43[[#This Row],[SATUAN Fix Win]]&lt;&gt;"",11611)</f>
        <v>11611</v>
      </c>
      <c r="BL39" s="4">
        <f>IF(Table43[[#This Row],[SATUAN Fix Win]]&lt;&gt;"",11612)</f>
        <v>11612</v>
      </c>
      <c r="BM39" s="47" t="s">
        <v>655</v>
      </c>
      <c r="BN39" s="4">
        <f>IF(Table43[[#This Row],[SATUAN Fix Win]]&lt;&gt;"",1)</f>
        <v>1</v>
      </c>
      <c r="BO39" s="4" t="s">
        <v>656</v>
      </c>
      <c r="BP39" s="4">
        <f>IFERROR(VLOOKUP(Table43[[#This Row],[Kode Pcpl]],'[1]HEINZ ABC'!$A$4:$E$112,8,0),0)</f>
        <v>0</v>
      </c>
      <c r="BQ39" s="55">
        <f>Table43[[#This Row],[Harga Jual Pcs GT
(-PPN)]]-Table43[[#This Row],[HARGA NAIK GT]]</f>
        <v>21936.94</v>
      </c>
      <c r="BR39" s="4">
        <f>IF(Table43[[#This Row],[HARGA NAIK GT]]=0,Table43[[#This Row],[Harga Jual Pcs GT
(-PPN)]],Table43[[#This Row],[HARGA NAIK GT]])</f>
        <v>21936.94</v>
      </c>
      <c r="BT39" s="131"/>
    </row>
    <row r="40" spans="1:76" x14ac:dyDescent="0.25">
      <c r="A40" s="4" t="str">
        <f>CONCATENATE(Table43[[#This Row],[Kode BARANG Win2]],Table43[[#This Row],[No. Urut
Item Sama]])</f>
        <v>A10110001006101</v>
      </c>
      <c r="B40" s="7">
        <v>1</v>
      </c>
      <c r="C40" s="4">
        <v>31</v>
      </c>
      <c r="D40" s="27">
        <v>100186</v>
      </c>
      <c r="E40" s="27" t="s">
        <v>237</v>
      </c>
      <c r="F40" s="27" t="s">
        <v>263</v>
      </c>
      <c r="G40" s="27">
        <v>1</v>
      </c>
      <c r="H40" s="42" t="s">
        <v>2657</v>
      </c>
      <c r="I40" s="27" t="str">
        <f>Table43[[#This Row],[Nama Jenis Kemasan]]</f>
        <v>JRG</v>
      </c>
      <c r="J40" s="4" t="str">
        <f>TRIM(CONCATENATE(Table43[[#This Row],[Nama            KLP]]," ",Table43[[#This Row],[Nama            Sub KLP]]))</f>
        <v>KECAP MANIS</v>
      </c>
      <c r="K40" s="4" t="str">
        <f>CONCATENATE(Table43[[#This Row],[kode  2 Digit                (hrf+No)]],Table43[[#This Row],[kode  2 Digit                (Nomor)]],Table43[[#This Row],[kode  1 Digit                (Nomor)]])</f>
        <v>A1011</v>
      </c>
      <c r="L40" s="4" t="str">
        <f>IF(AG40="",CONCATENATE(Q40,S40,U40,W40,Y40,AA40,AC40,AE40,Table43[[#This Row],[Tanda Kode Revisi]]),CONCATENATE(Q40,S40,U40,W40,Y40,AA40,AC40,AG40))</f>
        <v>A1011000100610</v>
      </c>
      <c r="M40" s="11">
        <f t="shared" si="0"/>
        <v>14</v>
      </c>
      <c r="N40" s="14" t="str">
        <f>IF(AF40&lt;&gt;"",TRIM(UPPER(CONCATENATE(P40," ",R40," ",T40," ",V40," ",X40," ",Z40," ","X"," ",Table43[[#This Row],[ISI/CTN]]," ",AF40," ",AB40," ",AD40," ",AH40))),TRIM(UPPER(CONCATENATE(P40," ",R40," ",T40," ",V40," ",X40," ",Z40," ","X"," ",Table43[[#This Row],[ISI/CTN]]," ",AB40," ",AD40," ",AH40))))</f>
        <v>ABC KECAP MANIS 6 KG X 1 JRG</v>
      </c>
      <c r="O40" s="11">
        <f t="shared" si="1"/>
        <v>28</v>
      </c>
      <c r="P40" s="4" t="s">
        <v>28</v>
      </c>
      <c r="Q40" s="7" t="s">
        <v>85</v>
      </c>
      <c r="R40" s="4" t="s">
        <v>474</v>
      </c>
      <c r="S40" s="43" t="s">
        <v>0</v>
      </c>
      <c r="T40" s="44" t="s">
        <v>475</v>
      </c>
      <c r="U40" s="7">
        <v>1</v>
      </c>
      <c r="V40" s="44"/>
      <c r="W40" s="43" t="s">
        <v>1</v>
      </c>
      <c r="Y40" s="45" t="s">
        <v>476</v>
      </c>
      <c r="Z40" s="4" t="s">
        <v>505</v>
      </c>
      <c r="AA40" s="45">
        <v>1006</v>
      </c>
      <c r="AB40" s="4" t="s">
        <v>506</v>
      </c>
      <c r="AC40" s="7" t="s">
        <v>480</v>
      </c>
      <c r="AE40" s="7">
        <v>0</v>
      </c>
      <c r="AI40" s="7" t="s">
        <v>215</v>
      </c>
      <c r="AJ40" s="7">
        <v>1</v>
      </c>
      <c r="AL40" s="40">
        <f>Table43[[#This Row],[Harga Jual Pcs GT
(-PPN)]]-(Table43[[#This Row],[Harga Jual Pcs GT
(-PPN)]]*6%)</f>
        <v>131767.85714285713</v>
      </c>
      <c r="AM40" s="41">
        <f>Table43[[#This Row],[Harga Beli Pcs
(-PPN)]]*Table43[[#This Row],[ISI/CTN]]</f>
        <v>131767.85714285713</v>
      </c>
      <c r="AN40" s="41">
        <f>Table43[[#This Row],[Harga Beli Pcs
(-PPN)]]*1.11</f>
        <v>146262.32142857142</v>
      </c>
      <c r="AO40" s="41">
        <f>Table43[[#This Row],[Harga Beli Krt
(- PPN)]]*1.11</f>
        <v>146262.32142857142</v>
      </c>
      <c r="AP40" s="41">
        <v>140178.57142857142</v>
      </c>
      <c r="AQ40" s="41">
        <f>Table43[[#This Row],[Harga Jual Pcs GT
(-PPN)]]*Table43[[#This Row],[ISI/CTN]]</f>
        <v>140178.57142857142</v>
      </c>
      <c r="AR40" s="41">
        <f>Table43[[#This Row],[Harga Jual Pcs GT
(-PPN)]]*1.11</f>
        <v>155598.21428571429</v>
      </c>
      <c r="AS40" s="41">
        <f>Table43[[#This Row],[Harga Jual Krt GT
(- PPN)]]*1.11</f>
        <v>155598.21428571429</v>
      </c>
      <c r="AT40" s="41">
        <v>151392.85714285713</v>
      </c>
      <c r="AU40" s="41">
        <f>(Table43[[#This Row],[Harga Jual Pcs MT
(-PPN)]]*Table43[[#This Row],[ISI/CTN]])</f>
        <v>151392.85714285713</v>
      </c>
      <c r="AV40" s="41">
        <f>Table43[[#This Row],[Harga Jual Pcs MT
(-PPN)]]*1.11</f>
        <v>168046.07142857142</v>
      </c>
      <c r="AW40" s="41">
        <f>Table43[[#This Row],[Harga Jual Pcs MT
(+PPN)]]*Table43[[#This Row],[ISI/CTN]]</f>
        <v>168046.07142857142</v>
      </c>
      <c r="AX40" s="41"/>
      <c r="AY40" s="46">
        <v>45553</v>
      </c>
      <c r="AZ40" s="54">
        <v>45839</v>
      </c>
      <c r="BA40" s="7" t="str">
        <f ca="1">IF(TODAY()-Table43[[#This Row],[Efektif
Pembuatan]]&gt;60,"Lama","Baru")</f>
        <v>Lama</v>
      </c>
      <c r="BB40" s="7" t="str">
        <f ca="1">IF(TODAY()-Table43[[#This Row],[Efektif Naik Harga]]&lt;30,"Naik","Sama")</f>
        <v>Sama</v>
      </c>
      <c r="BC40" s="7" t="s">
        <v>235</v>
      </c>
      <c r="BD40" s="7" t="str">
        <f>IF(Table43[[#This Row],[Kode BARANG Win2]]&lt;&gt;"","IDR","")</f>
        <v>IDR</v>
      </c>
      <c r="BE40" s="7" t="str">
        <f>CONCATENATE(Table43[[#This Row],[kode  1 Digit
(Nomor)]],Table43[[#This Row],[kode  4 Digit                (Nomor)]])</f>
        <v>11006</v>
      </c>
      <c r="BF40" s="7" t="str">
        <f>Table43[[#This Row],[Nama            Gramasi atau Jumlah Pack per CTN]]</f>
        <v>6 KG</v>
      </c>
      <c r="BG40" s="7" t="s">
        <v>653</v>
      </c>
      <c r="BH40" s="51" t="s">
        <v>654</v>
      </c>
      <c r="BI40" s="4" t="str">
        <f>IF(Table43[[#This Row],[SATUAN Fix Win]]&lt;&gt;"","KRT")</f>
        <v>KRT</v>
      </c>
      <c r="BJ40" s="4" t="str">
        <f>IF(Table43[[#This Row],[SATUAN Fix Win]]&lt;&gt;"","GD01")</f>
        <v>GD01</v>
      </c>
      <c r="BK40" s="4">
        <f>IF(Table43[[#This Row],[SATUAN Fix Win]]&lt;&gt;"",11611)</f>
        <v>11611</v>
      </c>
      <c r="BL40" s="4">
        <f>IF(Table43[[#This Row],[SATUAN Fix Win]]&lt;&gt;"",11612)</f>
        <v>11612</v>
      </c>
      <c r="BM40" s="47" t="s">
        <v>655</v>
      </c>
      <c r="BN40" s="4">
        <f>IF(Table43[[#This Row],[SATUAN Fix Win]]&lt;&gt;"",1)</f>
        <v>1</v>
      </c>
      <c r="BO40" s="4" t="s">
        <v>656</v>
      </c>
      <c r="BP40" s="4">
        <f>IFERROR(VLOOKUP(Table43[[#This Row],[Kode Pcpl]],'[1]HEINZ ABC'!$A$4:$E$112,8,0),0)</f>
        <v>0</v>
      </c>
      <c r="BQ40" s="55">
        <f>Table43[[#This Row],[Harga Jual Pcs GT
(-PPN)]]-Table43[[#This Row],[HARGA NAIK GT]]</f>
        <v>140178.57142857142</v>
      </c>
      <c r="BR40" s="4">
        <f>IF(Table43[[#This Row],[HARGA NAIK GT]]=0,Table43[[#This Row],[Harga Jual Pcs GT
(-PPN)]],Table43[[#This Row],[HARGA NAIK GT]])</f>
        <v>140178.57142857142</v>
      </c>
      <c r="BS40">
        <f>IFERROR(VLOOKUP(Table43[[#This Row],[Kode Pcpl]],'[1]HEINZ ABC'!$A$4:$E$112,8,0),0)</f>
        <v>0</v>
      </c>
      <c r="BT40" s="58">
        <f>Table43[[#This Row],[Harga Jual Pcs GT
(-PPN)]]-BS40</f>
        <v>140178.57142857142</v>
      </c>
      <c r="BU40">
        <f>IF(BS40=0,Table43[[#This Row],[Harga Jual Pcs MT
(-PPN)]])</f>
        <v>151392.85714285713</v>
      </c>
      <c r="BV40">
        <f>IFERROR(VLOOKUP(Table43[[#This Row],[Kode Pcpl]],[2]Pricelist!$A$4:$K$112,11,0),0)</f>
        <v>168046.07142857142</v>
      </c>
      <c r="BW40">
        <f>IFERROR(VLOOKUP(Table43[[#This Row],[Kode BARANG Win2]],[3]!RECKITT211216[[KDBRG]:[HRG_JL_PCS-PPN]],11,0),0)</f>
        <v>0</v>
      </c>
      <c r="BX40">
        <f t="shared" si="2"/>
        <v>151392.85714285713</v>
      </c>
    </row>
    <row r="41" spans="1:76" x14ac:dyDescent="0.25">
      <c r="A41" s="4" t="str">
        <f>CONCATENATE(Table43[[#This Row],[Kode BARANG Win2]],Table43[[#This Row],[No. Urut
Item Sama]])</f>
        <v>A10110001006102</v>
      </c>
      <c r="B41" s="7">
        <v>2</v>
      </c>
      <c r="C41" s="4">
        <v>32</v>
      </c>
      <c r="D41" s="27">
        <v>100229</v>
      </c>
      <c r="E41" s="27" t="s">
        <v>237</v>
      </c>
      <c r="F41" s="27" t="s">
        <v>264</v>
      </c>
      <c r="G41" s="27">
        <v>1</v>
      </c>
      <c r="H41" s="42" t="s">
        <v>2657</v>
      </c>
      <c r="I41" s="27" t="str">
        <f>Table43[[#This Row],[Nama Jenis Kemasan]]</f>
        <v>JRG</v>
      </c>
      <c r="J41" s="4" t="str">
        <f>TRIM(CONCATENATE(Table43[[#This Row],[Nama            KLP]]," ",Table43[[#This Row],[Nama            Sub KLP]]))</f>
        <v>KECAP MANIS</v>
      </c>
      <c r="K41" s="4" t="str">
        <f>CONCATENATE(Table43[[#This Row],[kode  2 Digit                (hrf+No)]],Table43[[#This Row],[kode  2 Digit                (Nomor)]],Table43[[#This Row],[kode  1 Digit                (Nomor)]])</f>
        <v>A1011</v>
      </c>
      <c r="L41" s="4" t="str">
        <f>IF(AG41="",CONCATENATE(Q41,S41,U41,W41,Y41,AA41,AC41,AE41,Table43[[#This Row],[Tanda Kode Revisi]]),CONCATENATE(Q41,S41,U41,W41,Y41,AA41,AC41,AG41))</f>
        <v>A1011000100610</v>
      </c>
      <c r="M41" s="11">
        <f t="shared" si="0"/>
        <v>14</v>
      </c>
      <c r="N41" s="14" t="str">
        <f>IF(AF41&lt;&gt;"",TRIM(UPPER(CONCATENATE(P41," ",R41," ",T41," ",V41," ",X41," ",Z41," ","X"," ",Table43[[#This Row],[ISI/CTN]]," ",AF41," ",AB41," ",AD41," ",AH41))),TRIM(UPPER(CONCATENATE(P41," ",R41," ",T41," ",V41," ",X41," ",Z41," ","X"," ",Table43[[#This Row],[ISI/CTN]]," ",AB41," ",AD41," ",AH41))))</f>
        <v>ABC KECAP MANIS 6 KG X 1 JRG</v>
      </c>
      <c r="O41" s="11">
        <f t="shared" si="1"/>
        <v>28</v>
      </c>
      <c r="P41" s="4" t="s">
        <v>28</v>
      </c>
      <c r="Q41" s="7" t="s">
        <v>85</v>
      </c>
      <c r="R41" s="4" t="s">
        <v>474</v>
      </c>
      <c r="S41" s="43" t="s">
        <v>0</v>
      </c>
      <c r="T41" s="44" t="s">
        <v>475</v>
      </c>
      <c r="U41" s="7">
        <v>1</v>
      </c>
      <c r="V41" s="44"/>
      <c r="W41" s="43" t="s">
        <v>1</v>
      </c>
      <c r="Y41" s="45" t="s">
        <v>476</v>
      </c>
      <c r="Z41" s="4" t="s">
        <v>505</v>
      </c>
      <c r="AA41" s="45">
        <v>1006</v>
      </c>
      <c r="AB41" s="4" t="s">
        <v>506</v>
      </c>
      <c r="AC41" s="7" t="s">
        <v>480</v>
      </c>
      <c r="AE41" s="7">
        <v>0</v>
      </c>
      <c r="AI41" s="7" t="s">
        <v>215</v>
      </c>
      <c r="AJ41" s="7">
        <v>1</v>
      </c>
      <c r="AL41" s="40">
        <f>Table43[[#This Row],[Harga Jual Pcs GT
(-PPN)]]-(Table43[[#This Row],[Harga Jual Pcs GT
(-PPN)]]*6%)</f>
        <v>131767.85714285713</v>
      </c>
      <c r="AM41" s="41">
        <f>Table43[[#This Row],[Harga Beli Pcs
(-PPN)]]*Table43[[#This Row],[ISI/CTN]]</f>
        <v>131767.85714285713</v>
      </c>
      <c r="AN41" s="41">
        <f>Table43[[#This Row],[Harga Beli Pcs
(-PPN)]]*1.11</f>
        <v>146262.32142857142</v>
      </c>
      <c r="AO41" s="41">
        <f>Table43[[#This Row],[Harga Beli Krt
(- PPN)]]*1.11</f>
        <v>146262.32142857142</v>
      </c>
      <c r="AP41" s="41">
        <v>140178.57142857142</v>
      </c>
      <c r="AQ41" s="41">
        <f>Table43[[#This Row],[Harga Jual Pcs GT
(-PPN)]]*Table43[[#This Row],[ISI/CTN]]</f>
        <v>140178.57142857142</v>
      </c>
      <c r="AR41" s="41">
        <f>Table43[[#This Row],[Harga Jual Pcs GT
(-PPN)]]*1.11</f>
        <v>155598.21428571429</v>
      </c>
      <c r="AS41" s="41">
        <f>Table43[[#This Row],[Harga Jual Krt GT
(- PPN)]]*1.11</f>
        <v>155598.21428571429</v>
      </c>
      <c r="AT41" s="41">
        <v>151392.85714285713</v>
      </c>
      <c r="AU41" s="41">
        <f>(Table43[[#This Row],[Harga Jual Pcs MT
(-PPN)]]*Table43[[#This Row],[ISI/CTN]])</f>
        <v>151392.85714285713</v>
      </c>
      <c r="AV41" s="41">
        <f>Table43[[#This Row],[Harga Jual Pcs MT
(-PPN)]]*1.11</f>
        <v>168046.07142857142</v>
      </c>
      <c r="AW41" s="41">
        <f>Table43[[#This Row],[Harga Jual Pcs MT
(+PPN)]]*Table43[[#This Row],[ISI/CTN]]</f>
        <v>168046.07142857142</v>
      </c>
      <c r="AX41" s="41"/>
      <c r="AY41" s="46"/>
      <c r="AZ41" s="54">
        <v>45839</v>
      </c>
      <c r="BA41" s="7" t="str">
        <f ca="1">IF(TODAY()-Table43[[#This Row],[Efektif
Pembuatan]]&gt;60,"Lama","Baru")</f>
        <v>Lama</v>
      </c>
      <c r="BB41" s="7" t="str">
        <f ca="1">IF(TODAY()-Table43[[#This Row],[Efektif Naik Harga]]&lt;30,"Naik","Sama")</f>
        <v>Sama</v>
      </c>
      <c r="BC41" s="7" t="s">
        <v>235</v>
      </c>
      <c r="BD41" s="7" t="str">
        <f>IF(Table43[[#This Row],[Kode BARANG Win2]]&lt;&gt;"","IDR","")</f>
        <v>IDR</v>
      </c>
      <c r="BE41" s="7" t="str">
        <f>CONCATENATE(Table43[[#This Row],[kode  1 Digit
(Nomor)]],Table43[[#This Row],[kode  4 Digit                (Nomor)]])</f>
        <v>11006</v>
      </c>
      <c r="BF41" s="7" t="str">
        <f>Table43[[#This Row],[Nama            Gramasi atau Jumlah Pack per CTN]]</f>
        <v>6 KG</v>
      </c>
      <c r="BG41" s="7" t="s">
        <v>653</v>
      </c>
      <c r="BH41" s="51" t="s">
        <v>654</v>
      </c>
      <c r="BI41" s="4" t="str">
        <f>IF(Table43[[#This Row],[SATUAN Fix Win]]&lt;&gt;"","KRT")</f>
        <v>KRT</v>
      </c>
      <c r="BJ41" s="4" t="str">
        <f>IF(Table43[[#This Row],[SATUAN Fix Win]]&lt;&gt;"","GD01")</f>
        <v>GD01</v>
      </c>
      <c r="BK41" s="4">
        <f>IF(Table43[[#This Row],[SATUAN Fix Win]]&lt;&gt;"",11611)</f>
        <v>11611</v>
      </c>
      <c r="BL41" s="4">
        <f>IF(Table43[[#This Row],[SATUAN Fix Win]]&lt;&gt;"",11612)</f>
        <v>11612</v>
      </c>
      <c r="BM41" s="47" t="s">
        <v>655</v>
      </c>
      <c r="BN41" s="4">
        <f>IF(Table43[[#This Row],[SATUAN Fix Win]]&lt;&gt;"",1)</f>
        <v>1</v>
      </c>
      <c r="BO41" s="4" t="s">
        <v>656</v>
      </c>
      <c r="BP41" s="4">
        <f>IFERROR(VLOOKUP(Table43[[#This Row],[Kode Pcpl]],'[1]HEINZ ABC'!$A$4:$E$112,8,0),0)</f>
        <v>0</v>
      </c>
      <c r="BQ41" s="55">
        <f>Table43[[#This Row],[Harga Jual Pcs GT
(-PPN)]]-Table43[[#This Row],[HARGA NAIK GT]]</f>
        <v>140178.57142857142</v>
      </c>
      <c r="BR41" s="4">
        <f>IF(Table43[[#This Row],[HARGA NAIK GT]]=0,Table43[[#This Row],[Harga Jual Pcs GT
(-PPN)]],Table43[[#This Row],[HARGA NAIK GT]])</f>
        <v>140178.57142857142</v>
      </c>
      <c r="BT41" s="58"/>
      <c r="BV41">
        <f>IFERROR(VLOOKUP(Table43[[#This Row],[Kode Pcpl]],[2]Pricelist!$A$4:$K$112,11,0),0)</f>
        <v>168046.07142857142</v>
      </c>
      <c r="BX41">
        <f t="shared" si="2"/>
        <v>151392.85714285713</v>
      </c>
    </row>
    <row r="42" spans="1:76" x14ac:dyDescent="0.25">
      <c r="A42" s="4" t="str">
        <f>CONCATENATE(Table43[[#This Row],[Kode BARANG Win2]],Table43[[#This Row],[No. Urut
Item Sama]])</f>
        <v>A10110001025101</v>
      </c>
      <c r="B42" s="7">
        <v>1</v>
      </c>
      <c r="C42" s="4">
        <v>33</v>
      </c>
      <c r="D42" s="27">
        <v>100181</v>
      </c>
      <c r="E42" s="27" t="s">
        <v>237</v>
      </c>
      <c r="F42" s="27" t="s">
        <v>265</v>
      </c>
      <c r="G42" s="27">
        <v>1</v>
      </c>
      <c r="H42" s="42" t="s">
        <v>2723</v>
      </c>
      <c r="I42" s="27" t="str">
        <f>Table43[[#This Row],[Nama Jenis Kemasan]]</f>
        <v>JRG</v>
      </c>
      <c r="J42" s="4" t="str">
        <f>TRIM(CONCATENATE(Table43[[#This Row],[Nama            KLP]]," ",Table43[[#This Row],[Nama            Sub KLP]]))</f>
        <v>KECAP MANIS</v>
      </c>
      <c r="K42" s="4" t="str">
        <f>CONCATENATE(Table43[[#This Row],[kode  2 Digit                (hrf+No)]],Table43[[#This Row],[kode  2 Digit                (Nomor)]],Table43[[#This Row],[kode  1 Digit                (Nomor)]])</f>
        <v>A1011</v>
      </c>
      <c r="L42" s="4" t="str">
        <f>IF(AG42="",CONCATENATE(Q42,S42,U42,W42,Y42,AA42,AC42,AE42,Table43[[#This Row],[Tanda Kode Revisi]]),CONCATENATE(Q42,S42,U42,W42,Y42,AA42,AC42,AG42))</f>
        <v>A1011000102510</v>
      </c>
      <c r="M42" s="11">
        <f t="shared" si="0"/>
        <v>14</v>
      </c>
      <c r="N42" s="14" t="str">
        <f>IF(AF42&lt;&gt;"",TRIM(UPPER(CONCATENATE(P42," ",R42," ",T42," ",V42," ",X42," ",Z42," ","X"," ",Table43[[#This Row],[ISI/CTN]]," ",AF42," ",AB42," ",AD42," ",AH42))),TRIM(UPPER(CONCATENATE(P42," ",R42," ",T42," ",V42," ",X42," ",Z42," ","X"," ",Table43[[#This Row],[ISI/CTN]]," ",AB42," ",AD42," ",AH42))))</f>
        <v>ABC KECAP MANIS 25 KG X 1 JRG</v>
      </c>
      <c r="O42" s="11">
        <f t="shared" si="1"/>
        <v>29</v>
      </c>
      <c r="P42" s="4" t="s">
        <v>28</v>
      </c>
      <c r="Q42" s="7" t="s">
        <v>85</v>
      </c>
      <c r="R42" s="4" t="s">
        <v>474</v>
      </c>
      <c r="S42" s="43" t="s">
        <v>0</v>
      </c>
      <c r="T42" s="44" t="s">
        <v>475</v>
      </c>
      <c r="U42" s="7">
        <v>1</v>
      </c>
      <c r="V42" s="44"/>
      <c r="W42" s="43" t="s">
        <v>1</v>
      </c>
      <c r="Y42" s="45" t="s">
        <v>476</v>
      </c>
      <c r="Z42" s="4" t="s">
        <v>507</v>
      </c>
      <c r="AA42" s="45">
        <v>1025</v>
      </c>
      <c r="AB42" s="4" t="s">
        <v>506</v>
      </c>
      <c r="AC42" s="7" t="s">
        <v>480</v>
      </c>
      <c r="AE42" s="7">
        <v>0</v>
      </c>
      <c r="AI42" s="7" t="s">
        <v>215</v>
      </c>
      <c r="AJ42" s="7">
        <v>1</v>
      </c>
      <c r="AL42" s="40">
        <f>Table43[[#This Row],[Harga Jual Pcs GT
(-PPN)]]-(Table43[[#This Row],[Harga Jual Pcs GT
(-PPN)]]*6%)</f>
        <v>478163.5992</v>
      </c>
      <c r="AM42" s="41">
        <f>Table43[[#This Row],[Harga Beli Pcs
(-PPN)]]*Table43[[#This Row],[ISI/CTN]]</f>
        <v>478163.5992</v>
      </c>
      <c r="AN42" s="41">
        <f>Table43[[#This Row],[Harga Beli Pcs
(-PPN)]]*1.11</f>
        <v>530761.59511200001</v>
      </c>
      <c r="AO42" s="41">
        <f>Table43[[#This Row],[Harga Beli Krt
(- PPN)]]*1.11</f>
        <v>530761.59511200001</v>
      </c>
      <c r="AP42" s="41">
        <v>508684.68</v>
      </c>
      <c r="AQ42" s="41">
        <f>Table43[[#This Row],[Harga Jual Pcs GT
(-PPN)]]*Table43[[#This Row],[ISI/CTN]]</f>
        <v>508684.68</v>
      </c>
      <c r="AR42" s="41">
        <f>Table43[[#This Row],[Harga Jual Pcs GT
(-PPN)]]*1.11</f>
        <v>564639.99479999999</v>
      </c>
      <c r="AS42" s="41">
        <f>Table43[[#This Row],[Harga Jual Krt GT
(- PPN)]]*1.11</f>
        <v>564639.99479999999</v>
      </c>
      <c r="AT42" s="41">
        <v>549379.44999999995</v>
      </c>
      <c r="AU42" s="41">
        <f>(Table43[[#This Row],[Harga Jual Pcs MT
(-PPN)]]*Table43[[#This Row],[ISI/CTN]])</f>
        <v>549379.44999999995</v>
      </c>
      <c r="AV42" s="41">
        <f>Table43[[#This Row],[Harga Jual Pcs MT
(-PPN)]]*1.11</f>
        <v>609811.18949999998</v>
      </c>
      <c r="AW42" s="41">
        <f>Table43[[#This Row],[Harga Jual Pcs MT
(+PPN)]]*Table43[[#This Row],[ISI/CTN]]</f>
        <v>609811.18949999998</v>
      </c>
      <c r="AX42" s="41"/>
      <c r="AY42" s="46">
        <v>45553</v>
      </c>
      <c r="AZ42" s="54">
        <v>45553</v>
      </c>
      <c r="BA42" s="7" t="str">
        <f ca="1">IF(TODAY()-Table43[[#This Row],[Efektif
Pembuatan]]&gt;60,"Lama","Baru")</f>
        <v>Lama</v>
      </c>
      <c r="BB42" s="7" t="str">
        <f ca="1">IF(TODAY()-Table43[[#This Row],[Efektif Naik Harga]]&lt;30,"Naik","Sama")</f>
        <v>Sama</v>
      </c>
      <c r="BC42" s="7" t="s">
        <v>235</v>
      </c>
      <c r="BD42" s="7" t="str">
        <f>IF(Table43[[#This Row],[Kode BARANG Win2]]&lt;&gt;"","IDR","")</f>
        <v>IDR</v>
      </c>
      <c r="BE42" s="7" t="str">
        <f>CONCATENATE(Table43[[#This Row],[kode  1 Digit
(Nomor)]],Table43[[#This Row],[kode  4 Digit                (Nomor)]])</f>
        <v>11025</v>
      </c>
      <c r="BF42" s="7" t="str">
        <f>Table43[[#This Row],[Nama            Gramasi atau Jumlah Pack per CTN]]</f>
        <v>25 KG</v>
      </c>
      <c r="BG42" s="7" t="s">
        <v>653</v>
      </c>
      <c r="BH42" s="51" t="s">
        <v>654</v>
      </c>
      <c r="BI42" s="4" t="str">
        <f>IF(Table43[[#This Row],[SATUAN Fix Win]]&lt;&gt;"","KRT")</f>
        <v>KRT</v>
      </c>
      <c r="BJ42" s="4" t="str">
        <f>IF(Table43[[#This Row],[SATUAN Fix Win]]&lt;&gt;"","GD01")</f>
        <v>GD01</v>
      </c>
      <c r="BK42" s="4">
        <f>IF(Table43[[#This Row],[SATUAN Fix Win]]&lt;&gt;"",11611)</f>
        <v>11611</v>
      </c>
      <c r="BL42" s="4">
        <f>IF(Table43[[#This Row],[SATUAN Fix Win]]&lt;&gt;"",11612)</f>
        <v>11612</v>
      </c>
      <c r="BM42" s="47" t="s">
        <v>655</v>
      </c>
      <c r="BN42" s="4">
        <f>IF(Table43[[#This Row],[SATUAN Fix Win]]&lt;&gt;"",1)</f>
        <v>1</v>
      </c>
      <c r="BO42" s="4" t="s">
        <v>656</v>
      </c>
      <c r="BP42" s="4">
        <f>IFERROR(VLOOKUP(Table43[[#This Row],[Kode Pcpl]],'[1]HEINZ ABC'!$A$4:$E$112,8,0),0)</f>
        <v>0</v>
      </c>
      <c r="BQ42" s="55">
        <f>Table43[[#This Row],[Harga Jual Pcs GT
(-PPN)]]-Table43[[#This Row],[HARGA NAIK GT]]</f>
        <v>508684.68</v>
      </c>
      <c r="BR42" s="4">
        <f>IF(Table43[[#This Row],[HARGA NAIK GT]]=0,Table43[[#This Row],[Harga Jual Pcs GT
(-PPN)]],Table43[[#This Row],[HARGA NAIK GT]])</f>
        <v>508684.68</v>
      </c>
      <c r="BS42">
        <f>IFERROR(VLOOKUP(Table43[[#This Row],[Kode Pcpl]],'[1]HEINZ ABC'!$A$4:$E$112,8,0),0)</f>
        <v>0</v>
      </c>
      <c r="BT42" s="58">
        <f>Table43[[#This Row],[Harga Jual Pcs GT
(-PPN)]]-BS42</f>
        <v>508684.68</v>
      </c>
      <c r="BU42">
        <f>IF(BS42=0,Table43[[#This Row],[Harga Jual Pcs MT
(-PPN)]])</f>
        <v>549379.44999999995</v>
      </c>
      <c r="BV42">
        <f>IFERROR(VLOOKUP(Table43[[#This Row],[Kode Pcpl]],[2]Pricelist!$A$4:$K$112,11,0),0)</f>
        <v>0</v>
      </c>
      <c r="BW42">
        <f>IFERROR(VLOOKUP(Table43[[#This Row],[Kode BARANG Win2]],[3]!RECKITT211216[[KDBRG]:[HRG_JL_PCS-PPN]],11,0),0)</f>
        <v>0</v>
      </c>
      <c r="BX42">
        <f t="shared" si="2"/>
        <v>0</v>
      </c>
    </row>
    <row r="43" spans="1:76" s="76" customFormat="1" x14ac:dyDescent="0.25">
      <c r="A43" s="4" t="str">
        <f>CONCATENATE(Table43[[#This Row],[Kode BARANG Win2]],Table43[[#This Row],[No. Urut
Item Sama]])</f>
        <v>A10110001025102</v>
      </c>
      <c r="B43" s="7">
        <v>2</v>
      </c>
      <c r="C43" s="4">
        <v>34</v>
      </c>
      <c r="D43" s="27">
        <v>100228</v>
      </c>
      <c r="E43" s="27" t="s">
        <v>237</v>
      </c>
      <c r="F43" s="27" t="s">
        <v>265</v>
      </c>
      <c r="G43" s="27">
        <v>1</v>
      </c>
      <c r="H43" s="42" t="s">
        <v>2658</v>
      </c>
      <c r="I43" s="27" t="str">
        <f>Table43[[#This Row],[Nama Jenis Kemasan]]</f>
        <v>JRG</v>
      </c>
      <c r="J43" s="4" t="str">
        <f>TRIM(CONCATENATE(Table43[[#This Row],[Nama            KLP]]," ",Table43[[#This Row],[Nama            Sub KLP]]))</f>
        <v>KECAP MANIS</v>
      </c>
      <c r="K43" s="4" t="str">
        <f>CONCATENATE(Table43[[#This Row],[kode  2 Digit                (hrf+No)]],Table43[[#This Row],[kode  2 Digit                (Nomor)]],Table43[[#This Row],[kode  1 Digit                (Nomor)]])</f>
        <v>A1011</v>
      </c>
      <c r="L43" s="4" t="str">
        <f>IF(AG43="",CONCATENATE(Q43,S43,U43,W43,Y43,AA43,AC43,AE43,Table43[[#This Row],[Tanda Kode Revisi]]),CONCATENATE(Q43,S43,U43,W43,Y43,AA43,AC43,AG43))</f>
        <v>A1011000102510</v>
      </c>
      <c r="M43" s="11">
        <f t="shared" si="0"/>
        <v>14</v>
      </c>
      <c r="N43" s="14" t="str">
        <f>IF(AF43&lt;&gt;"",TRIM(UPPER(CONCATENATE(P43," ",R43," ",T43," ",V43," ",X43," ",Z43," ","X"," ",Table43[[#This Row],[ISI/CTN]]," ",AF43," ",AB43," ",AD43," ",AH43))),TRIM(UPPER(CONCATENATE(P43," ",R43," ",T43," ",V43," ",X43," ",Z43," ","X"," ",Table43[[#This Row],[ISI/CTN]]," ",AB43," ",AD43," ",AH43))))</f>
        <v>ABC KECAP MANIS 25 KG X 1 JRG</v>
      </c>
      <c r="O43" s="11">
        <f t="shared" si="1"/>
        <v>29</v>
      </c>
      <c r="P43" s="4" t="s">
        <v>28</v>
      </c>
      <c r="Q43" s="7" t="s">
        <v>85</v>
      </c>
      <c r="R43" s="4" t="s">
        <v>474</v>
      </c>
      <c r="S43" s="43" t="s">
        <v>0</v>
      </c>
      <c r="T43" s="44" t="s">
        <v>475</v>
      </c>
      <c r="U43" s="7">
        <v>1</v>
      </c>
      <c r="V43" s="44"/>
      <c r="W43" s="43" t="s">
        <v>1</v>
      </c>
      <c r="X43" s="4"/>
      <c r="Y43" s="45" t="s">
        <v>476</v>
      </c>
      <c r="Z43" s="4" t="s">
        <v>507</v>
      </c>
      <c r="AA43" s="45">
        <v>1025</v>
      </c>
      <c r="AB43" s="4" t="s">
        <v>506</v>
      </c>
      <c r="AC43" s="7" t="s">
        <v>480</v>
      </c>
      <c r="AD43" s="4"/>
      <c r="AE43" s="7">
        <v>0</v>
      </c>
      <c r="AF43" s="7"/>
      <c r="AG43" s="7"/>
      <c r="AH43" s="7"/>
      <c r="AI43" s="7" t="s">
        <v>215</v>
      </c>
      <c r="AJ43" s="7">
        <v>1</v>
      </c>
      <c r="AK43" s="7"/>
      <c r="AL43" s="40">
        <f>Table43[[#This Row],[Harga Jual Pcs GT
(-PPN)]]-(Table43[[#This Row],[Harga Jual Pcs GT
(-PPN)]]*6%)</f>
        <v>478163.5992</v>
      </c>
      <c r="AM43" s="41">
        <f>Table43[[#This Row],[Harga Beli Pcs
(-PPN)]]*Table43[[#This Row],[ISI/CTN]]</f>
        <v>478163.5992</v>
      </c>
      <c r="AN43" s="41">
        <f>Table43[[#This Row],[Harga Beli Pcs
(-PPN)]]*1.11</f>
        <v>530761.59511200001</v>
      </c>
      <c r="AO43" s="41">
        <f>Table43[[#This Row],[Harga Beli Krt
(- PPN)]]*1.11</f>
        <v>530761.59511200001</v>
      </c>
      <c r="AP43" s="41">
        <v>508684.68</v>
      </c>
      <c r="AQ43" s="41">
        <f>Table43[[#This Row],[Harga Jual Pcs GT
(-PPN)]]*Table43[[#This Row],[ISI/CTN]]</f>
        <v>508684.68</v>
      </c>
      <c r="AR43" s="41">
        <f>Table43[[#This Row],[Harga Jual Pcs GT
(-PPN)]]*1.11</f>
        <v>564639.99479999999</v>
      </c>
      <c r="AS43" s="41">
        <f>Table43[[#This Row],[Harga Jual Krt GT
(- PPN)]]*1.11</f>
        <v>564639.99479999999</v>
      </c>
      <c r="AT43" s="41">
        <v>549379.44999999995</v>
      </c>
      <c r="AU43" s="41">
        <f>(Table43[[#This Row],[Harga Jual Pcs MT
(-PPN)]]*Table43[[#This Row],[ISI/CTN]])</f>
        <v>549379.44999999995</v>
      </c>
      <c r="AV43" s="41">
        <f>Table43[[#This Row],[Harga Jual Pcs MT
(-PPN)]]*1.11</f>
        <v>609811.18949999998</v>
      </c>
      <c r="AW43" s="41">
        <f>Table43[[#This Row],[Harga Jual Pcs MT
(+PPN)]]*Table43[[#This Row],[ISI/CTN]]</f>
        <v>609811.18949999998</v>
      </c>
      <c r="AX43" s="41"/>
      <c r="AY43" s="46"/>
      <c r="AZ43" s="54">
        <v>45553</v>
      </c>
      <c r="BA43" s="7" t="str">
        <f ca="1">IF(TODAY()-Table43[[#This Row],[Efektif
Pembuatan]]&gt;60,"Lama","Baru")</f>
        <v>Lama</v>
      </c>
      <c r="BB43" s="7" t="str">
        <f ca="1">IF(TODAY()-Table43[[#This Row],[Efektif Naik Harga]]&lt;30,"Naik","Sama")</f>
        <v>Sama</v>
      </c>
      <c r="BC43" s="7" t="s">
        <v>235</v>
      </c>
      <c r="BD43" s="7" t="str">
        <f>IF(Table43[[#This Row],[Kode BARANG Win2]]&lt;&gt;"","IDR","")</f>
        <v>IDR</v>
      </c>
      <c r="BE43" s="7" t="str">
        <f>CONCATENATE(Table43[[#This Row],[kode  1 Digit
(Nomor)]],Table43[[#This Row],[kode  4 Digit                (Nomor)]])</f>
        <v>11025</v>
      </c>
      <c r="BF43" s="7" t="str">
        <f>Table43[[#This Row],[Nama            Gramasi atau Jumlah Pack per CTN]]</f>
        <v>25 KG</v>
      </c>
      <c r="BG43" s="7" t="s">
        <v>653</v>
      </c>
      <c r="BH43" s="51" t="s">
        <v>654</v>
      </c>
      <c r="BI43" s="4" t="str">
        <f>IF(Table43[[#This Row],[SATUAN Fix Win]]&lt;&gt;"","KRT")</f>
        <v>KRT</v>
      </c>
      <c r="BJ43" s="4" t="str">
        <f>IF(Table43[[#This Row],[SATUAN Fix Win]]&lt;&gt;"","GD01")</f>
        <v>GD01</v>
      </c>
      <c r="BK43" s="4">
        <f>IF(Table43[[#This Row],[SATUAN Fix Win]]&lt;&gt;"",11611)</f>
        <v>11611</v>
      </c>
      <c r="BL43" s="4">
        <f>IF(Table43[[#This Row],[SATUAN Fix Win]]&lt;&gt;"",11612)</f>
        <v>11612</v>
      </c>
      <c r="BM43" s="47" t="s">
        <v>655</v>
      </c>
      <c r="BN43" s="4">
        <f>IF(Table43[[#This Row],[SATUAN Fix Win]]&lt;&gt;"",1)</f>
        <v>1</v>
      </c>
      <c r="BO43" s="4" t="s">
        <v>656</v>
      </c>
      <c r="BP43" s="4">
        <f>IFERROR(VLOOKUP(Table43[[#This Row],[Kode Pcpl]],'[1]HEINZ ABC'!$A$4:$E$112,8,0),0)</f>
        <v>0</v>
      </c>
      <c r="BQ43" s="55">
        <f>Table43[[#This Row],[Harga Jual Pcs GT
(-PPN)]]-Table43[[#This Row],[HARGA NAIK GT]]</f>
        <v>508684.68</v>
      </c>
      <c r="BR43" s="4">
        <f>IF(Table43[[#This Row],[HARGA NAIK GT]]=0,Table43[[#This Row],[Harga Jual Pcs GT
(-PPN)]],Table43[[#This Row],[HARGA NAIK GT]])</f>
        <v>508684.68</v>
      </c>
      <c r="BT43" s="77"/>
    </row>
    <row r="44" spans="1:76" x14ac:dyDescent="0.25">
      <c r="A44" s="4" t="str">
        <f>CONCATENATE(Table43[[#This Row],[Kode BARANG Win2]],Table43[[#This Row],[No. Urut
Item Sama]])</f>
        <v>A10110010520101</v>
      </c>
      <c r="B44" s="7">
        <v>1</v>
      </c>
      <c r="C44" s="4">
        <v>35</v>
      </c>
      <c r="D44" s="27">
        <v>100156</v>
      </c>
      <c r="E44" s="27" t="s">
        <v>237</v>
      </c>
      <c r="F44" s="27" t="s">
        <v>266</v>
      </c>
      <c r="G44" s="27">
        <v>12</v>
      </c>
      <c r="H44" s="42" t="s">
        <v>2810</v>
      </c>
      <c r="I44" s="27" t="str">
        <f>Table43[[#This Row],[Nama Jenis Kemasan]]</f>
        <v>PCH</v>
      </c>
      <c r="J44" s="4" t="str">
        <f>TRIM(CONCATENATE(Table43[[#This Row],[Nama            KLP]]," ",Table43[[#This Row],[Nama            Sub KLP]]))</f>
        <v>KECAP MANIS</v>
      </c>
      <c r="K44" s="4" t="str">
        <f>CONCATENATE(Table43[[#This Row],[kode  2 Digit                (hrf+No)]],Table43[[#This Row],[kode  2 Digit                (Nomor)]],Table43[[#This Row],[kode  1 Digit                (Nomor)]])</f>
        <v>A1011</v>
      </c>
      <c r="L44" s="4" t="str">
        <f>IF(AG44="",CONCATENATE(Q44,S44,U44,W44,Y44,AA44,AC44,AE44,Table43[[#This Row],[Tanda Kode Revisi]]),CONCATENATE(Q44,S44,U44,W44,Y44,AA44,AC44,AG44))</f>
        <v>A1011001052010</v>
      </c>
      <c r="M44" s="11">
        <f t="shared" si="0"/>
        <v>14</v>
      </c>
      <c r="N44" s="14" t="str">
        <f>IF(AF44&lt;&gt;"",TRIM(UPPER(CONCATENATE(P44," ",R44," ",T44," ",V44," ",X44," ",Z44," ","X"," ",Table43[[#This Row],[ISI/CTN]]," ",AF44," ",AB44," ",AD44," ",AH44))),TRIM(UPPER(CONCATENATE(P44," ",R44," ",T44," ",V44," ",X44," ",Z44," ","X"," ",Table43[[#This Row],[ISI/CTN]]," ",AB44," ",AD44," ",AH44))))</f>
        <v>ABC KECAP MANIS SOTO 520 ML X 12 PCH</v>
      </c>
      <c r="O44" s="11">
        <f t="shared" si="1"/>
        <v>36</v>
      </c>
      <c r="P44" s="4" t="s">
        <v>28</v>
      </c>
      <c r="Q44" s="7" t="s">
        <v>85</v>
      </c>
      <c r="R44" s="4" t="s">
        <v>474</v>
      </c>
      <c r="S44" s="43" t="s">
        <v>0</v>
      </c>
      <c r="T44" s="44" t="s">
        <v>475</v>
      </c>
      <c r="U44" s="7">
        <v>1</v>
      </c>
      <c r="V44" s="44"/>
      <c r="W44" s="43" t="s">
        <v>1</v>
      </c>
      <c r="X44" s="4" t="s">
        <v>508</v>
      </c>
      <c r="Y44" s="45" t="s">
        <v>0</v>
      </c>
      <c r="Z44" s="4" t="s">
        <v>509</v>
      </c>
      <c r="AA44" s="45" t="s">
        <v>510</v>
      </c>
      <c r="AB44" s="4" t="s">
        <v>479</v>
      </c>
      <c r="AC44" s="7" t="s">
        <v>480</v>
      </c>
      <c r="AE44" s="7" t="s">
        <v>1</v>
      </c>
      <c r="AI44" s="7" t="s">
        <v>214</v>
      </c>
      <c r="AJ44" s="7">
        <v>2</v>
      </c>
      <c r="AL44" s="40">
        <f>Table43[[#This Row],[Harga Jual Pcs GT
(-PPN)]]-(Table43[[#This Row],[Harga Jual Pcs GT
(-PPN)]]*6%)</f>
        <v>12770.454600000001</v>
      </c>
      <c r="AM44" s="41">
        <f>Table43[[#This Row],[Harga Beli Pcs
(-PPN)]]*Table43[[#This Row],[ISI/CTN]]</f>
        <v>153245.45520000003</v>
      </c>
      <c r="AN44" s="41">
        <f>Table43[[#This Row],[Harga Beli Pcs
(-PPN)]]*1.11</f>
        <v>14175.204606000003</v>
      </c>
      <c r="AO44" s="41">
        <f>Table43[[#This Row],[Harga Beli Krt
(- PPN)]]*1.11</f>
        <v>170102.45527200005</v>
      </c>
      <c r="AP44" s="41">
        <v>13585.59</v>
      </c>
      <c r="AQ44" s="41">
        <f>Table43[[#This Row],[Harga Jual Pcs GT
(-PPN)]]*Table43[[#This Row],[ISI/CTN]]</f>
        <v>163027.08000000002</v>
      </c>
      <c r="AR44" s="41">
        <f>Table43[[#This Row],[Harga Jual Pcs GT
(-PPN)]]*1.11</f>
        <v>15080.004900000002</v>
      </c>
      <c r="AS44" s="41">
        <f>Table43[[#This Row],[Harga Jual Krt GT
(- PPN)]]*1.11</f>
        <v>180960.05880000003</v>
      </c>
      <c r="AT44" s="41">
        <v>14672.44</v>
      </c>
      <c r="AU44" s="41">
        <f>(Table43[[#This Row],[Harga Jual Pcs MT
(-PPN)]]*Table43[[#This Row],[ISI/CTN]])</f>
        <v>176069.28</v>
      </c>
      <c r="AV44" s="41">
        <f>Table43[[#This Row],[Harga Jual Pcs MT
(-PPN)]]*1.11</f>
        <v>16286.408400000002</v>
      </c>
      <c r="AW44" s="41">
        <f>Table43[[#This Row],[Harga Jual Pcs MT
(+PPN)]]*Table43[[#This Row],[ISI/CTN]]</f>
        <v>195436.90080000003</v>
      </c>
      <c r="AX44" s="41"/>
      <c r="AY44" s="46">
        <v>45553</v>
      </c>
      <c r="AZ44" s="54">
        <v>45553</v>
      </c>
      <c r="BA44" s="7" t="str">
        <f ca="1">IF(TODAY()-Table43[[#This Row],[Efektif
Pembuatan]]&gt;60,"Lama","Baru")</f>
        <v>Lama</v>
      </c>
      <c r="BB44" s="7" t="str">
        <f ca="1">IF(TODAY()-Table43[[#This Row],[Efektif Naik Harga]]&lt;30,"Naik","Sama")</f>
        <v>Sama</v>
      </c>
      <c r="BC44" s="7" t="s">
        <v>235</v>
      </c>
      <c r="BD44" s="7" t="str">
        <f>IF(Table43[[#This Row],[Kode BARANG Win2]]&lt;&gt;"","IDR","")</f>
        <v>IDR</v>
      </c>
      <c r="BE44" s="7" t="str">
        <f>CONCATENATE(Table43[[#This Row],[kode  1 Digit
(Nomor)]],Table43[[#This Row],[kode  4 Digit                (Nomor)]])</f>
        <v>20520</v>
      </c>
      <c r="BF44" s="7" t="str">
        <f>Table43[[#This Row],[Nama            Gramasi atau Jumlah Pack per CTN]]</f>
        <v>520 ML</v>
      </c>
      <c r="BG44" s="7" t="s">
        <v>653</v>
      </c>
      <c r="BH44" s="51" t="s">
        <v>654</v>
      </c>
      <c r="BI44" s="4" t="str">
        <f>IF(Table43[[#This Row],[SATUAN Fix Win]]&lt;&gt;"","KRT")</f>
        <v>KRT</v>
      </c>
      <c r="BJ44" s="4" t="str">
        <f>IF(Table43[[#This Row],[SATUAN Fix Win]]&lt;&gt;"","GD01")</f>
        <v>GD01</v>
      </c>
      <c r="BK44" s="4">
        <f>IF(Table43[[#This Row],[SATUAN Fix Win]]&lt;&gt;"",11611)</f>
        <v>11611</v>
      </c>
      <c r="BL44" s="4">
        <f>IF(Table43[[#This Row],[SATUAN Fix Win]]&lt;&gt;"",11612)</f>
        <v>11612</v>
      </c>
      <c r="BM44" s="47" t="s">
        <v>655</v>
      </c>
      <c r="BN44" s="4">
        <f>IF(Table43[[#This Row],[SATUAN Fix Win]]&lt;&gt;"",1)</f>
        <v>1</v>
      </c>
      <c r="BO44" s="4" t="s">
        <v>656</v>
      </c>
      <c r="BP44" s="4">
        <f>IFERROR(VLOOKUP(Table43[[#This Row],[Kode Pcpl]],'[1]HEINZ ABC'!$A$4:$E$112,8,0),0)</f>
        <v>0</v>
      </c>
      <c r="BQ44" s="55">
        <f>Table43[[#This Row],[Harga Jual Pcs GT
(-PPN)]]-Table43[[#This Row],[HARGA NAIK GT]]</f>
        <v>13585.59</v>
      </c>
      <c r="BR44" s="4">
        <f>IF(Table43[[#This Row],[HARGA NAIK GT]]=0,Table43[[#This Row],[Harga Jual Pcs GT
(-PPN)]],Table43[[#This Row],[HARGA NAIK GT]])</f>
        <v>13585.59</v>
      </c>
      <c r="BS44">
        <f>IFERROR(VLOOKUP(Table43[[#This Row],[Kode Pcpl]],'[1]HEINZ ABC'!$A$4:$E$112,8,0),0)</f>
        <v>0</v>
      </c>
      <c r="BT44" s="58">
        <f>Table43[[#This Row],[Harga Jual Pcs GT
(-PPN)]]-BS44</f>
        <v>13585.59</v>
      </c>
      <c r="BU44">
        <f>IF(BS44=0,Table43[[#This Row],[Harga Jual Pcs MT
(-PPN)]])</f>
        <v>14672.44</v>
      </c>
      <c r="BV44">
        <f>IFERROR(VLOOKUP(Table43[[#This Row],[Kode Pcpl]],[2]Pricelist!$A$4:$K$112,11,0),0)</f>
        <v>0</v>
      </c>
      <c r="BW44">
        <f>IFERROR(VLOOKUP(Table43[[#This Row],[Kode BARANG Win2]],[3]!RECKITT211216[[KDBRG]:[HRG_JL_PCS-PPN]],11,0),0)</f>
        <v>0</v>
      </c>
      <c r="BX44">
        <f t="shared" si="2"/>
        <v>0</v>
      </c>
    </row>
    <row r="45" spans="1:76" x14ac:dyDescent="0.25">
      <c r="A45" s="4" t="str">
        <f>CONCATENATE(Table43[[#This Row],[Kode BARANG Win2]],Table43[[#This Row],[No. Urut
Item Sama]])</f>
        <v>A1011001052010</v>
      </c>
      <c r="B45" s="7"/>
      <c r="D45" s="27"/>
      <c r="E45" s="27"/>
      <c r="F45" s="27" t="s">
        <v>266</v>
      </c>
      <c r="G45" s="27">
        <v>12</v>
      </c>
      <c r="H45" s="42">
        <v>7000003778</v>
      </c>
      <c r="I45" s="27" t="str">
        <f>Table43[[#This Row],[Nama Jenis Kemasan]]</f>
        <v>PCH</v>
      </c>
      <c r="J45" s="4" t="str">
        <f>TRIM(CONCATENATE(Table43[[#This Row],[Nama            KLP]]," ",Table43[[#This Row],[Nama            Sub KLP]]))</f>
        <v>KECAP MANIS</v>
      </c>
      <c r="K45" s="4" t="str">
        <f>CONCATENATE(Table43[[#This Row],[kode  2 Digit                (hrf+No)]],Table43[[#This Row],[kode  2 Digit                (Nomor)]],Table43[[#This Row],[kode  1 Digit                (Nomor)]])</f>
        <v>A1011</v>
      </c>
      <c r="L45" s="4" t="str">
        <f>IF(AG45="",CONCATENATE(Q45,S45,U45,W45,Y45,AA45,AC45,AE45,Table43[[#This Row],[Tanda Kode Revisi]]),CONCATENATE(Q45,S45,U45,W45,Y45,AA45,AC45,AG45))</f>
        <v>A1011001052010</v>
      </c>
      <c r="M45" s="11">
        <f>LEN(L45)</f>
        <v>14</v>
      </c>
      <c r="N45" s="14" t="str">
        <f>IF(AF45&lt;&gt;"",TRIM(UPPER(CONCATENATE(P45," ",R45," ",T45," ",V45," ",X45," ",Z45," ","X"," ",Table43[[#This Row],[ISI/CTN]]," ",AF45," ",AB45," ",AD45," ",AH45))),TRIM(UPPER(CONCATENATE(P45," ",R45," ",T45," ",V45," ",X45," ",Z45," ","X"," ",Table43[[#This Row],[ISI/CTN]]," ",AB45," ",AD45," ",AH45))))</f>
        <v>ABC KECAP MANIS SOTO 520 ML X 12 PCH</v>
      </c>
      <c r="O45" s="11">
        <f>LEN(N45)</f>
        <v>36</v>
      </c>
      <c r="P45" s="4" t="s">
        <v>28</v>
      </c>
      <c r="Q45" s="7" t="s">
        <v>85</v>
      </c>
      <c r="R45" s="4" t="s">
        <v>474</v>
      </c>
      <c r="S45" s="43" t="s">
        <v>0</v>
      </c>
      <c r="T45" s="44" t="s">
        <v>475</v>
      </c>
      <c r="U45" s="7">
        <v>1</v>
      </c>
      <c r="V45" s="44"/>
      <c r="W45" s="43" t="s">
        <v>1</v>
      </c>
      <c r="X45" s="4" t="s">
        <v>508</v>
      </c>
      <c r="Y45" s="45" t="s">
        <v>0</v>
      </c>
      <c r="Z45" s="4" t="s">
        <v>509</v>
      </c>
      <c r="AA45" s="45" t="s">
        <v>510</v>
      </c>
      <c r="AB45" s="4" t="s">
        <v>479</v>
      </c>
      <c r="AC45" s="7" t="s">
        <v>480</v>
      </c>
      <c r="AE45" s="7" t="s">
        <v>1</v>
      </c>
      <c r="AL45" s="40">
        <f>Table43[[#This Row],[Harga Jual Pcs GT
(-PPN)]]-(Table43[[#This Row],[Harga Jual Pcs GT
(-PPN)]]*6%)</f>
        <v>0</v>
      </c>
      <c r="AM45" s="41">
        <f>Table43[[#This Row],[Harga Beli Pcs
(-PPN)]]*Table43[[#This Row],[ISI/CTN]]</f>
        <v>0</v>
      </c>
      <c r="AN45" s="41">
        <f>Table43[[#This Row],[Harga Beli Pcs
(-PPN)]]*1.11</f>
        <v>0</v>
      </c>
      <c r="AO45" s="41">
        <f>Table43[[#This Row],[Harga Beli Krt
(- PPN)]]*1.11</f>
        <v>0</v>
      </c>
      <c r="AP45" s="41"/>
      <c r="AQ45" s="41">
        <f>Table43[[#This Row],[Harga Jual Pcs GT
(-PPN)]]*Table43[[#This Row],[ISI/CTN]]</f>
        <v>0</v>
      </c>
      <c r="AR45" s="41">
        <f>Table43[[#This Row],[Harga Jual Pcs GT
(-PPN)]]*1.11</f>
        <v>0</v>
      </c>
      <c r="AS45" s="41">
        <f>Table43[[#This Row],[Harga Jual Krt GT
(- PPN)]]*1.11</f>
        <v>0</v>
      </c>
      <c r="AT45" s="41"/>
      <c r="AU45" s="41">
        <f>(Table43[[#This Row],[Harga Jual Pcs MT
(-PPN)]]*Table43[[#This Row],[ISI/CTN]])</f>
        <v>0</v>
      </c>
      <c r="AV45" s="41">
        <f>Table43[[#This Row],[Harga Jual Pcs MT
(-PPN)]]*1.11</f>
        <v>0</v>
      </c>
      <c r="AW45" s="41">
        <f>Table43[[#This Row],[Harga Jual Pcs MT
(+PPN)]]*Table43[[#This Row],[ISI/CTN]]</f>
        <v>0</v>
      </c>
      <c r="AX45" s="41"/>
      <c r="AY45" s="46"/>
      <c r="AZ45" s="54"/>
      <c r="BA45" s="7" t="str">
        <f ca="1">IF(TODAY()-Table43[[#This Row],[Efektif
Pembuatan]]&gt;60,"Lama","Baru")</f>
        <v>Lama</v>
      </c>
      <c r="BB45" s="7" t="str">
        <f ca="1">IF(TODAY()-Table43[[#This Row],[Efektif Naik Harga]]&lt;30,"Naik","Sama")</f>
        <v>Sama</v>
      </c>
      <c r="BC45" s="7"/>
      <c r="BD45" s="7" t="str">
        <f>IF(Table43[[#This Row],[Kode BARANG Win2]]&lt;&gt;"","IDR","")</f>
        <v>IDR</v>
      </c>
      <c r="BE45" s="7" t="str">
        <f>CONCATENATE(Table43[[#This Row],[kode  1 Digit
(Nomor)]],Table43[[#This Row],[kode  4 Digit                (Nomor)]])</f>
        <v>0520</v>
      </c>
      <c r="BF45" s="7" t="str">
        <f>Table43[[#This Row],[Nama            Gramasi atau Jumlah Pack per CTN]]</f>
        <v>520 ML</v>
      </c>
      <c r="BG45" s="7"/>
      <c r="BH45" s="51"/>
      <c r="BI45" s="4" t="str">
        <f>IF(Table43[[#This Row],[SATUAN Fix Win]]&lt;&gt;"","KRT")</f>
        <v>KRT</v>
      </c>
      <c r="BJ45" s="4" t="str">
        <f>IF(Table43[[#This Row],[SATUAN Fix Win]]&lt;&gt;"","GD01")</f>
        <v>GD01</v>
      </c>
      <c r="BK45" s="4">
        <f>IF(Table43[[#This Row],[SATUAN Fix Win]]&lt;&gt;"",11611)</f>
        <v>11611</v>
      </c>
      <c r="BL45" s="4">
        <f>IF(Table43[[#This Row],[SATUAN Fix Win]]&lt;&gt;"",11612)</f>
        <v>11612</v>
      </c>
      <c r="BM45" s="47"/>
      <c r="BN45" s="4">
        <f>IF(Table43[[#This Row],[SATUAN Fix Win]]&lt;&gt;"",1)</f>
        <v>1</v>
      </c>
      <c r="BP45" s="4">
        <f>IFERROR(VLOOKUP(Table43[[#This Row],[Kode Pcpl]],'[1]HEINZ ABC'!$A$4:$E$112,8,0),0)</f>
        <v>0</v>
      </c>
      <c r="BQ45" s="55">
        <f>Table43[[#This Row],[Harga Jual Pcs GT
(-PPN)]]-Table43[[#This Row],[HARGA NAIK GT]]</f>
        <v>0</v>
      </c>
      <c r="BR45" s="4">
        <f>IF(Table43[[#This Row],[HARGA NAIK GT]]=0,Table43[[#This Row],[Harga Jual Pcs GT
(-PPN)]],Table43[[#This Row],[HARGA NAIK GT]])</f>
        <v>0</v>
      </c>
      <c r="BT45" s="58"/>
    </row>
    <row r="46" spans="1:76" x14ac:dyDescent="0.25">
      <c r="A46" s="4" t="str">
        <f>CONCATENATE(Table43[[#This Row],[Kode BARANG Win2]],Table43[[#This Row],[No. Urut
Item Sama]])</f>
        <v>A10110010620101</v>
      </c>
      <c r="B46" s="7">
        <v>1</v>
      </c>
      <c r="C46" s="4">
        <v>36</v>
      </c>
      <c r="D46" s="27">
        <v>100191</v>
      </c>
      <c r="E46" s="27" t="s">
        <v>237</v>
      </c>
      <c r="F46" s="27" t="s">
        <v>267</v>
      </c>
      <c r="G46" s="27">
        <v>12</v>
      </c>
      <c r="H46" s="42" t="s">
        <v>2809</v>
      </c>
      <c r="I46" s="27" t="str">
        <f>Table43[[#This Row],[Nama Jenis Kemasan]]</f>
        <v>BTL</v>
      </c>
      <c r="J46" s="4" t="str">
        <f>TRIM(CONCATENATE(Table43[[#This Row],[Nama            KLP]]," ",Table43[[#This Row],[Nama            Sub KLP]]))</f>
        <v>KECAP MANIS</v>
      </c>
      <c r="K46" s="4" t="str">
        <f>CONCATENATE(Table43[[#This Row],[kode  2 Digit                (hrf+No)]],Table43[[#This Row],[kode  2 Digit                (Nomor)]],Table43[[#This Row],[kode  1 Digit                (Nomor)]])</f>
        <v>A1011</v>
      </c>
      <c r="L46" s="4" t="str">
        <f>IF(AG46="",CONCATENATE(Q46,S46,U46,W46,Y46,AA46,AC46,AE46,Table43[[#This Row],[Tanda Kode Revisi]]),CONCATENATE(Q46,S46,U46,W46,Y46,AA46,AC46,AG46))</f>
        <v>A1011001062010</v>
      </c>
      <c r="M46" s="11">
        <f t="shared" si="0"/>
        <v>14</v>
      </c>
      <c r="N46" s="14" t="str">
        <f>IF(AF46&lt;&gt;"",TRIM(UPPER(CONCATENATE(P46," ",R46," ",T46," ",V46," ",X46," ",Z46," ","X"," ",Table43[[#This Row],[ISI/CTN]]," ",AF46," ",AB46," ",AD46," ",AH46))),TRIM(UPPER(CONCATENATE(P46," ",R46," ",T46," ",V46," ",X46," ",Z46," ","X"," ",Table43[[#This Row],[ISI/CTN]]," ",AB46," ",AD46," ",AH46))))</f>
        <v>ABC KECAP MANIS SOTO 620 ML X 12 BTL</v>
      </c>
      <c r="O46" s="11">
        <f t="shared" si="1"/>
        <v>36</v>
      </c>
      <c r="P46" s="4" t="s">
        <v>28</v>
      </c>
      <c r="Q46" s="7" t="s">
        <v>85</v>
      </c>
      <c r="R46" s="4" t="s">
        <v>474</v>
      </c>
      <c r="S46" s="43" t="s">
        <v>0</v>
      </c>
      <c r="T46" s="44" t="s">
        <v>475</v>
      </c>
      <c r="U46" s="7">
        <v>1</v>
      </c>
      <c r="V46" s="44"/>
      <c r="W46" s="43" t="s">
        <v>1</v>
      </c>
      <c r="X46" s="4" t="s">
        <v>508</v>
      </c>
      <c r="Y46" s="45" t="s">
        <v>0</v>
      </c>
      <c r="Z46" s="4" t="s">
        <v>498</v>
      </c>
      <c r="AA46" s="45" t="s">
        <v>499</v>
      </c>
      <c r="AB46" s="4" t="s">
        <v>486</v>
      </c>
      <c r="AC46" s="7" t="s">
        <v>480</v>
      </c>
      <c r="AE46" s="7">
        <v>0</v>
      </c>
      <c r="AI46" s="7" t="s">
        <v>214</v>
      </c>
      <c r="AJ46" s="7">
        <v>2</v>
      </c>
      <c r="AL46" s="40">
        <f>Table43[[#This Row],[Harga Jual Pcs GT
(-PPN)]]-(Table43[[#This Row],[Harga Jual Pcs GT
(-PPN)]]*6%)</f>
        <v>17445.046400000003</v>
      </c>
      <c r="AM46" s="41">
        <f>Table43[[#This Row],[Harga Beli Pcs
(-PPN)]]*Table43[[#This Row],[ISI/CTN]]</f>
        <v>209340.55680000002</v>
      </c>
      <c r="AN46" s="41">
        <f>Table43[[#This Row],[Harga Beli Pcs
(-PPN)]]*1.11</f>
        <v>19364.001504000003</v>
      </c>
      <c r="AO46" s="41">
        <f>Table43[[#This Row],[Harga Beli Krt
(- PPN)]]*1.11</f>
        <v>232368.01804800006</v>
      </c>
      <c r="AP46" s="41">
        <v>18558.560000000001</v>
      </c>
      <c r="AQ46" s="41">
        <f>Table43[[#This Row],[Harga Jual Pcs GT
(-PPN)]]*Table43[[#This Row],[ISI/CTN]]</f>
        <v>222702.72000000003</v>
      </c>
      <c r="AR46" s="41">
        <f>Table43[[#This Row],[Harga Jual Pcs GT
(-PPN)]]*1.11</f>
        <v>20600.001600000003</v>
      </c>
      <c r="AS46" s="41">
        <f>Table43[[#This Row],[Harga Jual Krt GT
(- PPN)]]*1.11</f>
        <v>247200.01920000007</v>
      </c>
      <c r="AT46" s="41">
        <v>20043</v>
      </c>
      <c r="AU46" s="41">
        <f>(Table43[[#This Row],[Harga Jual Pcs MT
(-PPN)]]*Table43[[#This Row],[ISI/CTN]])</f>
        <v>240516</v>
      </c>
      <c r="AV46" s="41">
        <f>Table43[[#This Row],[Harga Jual Pcs MT
(-PPN)]]*1.11</f>
        <v>22247.730000000003</v>
      </c>
      <c r="AW46" s="41">
        <f>Table43[[#This Row],[Harga Jual Pcs MT
(+PPN)]]*Table43[[#This Row],[ISI/CTN]]</f>
        <v>266972.76</v>
      </c>
      <c r="AX46" s="41"/>
      <c r="AY46" s="46">
        <v>45553</v>
      </c>
      <c r="AZ46" s="54">
        <v>45553</v>
      </c>
      <c r="BA46" s="7" t="str">
        <f ca="1">IF(TODAY()-Table43[[#This Row],[Efektif
Pembuatan]]&gt;60,"Lama","Baru")</f>
        <v>Lama</v>
      </c>
      <c r="BB46" s="7" t="str">
        <f ca="1">IF(TODAY()-Table43[[#This Row],[Efektif Naik Harga]]&lt;30,"Naik","Sama")</f>
        <v>Sama</v>
      </c>
      <c r="BC46" s="7" t="s">
        <v>235</v>
      </c>
      <c r="BD46" s="7" t="str">
        <f>IF(Table43[[#This Row],[Kode BARANG Win2]]&lt;&gt;"","IDR","")</f>
        <v>IDR</v>
      </c>
      <c r="BE46" s="7" t="str">
        <f>CONCATENATE(Table43[[#This Row],[kode  1 Digit
(Nomor)]],Table43[[#This Row],[kode  4 Digit                (Nomor)]])</f>
        <v>20620</v>
      </c>
      <c r="BF46" s="7" t="str">
        <f>Table43[[#This Row],[Nama            Gramasi atau Jumlah Pack per CTN]]</f>
        <v>620 ML</v>
      </c>
      <c r="BG46" s="7" t="s">
        <v>653</v>
      </c>
      <c r="BH46" s="51" t="s">
        <v>654</v>
      </c>
      <c r="BI46" s="4" t="str">
        <f>IF(Table43[[#This Row],[SATUAN Fix Win]]&lt;&gt;"","KRT")</f>
        <v>KRT</v>
      </c>
      <c r="BJ46" s="4" t="str">
        <f>IF(Table43[[#This Row],[SATUAN Fix Win]]&lt;&gt;"","GD01")</f>
        <v>GD01</v>
      </c>
      <c r="BK46" s="4">
        <f>IF(Table43[[#This Row],[SATUAN Fix Win]]&lt;&gt;"",11611)</f>
        <v>11611</v>
      </c>
      <c r="BL46" s="4">
        <f>IF(Table43[[#This Row],[SATUAN Fix Win]]&lt;&gt;"",11612)</f>
        <v>11612</v>
      </c>
      <c r="BM46" s="47" t="s">
        <v>655</v>
      </c>
      <c r="BN46" s="4">
        <f>IF(Table43[[#This Row],[SATUAN Fix Win]]&lt;&gt;"",1)</f>
        <v>1</v>
      </c>
      <c r="BO46" s="4" t="s">
        <v>656</v>
      </c>
      <c r="BP46" s="4">
        <f>IFERROR(VLOOKUP(Table43[[#This Row],[Kode Pcpl]],'[1]HEINZ ABC'!$A$4:$E$112,8,0),0)</f>
        <v>0</v>
      </c>
      <c r="BQ46" s="55">
        <f>Table43[[#This Row],[Harga Jual Pcs GT
(-PPN)]]-Table43[[#This Row],[HARGA NAIK GT]]</f>
        <v>18558.560000000001</v>
      </c>
      <c r="BR46" s="4">
        <f>IF(Table43[[#This Row],[HARGA NAIK GT]]=0,Table43[[#This Row],[Harga Jual Pcs GT
(-PPN)]],Table43[[#This Row],[HARGA NAIK GT]])</f>
        <v>18558.560000000001</v>
      </c>
      <c r="BS46">
        <f>IFERROR(VLOOKUP(Table43[[#This Row],[Kode Pcpl]],'[1]HEINZ ABC'!$A$4:$E$112,8,0),0)</f>
        <v>0</v>
      </c>
      <c r="BT46" s="58">
        <f>Table43[[#This Row],[Harga Jual Pcs GT
(-PPN)]]-BS46</f>
        <v>18558.560000000001</v>
      </c>
      <c r="BU46">
        <f>IF(BS46=0,Table43[[#This Row],[Harga Jual Pcs MT
(-PPN)]])</f>
        <v>20043</v>
      </c>
      <c r="BV46">
        <f>IFERROR(VLOOKUP(Table43[[#This Row],[Kode Pcpl]],[2]Pricelist!$A$4:$K$112,11,0),0)</f>
        <v>0</v>
      </c>
      <c r="BW46">
        <f>IFERROR(VLOOKUP(Table43[[#This Row],[Kode BARANG Win2]],[3]!RECKITT211216[[KDBRG]:[HRG_JL_PCS-PPN]],11,0),0)</f>
        <v>0</v>
      </c>
      <c r="BX46">
        <f t="shared" si="2"/>
        <v>0</v>
      </c>
    </row>
    <row r="47" spans="1:76" x14ac:dyDescent="0.25">
      <c r="A47" s="4" t="str">
        <f>CONCATENATE(Table43[[#This Row],[Kode BARANG Win2]],Table43[[#This Row],[No. Urut
Item Sama]])</f>
        <v>A10110010620102</v>
      </c>
      <c r="B47" s="7">
        <v>2</v>
      </c>
      <c r="C47" s="4">
        <v>293</v>
      </c>
      <c r="D47" s="27">
        <v>100191</v>
      </c>
      <c r="E47" s="27"/>
      <c r="F47" s="27" t="s">
        <v>267</v>
      </c>
      <c r="G47" s="27">
        <v>12</v>
      </c>
      <c r="H47" s="42">
        <v>7000003792</v>
      </c>
      <c r="I47" s="27" t="str">
        <f>Table43[[#This Row],[Nama Jenis Kemasan]]</f>
        <v>BTL</v>
      </c>
      <c r="J47" s="4" t="str">
        <f>TRIM(CONCATENATE(Table43[[#This Row],[Nama            KLP]]," ",Table43[[#This Row],[Nama            Sub KLP]]))</f>
        <v>KECAP MANIS</v>
      </c>
      <c r="K47" s="4" t="str">
        <f>CONCATENATE(Table43[[#This Row],[kode  2 Digit                (hrf+No)]],Table43[[#This Row],[kode  2 Digit                (Nomor)]],Table43[[#This Row],[kode  1 Digit                (Nomor)]])</f>
        <v>A1011</v>
      </c>
      <c r="L47" s="4" t="str">
        <f>IF(AG47="",CONCATENATE(Q47,S47,U47,W47,Y47,AA47,AC47,AE47,Table43[[#This Row],[Tanda Kode Revisi]]),CONCATENATE(Q47,S47,U47,W47,Y47,AA47,AC47,AG47))</f>
        <v>A1011001062010</v>
      </c>
      <c r="M47" s="11">
        <f>LEN(L47)</f>
        <v>14</v>
      </c>
      <c r="N47" s="14" t="str">
        <f>IF(AF47&lt;&gt;"",TRIM(UPPER(CONCATENATE(P47," ",R47," ",T47," ",V47," ",X47," ",Z47," ","X"," ",Table43[[#This Row],[ISI/CTN]]," ",AF47," ",AB47," ",AD47," ",AH47))),TRIM(UPPER(CONCATENATE(P47," ",R47," ",T47," ",V47," ",X47," ",Z47," ","X"," ",Table43[[#This Row],[ISI/CTN]]," ",AB47," ",AD47," ",AH47))))</f>
        <v>ABC KECAP MANIS SOTO 620 ML X 12 BTL</v>
      </c>
      <c r="O47" s="11">
        <f>LEN(N47)</f>
        <v>36</v>
      </c>
      <c r="P47" s="4" t="s">
        <v>28</v>
      </c>
      <c r="Q47" s="7" t="s">
        <v>85</v>
      </c>
      <c r="R47" s="4" t="s">
        <v>474</v>
      </c>
      <c r="S47" s="43" t="s">
        <v>0</v>
      </c>
      <c r="T47" s="44" t="s">
        <v>475</v>
      </c>
      <c r="U47" s="7">
        <v>1</v>
      </c>
      <c r="V47" s="44"/>
      <c r="W47" s="43" t="s">
        <v>1</v>
      </c>
      <c r="X47" s="4" t="s">
        <v>508</v>
      </c>
      <c r="Y47" s="45" t="s">
        <v>0</v>
      </c>
      <c r="Z47" s="4" t="s">
        <v>498</v>
      </c>
      <c r="AA47" s="45" t="s">
        <v>499</v>
      </c>
      <c r="AB47" s="4" t="s">
        <v>486</v>
      </c>
      <c r="AC47" s="7" t="s">
        <v>480</v>
      </c>
      <c r="AE47" s="7">
        <v>0</v>
      </c>
      <c r="AL47" s="40">
        <f>Table43[[#This Row],[Harga Jual Pcs GT
(-PPN)]]-(Table43[[#This Row],[Harga Jual Pcs GT
(-PPN)]]*6%)</f>
        <v>0</v>
      </c>
      <c r="AM47" s="41">
        <f>Table43[[#This Row],[Harga Beli Pcs
(-PPN)]]*Table43[[#This Row],[ISI/CTN]]</f>
        <v>0</v>
      </c>
      <c r="AN47" s="41">
        <f>Table43[[#This Row],[Harga Beli Pcs
(-PPN)]]*1.11</f>
        <v>0</v>
      </c>
      <c r="AO47" s="41">
        <f>Table43[[#This Row],[Harga Beli Krt
(- PPN)]]*1.11</f>
        <v>0</v>
      </c>
      <c r="AP47" s="41"/>
      <c r="AQ47" s="41">
        <f>Table43[[#This Row],[Harga Jual Pcs GT
(-PPN)]]*Table43[[#This Row],[ISI/CTN]]</f>
        <v>0</v>
      </c>
      <c r="AR47" s="41">
        <f>Table43[[#This Row],[Harga Jual Pcs GT
(-PPN)]]*1.11</f>
        <v>0</v>
      </c>
      <c r="AS47" s="41">
        <f>Table43[[#This Row],[Harga Jual Krt GT
(- PPN)]]*1.11</f>
        <v>0</v>
      </c>
      <c r="AT47" s="41"/>
      <c r="AU47" s="41">
        <f>(Table43[[#This Row],[Harga Jual Pcs MT
(-PPN)]]*Table43[[#This Row],[ISI/CTN]])</f>
        <v>0</v>
      </c>
      <c r="AV47" s="41">
        <f>Table43[[#This Row],[Harga Jual Pcs MT
(-PPN)]]*1.11</f>
        <v>0</v>
      </c>
      <c r="AW47" s="41">
        <f>Table43[[#This Row],[Harga Jual Pcs MT
(+PPN)]]*Table43[[#This Row],[ISI/CTN]]</f>
        <v>0</v>
      </c>
      <c r="AX47" s="41"/>
      <c r="AY47" s="46"/>
      <c r="AZ47" s="54"/>
      <c r="BA47" s="7" t="str">
        <f ca="1">IF(TODAY()-Table43[[#This Row],[Efektif
Pembuatan]]&gt;60,"Lama","Baru")</f>
        <v>Lama</v>
      </c>
      <c r="BB47" s="7" t="str">
        <f ca="1">IF(TODAY()-Table43[[#This Row],[Efektif Naik Harga]]&lt;30,"Naik","Sama")</f>
        <v>Sama</v>
      </c>
      <c r="BC47" s="7"/>
      <c r="BD47" s="7" t="str">
        <f>IF(Table43[[#This Row],[Kode BARANG Win2]]&lt;&gt;"","IDR","")</f>
        <v>IDR</v>
      </c>
      <c r="BE47" s="7" t="str">
        <f>CONCATENATE(Table43[[#This Row],[kode  1 Digit
(Nomor)]],Table43[[#This Row],[kode  4 Digit                (Nomor)]])</f>
        <v>0620</v>
      </c>
      <c r="BF47" s="7" t="str">
        <f>Table43[[#This Row],[Nama            Gramasi atau Jumlah Pack per CTN]]</f>
        <v>620 ML</v>
      </c>
      <c r="BG47" s="7"/>
      <c r="BH47" s="51"/>
      <c r="BI47" s="4" t="str">
        <f>IF(Table43[[#This Row],[SATUAN Fix Win]]&lt;&gt;"","KRT")</f>
        <v>KRT</v>
      </c>
      <c r="BJ47" s="4" t="str">
        <f>IF(Table43[[#This Row],[SATUAN Fix Win]]&lt;&gt;"","GD01")</f>
        <v>GD01</v>
      </c>
      <c r="BK47" s="4">
        <f>IF(Table43[[#This Row],[SATUAN Fix Win]]&lt;&gt;"",11611)</f>
        <v>11611</v>
      </c>
      <c r="BL47" s="4">
        <f>IF(Table43[[#This Row],[SATUAN Fix Win]]&lt;&gt;"",11612)</f>
        <v>11612</v>
      </c>
      <c r="BM47" s="47"/>
      <c r="BN47" s="4">
        <f>IF(Table43[[#This Row],[SATUAN Fix Win]]&lt;&gt;"",1)</f>
        <v>1</v>
      </c>
      <c r="BP47" s="4">
        <f>IFERROR(VLOOKUP(Table43[[#This Row],[Kode Pcpl]],'[1]HEINZ ABC'!$A$4:$E$112,8,0),0)</f>
        <v>0</v>
      </c>
      <c r="BQ47" s="55">
        <f>Table43[[#This Row],[Harga Jual Pcs GT
(-PPN)]]-Table43[[#This Row],[HARGA NAIK GT]]</f>
        <v>0</v>
      </c>
      <c r="BR47" s="4">
        <f>IF(Table43[[#This Row],[HARGA NAIK GT]]=0,Table43[[#This Row],[Harga Jual Pcs GT
(-PPN)]],Table43[[#This Row],[HARGA NAIK GT]])</f>
        <v>0</v>
      </c>
      <c r="BT47" s="58"/>
    </row>
    <row r="48" spans="1:76" x14ac:dyDescent="0.25">
      <c r="A48" s="4" t="str">
        <f>CONCATENATE(Table43[[#This Row],[Kode BARANG Win2]],Table43[[#This Row],[No. Urut
Item Sama]])</f>
        <v>A10110020520101</v>
      </c>
      <c r="B48" s="7">
        <v>1</v>
      </c>
      <c r="C48" s="4">
        <v>37</v>
      </c>
      <c r="D48" s="27">
        <v>100180</v>
      </c>
      <c r="E48" s="27" t="s">
        <v>237</v>
      </c>
      <c r="F48" s="27" t="s">
        <v>268</v>
      </c>
      <c r="G48" s="27">
        <v>12</v>
      </c>
      <c r="H48" s="42" t="s">
        <v>2806</v>
      </c>
      <c r="I48" s="27" t="str">
        <f>Table43[[#This Row],[Nama Jenis Kemasan]]</f>
        <v>PCH</v>
      </c>
      <c r="J48" s="4" t="str">
        <f>TRIM(CONCATENATE(Table43[[#This Row],[Nama            KLP]]," ",Table43[[#This Row],[Nama            Sub KLP]]))</f>
        <v>KECAP MANIS</v>
      </c>
      <c r="K48" s="4" t="str">
        <f>CONCATENATE(Table43[[#This Row],[kode  2 Digit                (hrf+No)]],Table43[[#This Row],[kode  2 Digit                (Nomor)]],Table43[[#This Row],[kode  1 Digit                (Nomor)]])</f>
        <v>A1011</v>
      </c>
      <c r="L48" s="4" t="str">
        <f>IF(AG48="",CONCATENATE(Q48,S48,U48,W48,Y48,AA48,AC48,AE48,Table43[[#This Row],[Tanda Kode Revisi]]),CONCATENATE(Q48,S48,U48,W48,Y48,AA48,AC48,AG48))</f>
        <v>A1011002052010</v>
      </c>
      <c r="M48" s="11">
        <f t="shared" si="0"/>
        <v>14</v>
      </c>
      <c r="N48" s="14" t="str">
        <f>IF(AF48&lt;&gt;"",TRIM(UPPER(CONCATENATE(P48," ",R48," ",T48," ",V48," ",X48," ",Z48," ","X"," ",Table43[[#This Row],[ISI/CTN]]," ",AF48," ",AB48," ",AD48," ",AH48))),TRIM(UPPER(CONCATENATE(P48," ",R48," ",T48," ",V48," ",X48," ",Z48," ","X"," ",Table43[[#This Row],[ISI/CTN]]," ",AB48," ",AD48," ",AH48))))</f>
        <v>ABC KECAP MANIS HOKI 520 ML X 12 PCH</v>
      </c>
      <c r="O48" s="11">
        <f t="shared" si="1"/>
        <v>36</v>
      </c>
      <c r="P48" s="4" t="s">
        <v>28</v>
      </c>
      <c r="Q48" s="7" t="s">
        <v>85</v>
      </c>
      <c r="R48" s="4" t="s">
        <v>474</v>
      </c>
      <c r="S48" s="43" t="s">
        <v>0</v>
      </c>
      <c r="T48" s="44" t="s">
        <v>475</v>
      </c>
      <c r="U48" s="7">
        <v>1</v>
      </c>
      <c r="V48" s="44"/>
      <c r="W48" s="43" t="s">
        <v>1</v>
      </c>
      <c r="X48" s="4" t="s">
        <v>511</v>
      </c>
      <c r="Y48" s="45" t="s">
        <v>31</v>
      </c>
      <c r="Z48" s="4" t="s">
        <v>509</v>
      </c>
      <c r="AA48" s="45" t="s">
        <v>510</v>
      </c>
      <c r="AB48" s="4" t="s">
        <v>479</v>
      </c>
      <c r="AC48" s="7" t="s">
        <v>480</v>
      </c>
      <c r="AE48" s="7">
        <v>0</v>
      </c>
      <c r="AI48" s="7" t="s">
        <v>214</v>
      </c>
      <c r="AJ48" s="7">
        <v>2</v>
      </c>
      <c r="AL48" s="40">
        <f>Table43[[#This Row],[Harga Jual Pcs GT
(-PPN)]]-(Table43[[#This Row],[Harga Jual Pcs GT
(-PPN)]]*6%)</f>
        <v>13651.168800000001</v>
      </c>
      <c r="AM48" s="41">
        <f>Table43[[#This Row],[Harga Beli Pcs
(-PPN)]]*Table43[[#This Row],[ISI/CTN]]</f>
        <v>163814.02560000002</v>
      </c>
      <c r="AN48" s="41">
        <f>Table43[[#This Row],[Harga Beli Pcs
(-PPN)]]*1.11</f>
        <v>15152.797368000003</v>
      </c>
      <c r="AO48" s="41">
        <f>Table43[[#This Row],[Harga Beli Krt
(- PPN)]]*1.11</f>
        <v>181833.56841600005</v>
      </c>
      <c r="AP48" s="41">
        <v>14522.52</v>
      </c>
      <c r="AQ48" s="41">
        <f>Table43[[#This Row],[Harga Jual Pcs GT
(-PPN)]]*Table43[[#This Row],[ISI/CTN]]</f>
        <v>174270.24</v>
      </c>
      <c r="AR48" s="41">
        <f>Table43[[#This Row],[Harga Jual Pcs GT
(-PPN)]]*1.11</f>
        <v>16119.997200000002</v>
      </c>
      <c r="AS48" s="41">
        <f>Table43[[#This Row],[Harga Jual Krt GT
(- PPN)]]*1.11</f>
        <v>193439.9664</v>
      </c>
      <c r="AT48" s="41">
        <v>15684.32</v>
      </c>
      <c r="AU48" s="41">
        <f>(Table43[[#This Row],[Harga Jual Pcs MT
(-PPN)]]*Table43[[#This Row],[ISI/CTN]])</f>
        <v>188211.84</v>
      </c>
      <c r="AV48" s="41">
        <f>Table43[[#This Row],[Harga Jual Pcs MT
(-PPN)]]*1.11</f>
        <v>17409.5952</v>
      </c>
      <c r="AW48" s="41">
        <f>Table43[[#This Row],[Harga Jual Pcs MT
(+PPN)]]*Table43[[#This Row],[ISI/CTN]]</f>
        <v>208915.14240000001</v>
      </c>
      <c r="AX48" s="41"/>
      <c r="AY48" s="46">
        <v>45553</v>
      </c>
      <c r="AZ48" s="54">
        <v>45553</v>
      </c>
      <c r="BA48" s="7" t="str">
        <f ca="1">IF(TODAY()-Table43[[#This Row],[Efektif
Pembuatan]]&gt;60,"Lama","Baru")</f>
        <v>Lama</v>
      </c>
      <c r="BB48" s="7" t="str">
        <f ca="1">IF(TODAY()-Table43[[#This Row],[Efektif Naik Harga]]&lt;30,"Naik","Sama")</f>
        <v>Sama</v>
      </c>
      <c r="BC48" s="7" t="s">
        <v>235</v>
      </c>
      <c r="BD48" s="7" t="str">
        <f>IF(Table43[[#This Row],[Kode BARANG Win2]]&lt;&gt;"","IDR","")</f>
        <v>IDR</v>
      </c>
      <c r="BE48" s="7" t="str">
        <f>CONCATENATE(Table43[[#This Row],[kode  1 Digit
(Nomor)]],Table43[[#This Row],[kode  4 Digit                (Nomor)]])</f>
        <v>20520</v>
      </c>
      <c r="BF48" s="7" t="str">
        <f>Table43[[#This Row],[Nama            Gramasi atau Jumlah Pack per CTN]]</f>
        <v>520 ML</v>
      </c>
      <c r="BG48" s="7" t="s">
        <v>653</v>
      </c>
      <c r="BH48" s="51" t="s">
        <v>654</v>
      </c>
      <c r="BI48" s="4" t="str">
        <f>IF(Table43[[#This Row],[SATUAN Fix Win]]&lt;&gt;"","KRT")</f>
        <v>KRT</v>
      </c>
      <c r="BJ48" s="4" t="str">
        <f>IF(Table43[[#This Row],[SATUAN Fix Win]]&lt;&gt;"","GD01")</f>
        <v>GD01</v>
      </c>
      <c r="BK48" s="4">
        <f>IF(Table43[[#This Row],[SATUAN Fix Win]]&lt;&gt;"",11611)</f>
        <v>11611</v>
      </c>
      <c r="BL48" s="4">
        <f>IF(Table43[[#This Row],[SATUAN Fix Win]]&lt;&gt;"",11612)</f>
        <v>11612</v>
      </c>
      <c r="BM48" s="47" t="s">
        <v>655</v>
      </c>
      <c r="BN48" s="4">
        <f>IF(Table43[[#This Row],[SATUAN Fix Win]]&lt;&gt;"",1)</f>
        <v>1</v>
      </c>
      <c r="BO48" s="4" t="s">
        <v>656</v>
      </c>
      <c r="BP48" s="4">
        <f>IFERROR(VLOOKUP(Table43[[#This Row],[Kode Pcpl]],'[1]HEINZ ABC'!$A$4:$E$112,8,0),0)</f>
        <v>0</v>
      </c>
      <c r="BQ48" s="55">
        <f>Table43[[#This Row],[Harga Jual Pcs GT
(-PPN)]]-Table43[[#This Row],[HARGA NAIK GT]]</f>
        <v>14522.52</v>
      </c>
      <c r="BR48" s="4">
        <f>IF(Table43[[#This Row],[HARGA NAIK GT]]=0,Table43[[#This Row],[Harga Jual Pcs GT
(-PPN)]],Table43[[#This Row],[HARGA NAIK GT]])</f>
        <v>14522.52</v>
      </c>
      <c r="BS48">
        <f>IFERROR(VLOOKUP(Table43[[#This Row],[Kode Pcpl]],'[1]HEINZ ABC'!$A$4:$E$112,8,0),0)</f>
        <v>0</v>
      </c>
      <c r="BT48" s="58">
        <f>Table43[[#This Row],[Harga Jual Pcs GT
(-PPN)]]-BS48</f>
        <v>14522.52</v>
      </c>
      <c r="BU48">
        <f>IF(BS48=0,Table43[[#This Row],[Harga Jual Pcs MT
(-PPN)]])</f>
        <v>15684.32</v>
      </c>
      <c r="BV48">
        <f>IFERROR(VLOOKUP(Table43[[#This Row],[Kode Pcpl]],[2]Pricelist!$A$4:$K$112,11,0),0)</f>
        <v>0</v>
      </c>
      <c r="BW48">
        <f>IFERROR(VLOOKUP(Table43[[#This Row],[Kode BARANG Win2]],[3]!RECKITT211216[[KDBRG]:[HRG_JL_PCS-PPN]],11,0),0)</f>
        <v>0</v>
      </c>
      <c r="BX48">
        <f t="shared" si="2"/>
        <v>0</v>
      </c>
    </row>
    <row r="49" spans="1:76" x14ac:dyDescent="0.25">
      <c r="A49" s="4" t="str">
        <f>CONCATENATE(Table43[[#This Row],[Kode BARANG Win2]],Table43[[#This Row],[No. Urut
Item Sama]])</f>
        <v>A10110030135101</v>
      </c>
      <c r="B49" s="7">
        <v>1</v>
      </c>
      <c r="C49" s="4">
        <v>38</v>
      </c>
      <c r="D49" s="27">
        <v>100141</v>
      </c>
      <c r="E49" s="27" t="s">
        <v>237</v>
      </c>
      <c r="F49" s="27" t="s">
        <v>269</v>
      </c>
      <c r="G49" s="27">
        <v>48</v>
      </c>
      <c r="H49" s="42">
        <v>0</v>
      </c>
      <c r="I49" s="27" t="str">
        <f>Table43[[#This Row],[Nama Jenis Kemasan]]</f>
        <v>BTL</v>
      </c>
      <c r="J49" s="4" t="str">
        <f>TRIM(CONCATENATE(Table43[[#This Row],[Nama            KLP]]," ",Table43[[#This Row],[Nama            Sub KLP]]))</f>
        <v>KECAP MANIS</v>
      </c>
      <c r="K49" s="4" t="str">
        <f>CONCATENATE(Table43[[#This Row],[kode  2 Digit                (hrf+No)]],Table43[[#This Row],[kode  2 Digit                (Nomor)]],Table43[[#This Row],[kode  1 Digit                (Nomor)]])</f>
        <v>A1011</v>
      </c>
      <c r="L49" s="4" t="str">
        <f>IF(AG49="",CONCATENATE(Q49,S49,U49,W49,Y49,AA49,AC49,AE49,Table43[[#This Row],[Tanda Kode Revisi]]),CONCATENATE(Q49,S49,U49,W49,Y49,AA49,AC49,AG49))</f>
        <v>A1011003013510</v>
      </c>
      <c r="M49" s="11">
        <f t="shared" si="0"/>
        <v>14</v>
      </c>
      <c r="N49" s="14" t="str">
        <f>IF(AF49&lt;&gt;"",TRIM(UPPER(CONCATENATE(P49," ",R49," ",T49," ",V49," ",X49," ",Z49," ","X"," ",Table43[[#This Row],[ISI/CTN]]," ",AF49," ",AB49," ",AD49," ",AH49))),TRIM(UPPER(CONCATENATE(P49," ",R49," ",T49," ",V49," ",X49," ",Z49," ","X"," ",Table43[[#This Row],[ISI/CTN]]," ",AB49," ",AD49," ",AH49))))</f>
        <v>ABC KECAP MANIS DAGING ASAP 135 ML X 48 BTL</v>
      </c>
      <c r="O49" s="11">
        <f t="shared" si="1"/>
        <v>43</v>
      </c>
      <c r="P49" s="4" t="s">
        <v>28</v>
      </c>
      <c r="Q49" s="7" t="s">
        <v>85</v>
      </c>
      <c r="R49" s="4" t="s">
        <v>474</v>
      </c>
      <c r="S49" s="43" t="s">
        <v>0</v>
      </c>
      <c r="T49" s="44" t="s">
        <v>475</v>
      </c>
      <c r="U49" s="7">
        <v>1</v>
      </c>
      <c r="V49" s="44"/>
      <c r="W49" s="43" t="s">
        <v>1</v>
      </c>
      <c r="X49" s="4" t="s">
        <v>512</v>
      </c>
      <c r="Y49" s="45" t="s">
        <v>219</v>
      </c>
      <c r="Z49" s="4" t="s">
        <v>484</v>
      </c>
      <c r="AA49" s="45" t="s">
        <v>487</v>
      </c>
      <c r="AB49" s="4" t="s">
        <v>486</v>
      </c>
      <c r="AC49" s="7" t="s">
        <v>480</v>
      </c>
      <c r="AE49" s="7" t="s">
        <v>1</v>
      </c>
      <c r="AI49" s="7" t="s">
        <v>214</v>
      </c>
      <c r="AJ49" s="7">
        <v>2</v>
      </c>
      <c r="AL49" s="40">
        <f>Table43[[#This Row],[Harga Jual Pcs GT
(-PPN)]]-(Table43[[#This Row],[Harga Jual Pcs GT
(-PPN)]]*6%)</f>
        <v>7282.8850000000002</v>
      </c>
      <c r="AM49" s="41">
        <f>Table43[[#This Row],[Harga Beli Pcs
(-PPN)]]*Table43[[#This Row],[ISI/CTN]]</f>
        <v>349578.48</v>
      </c>
      <c r="AN49" s="41">
        <f>Table43[[#This Row],[Harga Beli Pcs
(-PPN)]]*1.11</f>
        <v>8084.0023500000007</v>
      </c>
      <c r="AO49" s="41">
        <f>Table43[[#This Row],[Harga Beli Krt
(- PPN)]]*1.11</f>
        <v>388032.1128</v>
      </c>
      <c r="AP49" s="41">
        <v>7747.75</v>
      </c>
      <c r="AQ49" s="41">
        <f>Table43[[#This Row],[Harga Jual Pcs GT
(-PPN)]]*Table43[[#This Row],[ISI/CTN]]</f>
        <v>371892</v>
      </c>
      <c r="AR49" s="41">
        <f>Table43[[#This Row],[Harga Jual Pcs GT
(-PPN)]]*1.11</f>
        <v>8600.0025000000005</v>
      </c>
      <c r="AS49" s="41">
        <f>Table43[[#This Row],[Harga Jual Krt GT
(- PPN)]]*1.11</f>
        <v>412800.12000000005</v>
      </c>
      <c r="AT49" s="41">
        <v>8367.57</v>
      </c>
      <c r="AU49" s="41">
        <f>(Table43[[#This Row],[Harga Jual Pcs MT
(-PPN)]]*Table43[[#This Row],[ISI/CTN]])</f>
        <v>401643.36</v>
      </c>
      <c r="AV49" s="41">
        <f>Table43[[#This Row],[Harga Jual Pcs MT
(-PPN)]]*1.11</f>
        <v>9288.0027000000009</v>
      </c>
      <c r="AW49" s="41">
        <f>Table43[[#This Row],[Harga Jual Pcs MT
(+PPN)]]*Table43[[#This Row],[ISI/CTN]]</f>
        <v>445824.12960000004</v>
      </c>
      <c r="AX49" s="41"/>
      <c r="AY49" s="46">
        <v>45553</v>
      </c>
      <c r="AZ49" s="54">
        <v>45553</v>
      </c>
      <c r="BA49" s="7" t="str">
        <f ca="1">IF(TODAY()-Table43[[#This Row],[Efektif
Pembuatan]]&gt;60,"Lama","Baru")</f>
        <v>Lama</v>
      </c>
      <c r="BB49" s="7" t="str">
        <f ca="1">IF(TODAY()-Table43[[#This Row],[Efektif Naik Harga]]&lt;30,"Naik","Sama")</f>
        <v>Sama</v>
      </c>
      <c r="BC49" s="7" t="s">
        <v>235</v>
      </c>
      <c r="BD49" s="7" t="str">
        <f>IF(Table43[[#This Row],[Kode BARANG Win2]]&lt;&gt;"","IDR","")</f>
        <v>IDR</v>
      </c>
      <c r="BE49" s="7" t="str">
        <f>CONCATENATE(Table43[[#This Row],[kode  1 Digit
(Nomor)]],Table43[[#This Row],[kode  4 Digit                (Nomor)]])</f>
        <v>20135</v>
      </c>
      <c r="BF49" s="7" t="str">
        <f>Table43[[#This Row],[Nama            Gramasi atau Jumlah Pack per CTN]]</f>
        <v>135 ML</v>
      </c>
      <c r="BG49" s="7" t="s">
        <v>653</v>
      </c>
      <c r="BH49" s="51" t="s">
        <v>654</v>
      </c>
      <c r="BI49" s="4" t="str">
        <f>IF(Table43[[#This Row],[SATUAN Fix Win]]&lt;&gt;"","KRT")</f>
        <v>KRT</v>
      </c>
      <c r="BJ49" s="4" t="str">
        <f>IF(Table43[[#This Row],[SATUAN Fix Win]]&lt;&gt;"","GD01")</f>
        <v>GD01</v>
      </c>
      <c r="BK49" s="4">
        <f>IF(Table43[[#This Row],[SATUAN Fix Win]]&lt;&gt;"",11611)</f>
        <v>11611</v>
      </c>
      <c r="BL49" s="4">
        <f>IF(Table43[[#This Row],[SATUAN Fix Win]]&lt;&gt;"",11612)</f>
        <v>11612</v>
      </c>
      <c r="BM49" s="47" t="s">
        <v>655</v>
      </c>
      <c r="BN49" s="4">
        <f>IF(Table43[[#This Row],[SATUAN Fix Win]]&lt;&gt;"",1)</f>
        <v>1</v>
      </c>
      <c r="BO49" s="4" t="s">
        <v>656</v>
      </c>
      <c r="BP49" s="4">
        <f>IFERROR(VLOOKUP(Table43[[#This Row],[Kode Pcpl]],'[1]HEINZ ABC'!$A$4:$E$112,8,0),0)</f>
        <v>0</v>
      </c>
      <c r="BQ49" s="55">
        <f>Table43[[#This Row],[Harga Jual Pcs GT
(-PPN)]]-Table43[[#This Row],[HARGA NAIK GT]]</f>
        <v>7747.75</v>
      </c>
      <c r="BR49" s="4">
        <f>IF(Table43[[#This Row],[HARGA NAIK GT]]=0,Table43[[#This Row],[Harga Jual Pcs GT
(-PPN)]],Table43[[#This Row],[HARGA NAIK GT]])</f>
        <v>7747.75</v>
      </c>
      <c r="BS49">
        <f>IFERROR(VLOOKUP(Table43[[#This Row],[Kode Pcpl]],'[1]HEINZ ABC'!$A$4:$E$112,8,0),0)</f>
        <v>0</v>
      </c>
      <c r="BT49" s="58">
        <f>Table43[[#This Row],[Harga Jual Pcs GT
(-PPN)]]-BS49</f>
        <v>7747.75</v>
      </c>
      <c r="BU49">
        <f>IF(BS49=0,Table43[[#This Row],[Harga Jual Pcs MT
(-PPN)]])</f>
        <v>8367.57</v>
      </c>
      <c r="BV49">
        <f>IFERROR(VLOOKUP(Table43[[#This Row],[Kode Pcpl]],[2]Pricelist!$A$4:$K$112,11,0),0)</f>
        <v>0</v>
      </c>
      <c r="BW49">
        <f>IFERROR(VLOOKUP(Table43[[#This Row],[Kode BARANG Win2]],[3]!RECKITT211216[[KDBRG]:[HRG_JL_PCS-PPN]],11,0),0)</f>
        <v>0</v>
      </c>
      <c r="BX49">
        <f t="shared" si="2"/>
        <v>0</v>
      </c>
    </row>
    <row r="50" spans="1:76" x14ac:dyDescent="0.25">
      <c r="A50" s="4" t="str">
        <f>CONCATENATE(Table43[[#This Row],[Kode BARANG Win2]],Table43[[#This Row],[No. Urut
Item Sama]])</f>
        <v>A10110030650101</v>
      </c>
      <c r="B50" s="7">
        <v>1</v>
      </c>
      <c r="C50" s="4">
        <v>39</v>
      </c>
      <c r="D50" s="27">
        <v>100151</v>
      </c>
      <c r="E50" s="27" t="s">
        <v>237</v>
      </c>
      <c r="F50" s="27" t="s">
        <v>270</v>
      </c>
      <c r="G50" s="27">
        <v>12</v>
      </c>
      <c r="H50" s="42">
        <v>0</v>
      </c>
      <c r="I50" s="27" t="str">
        <f>Table43[[#This Row],[Nama Jenis Kemasan]]</f>
        <v>PCH</v>
      </c>
      <c r="J50" s="4" t="str">
        <f>TRIM(CONCATENATE(Table43[[#This Row],[Nama            KLP]]," ",Table43[[#This Row],[Nama            Sub KLP]]))</f>
        <v>KECAP MANIS</v>
      </c>
      <c r="K50" s="4" t="str">
        <f>CONCATENATE(Table43[[#This Row],[kode  2 Digit                (hrf+No)]],Table43[[#This Row],[kode  2 Digit                (Nomor)]],Table43[[#This Row],[kode  1 Digit                (Nomor)]])</f>
        <v>A1011</v>
      </c>
      <c r="L50" s="4" t="str">
        <f>IF(AG50="",CONCATENATE(Q50,S50,U50,W50,Y50,AA50,AC50,AE50,Table43[[#This Row],[Tanda Kode Revisi]]),CONCATENATE(Q50,S50,U50,W50,Y50,AA50,AC50,AG50))</f>
        <v>A1011003065010</v>
      </c>
      <c r="M50" s="11">
        <f t="shared" si="0"/>
        <v>14</v>
      </c>
      <c r="N50" s="14" t="str">
        <f>IF(AF50&lt;&gt;"",TRIM(UPPER(CONCATENATE(P50," ",R50," ",T50," ",V50," ",X50," ",Z50," ","X"," ",Table43[[#This Row],[ISI/CTN]]," ",AF50," ",AB50," ",AD50," ",AH50))),TRIM(UPPER(CONCATENATE(P50," ",R50," ",T50," ",V50," ",X50," ",Z50," ","X"," ",Table43[[#This Row],[ISI/CTN]]," ",AB50," ",AD50," ",AH50))))</f>
        <v>ABC KECAP MANIS DAGING ASAP 650 GR X 12 PCH</v>
      </c>
      <c r="O50" s="11">
        <f t="shared" si="1"/>
        <v>43</v>
      </c>
      <c r="P50" s="4" t="s">
        <v>28</v>
      </c>
      <c r="Q50" s="7" t="s">
        <v>85</v>
      </c>
      <c r="R50" s="4" t="s">
        <v>474</v>
      </c>
      <c r="S50" s="43" t="s">
        <v>0</v>
      </c>
      <c r="T50" s="44" t="s">
        <v>475</v>
      </c>
      <c r="U50" s="7">
        <v>1</v>
      </c>
      <c r="V50" s="44"/>
      <c r="W50" s="43" t="s">
        <v>1</v>
      </c>
      <c r="X50" s="4" t="s">
        <v>512</v>
      </c>
      <c r="Y50" s="45" t="s">
        <v>219</v>
      </c>
      <c r="Z50" s="4" t="s">
        <v>513</v>
      </c>
      <c r="AA50" s="45" t="s">
        <v>514</v>
      </c>
      <c r="AB50" s="4" t="s">
        <v>479</v>
      </c>
      <c r="AC50" s="7" t="s">
        <v>480</v>
      </c>
      <c r="AE50" s="7" t="s">
        <v>1</v>
      </c>
      <c r="AI50" s="7" t="s">
        <v>215</v>
      </c>
      <c r="AJ50" s="7">
        <v>1</v>
      </c>
      <c r="AL50" s="40">
        <f>Table43[[#This Row],[Harga Jual Pcs GT
(-PPN)]]-(Table43[[#This Row],[Harga Jual Pcs GT
(-PPN)]]*6%)</f>
        <v>18800</v>
      </c>
      <c r="AM50" s="41">
        <f>Table43[[#This Row],[Harga Beli Pcs
(-PPN)]]*Table43[[#This Row],[ISI/CTN]]</f>
        <v>225600</v>
      </c>
      <c r="AN50" s="41">
        <f>Table43[[#This Row],[Harga Beli Pcs
(-PPN)]]*1.11</f>
        <v>20868.000000000004</v>
      </c>
      <c r="AO50" s="41">
        <f>Table43[[#This Row],[Harga Beli Krt
(- PPN)]]*1.11</f>
        <v>250416.00000000003</v>
      </c>
      <c r="AP50" s="41">
        <v>20000</v>
      </c>
      <c r="AQ50" s="41">
        <f>Table43[[#This Row],[Harga Jual Pcs GT
(-PPN)]]*Table43[[#This Row],[ISI/CTN]]</f>
        <v>240000</v>
      </c>
      <c r="AR50" s="41">
        <f>Table43[[#This Row],[Harga Jual Pcs GT
(-PPN)]]*1.11</f>
        <v>22200.000000000004</v>
      </c>
      <c r="AS50" s="41">
        <f>Table43[[#This Row],[Harga Jual Krt GT
(- PPN)]]*1.11</f>
        <v>266400</v>
      </c>
      <c r="AT50" s="41">
        <v>21600</v>
      </c>
      <c r="AU50" s="41">
        <f>(Table43[[#This Row],[Harga Jual Pcs MT
(-PPN)]]*Table43[[#This Row],[ISI/CTN]])</f>
        <v>259200</v>
      </c>
      <c r="AV50" s="41">
        <f>Table43[[#This Row],[Harga Jual Pcs MT
(-PPN)]]*1.11</f>
        <v>23976.000000000004</v>
      </c>
      <c r="AW50" s="41">
        <f>Table43[[#This Row],[Harga Jual Pcs MT
(+PPN)]]*Table43[[#This Row],[ISI/CTN]]</f>
        <v>287712.00000000006</v>
      </c>
      <c r="AX50" s="41"/>
      <c r="AY50" s="46">
        <v>45553</v>
      </c>
      <c r="AZ50" s="54">
        <v>45553</v>
      </c>
      <c r="BA50" s="7" t="str">
        <f ca="1">IF(TODAY()-Table43[[#This Row],[Efektif
Pembuatan]]&gt;60,"Lama","Baru")</f>
        <v>Lama</v>
      </c>
      <c r="BB50" s="7" t="str">
        <f ca="1">IF(TODAY()-Table43[[#This Row],[Efektif Naik Harga]]&lt;30,"Naik","Sama")</f>
        <v>Sama</v>
      </c>
      <c r="BC50" s="7" t="s">
        <v>235</v>
      </c>
      <c r="BD50" s="7" t="str">
        <f>IF(Table43[[#This Row],[Kode BARANG Win2]]&lt;&gt;"","IDR","")</f>
        <v>IDR</v>
      </c>
      <c r="BE50" s="7" t="str">
        <f>CONCATENATE(Table43[[#This Row],[kode  1 Digit
(Nomor)]],Table43[[#This Row],[kode  4 Digit                (Nomor)]])</f>
        <v>10650</v>
      </c>
      <c r="BF50" s="7" t="str">
        <f>Table43[[#This Row],[Nama            Gramasi atau Jumlah Pack per CTN]]</f>
        <v>650 GR</v>
      </c>
      <c r="BG50" s="7" t="s">
        <v>653</v>
      </c>
      <c r="BH50" s="51" t="s">
        <v>654</v>
      </c>
      <c r="BI50" s="4" t="str">
        <f>IF(Table43[[#This Row],[SATUAN Fix Win]]&lt;&gt;"","KRT")</f>
        <v>KRT</v>
      </c>
      <c r="BJ50" s="4" t="str">
        <f>IF(Table43[[#This Row],[SATUAN Fix Win]]&lt;&gt;"","GD01")</f>
        <v>GD01</v>
      </c>
      <c r="BK50" s="4">
        <f>IF(Table43[[#This Row],[SATUAN Fix Win]]&lt;&gt;"",11611)</f>
        <v>11611</v>
      </c>
      <c r="BL50" s="4">
        <f>IF(Table43[[#This Row],[SATUAN Fix Win]]&lt;&gt;"",11612)</f>
        <v>11612</v>
      </c>
      <c r="BM50" s="47" t="s">
        <v>655</v>
      </c>
      <c r="BN50" s="4">
        <f>IF(Table43[[#This Row],[SATUAN Fix Win]]&lt;&gt;"",1)</f>
        <v>1</v>
      </c>
      <c r="BO50" s="4" t="s">
        <v>656</v>
      </c>
      <c r="BP50" s="4">
        <f>IFERROR(VLOOKUP(Table43[[#This Row],[Kode Pcpl]],'[1]HEINZ ABC'!$A$4:$E$112,8,0),0)</f>
        <v>0</v>
      </c>
      <c r="BQ50" s="55">
        <f>Table43[[#This Row],[Harga Jual Pcs GT
(-PPN)]]-Table43[[#This Row],[HARGA NAIK GT]]</f>
        <v>20000</v>
      </c>
      <c r="BR50" s="4">
        <f>IF(Table43[[#This Row],[HARGA NAIK GT]]=0,Table43[[#This Row],[Harga Jual Pcs GT
(-PPN)]],Table43[[#This Row],[HARGA NAIK GT]])</f>
        <v>20000</v>
      </c>
      <c r="BS50">
        <f>IFERROR(VLOOKUP(Table43[[#This Row],[Kode Pcpl]],'[1]HEINZ ABC'!$A$4:$E$112,8,0),0)</f>
        <v>0</v>
      </c>
      <c r="BT50" s="58">
        <f>Table43[[#This Row],[Harga Jual Pcs GT
(-PPN)]]-BS50</f>
        <v>20000</v>
      </c>
      <c r="BU50">
        <f>IF(BS50=0,Table43[[#This Row],[Harga Jual Pcs MT
(-PPN)]])</f>
        <v>21600</v>
      </c>
      <c r="BV50">
        <f>IFERROR(VLOOKUP(Table43[[#This Row],[Kode Pcpl]],[2]Pricelist!$A$4:$K$112,11,0),0)</f>
        <v>0</v>
      </c>
      <c r="BW50">
        <f>IFERROR(VLOOKUP(Table43[[#This Row],[Kode BARANG Win2]],[3]!RECKITT211216[[KDBRG]:[HRG_JL_PCS-PPN]],11,0),0)</f>
        <v>0</v>
      </c>
      <c r="BX50">
        <f t="shared" si="2"/>
        <v>0</v>
      </c>
    </row>
    <row r="51" spans="1:76" x14ac:dyDescent="0.25">
      <c r="A51" s="4" t="str">
        <f>CONCATENATE(Table43[[#This Row],[Kode BARANG Win2]],Table43[[#This Row],[No. Urut
Item Sama]])</f>
        <v>A10110040150201</v>
      </c>
      <c r="B51" s="7">
        <v>1</v>
      </c>
      <c r="C51" s="4">
        <v>40</v>
      </c>
      <c r="D51" s="27">
        <v>100173</v>
      </c>
      <c r="E51" s="27" t="s">
        <v>237</v>
      </c>
      <c r="F51" s="27" t="s">
        <v>272</v>
      </c>
      <c r="G51" s="27">
        <v>48</v>
      </c>
      <c r="H51" s="42">
        <v>0</v>
      </c>
      <c r="I51" s="27" t="str">
        <f>Table43[[#This Row],[Nama Jenis Kemasan]]</f>
        <v>BTL</v>
      </c>
      <c r="J51" s="4" t="str">
        <f>TRIM(CONCATENATE(Table43[[#This Row],[Nama            KLP]]," ",Table43[[#This Row],[Nama            Sub KLP]]))</f>
        <v>KECAP MANIS</v>
      </c>
      <c r="K51" s="4" t="str">
        <f>CONCATENATE(Table43[[#This Row],[kode  2 Digit                (hrf+No)]],Table43[[#This Row],[kode  2 Digit                (Nomor)]],Table43[[#This Row],[kode  1 Digit                (Nomor)]])</f>
        <v>A1011</v>
      </c>
      <c r="L51" s="4" t="str">
        <f>IF(AG51="",CONCATENATE(Q51,S51,U51,W51,Y51,AA51,AC51,AE51,Table43[[#This Row],[Tanda Kode Revisi]]),CONCATENATE(Q51,S51,U51,W51,Y51,AA51,AC51,AG51))</f>
        <v>A1011004015020</v>
      </c>
      <c r="M51" s="11">
        <f t="shared" si="0"/>
        <v>14</v>
      </c>
      <c r="N51" s="14" t="str">
        <f>IF(AF51&lt;&gt;"",TRIM(UPPER(CONCATENATE(P51," ",R51," ",T51," ",V51," ",X51," ",Z51," ","X"," ",Table43[[#This Row],[ISI/CTN]]," ",AF51," ",AB51," ",AD51," ",AH51))),TRIM(UPPER(CONCATENATE(P51," ",R51," ",T51," ",V51," ",X51," ",Z51," ","X"," ",Table43[[#This Row],[ISI/CTN]]," ",AB51," ",AD51," ",AH51))))</f>
        <v>ABC KECAP MANIS SEAFOOD 135 GR X 48 BTL</v>
      </c>
      <c r="O51" s="11">
        <f t="shared" si="1"/>
        <v>39</v>
      </c>
      <c r="P51" s="4" t="s">
        <v>28</v>
      </c>
      <c r="Q51" s="7" t="s">
        <v>85</v>
      </c>
      <c r="R51" s="4" t="s">
        <v>474</v>
      </c>
      <c r="S51" s="43" t="s">
        <v>0</v>
      </c>
      <c r="T51" s="44" t="s">
        <v>475</v>
      </c>
      <c r="U51" s="7">
        <v>1</v>
      </c>
      <c r="V51" s="44"/>
      <c r="W51" s="43" t="s">
        <v>1</v>
      </c>
      <c r="X51" s="4" t="s">
        <v>516</v>
      </c>
      <c r="Y51" s="45" t="s">
        <v>220</v>
      </c>
      <c r="Z51" s="4" t="s">
        <v>517</v>
      </c>
      <c r="AA51" s="45" t="s">
        <v>216</v>
      </c>
      <c r="AB51" s="4" t="s">
        <v>486</v>
      </c>
      <c r="AC51" s="7">
        <v>2</v>
      </c>
      <c r="AE51" s="7" t="s">
        <v>1</v>
      </c>
      <c r="AI51" s="7" t="s">
        <v>215</v>
      </c>
      <c r="AJ51" s="7">
        <v>1</v>
      </c>
      <c r="AL51" s="40">
        <f>Table43[[#This Row],[Harga Jual Pcs GT
(-PPN)]]-(Table43[[#This Row],[Harga Jual Pcs GT
(-PPN)]]*6%)</f>
        <v>7282.8850000000002</v>
      </c>
      <c r="AM51" s="41">
        <f>Table43[[#This Row],[Harga Beli Pcs
(-PPN)]]*Table43[[#This Row],[ISI/CTN]]</f>
        <v>349578.48</v>
      </c>
      <c r="AN51" s="41">
        <f>Table43[[#This Row],[Harga Beli Pcs
(-PPN)]]*1.11</f>
        <v>8084.0023500000007</v>
      </c>
      <c r="AO51" s="41">
        <f>Table43[[#This Row],[Harga Beli Krt
(- PPN)]]*1.11</f>
        <v>388032.1128</v>
      </c>
      <c r="AP51" s="41">
        <v>7747.75</v>
      </c>
      <c r="AQ51" s="41">
        <f>Table43[[#This Row],[Harga Jual Pcs GT
(-PPN)]]*Table43[[#This Row],[ISI/CTN]]</f>
        <v>371892</v>
      </c>
      <c r="AR51" s="41">
        <f>Table43[[#This Row],[Harga Jual Pcs GT
(-PPN)]]*1.11</f>
        <v>8600.0025000000005</v>
      </c>
      <c r="AS51" s="41">
        <f>Table43[[#This Row],[Harga Jual Krt GT
(- PPN)]]*1.11</f>
        <v>412800.12000000005</v>
      </c>
      <c r="AT51" s="41">
        <v>8367.57</v>
      </c>
      <c r="AU51" s="41">
        <f>(Table43[[#This Row],[Harga Jual Pcs MT
(-PPN)]]*Table43[[#This Row],[ISI/CTN]])</f>
        <v>401643.36</v>
      </c>
      <c r="AV51" s="41">
        <f>Table43[[#This Row],[Harga Jual Pcs MT
(-PPN)]]*1.11</f>
        <v>9288.0027000000009</v>
      </c>
      <c r="AW51" s="41">
        <f>Table43[[#This Row],[Harga Jual Pcs MT
(+PPN)]]*Table43[[#This Row],[ISI/CTN]]</f>
        <v>445824.12960000004</v>
      </c>
      <c r="AX51" s="41"/>
      <c r="AY51" s="46">
        <v>45553</v>
      </c>
      <c r="AZ51" s="54">
        <v>45553</v>
      </c>
      <c r="BA51" s="7" t="str">
        <f ca="1">IF(TODAY()-Table43[[#This Row],[Efektif
Pembuatan]]&gt;60,"Lama","Baru")</f>
        <v>Lama</v>
      </c>
      <c r="BB51" s="7" t="str">
        <f ca="1">IF(TODAY()-Table43[[#This Row],[Efektif Naik Harga]]&lt;30,"Naik","Sama")</f>
        <v>Sama</v>
      </c>
      <c r="BC51" s="7" t="s">
        <v>235</v>
      </c>
      <c r="BD51" s="7" t="str">
        <f>IF(Table43[[#This Row],[Kode BARANG Win2]]&lt;&gt;"","IDR","")</f>
        <v>IDR</v>
      </c>
      <c r="BE51" s="7" t="str">
        <f>CONCATENATE(Table43[[#This Row],[kode  1 Digit
(Nomor)]],Table43[[#This Row],[kode  4 Digit                (Nomor)]])</f>
        <v>10150</v>
      </c>
      <c r="BF51" s="7" t="str">
        <f>Table43[[#This Row],[Nama            Gramasi atau Jumlah Pack per CTN]]</f>
        <v>135 GR</v>
      </c>
      <c r="BG51" s="7" t="s">
        <v>653</v>
      </c>
      <c r="BH51" s="51" t="s">
        <v>654</v>
      </c>
      <c r="BI51" s="4" t="str">
        <f>IF(Table43[[#This Row],[SATUAN Fix Win]]&lt;&gt;"","KRT")</f>
        <v>KRT</v>
      </c>
      <c r="BJ51" s="4" t="str">
        <f>IF(Table43[[#This Row],[SATUAN Fix Win]]&lt;&gt;"","GD01")</f>
        <v>GD01</v>
      </c>
      <c r="BK51" s="4">
        <f>IF(Table43[[#This Row],[SATUAN Fix Win]]&lt;&gt;"",11611)</f>
        <v>11611</v>
      </c>
      <c r="BL51" s="4">
        <f>IF(Table43[[#This Row],[SATUAN Fix Win]]&lt;&gt;"",11612)</f>
        <v>11612</v>
      </c>
      <c r="BM51" s="47" t="s">
        <v>655</v>
      </c>
      <c r="BN51" s="4">
        <f>IF(Table43[[#This Row],[SATUAN Fix Win]]&lt;&gt;"",1)</f>
        <v>1</v>
      </c>
      <c r="BO51" s="4" t="s">
        <v>656</v>
      </c>
      <c r="BP51" s="4">
        <f>IFERROR(VLOOKUP(Table43[[#This Row],[Kode Pcpl]],'[1]HEINZ ABC'!$A$4:$E$112,8,0),0)</f>
        <v>0</v>
      </c>
      <c r="BQ51" s="55">
        <f>Table43[[#This Row],[Harga Jual Pcs GT
(-PPN)]]-Table43[[#This Row],[HARGA NAIK GT]]</f>
        <v>7747.75</v>
      </c>
      <c r="BR51" s="4">
        <f>IF(Table43[[#This Row],[HARGA NAIK GT]]=0,Table43[[#This Row],[Harga Jual Pcs GT
(-PPN)]],Table43[[#This Row],[HARGA NAIK GT]])</f>
        <v>7747.75</v>
      </c>
      <c r="BS51">
        <f>IFERROR(VLOOKUP(Table43[[#This Row],[Kode Pcpl]],'[1]HEINZ ABC'!$A$4:$E$112,8,0),0)</f>
        <v>0</v>
      </c>
      <c r="BT51" s="58">
        <f>Table43[[#This Row],[Harga Jual Pcs GT
(-PPN)]]-BS51</f>
        <v>7747.75</v>
      </c>
      <c r="BU51">
        <f>IF(BS51=0,Table43[[#This Row],[Harga Jual Pcs MT
(-PPN)]])</f>
        <v>8367.57</v>
      </c>
      <c r="BV51">
        <f>IFERROR(VLOOKUP(Table43[[#This Row],[Kode Pcpl]],[2]Pricelist!$A$4:$K$112,11,0),0)</f>
        <v>0</v>
      </c>
      <c r="BW51">
        <f>IFERROR(VLOOKUP(Table43[[#This Row],[Kode BARANG Win2]],[3]!RECKITT211216[[KDBRG]:[HRG_JL_PCS-PPN]],11,0),0)</f>
        <v>0</v>
      </c>
      <c r="BX51">
        <f t="shared" si="2"/>
        <v>0</v>
      </c>
    </row>
    <row r="52" spans="1:76" x14ac:dyDescent="0.25">
      <c r="A52" s="4" t="str">
        <f>CONCATENATE(Table43[[#This Row],[Kode BARANG Win2]],Table43[[#This Row],[No. Urut
Item Sama]])</f>
        <v>A10110040650101</v>
      </c>
      <c r="B52" s="7">
        <v>1</v>
      </c>
      <c r="C52" s="4">
        <v>41</v>
      </c>
      <c r="D52" s="27">
        <v>100174</v>
      </c>
      <c r="E52" s="27" t="s">
        <v>237</v>
      </c>
      <c r="F52" s="27" t="s">
        <v>271</v>
      </c>
      <c r="G52" s="27">
        <v>12</v>
      </c>
      <c r="H52" s="42">
        <v>0</v>
      </c>
      <c r="I52" s="27" t="str">
        <f>Table43[[#This Row],[Nama Jenis Kemasan]]</f>
        <v>PCH</v>
      </c>
      <c r="J52" s="4" t="str">
        <f>TRIM(CONCATENATE(Table43[[#This Row],[Nama            KLP]]," ",Table43[[#This Row],[Nama            Sub KLP]]))</f>
        <v>KECAP MANIS</v>
      </c>
      <c r="K52" s="4" t="str">
        <f>CONCATENATE(Table43[[#This Row],[kode  2 Digit                (hrf+No)]],Table43[[#This Row],[kode  2 Digit                (Nomor)]],Table43[[#This Row],[kode  1 Digit                (Nomor)]])</f>
        <v>A1011</v>
      </c>
      <c r="L52" s="4" t="str">
        <f>IF(AG52="",CONCATENATE(Q52,S52,U52,W52,Y52,AA52,AC52,AE52,Table43[[#This Row],[Tanda Kode Revisi]]),CONCATENATE(Q52,S52,U52,W52,Y52,AA52,AC52,AG52))</f>
        <v>A1011004065010</v>
      </c>
      <c r="M52" s="11">
        <f t="shared" si="0"/>
        <v>14</v>
      </c>
      <c r="N52" s="14" t="str">
        <f>IF(AF52&lt;&gt;"",TRIM(UPPER(CONCATENATE(P52," ",R52," ",T52," ",V52," ",X52," ",Z52," ","X"," ",Table43[[#This Row],[ISI/CTN]]," ",AF52," ",AB52," ",AD52," ",AH52))),TRIM(UPPER(CONCATENATE(P52," ",R52," ",T52," ",V52," ",X52," ",Z52," ","X"," ",Table43[[#This Row],[ISI/CTN]]," ",AB52," ",AD52," ",AH52))))</f>
        <v>ABC KECAP MANIS SEAFODD 650 GR X 12 PCH</v>
      </c>
      <c r="O52" s="11">
        <f t="shared" si="1"/>
        <v>39</v>
      </c>
      <c r="P52" s="4" t="s">
        <v>28</v>
      </c>
      <c r="Q52" s="7" t="s">
        <v>85</v>
      </c>
      <c r="R52" s="4" t="s">
        <v>474</v>
      </c>
      <c r="S52" s="43" t="s">
        <v>0</v>
      </c>
      <c r="T52" s="44" t="s">
        <v>475</v>
      </c>
      <c r="U52" s="7">
        <v>1</v>
      </c>
      <c r="V52" s="44"/>
      <c r="W52" s="43" t="s">
        <v>1</v>
      </c>
      <c r="X52" s="4" t="s">
        <v>515</v>
      </c>
      <c r="Y52" s="45" t="s">
        <v>220</v>
      </c>
      <c r="Z52" s="4" t="s">
        <v>513</v>
      </c>
      <c r="AA52" s="45" t="s">
        <v>514</v>
      </c>
      <c r="AB52" s="4" t="s">
        <v>479</v>
      </c>
      <c r="AC52" s="7" t="s">
        <v>480</v>
      </c>
      <c r="AE52" s="7" t="s">
        <v>1</v>
      </c>
      <c r="AI52" s="7" t="s">
        <v>215</v>
      </c>
      <c r="AJ52" s="7">
        <v>1</v>
      </c>
      <c r="AL52" s="40">
        <f>Table43[[#This Row],[Harga Jual Pcs GT
(-PPN)]]-(Table43[[#This Row],[Harga Jual Pcs GT
(-PPN)]]*6%)</f>
        <v>18800</v>
      </c>
      <c r="AM52" s="41">
        <f>Table43[[#This Row],[Harga Beli Pcs
(-PPN)]]*Table43[[#This Row],[ISI/CTN]]</f>
        <v>225600</v>
      </c>
      <c r="AN52" s="41">
        <f>Table43[[#This Row],[Harga Beli Pcs
(-PPN)]]*1.11</f>
        <v>20868.000000000004</v>
      </c>
      <c r="AO52" s="41">
        <f>Table43[[#This Row],[Harga Beli Krt
(- PPN)]]*1.11</f>
        <v>250416.00000000003</v>
      </c>
      <c r="AP52" s="41">
        <v>20000</v>
      </c>
      <c r="AQ52" s="41">
        <f>Table43[[#This Row],[Harga Jual Pcs GT
(-PPN)]]*Table43[[#This Row],[ISI/CTN]]</f>
        <v>240000</v>
      </c>
      <c r="AR52" s="41">
        <f>Table43[[#This Row],[Harga Jual Pcs GT
(-PPN)]]*1.11</f>
        <v>22200.000000000004</v>
      </c>
      <c r="AS52" s="41">
        <f>Table43[[#This Row],[Harga Jual Krt GT
(- PPN)]]*1.11</f>
        <v>266400</v>
      </c>
      <c r="AT52" s="41">
        <v>21600</v>
      </c>
      <c r="AU52" s="41">
        <f>(Table43[[#This Row],[Harga Jual Pcs MT
(-PPN)]]*Table43[[#This Row],[ISI/CTN]])</f>
        <v>259200</v>
      </c>
      <c r="AV52" s="41">
        <f>Table43[[#This Row],[Harga Jual Pcs MT
(-PPN)]]*1.11</f>
        <v>23976.000000000004</v>
      </c>
      <c r="AW52" s="41">
        <f>Table43[[#This Row],[Harga Jual Pcs MT
(+PPN)]]*Table43[[#This Row],[ISI/CTN]]</f>
        <v>287712.00000000006</v>
      </c>
      <c r="AX52" s="41"/>
      <c r="AY52" s="46">
        <v>45553</v>
      </c>
      <c r="AZ52" s="54">
        <v>45553</v>
      </c>
      <c r="BA52" s="7" t="str">
        <f ca="1">IF(TODAY()-Table43[[#This Row],[Efektif
Pembuatan]]&gt;60,"Lama","Baru")</f>
        <v>Lama</v>
      </c>
      <c r="BB52" s="7" t="str">
        <f ca="1">IF(TODAY()-Table43[[#This Row],[Efektif Naik Harga]]&lt;30,"Naik","Sama")</f>
        <v>Sama</v>
      </c>
      <c r="BC52" s="7" t="s">
        <v>235</v>
      </c>
      <c r="BD52" s="7" t="str">
        <f>IF(Table43[[#This Row],[Kode BARANG Win2]]&lt;&gt;"","IDR","")</f>
        <v>IDR</v>
      </c>
      <c r="BE52" s="7" t="str">
        <f>CONCATENATE(Table43[[#This Row],[kode  1 Digit
(Nomor)]],Table43[[#This Row],[kode  4 Digit                (Nomor)]])</f>
        <v>10650</v>
      </c>
      <c r="BF52" s="7" t="str">
        <f>Table43[[#This Row],[Nama            Gramasi atau Jumlah Pack per CTN]]</f>
        <v>650 GR</v>
      </c>
      <c r="BG52" s="7" t="s">
        <v>653</v>
      </c>
      <c r="BH52" s="51" t="s">
        <v>654</v>
      </c>
      <c r="BI52" s="4" t="str">
        <f>IF(Table43[[#This Row],[SATUAN Fix Win]]&lt;&gt;"","KRT")</f>
        <v>KRT</v>
      </c>
      <c r="BJ52" s="4" t="str">
        <f>IF(Table43[[#This Row],[SATUAN Fix Win]]&lt;&gt;"","GD01")</f>
        <v>GD01</v>
      </c>
      <c r="BK52" s="4">
        <f>IF(Table43[[#This Row],[SATUAN Fix Win]]&lt;&gt;"",11611)</f>
        <v>11611</v>
      </c>
      <c r="BL52" s="4">
        <f>IF(Table43[[#This Row],[SATUAN Fix Win]]&lt;&gt;"",11612)</f>
        <v>11612</v>
      </c>
      <c r="BM52" s="47" t="s">
        <v>655</v>
      </c>
      <c r="BN52" s="4">
        <f>IF(Table43[[#This Row],[SATUAN Fix Win]]&lt;&gt;"",1)</f>
        <v>1</v>
      </c>
      <c r="BO52" s="4" t="s">
        <v>656</v>
      </c>
      <c r="BP52" s="4">
        <f>IFERROR(VLOOKUP(Table43[[#This Row],[Kode Pcpl]],'[1]HEINZ ABC'!$A$4:$E$112,8,0),0)</f>
        <v>0</v>
      </c>
      <c r="BQ52" s="55">
        <f>Table43[[#This Row],[Harga Jual Pcs GT
(-PPN)]]-Table43[[#This Row],[HARGA NAIK GT]]</f>
        <v>20000</v>
      </c>
      <c r="BR52" s="4">
        <f>IF(Table43[[#This Row],[HARGA NAIK GT]]=0,Table43[[#This Row],[Harga Jual Pcs GT
(-PPN)]],Table43[[#This Row],[HARGA NAIK GT]])</f>
        <v>20000</v>
      </c>
      <c r="BS52">
        <f>IFERROR(VLOOKUP(Table43[[#This Row],[Kode Pcpl]],'[1]HEINZ ABC'!$A$4:$E$112,8,0),0)</f>
        <v>0</v>
      </c>
      <c r="BT52" s="58">
        <f>Table43[[#This Row],[Harga Jual Pcs GT
(-PPN)]]-BS52</f>
        <v>20000</v>
      </c>
      <c r="BU52">
        <f>IF(BS52=0,Table43[[#This Row],[Harga Jual Pcs MT
(-PPN)]])</f>
        <v>21600</v>
      </c>
      <c r="BV52">
        <f>IFERROR(VLOOKUP(Table43[[#This Row],[Kode Pcpl]],[2]Pricelist!$A$4:$K$112,11,0),0)</f>
        <v>0</v>
      </c>
      <c r="BW52">
        <f>IFERROR(VLOOKUP(Table43[[#This Row],[Kode BARANG Win2]],[3]!RECKITT211216[[KDBRG]:[HRG_JL_PCS-PPN]],11,0),0)</f>
        <v>0</v>
      </c>
      <c r="BX52">
        <f t="shared" si="2"/>
        <v>0</v>
      </c>
    </row>
    <row r="53" spans="1:76" x14ac:dyDescent="0.25">
      <c r="A53" s="4" t="str">
        <f>CONCATENATE(Table43[[#This Row],[Kode BARANG Win2]],Table43[[#This Row],[No. Urut
Item Sama]])</f>
        <v>A10110050135101</v>
      </c>
      <c r="B53" s="7">
        <v>1</v>
      </c>
      <c r="C53" s="4">
        <v>42</v>
      </c>
      <c r="D53" s="27">
        <v>100192</v>
      </c>
      <c r="E53" s="27" t="s">
        <v>237</v>
      </c>
      <c r="F53" s="27" t="s">
        <v>273</v>
      </c>
      <c r="G53" s="27">
        <v>48</v>
      </c>
      <c r="H53" s="42" t="s">
        <v>2744</v>
      </c>
      <c r="I53" s="27" t="str">
        <f>Table43[[#This Row],[Nama Jenis Kemasan]]</f>
        <v>BTL</v>
      </c>
      <c r="J53" s="4" t="str">
        <f>TRIM(CONCATENATE(Table43[[#This Row],[Nama            KLP]]," ",Table43[[#This Row],[Nama            Sub KLP]]))</f>
        <v>KECAP MANIS</v>
      </c>
      <c r="K53" s="4" t="str">
        <f>CONCATENATE(Table43[[#This Row],[kode  2 Digit                (hrf+No)]],Table43[[#This Row],[kode  2 Digit                (Nomor)]],Table43[[#This Row],[kode  1 Digit                (Nomor)]])</f>
        <v>A1011</v>
      </c>
      <c r="L53" s="4" t="str">
        <f>IF(AG53="",CONCATENATE(Q53,S53,U53,W53,Y53,AA53,AC53,AE53,Table43[[#This Row],[Tanda Kode Revisi]]),CONCATENATE(Q53,S53,U53,W53,Y53,AA53,AC53,AG53))</f>
        <v>A1011005013510</v>
      </c>
      <c r="M53" s="11">
        <f t="shared" si="0"/>
        <v>14</v>
      </c>
      <c r="N53" s="14" t="str">
        <f>IF(AF53&lt;&gt;"",TRIM(UPPER(CONCATENATE(P53," ",R53," ",T53," ",V53," ",X53," ",Z53," ","X"," ",Table43[[#This Row],[ISI/CTN]]," ",AF53," ",AB53," ",AD53," ",AH53))),TRIM(UPPER(CONCATENATE(P53," ",R53," ",T53," ",V53," ",X53," ",Z53," ","X"," ",Table43[[#This Row],[ISI/CTN]]," ",AB53," ",AD53," ",AH53))))</f>
        <v>ABC KECAP MANIS PEDAS 135 ML X 48 BTL</v>
      </c>
      <c r="O53" s="11">
        <f t="shared" si="1"/>
        <v>37</v>
      </c>
      <c r="P53" s="4" t="s">
        <v>28</v>
      </c>
      <c r="Q53" s="7" t="s">
        <v>85</v>
      </c>
      <c r="R53" s="4" t="s">
        <v>474</v>
      </c>
      <c r="S53" s="43" t="s">
        <v>0</v>
      </c>
      <c r="T53" s="44" t="s">
        <v>475</v>
      </c>
      <c r="U53" s="7">
        <v>1</v>
      </c>
      <c r="V53" s="44"/>
      <c r="W53" s="43" t="s">
        <v>1</v>
      </c>
      <c r="X53" s="4" t="s">
        <v>518</v>
      </c>
      <c r="Y53" s="45" t="s">
        <v>223</v>
      </c>
      <c r="Z53" s="4" t="s">
        <v>484</v>
      </c>
      <c r="AA53" s="45" t="s">
        <v>487</v>
      </c>
      <c r="AB53" s="4" t="s">
        <v>486</v>
      </c>
      <c r="AC53" s="7" t="s">
        <v>480</v>
      </c>
      <c r="AE53" s="7">
        <v>0</v>
      </c>
      <c r="AI53" s="7" t="s">
        <v>214</v>
      </c>
      <c r="AJ53" s="7">
        <v>2</v>
      </c>
      <c r="AL53" s="40">
        <f>Table43[[#This Row],[Harga Jual Pcs GT
(-PPN)]]-(Table43[[#This Row],[Harga Jual Pcs GT
(-PPN)]]*6%)</f>
        <v>8807.2078000000001</v>
      </c>
      <c r="AM53" s="41">
        <f>Table43[[#This Row],[Harga Beli Pcs
(-PPN)]]*Table43[[#This Row],[ISI/CTN]]</f>
        <v>422745.97440000001</v>
      </c>
      <c r="AN53" s="41">
        <f>Table43[[#This Row],[Harga Beli Pcs
(-PPN)]]*1.11</f>
        <v>9776.0006580000008</v>
      </c>
      <c r="AO53" s="41">
        <f>Table43[[#This Row],[Harga Beli Krt
(- PPN)]]*1.11</f>
        <v>469248.03158400004</v>
      </c>
      <c r="AP53" s="41">
        <v>9369.3700000000008</v>
      </c>
      <c r="AQ53" s="41">
        <f>Table43[[#This Row],[Harga Jual Pcs GT
(-PPN)]]*Table43[[#This Row],[ISI/CTN]]</f>
        <v>449729.76</v>
      </c>
      <c r="AR53" s="41">
        <f>Table43[[#This Row],[Harga Jual Pcs GT
(-PPN)]]*1.11</f>
        <v>10400.000700000002</v>
      </c>
      <c r="AS53" s="41">
        <f>Table43[[#This Row],[Harga Jual Krt GT
(- PPN)]]*1.11</f>
        <v>499200.03360000008</v>
      </c>
      <c r="AT53" s="41">
        <v>10118.92</v>
      </c>
      <c r="AU53" s="41">
        <f>(Table43[[#This Row],[Harga Jual Pcs MT
(-PPN)]]*Table43[[#This Row],[ISI/CTN]])</f>
        <v>485708.16000000003</v>
      </c>
      <c r="AV53" s="41">
        <f>Table43[[#This Row],[Harga Jual Pcs MT
(-PPN)]]*1.11</f>
        <v>11232.001200000001</v>
      </c>
      <c r="AW53" s="41">
        <f>Table43[[#This Row],[Harga Jual Pcs MT
(+PPN)]]*Table43[[#This Row],[ISI/CTN]]</f>
        <v>539136.05760000006</v>
      </c>
      <c r="AX53" s="41"/>
      <c r="AY53" s="46">
        <v>45553</v>
      </c>
      <c r="AZ53" s="54">
        <v>45553</v>
      </c>
      <c r="BA53" s="7" t="str">
        <f ca="1">IF(TODAY()-Table43[[#This Row],[Efektif
Pembuatan]]&gt;60,"Lama","Baru")</f>
        <v>Lama</v>
      </c>
      <c r="BB53" s="7" t="str">
        <f ca="1">IF(TODAY()-Table43[[#This Row],[Efektif Naik Harga]]&lt;30,"Naik","Sama")</f>
        <v>Sama</v>
      </c>
      <c r="BC53" s="7" t="s">
        <v>235</v>
      </c>
      <c r="BD53" s="7" t="str">
        <f>IF(Table43[[#This Row],[Kode BARANG Win2]]&lt;&gt;"","IDR","")</f>
        <v>IDR</v>
      </c>
      <c r="BE53" s="7" t="str">
        <f>CONCATENATE(Table43[[#This Row],[kode  1 Digit
(Nomor)]],Table43[[#This Row],[kode  4 Digit                (Nomor)]])</f>
        <v>20135</v>
      </c>
      <c r="BF53" s="7" t="str">
        <f>Table43[[#This Row],[Nama            Gramasi atau Jumlah Pack per CTN]]</f>
        <v>135 ML</v>
      </c>
      <c r="BG53" s="7" t="s">
        <v>653</v>
      </c>
      <c r="BH53" s="51" t="s">
        <v>654</v>
      </c>
      <c r="BI53" s="4" t="str">
        <f>IF(Table43[[#This Row],[SATUAN Fix Win]]&lt;&gt;"","KRT")</f>
        <v>KRT</v>
      </c>
      <c r="BJ53" s="4" t="str">
        <f>IF(Table43[[#This Row],[SATUAN Fix Win]]&lt;&gt;"","GD01")</f>
        <v>GD01</v>
      </c>
      <c r="BK53" s="4">
        <f>IF(Table43[[#This Row],[SATUAN Fix Win]]&lt;&gt;"",11611)</f>
        <v>11611</v>
      </c>
      <c r="BL53" s="4">
        <f>IF(Table43[[#This Row],[SATUAN Fix Win]]&lt;&gt;"",11612)</f>
        <v>11612</v>
      </c>
      <c r="BM53" s="47" t="s">
        <v>655</v>
      </c>
      <c r="BN53" s="4">
        <f>IF(Table43[[#This Row],[SATUAN Fix Win]]&lt;&gt;"",1)</f>
        <v>1</v>
      </c>
      <c r="BO53" s="4" t="s">
        <v>656</v>
      </c>
      <c r="BP53" s="4">
        <f>IFERROR(VLOOKUP(Table43[[#This Row],[Kode Pcpl]],'[1]HEINZ ABC'!$A$4:$E$112,8,0),0)</f>
        <v>0</v>
      </c>
      <c r="BQ53" s="55">
        <f>Table43[[#This Row],[Harga Jual Pcs GT
(-PPN)]]-Table43[[#This Row],[HARGA NAIK GT]]</f>
        <v>9369.3700000000008</v>
      </c>
      <c r="BR53" s="4">
        <f>IF(Table43[[#This Row],[HARGA NAIK GT]]=0,Table43[[#This Row],[Harga Jual Pcs GT
(-PPN)]],Table43[[#This Row],[HARGA NAIK GT]])</f>
        <v>9369.3700000000008</v>
      </c>
      <c r="BS53">
        <f>IFERROR(VLOOKUP(Table43[[#This Row],[Kode Pcpl]],'[1]HEINZ ABC'!$A$4:$E$112,8,0),0)</f>
        <v>0</v>
      </c>
      <c r="BT53" s="58">
        <f>Table43[[#This Row],[Harga Jual Pcs GT
(-PPN)]]-BS53</f>
        <v>9369.3700000000008</v>
      </c>
      <c r="BU53">
        <f>IF(BS53=0,Table43[[#This Row],[Harga Jual Pcs MT
(-PPN)]])</f>
        <v>10118.92</v>
      </c>
      <c r="BV53">
        <f>IFERROR(VLOOKUP(Table43[[#This Row],[Kode Pcpl]],[2]Pricelist!$A$4:$K$112,11,0),0)</f>
        <v>0</v>
      </c>
      <c r="BW53">
        <f>IFERROR(VLOOKUP(Table43[[#This Row],[Kode BARANG Win2]],[3]!RECKITT211216[[KDBRG]:[HRG_JL_PCS-PPN]],11,0),0)</f>
        <v>0</v>
      </c>
      <c r="BX53">
        <f t="shared" si="2"/>
        <v>0</v>
      </c>
    </row>
    <row r="54" spans="1:76" x14ac:dyDescent="0.25">
      <c r="A54" s="4" t="str">
        <f>CONCATENATE(Table43[[#This Row],[Kode BARANG Win2]],Table43[[#This Row],[No. Urut
Item Sama]])</f>
        <v>A10110050135102</v>
      </c>
      <c r="B54" s="7">
        <v>2</v>
      </c>
      <c r="C54" s="4">
        <v>43</v>
      </c>
      <c r="D54" s="27">
        <v>100201</v>
      </c>
      <c r="E54" s="27" t="s">
        <v>237</v>
      </c>
      <c r="F54" s="27" t="s">
        <v>274</v>
      </c>
      <c r="G54" s="27">
        <v>48</v>
      </c>
      <c r="H54" s="42" t="s">
        <v>2718</v>
      </c>
      <c r="I54" s="27" t="str">
        <f>Table43[[#This Row],[Nama Jenis Kemasan]]</f>
        <v>BTL</v>
      </c>
      <c r="J54" s="4" t="str">
        <f>TRIM(CONCATENATE(Table43[[#This Row],[Nama            KLP]]," ",Table43[[#This Row],[Nama            Sub KLP]]))</f>
        <v>KECAP MANIS</v>
      </c>
      <c r="K54" s="4" t="str">
        <f>CONCATENATE(Table43[[#This Row],[kode  2 Digit                (hrf+No)]],Table43[[#This Row],[kode  2 Digit                (Nomor)]],Table43[[#This Row],[kode  1 Digit                (Nomor)]])</f>
        <v>A1011</v>
      </c>
      <c r="L54" s="4" t="str">
        <f>IF(AG54="",CONCATENATE(Q54,S54,U54,W54,Y54,AA54,AC54,AE54,Table43[[#This Row],[Tanda Kode Revisi]]),CONCATENATE(Q54,S54,U54,W54,Y54,AA54,AC54,AG54))</f>
        <v>A1011005013510</v>
      </c>
      <c r="M54" s="11">
        <f t="shared" si="0"/>
        <v>14</v>
      </c>
      <c r="N54" s="14" t="str">
        <f>IF(AF54&lt;&gt;"",TRIM(UPPER(CONCATENATE(P54," ",R54," ",T54," ",V54," ",X54," ",Z54," ","X"," ",Table43[[#This Row],[ISI/CTN]]," ",AF54," ",AB54," ",AD54," ",AH54))),TRIM(UPPER(CONCATENATE(P54," ",R54," ",T54," ",V54," ",X54," ",Z54," ","X"," ",Table43[[#This Row],[ISI/CTN]]," ",AB54," ",AD54," ",AH54))))</f>
        <v>ABC KECAP MANIS PEDAS 135 ML X 48 BTL</v>
      </c>
      <c r="O54" s="11">
        <f t="shared" si="1"/>
        <v>37</v>
      </c>
      <c r="P54" s="4" t="s">
        <v>28</v>
      </c>
      <c r="Q54" s="7" t="s">
        <v>85</v>
      </c>
      <c r="R54" s="4" t="s">
        <v>474</v>
      </c>
      <c r="S54" s="43" t="s">
        <v>0</v>
      </c>
      <c r="T54" s="44" t="s">
        <v>475</v>
      </c>
      <c r="U54" s="7">
        <v>1</v>
      </c>
      <c r="V54" s="44"/>
      <c r="W54" s="43" t="s">
        <v>1</v>
      </c>
      <c r="X54" s="4" t="s">
        <v>518</v>
      </c>
      <c r="Y54" s="45" t="s">
        <v>223</v>
      </c>
      <c r="Z54" s="4" t="s">
        <v>484</v>
      </c>
      <c r="AA54" s="45" t="s">
        <v>487</v>
      </c>
      <c r="AB54" s="4" t="s">
        <v>486</v>
      </c>
      <c r="AC54" s="7" t="s">
        <v>480</v>
      </c>
      <c r="AE54" s="7">
        <v>0</v>
      </c>
      <c r="AI54" s="7" t="s">
        <v>214</v>
      </c>
      <c r="AJ54" s="7">
        <v>2</v>
      </c>
      <c r="AL54" s="40">
        <f>Table43[[#This Row],[Harga Jual Pcs GT
(-PPN)]]-(Table43[[#This Row],[Harga Jual Pcs GT
(-PPN)]]*6%)</f>
        <v>8807.2078000000001</v>
      </c>
      <c r="AM54" s="41">
        <f>Table43[[#This Row],[Harga Beli Pcs
(-PPN)]]*Table43[[#This Row],[ISI/CTN]]</f>
        <v>422745.97440000001</v>
      </c>
      <c r="AN54" s="41">
        <f>Table43[[#This Row],[Harga Beli Pcs
(-PPN)]]*1.11</f>
        <v>9776.0006580000008</v>
      </c>
      <c r="AO54" s="41">
        <f>Table43[[#This Row],[Harga Beli Krt
(- PPN)]]*1.11</f>
        <v>469248.03158400004</v>
      </c>
      <c r="AP54" s="41">
        <v>9369.3700000000008</v>
      </c>
      <c r="AQ54" s="41">
        <f>Table43[[#This Row],[Harga Jual Pcs GT
(-PPN)]]*Table43[[#This Row],[ISI/CTN]]</f>
        <v>449729.76</v>
      </c>
      <c r="AR54" s="41">
        <f>Table43[[#This Row],[Harga Jual Pcs GT
(-PPN)]]*1.11</f>
        <v>10400.000700000002</v>
      </c>
      <c r="AS54" s="41">
        <f>Table43[[#This Row],[Harga Jual Krt GT
(- PPN)]]*1.11</f>
        <v>499200.03360000008</v>
      </c>
      <c r="AT54" s="41">
        <v>10118.92</v>
      </c>
      <c r="AU54" s="41">
        <f>(Table43[[#This Row],[Harga Jual Pcs MT
(-PPN)]]*Table43[[#This Row],[ISI/CTN]])</f>
        <v>485708.16000000003</v>
      </c>
      <c r="AV54" s="41">
        <f>Table43[[#This Row],[Harga Jual Pcs MT
(-PPN)]]*1.11</f>
        <v>11232.001200000001</v>
      </c>
      <c r="AW54" s="41">
        <f>Table43[[#This Row],[Harga Jual Pcs MT
(+PPN)]]*Table43[[#This Row],[ISI/CTN]]</f>
        <v>539136.05760000006</v>
      </c>
      <c r="AX54" s="41"/>
      <c r="AY54" s="46">
        <v>45553</v>
      </c>
      <c r="AZ54" s="54">
        <v>45553</v>
      </c>
      <c r="BA54" s="7" t="str">
        <f ca="1">IF(TODAY()-Table43[[#This Row],[Efektif
Pembuatan]]&gt;60,"Lama","Baru")</f>
        <v>Lama</v>
      </c>
      <c r="BB54" s="7" t="str">
        <f ca="1">IF(TODAY()-Table43[[#This Row],[Efektif Naik Harga]]&lt;30,"Naik","Sama")</f>
        <v>Sama</v>
      </c>
      <c r="BC54" s="7" t="s">
        <v>235</v>
      </c>
      <c r="BD54" s="7" t="str">
        <f>IF(Table43[[#This Row],[Kode BARANG Win2]]&lt;&gt;"","IDR","")</f>
        <v>IDR</v>
      </c>
      <c r="BE54" s="7" t="str">
        <f>CONCATENATE(Table43[[#This Row],[kode  1 Digit
(Nomor)]],Table43[[#This Row],[kode  4 Digit                (Nomor)]])</f>
        <v>20135</v>
      </c>
      <c r="BF54" s="7" t="str">
        <f>Table43[[#This Row],[Nama            Gramasi atau Jumlah Pack per CTN]]</f>
        <v>135 ML</v>
      </c>
      <c r="BG54" s="7" t="s">
        <v>653</v>
      </c>
      <c r="BH54" s="51" t="s">
        <v>654</v>
      </c>
      <c r="BI54" s="4" t="str">
        <f>IF(Table43[[#This Row],[SATUAN Fix Win]]&lt;&gt;"","KRT")</f>
        <v>KRT</v>
      </c>
      <c r="BJ54" s="4" t="str">
        <f>IF(Table43[[#This Row],[SATUAN Fix Win]]&lt;&gt;"","GD01")</f>
        <v>GD01</v>
      </c>
      <c r="BK54" s="4">
        <f>IF(Table43[[#This Row],[SATUAN Fix Win]]&lt;&gt;"",11611)</f>
        <v>11611</v>
      </c>
      <c r="BL54" s="4">
        <f>IF(Table43[[#This Row],[SATUAN Fix Win]]&lt;&gt;"",11612)</f>
        <v>11612</v>
      </c>
      <c r="BM54" s="47" t="s">
        <v>655</v>
      </c>
      <c r="BN54" s="4">
        <f>IF(Table43[[#This Row],[SATUAN Fix Win]]&lt;&gt;"",1)</f>
        <v>1</v>
      </c>
      <c r="BO54" s="4" t="s">
        <v>656</v>
      </c>
      <c r="BP54" s="4">
        <f>IFERROR(VLOOKUP(Table43[[#This Row],[Kode Pcpl]],'[1]HEINZ ABC'!$A$4:$E$112,8,0),0)</f>
        <v>0</v>
      </c>
      <c r="BQ54" s="55">
        <f>Table43[[#This Row],[Harga Jual Pcs GT
(-PPN)]]-Table43[[#This Row],[HARGA NAIK GT]]</f>
        <v>9369.3700000000008</v>
      </c>
      <c r="BR54" s="4">
        <f>IF(Table43[[#This Row],[HARGA NAIK GT]]=0,Table43[[#This Row],[Harga Jual Pcs GT
(-PPN)]],Table43[[#This Row],[HARGA NAIK GT]])</f>
        <v>9369.3700000000008</v>
      </c>
      <c r="BS54">
        <f>IFERROR(VLOOKUP(Table43[[#This Row],[Kode Pcpl]],'[1]HEINZ ABC'!$A$4:$E$112,8,0),0)</f>
        <v>0</v>
      </c>
      <c r="BT54" s="58">
        <f>Table43[[#This Row],[Harga Jual Pcs GT
(-PPN)]]-BS54</f>
        <v>9369.3700000000008</v>
      </c>
      <c r="BU54">
        <f>IF(BS54=0,Table43[[#This Row],[Harga Jual Pcs MT
(-PPN)]])</f>
        <v>10118.92</v>
      </c>
      <c r="BV54">
        <f>IFERROR(VLOOKUP(Table43[[#This Row],[Kode Pcpl]],[2]Pricelist!$A$4:$K$112,11,0),0)</f>
        <v>0</v>
      </c>
      <c r="BW54">
        <f>IFERROR(VLOOKUP(Table43[[#This Row],[Kode BARANG Win2]],[3]!RECKITT211216[[KDBRG]:[HRG_JL_PCS-PPN]],11,0),0)</f>
        <v>0</v>
      </c>
      <c r="BX54">
        <f t="shared" si="2"/>
        <v>0</v>
      </c>
    </row>
    <row r="55" spans="1:76" x14ac:dyDescent="0.25">
      <c r="A55" s="4" t="str">
        <f>CONCATENATE(Table43[[#This Row],[Kode BARANG Win2]],Table43[[#This Row],[No. Urut
Item Sama]])</f>
        <v>A10110050275101</v>
      </c>
      <c r="B55" s="7">
        <v>1</v>
      </c>
      <c r="C55" s="4">
        <v>44</v>
      </c>
      <c r="D55" s="27">
        <v>100193</v>
      </c>
      <c r="E55" s="27" t="s">
        <v>237</v>
      </c>
      <c r="F55" s="27" t="s">
        <v>275</v>
      </c>
      <c r="G55" s="27">
        <v>24</v>
      </c>
      <c r="H55" s="42" t="s">
        <v>2743</v>
      </c>
      <c r="I55" s="27" t="str">
        <f>Table43[[#This Row],[Nama Jenis Kemasan]]</f>
        <v>BTL</v>
      </c>
      <c r="J55" s="4" t="str">
        <f>TRIM(CONCATENATE(Table43[[#This Row],[Nama            KLP]]," ",Table43[[#This Row],[Nama            Sub KLP]]))</f>
        <v>KECAP MANIS</v>
      </c>
      <c r="K55" s="4" t="str">
        <f>CONCATENATE(Table43[[#This Row],[kode  2 Digit                (hrf+No)]],Table43[[#This Row],[kode  2 Digit                (Nomor)]],Table43[[#This Row],[kode  1 Digit                (Nomor)]])</f>
        <v>A1011</v>
      </c>
      <c r="L55" s="4" t="str">
        <f>IF(AG55="",CONCATENATE(Q55,S55,U55,W55,Y55,AA55,AC55,AE55,Table43[[#This Row],[Tanda Kode Revisi]]),CONCATENATE(Q55,S55,U55,W55,Y55,AA55,AC55,AG55))</f>
        <v>A1011005027510</v>
      </c>
      <c r="M55" s="11">
        <f t="shared" si="0"/>
        <v>14</v>
      </c>
      <c r="N55" s="14" t="str">
        <f>IF(AF55&lt;&gt;"",TRIM(UPPER(CONCATENATE(P55," ",R55," ",T55," ",V55," ",X55," ",Z55," ","X"," ",Table43[[#This Row],[ISI/CTN]]," ",AF55," ",AB55," ",AD55," ",AH55))),TRIM(UPPER(CONCATENATE(P55," ",R55," ",T55," ",V55," ",X55," ",Z55," ","X"," ",Table43[[#This Row],[ISI/CTN]]," ",AB55," ",AD55," ",AH55))))</f>
        <v>ABC KECAP MANIS PEDAS 275 ML X 24 BTL</v>
      </c>
      <c r="O55" s="11">
        <f t="shared" si="1"/>
        <v>37</v>
      </c>
      <c r="P55" s="4" t="s">
        <v>28</v>
      </c>
      <c r="Q55" s="7" t="s">
        <v>85</v>
      </c>
      <c r="R55" s="4" t="s">
        <v>474</v>
      </c>
      <c r="S55" s="43" t="s">
        <v>0</v>
      </c>
      <c r="T55" s="44" t="s">
        <v>475</v>
      </c>
      <c r="U55" s="7">
        <v>1</v>
      </c>
      <c r="V55" s="44"/>
      <c r="W55" s="43" t="s">
        <v>1</v>
      </c>
      <c r="X55" s="4" t="s">
        <v>518</v>
      </c>
      <c r="Y55" s="45" t="s">
        <v>223</v>
      </c>
      <c r="Z55" s="4" t="s">
        <v>490</v>
      </c>
      <c r="AA55" s="45" t="s">
        <v>491</v>
      </c>
      <c r="AB55" s="4" t="s">
        <v>486</v>
      </c>
      <c r="AC55" s="7" t="s">
        <v>480</v>
      </c>
      <c r="AE55" s="7" t="s">
        <v>1</v>
      </c>
      <c r="AI55" s="7" t="s">
        <v>214</v>
      </c>
      <c r="AJ55" s="7">
        <v>2</v>
      </c>
      <c r="AL55" s="40">
        <f>Table43[[#This Row],[Harga Jual Pcs GT
(-PPN)]]-(Table43[[#This Row],[Harga Jual Pcs GT
(-PPN)]]*6%)</f>
        <v>15649.731000000002</v>
      </c>
      <c r="AM55" s="41">
        <f>Table43[[#This Row],[Harga Beli Pcs
(-PPN)]]*Table43[[#This Row],[ISI/CTN]]</f>
        <v>375593.54400000005</v>
      </c>
      <c r="AN55" s="41">
        <f>Table43[[#This Row],[Harga Beli Pcs
(-PPN)]]*1.11</f>
        <v>17371.201410000001</v>
      </c>
      <c r="AO55" s="41">
        <f>Table43[[#This Row],[Harga Beli Krt
(- PPN)]]*1.11</f>
        <v>416908.83384000009</v>
      </c>
      <c r="AP55" s="41">
        <v>16648.650000000001</v>
      </c>
      <c r="AQ55" s="41">
        <f>Table43[[#This Row],[Harga Jual Pcs GT
(-PPN)]]*Table43[[#This Row],[ISI/CTN]]</f>
        <v>399567.60000000003</v>
      </c>
      <c r="AR55" s="41">
        <f>Table43[[#This Row],[Harga Jual Pcs GT
(-PPN)]]*1.11</f>
        <v>18480.001500000002</v>
      </c>
      <c r="AS55" s="41">
        <f>Table43[[#This Row],[Harga Jual Krt GT
(- PPN)]]*1.11</f>
        <v>443520.03600000008</v>
      </c>
      <c r="AT55" s="41">
        <v>17980.54</v>
      </c>
      <c r="AU55" s="41">
        <f>(Table43[[#This Row],[Harga Jual Pcs MT
(-PPN)]]*Table43[[#This Row],[ISI/CTN]])</f>
        <v>431532.96</v>
      </c>
      <c r="AV55" s="41">
        <f>Table43[[#This Row],[Harga Jual Pcs MT
(-PPN)]]*1.11</f>
        <v>19958.399400000002</v>
      </c>
      <c r="AW55" s="41">
        <f>Table43[[#This Row],[Harga Jual Pcs MT
(+PPN)]]*Table43[[#This Row],[ISI/CTN]]</f>
        <v>479001.58560000005</v>
      </c>
      <c r="AX55" s="41"/>
      <c r="AY55" s="46">
        <v>45553</v>
      </c>
      <c r="AZ55" s="54">
        <v>45553</v>
      </c>
      <c r="BA55" s="7" t="str">
        <f ca="1">IF(TODAY()-Table43[[#This Row],[Efektif
Pembuatan]]&gt;60,"Lama","Baru")</f>
        <v>Lama</v>
      </c>
      <c r="BB55" s="7" t="str">
        <f ca="1">IF(TODAY()-Table43[[#This Row],[Efektif Naik Harga]]&lt;30,"Naik","Sama")</f>
        <v>Sama</v>
      </c>
      <c r="BC55" s="7" t="s">
        <v>235</v>
      </c>
      <c r="BD55" s="7" t="str">
        <f>IF(Table43[[#This Row],[Kode BARANG Win2]]&lt;&gt;"","IDR","")</f>
        <v>IDR</v>
      </c>
      <c r="BE55" s="7" t="str">
        <f>CONCATENATE(Table43[[#This Row],[kode  1 Digit
(Nomor)]],Table43[[#This Row],[kode  4 Digit                (Nomor)]])</f>
        <v>20275</v>
      </c>
      <c r="BF55" s="7" t="str">
        <f>Table43[[#This Row],[Nama            Gramasi atau Jumlah Pack per CTN]]</f>
        <v>275 ML</v>
      </c>
      <c r="BG55" s="7" t="s">
        <v>653</v>
      </c>
      <c r="BH55" s="51" t="s">
        <v>654</v>
      </c>
      <c r="BI55" s="4" t="str">
        <f>IF(Table43[[#This Row],[SATUAN Fix Win]]&lt;&gt;"","KRT")</f>
        <v>KRT</v>
      </c>
      <c r="BJ55" s="4" t="str">
        <f>IF(Table43[[#This Row],[SATUAN Fix Win]]&lt;&gt;"","GD01")</f>
        <v>GD01</v>
      </c>
      <c r="BK55" s="4">
        <f>IF(Table43[[#This Row],[SATUAN Fix Win]]&lt;&gt;"",11611)</f>
        <v>11611</v>
      </c>
      <c r="BL55" s="4">
        <f>IF(Table43[[#This Row],[SATUAN Fix Win]]&lt;&gt;"",11612)</f>
        <v>11612</v>
      </c>
      <c r="BM55" s="47" t="s">
        <v>655</v>
      </c>
      <c r="BN55" s="4">
        <f>IF(Table43[[#This Row],[SATUAN Fix Win]]&lt;&gt;"",1)</f>
        <v>1</v>
      </c>
      <c r="BO55" s="4" t="s">
        <v>656</v>
      </c>
      <c r="BP55" s="4">
        <f>IFERROR(VLOOKUP(Table43[[#This Row],[Kode Pcpl]],'[1]HEINZ ABC'!$A$4:$E$112,8,0),0)</f>
        <v>0</v>
      </c>
      <c r="BQ55" s="55">
        <f>Table43[[#This Row],[Harga Jual Pcs GT
(-PPN)]]-Table43[[#This Row],[HARGA NAIK GT]]</f>
        <v>16648.650000000001</v>
      </c>
      <c r="BR55" s="4">
        <f>IF(Table43[[#This Row],[HARGA NAIK GT]]=0,Table43[[#This Row],[Harga Jual Pcs GT
(-PPN)]],Table43[[#This Row],[HARGA NAIK GT]])</f>
        <v>16648.650000000001</v>
      </c>
      <c r="BS55">
        <f>IFERROR(VLOOKUP(Table43[[#This Row],[Kode Pcpl]],'[1]HEINZ ABC'!$A$4:$E$112,8,0),0)</f>
        <v>0</v>
      </c>
      <c r="BT55" s="58">
        <f>Table43[[#This Row],[Harga Jual Pcs GT
(-PPN)]]-BS55</f>
        <v>16648.650000000001</v>
      </c>
      <c r="BU55">
        <f>IF(BS55=0,Table43[[#This Row],[Harga Jual Pcs MT
(-PPN)]])</f>
        <v>17980.54</v>
      </c>
      <c r="BV55">
        <f>IFERROR(VLOOKUP(Table43[[#This Row],[Kode Pcpl]],[2]Pricelist!$A$4:$K$112,11,0),0)</f>
        <v>0</v>
      </c>
      <c r="BW55">
        <f>IFERROR(VLOOKUP(Table43[[#This Row],[Kode BARANG Win2]],[3]!RECKITT211216[[KDBRG]:[HRG_JL_PCS-PPN]],11,0),0)</f>
        <v>0</v>
      </c>
      <c r="BX55">
        <f t="shared" si="2"/>
        <v>0</v>
      </c>
    </row>
    <row r="56" spans="1:76" x14ac:dyDescent="0.25">
      <c r="A56" s="4" t="str">
        <f>CONCATENATE(Table43[[#This Row],[Kode BARANG Win2]],Table43[[#This Row],[No. Urut
Item Sama]])</f>
        <v>A10110050275102</v>
      </c>
      <c r="B56" s="7">
        <v>2</v>
      </c>
      <c r="C56" s="4">
        <v>45</v>
      </c>
      <c r="D56" s="27">
        <v>100202</v>
      </c>
      <c r="E56" s="27" t="s">
        <v>237</v>
      </c>
      <c r="F56" s="27" t="s">
        <v>276</v>
      </c>
      <c r="G56" s="27">
        <v>24</v>
      </c>
      <c r="H56" s="42" t="s">
        <v>2717</v>
      </c>
      <c r="I56" s="27" t="str">
        <f>Table43[[#This Row],[Nama Jenis Kemasan]]</f>
        <v>BTL</v>
      </c>
      <c r="J56" s="4" t="str">
        <f>TRIM(CONCATENATE(Table43[[#This Row],[Nama            KLP]]," ",Table43[[#This Row],[Nama            Sub KLP]]))</f>
        <v>KECAP MANIS</v>
      </c>
      <c r="K56" s="4" t="str">
        <f>CONCATENATE(Table43[[#This Row],[kode  2 Digit                (hrf+No)]],Table43[[#This Row],[kode  2 Digit                (Nomor)]],Table43[[#This Row],[kode  1 Digit                (Nomor)]])</f>
        <v>A1011</v>
      </c>
      <c r="L56" s="4" t="str">
        <f>IF(AG56="",CONCATENATE(Q56,S56,U56,W56,Y56,AA56,AC56,AE56,Table43[[#This Row],[Tanda Kode Revisi]]),CONCATENATE(Q56,S56,U56,W56,Y56,AA56,AC56,AG56))</f>
        <v>A1011005027510</v>
      </c>
      <c r="M56" s="11">
        <f t="shared" si="0"/>
        <v>14</v>
      </c>
      <c r="N56" s="14" t="str">
        <f>IF(AF56&lt;&gt;"",TRIM(UPPER(CONCATENATE(P56," ",R56," ",T56," ",V56," ",X56," ",Z56," ","X"," ",Table43[[#This Row],[ISI/CTN]]," ",AF56," ",AB56," ",AD56," ",AH56))),TRIM(UPPER(CONCATENATE(P56," ",R56," ",T56," ",V56," ",X56," ",Z56," ","X"," ",Table43[[#This Row],[ISI/CTN]]," ",AB56," ",AD56," ",AH56))))</f>
        <v>ABC KECAP MANIS PEDAS 275 ML X 24 BTL</v>
      </c>
      <c r="O56" s="11">
        <f t="shared" si="1"/>
        <v>37</v>
      </c>
      <c r="P56" s="4" t="s">
        <v>28</v>
      </c>
      <c r="Q56" s="7" t="s">
        <v>85</v>
      </c>
      <c r="R56" s="4" t="s">
        <v>474</v>
      </c>
      <c r="S56" s="43" t="s">
        <v>0</v>
      </c>
      <c r="T56" s="44" t="s">
        <v>475</v>
      </c>
      <c r="U56" s="7">
        <v>1</v>
      </c>
      <c r="V56" s="44"/>
      <c r="W56" s="43" t="s">
        <v>1</v>
      </c>
      <c r="X56" s="4" t="s">
        <v>518</v>
      </c>
      <c r="Y56" s="45" t="s">
        <v>223</v>
      </c>
      <c r="Z56" s="4" t="s">
        <v>490</v>
      </c>
      <c r="AA56" s="45" t="s">
        <v>491</v>
      </c>
      <c r="AB56" s="4" t="s">
        <v>486</v>
      </c>
      <c r="AC56" s="7" t="s">
        <v>480</v>
      </c>
      <c r="AE56" s="7" t="s">
        <v>1</v>
      </c>
      <c r="AI56" s="7" t="s">
        <v>214</v>
      </c>
      <c r="AJ56" s="7">
        <v>2</v>
      </c>
      <c r="AL56" s="40">
        <f>Table43[[#This Row],[Harga Jual Pcs GT
(-PPN)]]-(Table43[[#This Row],[Harga Jual Pcs GT
(-PPN)]]*6%)</f>
        <v>15649.731000000002</v>
      </c>
      <c r="AM56" s="41">
        <f>Table43[[#This Row],[Harga Beli Pcs
(-PPN)]]*Table43[[#This Row],[ISI/CTN]]</f>
        <v>375593.54400000005</v>
      </c>
      <c r="AN56" s="41">
        <f>Table43[[#This Row],[Harga Beli Pcs
(-PPN)]]*1.11</f>
        <v>17371.201410000001</v>
      </c>
      <c r="AO56" s="41">
        <f>Table43[[#This Row],[Harga Beli Krt
(- PPN)]]*1.11</f>
        <v>416908.83384000009</v>
      </c>
      <c r="AP56" s="41">
        <v>16648.650000000001</v>
      </c>
      <c r="AQ56" s="41">
        <f>Table43[[#This Row],[Harga Jual Pcs GT
(-PPN)]]*Table43[[#This Row],[ISI/CTN]]</f>
        <v>399567.60000000003</v>
      </c>
      <c r="AR56" s="41">
        <f>Table43[[#This Row],[Harga Jual Pcs GT
(-PPN)]]*1.11</f>
        <v>18480.001500000002</v>
      </c>
      <c r="AS56" s="41">
        <f>Table43[[#This Row],[Harga Jual Krt GT
(- PPN)]]*1.11</f>
        <v>443520.03600000008</v>
      </c>
      <c r="AT56" s="41">
        <v>17980.54</v>
      </c>
      <c r="AU56" s="41">
        <f>(Table43[[#This Row],[Harga Jual Pcs MT
(-PPN)]]*Table43[[#This Row],[ISI/CTN]])</f>
        <v>431532.96</v>
      </c>
      <c r="AV56" s="41">
        <f>Table43[[#This Row],[Harga Jual Pcs MT
(-PPN)]]*1.11</f>
        <v>19958.399400000002</v>
      </c>
      <c r="AW56" s="41">
        <f>Table43[[#This Row],[Harga Jual Pcs MT
(+PPN)]]*Table43[[#This Row],[ISI/CTN]]</f>
        <v>479001.58560000005</v>
      </c>
      <c r="AX56" s="41"/>
      <c r="AY56" s="46">
        <v>45553</v>
      </c>
      <c r="AZ56" s="54">
        <v>45553</v>
      </c>
      <c r="BA56" s="7" t="str">
        <f ca="1">IF(TODAY()-Table43[[#This Row],[Efektif
Pembuatan]]&gt;60,"Lama","Baru")</f>
        <v>Lama</v>
      </c>
      <c r="BB56" s="7" t="str">
        <f ca="1">IF(TODAY()-Table43[[#This Row],[Efektif Naik Harga]]&lt;30,"Naik","Sama")</f>
        <v>Sama</v>
      </c>
      <c r="BC56" s="7" t="s">
        <v>235</v>
      </c>
      <c r="BD56" s="7" t="str">
        <f>IF(Table43[[#This Row],[Kode BARANG Win2]]&lt;&gt;"","IDR","")</f>
        <v>IDR</v>
      </c>
      <c r="BE56" s="7" t="str">
        <f>CONCATENATE(Table43[[#This Row],[kode  1 Digit
(Nomor)]],Table43[[#This Row],[kode  4 Digit                (Nomor)]])</f>
        <v>20275</v>
      </c>
      <c r="BF56" s="7" t="str">
        <f>Table43[[#This Row],[Nama            Gramasi atau Jumlah Pack per CTN]]</f>
        <v>275 ML</v>
      </c>
      <c r="BG56" s="7" t="s">
        <v>653</v>
      </c>
      <c r="BH56" s="51" t="s">
        <v>654</v>
      </c>
      <c r="BI56" s="4" t="str">
        <f>IF(Table43[[#This Row],[SATUAN Fix Win]]&lt;&gt;"","KRT")</f>
        <v>KRT</v>
      </c>
      <c r="BJ56" s="4" t="str">
        <f>IF(Table43[[#This Row],[SATUAN Fix Win]]&lt;&gt;"","GD01")</f>
        <v>GD01</v>
      </c>
      <c r="BK56" s="4">
        <f>IF(Table43[[#This Row],[SATUAN Fix Win]]&lt;&gt;"",11611)</f>
        <v>11611</v>
      </c>
      <c r="BL56" s="4">
        <f>IF(Table43[[#This Row],[SATUAN Fix Win]]&lt;&gt;"",11612)</f>
        <v>11612</v>
      </c>
      <c r="BM56" s="47" t="s">
        <v>655</v>
      </c>
      <c r="BN56" s="4">
        <f>IF(Table43[[#This Row],[SATUAN Fix Win]]&lt;&gt;"",1)</f>
        <v>1</v>
      </c>
      <c r="BO56" s="4" t="s">
        <v>656</v>
      </c>
      <c r="BP56" s="4">
        <f>IFERROR(VLOOKUP(Table43[[#This Row],[Kode Pcpl]],'[1]HEINZ ABC'!$A$4:$E$112,8,0),0)</f>
        <v>0</v>
      </c>
      <c r="BQ56" s="55">
        <f>Table43[[#This Row],[Harga Jual Pcs GT
(-PPN)]]-Table43[[#This Row],[HARGA NAIK GT]]</f>
        <v>16648.650000000001</v>
      </c>
      <c r="BR56" s="4">
        <f>IF(Table43[[#This Row],[HARGA NAIK GT]]=0,Table43[[#This Row],[Harga Jual Pcs GT
(-PPN)]],Table43[[#This Row],[HARGA NAIK GT]])</f>
        <v>16648.650000000001</v>
      </c>
      <c r="BS56">
        <f>IFERROR(VLOOKUP(Table43[[#This Row],[Kode Pcpl]],'[1]HEINZ ABC'!$A$4:$E$112,8,0),0)</f>
        <v>0</v>
      </c>
      <c r="BT56" s="58">
        <f>Table43[[#This Row],[Harga Jual Pcs GT
(-PPN)]]-BS56</f>
        <v>16648.650000000001</v>
      </c>
      <c r="BU56">
        <f>IF(BS56=0,Table43[[#This Row],[Harga Jual Pcs MT
(-PPN)]])</f>
        <v>17980.54</v>
      </c>
      <c r="BV56">
        <f>IFERROR(VLOOKUP(Table43[[#This Row],[Kode Pcpl]],[2]Pricelist!$A$4:$K$112,11,0),0)</f>
        <v>0</v>
      </c>
      <c r="BW56">
        <f>IFERROR(VLOOKUP(Table43[[#This Row],[Kode BARANG Win2]],[3]!RECKITT211216[[KDBRG]:[HRG_JL_PCS-PPN]],11,0),0)</f>
        <v>0</v>
      </c>
      <c r="BX56">
        <f t="shared" si="2"/>
        <v>0</v>
      </c>
    </row>
    <row r="57" spans="1:76" x14ac:dyDescent="0.25">
      <c r="A57" s="4" t="str">
        <f>CONCATENATE(Table43[[#This Row],[Kode BARANG Win2]],Table43[[#This Row],[No. Urut
Item Sama]])</f>
        <v>A10110050275103</v>
      </c>
      <c r="B57" s="7">
        <v>3</v>
      </c>
      <c r="C57" s="4">
        <v>46</v>
      </c>
      <c r="D57" s="27">
        <v>100231</v>
      </c>
      <c r="E57" s="27" t="s">
        <v>237</v>
      </c>
      <c r="F57" s="27" t="s">
        <v>1050</v>
      </c>
      <c r="G57" s="27">
        <v>24</v>
      </c>
      <c r="H57" s="42" t="s">
        <v>2647</v>
      </c>
      <c r="I57" s="27" t="str">
        <f>Table43[[#This Row],[Nama Jenis Kemasan]]</f>
        <v>BTL</v>
      </c>
      <c r="J57" s="4" t="str">
        <f>TRIM(CONCATENATE(Table43[[#This Row],[Nama            KLP]]," ",Table43[[#This Row],[Nama            Sub KLP]]))</f>
        <v>KECAP MANIS</v>
      </c>
      <c r="K57" s="4" t="str">
        <f>CONCATENATE(Table43[[#This Row],[kode  2 Digit                (hrf+No)]],Table43[[#This Row],[kode  2 Digit                (Nomor)]],Table43[[#This Row],[kode  1 Digit                (Nomor)]])</f>
        <v>A1011</v>
      </c>
      <c r="L57" s="4" t="str">
        <f>IF(AG57="",CONCATENATE(Q57,S57,U57,W57,Y57,AA57,AC57,AE57,Table43[[#This Row],[Tanda Kode Revisi]]),CONCATENATE(Q57,S57,U57,W57,Y57,AA57,AC57,AG57))</f>
        <v>A1011005027510</v>
      </c>
      <c r="M57" s="11">
        <f t="shared" si="0"/>
        <v>14</v>
      </c>
      <c r="N57" s="14" t="str">
        <f>IF(AF57&lt;&gt;"",TRIM(UPPER(CONCATENATE(P57," ",R57," ",T57," ",V57," ",X57," ",Z57," ","X"," ",Table43[[#This Row],[ISI/CTN]]," ",AF57," ",AB57," ",AD57," ",AH57))),TRIM(UPPER(CONCATENATE(P57," ",R57," ",T57," ",V57," ",X57," ",Z57," ","X"," ",Table43[[#This Row],[ISI/CTN]]," ",AB57," ",AD57," ",AH57))))</f>
        <v>ABC KECAP MANIS PEDAS 275 ML X 24 BTL</v>
      </c>
      <c r="O57" s="11">
        <f t="shared" si="1"/>
        <v>37</v>
      </c>
      <c r="P57" s="4" t="s">
        <v>28</v>
      </c>
      <c r="Q57" s="7" t="s">
        <v>85</v>
      </c>
      <c r="R57" s="4" t="s">
        <v>474</v>
      </c>
      <c r="S57" s="43" t="s">
        <v>0</v>
      </c>
      <c r="T57" s="44" t="s">
        <v>475</v>
      </c>
      <c r="U57" s="7">
        <v>1</v>
      </c>
      <c r="V57" s="44"/>
      <c r="W57" s="43" t="s">
        <v>1</v>
      </c>
      <c r="X57" s="4" t="s">
        <v>518</v>
      </c>
      <c r="Y57" s="45" t="s">
        <v>223</v>
      </c>
      <c r="Z57" s="4" t="s">
        <v>490</v>
      </c>
      <c r="AA57" s="45" t="s">
        <v>491</v>
      </c>
      <c r="AB57" s="4" t="s">
        <v>486</v>
      </c>
      <c r="AC57" s="7" t="s">
        <v>480</v>
      </c>
      <c r="AE57" s="7" t="s">
        <v>1</v>
      </c>
      <c r="AI57" s="7" t="s">
        <v>214</v>
      </c>
      <c r="AJ57" s="7">
        <v>2</v>
      </c>
      <c r="AL57" s="40">
        <f>Table43[[#This Row],[Harga Jual Pcs GT
(-PPN)]]-(Table43[[#This Row],[Harga Jual Pcs GT
(-PPN)]]*6%)</f>
        <v>15649.731000000002</v>
      </c>
      <c r="AM57" s="41">
        <f>Table43[[#This Row],[Harga Beli Pcs
(-PPN)]]*Table43[[#This Row],[ISI/CTN]]</f>
        <v>375593.54400000005</v>
      </c>
      <c r="AN57" s="41">
        <f>Table43[[#This Row],[Harga Beli Pcs
(-PPN)]]*1.11</f>
        <v>17371.201410000001</v>
      </c>
      <c r="AO57" s="41">
        <f>Table43[[#This Row],[Harga Beli Krt
(- PPN)]]*1.11</f>
        <v>416908.83384000009</v>
      </c>
      <c r="AP57" s="41">
        <v>16648.650000000001</v>
      </c>
      <c r="AQ57" s="41">
        <f>Table43[[#This Row],[Harga Jual Pcs GT
(-PPN)]]*Table43[[#This Row],[ISI/CTN]]</f>
        <v>399567.60000000003</v>
      </c>
      <c r="AR57" s="41">
        <f>Table43[[#This Row],[Harga Jual Pcs GT
(-PPN)]]*1.11</f>
        <v>18480.001500000002</v>
      </c>
      <c r="AS57" s="41">
        <f>Table43[[#This Row],[Harga Jual Krt GT
(- PPN)]]*1.11</f>
        <v>443520.03600000008</v>
      </c>
      <c r="AT57" s="41">
        <v>17980.54</v>
      </c>
      <c r="AU57" s="41">
        <f>(Table43[[#This Row],[Harga Jual Pcs MT
(-PPN)]]*Table43[[#This Row],[ISI/CTN]])</f>
        <v>431532.96</v>
      </c>
      <c r="AV57" s="41">
        <f>Table43[[#This Row],[Harga Jual Pcs MT
(-PPN)]]*1.11</f>
        <v>19958.399400000002</v>
      </c>
      <c r="AW57" s="41">
        <f>Table43[[#This Row],[Harga Jual Pcs MT
(+PPN)]]*Table43[[#This Row],[ISI/CTN]]</f>
        <v>479001.58560000005</v>
      </c>
      <c r="AX57" s="41"/>
      <c r="AY57" s="46">
        <v>45875</v>
      </c>
      <c r="AZ57" s="54"/>
      <c r="BA57" s="7" t="str">
        <f ca="1">IF(TODAY()-Table43[[#This Row],[Efektif
Pembuatan]]&gt;60,"Lama","Baru")</f>
        <v>Lama</v>
      </c>
      <c r="BB57" s="7" t="str">
        <f ca="1">IF(TODAY()-Table43[[#This Row],[Efektif Naik Harga]]&lt;30,"Naik","Sama")</f>
        <v>Sama</v>
      </c>
      <c r="BC57" s="7" t="s">
        <v>235</v>
      </c>
      <c r="BD57" s="7" t="str">
        <f>IF(Table43[[#This Row],[Kode BARANG Win2]]&lt;&gt;"","IDR","")</f>
        <v>IDR</v>
      </c>
      <c r="BE57" s="7" t="str">
        <f>CONCATENATE(Table43[[#This Row],[kode  1 Digit
(Nomor)]],Table43[[#This Row],[kode  4 Digit                (Nomor)]])</f>
        <v>20275</v>
      </c>
      <c r="BF57" s="7" t="str">
        <f>Table43[[#This Row],[Nama            Gramasi atau Jumlah Pack per CTN]]</f>
        <v>275 ML</v>
      </c>
      <c r="BG57" s="7"/>
      <c r="BH57" s="51"/>
      <c r="BI57" s="4" t="str">
        <f>IF(Table43[[#This Row],[SATUAN Fix Win]]&lt;&gt;"","KRT")</f>
        <v>KRT</v>
      </c>
      <c r="BJ57" s="4" t="str">
        <f>IF(Table43[[#This Row],[SATUAN Fix Win]]&lt;&gt;"","GD01")</f>
        <v>GD01</v>
      </c>
      <c r="BK57" s="4">
        <f>IF(Table43[[#This Row],[SATUAN Fix Win]]&lt;&gt;"",11611)</f>
        <v>11611</v>
      </c>
      <c r="BL57" s="4">
        <f>IF(Table43[[#This Row],[SATUAN Fix Win]]&lt;&gt;"",11612)</f>
        <v>11612</v>
      </c>
      <c r="BM57" s="47"/>
      <c r="BN57" s="4">
        <f>IF(Table43[[#This Row],[SATUAN Fix Win]]&lt;&gt;"",1)</f>
        <v>1</v>
      </c>
      <c r="BP57" s="4">
        <f>IFERROR(VLOOKUP(Table43[[#This Row],[Kode Pcpl]],'[1]HEINZ ABC'!$A$4:$E$112,8,0),0)</f>
        <v>0</v>
      </c>
      <c r="BQ57" s="55">
        <f>Table43[[#This Row],[Harga Jual Pcs GT
(-PPN)]]-Table43[[#This Row],[HARGA NAIK GT]]</f>
        <v>16648.650000000001</v>
      </c>
      <c r="BR57" s="4">
        <f>IF(Table43[[#This Row],[HARGA NAIK GT]]=0,Table43[[#This Row],[Harga Jual Pcs GT
(-PPN)]],Table43[[#This Row],[HARGA NAIK GT]])</f>
        <v>16648.650000000001</v>
      </c>
      <c r="BS57">
        <f>IFERROR(VLOOKUP(Table43[[#This Row],[Kode Pcpl]],'[1]HEINZ ABC'!$A$4:$E$112,8,0),0)</f>
        <v>0</v>
      </c>
      <c r="BT57" s="58">
        <f>Table43[[#This Row],[Harga Jual Pcs GT
(-PPN)]]-BS57</f>
        <v>16648.650000000001</v>
      </c>
      <c r="BU57">
        <f>IF(BS57=0,Table43[[#This Row],[Harga Jual Pcs MT
(-PPN)]])</f>
        <v>17980.54</v>
      </c>
      <c r="BV57">
        <f>IFERROR(VLOOKUP(Table43[[#This Row],[Kode Pcpl]],[2]Pricelist!$A$4:$K$112,11,0),0)</f>
        <v>0</v>
      </c>
      <c r="BW57">
        <f>IFERROR(VLOOKUP(Table43[[#This Row],[Kode BARANG Win2]],[3]!RECKITT211216[[KDBRG]:[HRG_JL_PCS-PPN]],11,0),0)</f>
        <v>0</v>
      </c>
      <c r="BX57">
        <f t="shared" si="2"/>
        <v>0</v>
      </c>
    </row>
    <row r="58" spans="1:76" x14ac:dyDescent="0.25">
      <c r="A58" s="4" t="str">
        <f>CONCATENATE(Table43[[#This Row],[Kode BARANG Win2]],Table43[[#This Row],[No. Urut
Item Sama]])</f>
        <v>A10110060075101</v>
      </c>
      <c r="B58" s="7">
        <v>1</v>
      </c>
      <c r="C58" s="4">
        <v>47</v>
      </c>
      <c r="D58" s="27">
        <v>100204</v>
      </c>
      <c r="E58" s="27" t="s">
        <v>237</v>
      </c>
      <c r="F58" s="27" t="s">
        <v>277</v>
      </c>
      <c r="G58" s="27">
        <v>48</v>
      </c>
      <c r="H58" s="42" t="s">
        <v>2712</v>
      </c>
      <c r="I58" s="27" t="str">
        <f>Table43[[#This Row],[Nama Jenis Kemasan]]</f>
        <v>PCH</v>
      </c>
      <c r="J58" s="4" t="str">
        <f>TRIM(CONCATENATE(Table43[[#This Row],[Nama            KLP]]," ",Table43[[#This Row],[Nama            Sub KLP]]))</f>
        <v>KECAP MANIS</v>
      </c>
      <c r="K58" s="4" t="str">
        <f>CONCATENATE(Table43[[#This Row],[kode  2 Digit                (hrf+No)]],Table43[[#This Row],[kode  2 Digit                (Nomor)]],Table43[[#This Row],[kode  1 Digit                (Nomor)]])</f>
        <v>A1011</v>
      </c>
      <c r="L58" s="4" t="str">
        <f>IF(AG58="",CONCATENATE(Q58,S58,U58,W58,Y58,AA58,AC58,AE58,Table43[[#This Row],[Tanda Kode Revisi]]),CONCATENATE(Q58,S58,U58,W58,Y58,AA58,AC58,AG58))</f>
        <v>A1011006007510</v>
      </c>
      <c r="M58" s="11">
        <f t="shared" si="0"/>
        <v>14</v>
      </c>
      <c r="N58" s="14" t="str">
        <f>IF(AF58&lt;&gt;"",TRIM(UPPER(CONCATENATE(P58," ",R58," ",T58," ",V58," ",X58," ",Z58," ","X"," ",Table43[[#This Row],[ISI/CTN]]," ",AF58," ",AB58," ",AD58," ",AH58))),TRIM(UPPER(CONCATENATE(P58," ",R58," ",T58," ",V58," ",X58," ",Z58," ","X"," ",Table43[[#This Row],[ISI/CTN]]," ",AB58," ",AD58," ",AH58))))</f>
        <v>ABC KECAP MANIS EXTRA PEDAS 75 GR X 48 PCH</v>
      </c>
      <c r="O58" s="11">
        <f t="shared" si="1"/>
        <v>42</v>
      </c>
      <c r="P58" s="4" t="s">
        <v>28</v>
      </c>
      <c r="Q58" s="7" t="s">
        <v>85</v>
      </c>
      <c r="R58" s="4" t="s">
        <v>474</v>
      </c>
      <c r="S58" s="43" t="s">
        <v>0</v>
      </c>
      <c r="T58" s="44" t="s">
        <v>475</v>
      </c>
      <c r="U58" s="7">
        <v>1</v>
      </c>
      <c r="V58" s="44"/>
      <c r="W58" s="43" t="s">
        <v>1</v>
      </c>
      <c r="X58" s="4" t="s">
        <v>519</v>
      </c>
      <c r="Y58" s="45" t="s">
        <v>221</v>
      </c>
      <c r="Z58" s="4" t="s">
        <v>520</v>
      </c>
      <c r="AA58" s="45" t="s">
        <v>521</v>
      </c>
      <c r="AB58" s="4" t="s">
        <v>479</v>
      </c>
      <c r="AC58" s="7" t="s">
        <v>480</v>
      </c>
      <c r="AE58" s="7" t="s">
        <v>1</v>
      </c>
      <c r="AI58" s="7" t="s">
        <v>215</v>
      </c>
      <c r="AJ58" s="7">
        <v>1</v>
      </c>
      <c r="AL58" s="40">
        <f>Table43[[#This Row],[Harga Jual Pcs GT
(-PPN)]]-(Table43[[#This Row],[Harga Jual Pcs GT
(-PPN)]]*6%)</f>
        <v>1980.0160000000001</v>
      </c>
      <c r="AM58" s="41">
        <f>Table43[[#This Row],[Harga Beli Pcs
(-PPN)]]*Table43[[#This Row],[ISI/CTN]]</f>
        <v>95040.768000000011</v>
      </c>
      <c r="AN58" s="41">
        <f>Table43[[#This Row],[Harga Beli Pcs
(-PPN)]]*1.11</f>
        <v>2197.8177600000004</v>
      </c>
      <c r="AO58" s="41">
        <f>Table43[[#This Row],[Harga Beli Krt
(- PPN)]]*1.11</f>
        <v>105495.25248000002</v>
      </c>
      <c r="AP58" s="132">
        <v>2106.4</v>
      </c>
      <c r="AQ58" s="41">
        <f>Table43[[#This Row],[Harga Jual Pcs GT
(-PPN)]]*Table43[[#This Row],[ISI/CTN]]</f>
        <v>101107.20000000001</v>
      </c>
      <c r="AR58" s="41">
        <f>Table43[[#This Row],[Harga Jual Pcs GT
(-PPN)]]*1.11</f>
        <v>2338.1040000000003</v>
      </c>
      <c r="AS58" s="41">
        <f>Table43[[#This Row],[Harga Jual Krt GT
(- PPN)]]*1.11</f>
        <v>112228.99200000003</v>
      </c>
      <c r="AT58" s="132">
        <v>2274.91</v>
      </c>
      <c r="AU58" s="41">
        <f>(Table43[[#This Row],[Harga Jual Pcs MT
(-PPN)]]*Table43[[#This Row],[ISI/CTN]])</f>
        <v>109195.68</v>
      </c>
      <c r="AV58" s="41">
        <f>Table43[[#This Row],[Harga Jual Pcs MT
(-PPN)]]*1.11</f>
        <v>2525.1500999999998</v>
      </c>
      <c r="AW58" s="41">
        <f>Table43[[#This Row],[Harga Jual Pcs MT
(+PPN)]]*Table43[[#This Row],[ISI/CTN]]</f>
        <v>121207.20479999999</v>
      </c>
      <c r="AX58" s="41"/>
      <c r="AY58" s="46">
        <v>45553</v>
      </c>
      <c r="AZ58" s="54">
        <v>45945</v>
      </c>
      <c r="BA58" s="7" t="str">
        <f ca="1">IF(TODAY()-Table43[[#This Row],[Efektif
Pembuatan]]&gt;60,"Lama","Baru")</f>
        <v>Lama</v>
      </c>
      <c r="BB58" s="7" t="str">
        <f ca="1">IF(TODAY()-Table43[[#This Row],[Efektif Naik Harga]]&lt;30,"Naik","Sama")</f>
        <v>Sama</v>
      </c>
      <c r="BC58" s="7" t="s">
        <v>235</v>
      </c>
      <c r="BD58" s="7" t="str">
        <f>IF(Table43[[#This Row],[Kode BARANG Win2]]&lt;&gt;"","IDR","")</f>
        <v>IDR</v>
      </c>
      <c r="BE58" s="7" t="str">
        <f>CONCATENATE(Table43[[#This Row],[kode  1 Digit
(Nomor)]],Table43[[#This Row],[kode  4 Digit                (Nomor)]])</f>
        <v>10075</v>
      </c>
      <c r="BF58" s="7" t="str">
        <f>Table43[[#This Row],[Nama            Gramasi atau Jumlah Pack per CTN]]</f>
        <v>75 GR</v>
      </c>
      <c r="BG58" s="7" t="s">
        <v>653</v>
      </c>
      <c r="BH58" s="51" t="s">
        <v>654</v>
      </c>
      <c r="BI58" s="4" t="str">
        <f>IF(Table43[[#This Row],[SATUAN Fix Win]]&lt;&gt;"","KRT")</f>
        <v>KRT</v>
      </c>
      <c r="BJ58" s="4" t="str">
        <f>IF(Table43[[#This Row],[SATUAN Fix Win]]&lt;&gt;"","GD01")</f>
        <v>GD01</v>
      </c>
      <c r="BK58" s="4">
        <f>IF(Table43[[#This Row],[SATUAN Fix Win]]&lt;&gt;"",11611)</f>
        <v>11611</v>
      </c>
      <c r="BL58" s="4">
        <f>IF(Table43[[#This Row],[SATUAN Fix Win]]&lt;&gt;"",11612)</f>
        <v>11612</v>
      </c>
      <c r="BM58" s="47" t="s">
        <v>655</v>
      </c>
      <c r="BN58" s="4">
        <f>IF(Table43[[#This Row],[SATUAN Fix Win]]&lt;&gt;"",1)</f>
        <v>1</v>
      </c>
      <c r="BO58" s="4" t="s">
        <v>656</v>
      </c>
      <c r="BP58" s="4">
        <f>IFERROR(VLOOKUP(Table43[[#This Row],[Kode Pcpl]],'[1]HEINZ ABC'!$A$4:$E$112,8,0),0)</f>
        <v>0</v>
      </c>
      <c r="BQ58" s="55">
        <f>Table43[[#This Row],[Harga Jual Pcs GT
(-PPN)]]-Table43[[#This Row],[HARGA NAIK GT]]</f>
        <v>2106.4</v>
      </c>
      <c r="BR58" s="4">
        <f>IF(Table43[[#This Row],[HARGA NAIK GT]]=0,Table43[[#This Row],[Harga Jual Pcs GT
(-PPN)]],Table43[[#This Row],[HARGA NAIK GT]])</f>
        <v>2106.4</v>
      </c>
      <c r="BS58">
        <f>IFERROR(VLOOKUP(Table43[[#This Row],[Kode Pcpl]],'[1]HEINZ ABC'!$A$4:$E$112,8,0),0)</f>
        <v>0</v>
      </c>
      <c r="BT58" s="58">
        <f>Table43[[#This Row],[Harga Jual Pcs GT
(-PPN)]]-BS58</f>
        <v>2106.4</v>
      </c>
      <c r="BU58">
        <f>IF(BS58=0,Table43[[#This Row],[Harga Jual Pcs MT
(-PPN)]])</f>
        <v>2274.91</v>
      </c>
      <c r="BV58">
        <f>IFERROR(VLOOKUP(Table43[[#This Row],[Kode Pcpl]],[2]Pricelist!$A$4:$K$112,11,0),0)</f>
        <v>0</v>
      </c>
      <c r="BW58">
        <f>IFERROR(VLOOKUP(Table43[[#This Row],[Kode BARANG Win2]],[3]!RECKITT211216[[KDBRG]:[HRG_JL_PCS-PPN]],11,0),0)</f>
        <v>0</v>
      </c>
      <c r="BX58">
        <f t="shared" si="2"/>
        <v>0</v>
      </c>
    </row>
    <row r="59" spans="1:76" x14ac:dyDescent="0.25">
      <c r="A59" s="4" t="str">
        <f>CONCATENATE(Table43[[#This Row],[Kode BARANG Win2]],Table43[[#This Row],[No. Urut
Item Sama]])</f>
        <v>A10110060135201</v>
      </c>
      <c r="B59" s="7">
        <v>1</v>
      </c>
      <c r="C59" s="4">
        <v>48</v>
      </c>
      <c r="D59" s="27">
        <v>100194</v>
      </c>
      <c r="E59" s="27" t="s">
        <v>237</v>
      </c>
      <c r="F59" s="27" t="s">
        <v>278</v>
      </c>
      <c r="G59" s="27">
        <v>48</v>
      </c>
      <c r="H59" s="42" t="s">
        <v>2721</v>
      </c>
      <c r="I59" s="27" t="str">
        <f>Table43[[#This Row],[Nama Jenis Kemasan]]</f>
        <v>BTL</v>
      </c>
      <c r="J59" s="4" t="str">
        <f>TRIM(CONCATENATE(Table43[[#This Row],[Nama            KLP]]," ",Table43[[#This Row],[Nama            Sub KLP]]))</f>
        <v>KECAP MANIS</v>
      </c>
      <c r="K59" s="4" t="str">
        <f>CONCATENATE(Table43[[#This Row],[kode  2 Digit                (hrf+No)]],Table43[[#This Row],[kode  2 Digit                (Nomor)]],Table43[[#This Row],[kode  1 Digit                (Nomor)]])</f>
        <v>A1011</v>
      </c>
      <c r="L59" s="4" t="str">
        <f>IF(AG59="",CONCATENATE(Q59,S59,U59,W59,Y59,AA59,AC59,AE59,Table43[[#This Row],[Tanda Kode Revisi]]),CONCATENATE(Q59,S59,U59,W59,Y59,AA59,AC59,AG59))</f>
        <v>A1011006013520</v>
      </c>
      <c r="M59" s="11">
        <f t="shared" si="0"/>
        <v>14</v>
      </c>
      <c r="N59" s="14" t="str">
        <f>IF(AF59&lt;&gt;"",TRIM(UPPER(CONCATENATE(P59," ",R59," ",T59," ",V59," ",X59," ",Z59," ","X"," ",Table43[[#This Row],[ISI/CTN]]," ",AF59," ",AB59," ",AD59," ",AH59))),TRIM(UPPER(CONCATENATE(P59," ",R59," ",T59," ",V59," ",X59," ",Z59," ","X"," ",Table43[[#This Row],[ISI/CTN]]," ",AB59," ",AD59," ",AH59))))</f>
        <v>ABC KECAP MANIS EXTRA PEDAS 135 ML X 48 BTL</v>
      </c>
      <c r="O59" s="11">
        <f t="shared" si="1"/>
        <v>43</v>
      </c>
      <c r="P59" s="4" t="s">
        <v>28</v>
      </c>
      <c r="Q59" s="7" t="s">
        <v>85</v>
      </c>
      <c r="R59" s="4" t="s">
        <v>474</v>
      </c>
      <c r="S59" s="43" t="s">
        <v>0</v>
      </c>
      <c r="T59" s="44" t="s">
        <v>475</v>
      </c>
      <c r="U59" s="7">
        <v>1</v>
      </c>
      <c r="V59" s="44"/>
      <c r="W59" s="43" t="s">
        <v>1</v>
      </c>
      <c r="X59" s="4" t="s">
        <v>519</v>
      </c>
      <c r="Y59" s="45" t="s">
        <v>221</v>
      </c>
      <c r="Z59" s="4" t="s">
        <v>484</v>
      </c>
      <c r="AA59" s="45" t="s">
        <v>487</v>
      </c>
      <c r="AB59" s="4" t="s">
        <v>486</v>
      </c>
      <c r="AC59" s="7" t="s">
        <v>492</v>
      </c>
      <c r="AE59" s="7">
        <v>0</v>
      </c>
      <c r="AI59" s="7" t="s">
        <v>214</v>
      </c>
      <c r="AJ59" s="7">
        <v>2</v>
      </c>
      <c r="AL59" s="40">
        <f>Table43[[#This Row],[Harga Jual Pcs GT
(-PPN)]]-(Table43[[#This Row],[Harga Jual Pcs GT
(-PPN)]]*6%)</f>
        <v>8807.2078000000001</v>
      </c>
      <c r="AM59" s="41">
        <f>Table43[[#This Row],[Harga Beli Pcs
(-PPN)]]*Table43[[#This Row],[ISI/CTN]]</f>
        <v>422745.97440000001</v>
      </c>
      <c r="AN59" s="41">
        <f>Table43[[#This Row],[Harga Beli Pcs
(-PPN)]]*1.11</f>
        <v>9776.0006580000008</v>
      </c>
      <c r="AO59" s="41">
        <f>Table43[[#This Row],[Harga Beli Krt
(- PPN)]]*1.11</f>
        <v>469248.03158400004</v>
      </c>
      <c r="AP59" s="41">
        <v>9369.3700000000008</v>
      </c>
      <c r="AQ59" s="41">
        <f>Table43[[#This Row],[Harga Jual Pcs GT
(-PPN)]]*Table43[[#This Row],[ISI/CTN]]</f>
        <v>449729.76</v>
      </c>
      <c r="AR59" s="41">
        <f>Table43[[#This Row],[Harga Jual Pcs GT
(-PPN)]]*1.11</f>
        <v>10400.000700000002</v>
      </c>
      <c r="AS59" s="41">
        <f>Table43[[#This Row],[Harga Jual Krt GT
(- PPN)]]*1.11</f>
        <v>499200.03360000008</v>
      </c>
      <c r="AT59" s="41">
        <v>10118.92</v>
      </c>
      <c r="AU59" s="41">
        <f>(Table43[[#This Row],[Harga Jual Pcs MT
(-PPN)]]*Table43[[#This Row],[ISI/CTN]])</f>
        <v>485708.16000000003</v>
      </c>
      <c r="AV59" s="41">
        <f>Table43[[#This Row],[Harga Jual Pcs MT
(-PPN)]]*1.11</f>
        <v>11232.001200000001</v>
      </c>
      <c r="AW59" s="41">
        <f>Table43[[#This Row],[Harga Jual Pcs MT
(+PPN)]]*Table43[[#This Row],[ISI/CTN]]</f>
        <v>539136.05760000006</v>
      </c>
      <c r="AX59" s="41"/>
      <c r="AY59" s="46">
        <v>45553</v>
      </c>
      <c r="AZ59" s="54">
        <v>45553</v>
      </c>
      <c r="BA59" s="7" t="str">
        <f ca="1">IF(TODAY()-Table43[[#This Row],[Efektif
Pembuatan]]&gt;60,"Lama","Baru")</f>
        <v>Lama</v>
      </c>
      <c r="BB59" s="7" t="str">
        <f ca="1">IF(TODAY()-Table43[[#This Row],[Efektif Naik Harga]]&lt;30,"Naik","Sama")</f>
        <v>Sama</v>
      </c>
      <c r="BC59" s="7" t="s">
        <v>235</v>
      </c>
      <c r="BD59" s="7" t="str">
        <f>IF(Table43[[#This Row],[Kode BARANG Win2]]&lt;&gt;"","IDR","")</f>
        <v>IDR</v>
      </c>
      <c r="BE59" s="7" t="str">
        <f>CONCATENATE(Table43[[#This Row],[kode  1 Digit
(Nomor)]],Table43[[#This Row],[kode  4 Digit                (Nomor)]])</f>
        <v>20135</v>
      </c>
      <c r="BF59" s="7" t="str">
        <f>Table43[[#This Row],[Nama            Gramasi atau Jumlah Pack per CTN]]</f>
        <v>135 ML</v>
      </c>
      <c r="BG59" s="7" t="s">
        <v>653</v>
      </c>
      <c r="BH59" s="51" t="s">
        <v>654</v>
      </c>
      <c r="BI59" s="4" t="str">
        <f>IF(Table43[[#This Row],[SATUAN Fix Win]]&lt;&gt;"","KRT")</f>
        <v>KRT</v>
      </c>
      <c r="BJ59" s="4" t="str">
        <f>IF(Table43[[#This Row],[SATUAN Fix Win]]&lt;&gt;"","GD01")</f>
        <v>GD01</v>
      </c>
      <c r="BK59" s="4">
        <f>IF(Table43[[#This Row],[SATUAN Fix Win]]&lt;&gt;"",11611)</f>
        <v>11611</v>
      </c>
      <c r="BL59" s="4">
        <f>IF(Table43[[#This Row],[SATUAN Fix Win]]&lt;&gt;"",11612)</f>
        <v>11612</v>
      </c>
      <c r="BM59" s="47" t="s">
        <v>655</v>
      </c>
      <c r="BN59" s="4">
        <f>IF(Table43[[#This Row],[SATUAN Fix Win]]&lt;&gt;"",1)</f>
        <v>1</v>
      </c>
      <c r="BO59" s="4" t="s">
        <v>656</v>
      </c>
      <c r="BP59" s="4">
        <f>IFERROR(VLOOKUP(Table43[[#This Row],[Kode Pcpl]],'[1]HEINZ ABC'!$A$4:$E$112,8,0),0)</f>
        <v>0</v>
      </c>
      <c r="BQ59" s="55">
        <f>Table43[[#This Row],[Harga Jual Pcs GT
(-PPN)]]-Table43[[#This Row],[HARGA NAIK GT]]</f>
        <v>9369.3700000000008</v>
      </c>
      <c r="BR59" s="4">
        <f>IF(Table43[[#This Row],[HARGA NAIK GT]]=0,Table43[[#This Row],[Harga Jual Pcs GT
(-PPN)]],Table43[[#This Row],[HARGA NAIK GT]])</f>
        <v>9369.3700000000008</v>
      </c>
      <c r="BS59">
        <f>IFERROR(VLOOKUP(Table43[[#This Row],[Kode Pcpl]],'[1]HEINZ ABC'!$A$4:$E$112,8,0),0)</f>
        <v>0</v>
      </c>
      <c r="BT59" s="58">
        <f>Table43[[#This Row],[Harga Jual Pcs GT
(-PPN)]]-BS59</f>
        <v>9369.3700000000008</v>
      </c>
      <c r="BU59">
        <f>IF(BS59=0,Table43[[#This Row],[Harga Jual Pcs MT
(-PPN)]])</f>
        <v>10118.92</v>
      </c>
      <c r="BV59">
        <f>IFERROR(VLOOKUP(Table43[[#This Row],[Kode Pcpl]],[2]Pricelist!$A$4:$K$112,11,0),0)</f>
        <v>0</v>
      </c>
      <c r="BW59">
        <f>IFERROR(VLOOKUP(Table43[[#This Row],[Kode BARANG Win2]],[3]!RECKITT211216[[KDBRG]:[HRG_JL_PCS-PPN]],11,0),0)</f>
        <v>0</v>
      </c>
      <c r="BX59">
        <f t="shared" si="2"/>
        <v>0</v>
      </c>
    </row>
    <row r="60" spans="1:76" x14ac:dyDescent="0.25">
      <c r="A60" s="4" t="str">
        <f>CONCATENATE(Table43[[#This Row],[Kode BARANG Win2]],Table43[[#This Row],[No. Urut
Item Sama]])</f>
        <v>A10110060135202</v>
      </c>
      <c r="B60" s="7">
        <v>2</v>
      </c>
      <c r="C60" s="4">
        <v>49</v>
      </c>
      <c r="D60" s="27">
        <v>100203</v>
      </c>
      <c r="E60" s="27" t="s">
        <v>237</v>
      </c>
      <c r="F60" s="27" t="s">
        <v>279</v>
      </c>
      <c r="G60" s="27">
        <v>48</v>
      </c>
      <c r="H60" s="42" t="s">
        <v>2713</v>
      </c>
      <c r="I60" s="27" t="str">
        <f>Table43[[#This Row],[Nama Jenis Kemasan]]</f>
        <v>BTL</v>
      </c>
      <c r="J60" s="4" t="str">
        <f>TRIM(CONCATENATE(Table43[[#This Row],[Nama            KLP]]," ",Table43[[#This Row],[Nama            Sub KLP]]))</f>
        <v>KECAP MANIS</v>
      </c>
      <c r="K60" s="4" t="str">
        <f>CONCATENATE(Table43[[#This Row],[kode  2 Digit                (hrf+No)]],Table43[[#This Row],[kode  2 Digit                (Nomor)]],Table43[[#This Row],[kode  1 Digit                (Nomor)]])</f>
        <v>A1011</v>
      </c>
      <c r="L60" s="4" t="str">
        <f>IF(AG60="",CONCATENATE(Q60,S60,U60,W60,Y60,AA60,AC60,AE60,Table43[[#This Row],[Tanda Kode Revisi]]),CONCATENATE(Q60,S60,U60,W60,Y60,AA60,AC60,AG60))</f>
        <v>A1011006013520</v>
      </c>
      <c r="M60" s="11">
        <f t="shared" si="0"/>
        <v>14</v>
      </c>
      <c r="N60" s="14" t="str">
        <f>IF(AF60&lt;&gt;"",TRIM(UPPER(CONCATENATE(P60," ",R60," ",T60," ",V60," ",X60," ",Z60," ","X"," ",Table43[[#This Row],[ISI/CTN]]," ",AF60," ",AB60," ",AD60," ",AH60))),TRIM(UPPER(CONCATENATE(P60," ",R60," ",T60," ",V60," ",X60," ",Z60," ","X"," ",Table43[[#This Row],[ISI/CTN]]," ",AB60," ",AD60," ",AH60))))</f>
        <v>ABC KECAP MANIS EXTRA PEDAS 135 ML X 48 BTL</v>
      </c>
      <c r="O60" s="11">
        <f t="shared" si="1"/>
        <v>43</v>
      </c>
      <c r="P60" s="4" t="s">
        <v>28</v>
      </c>
      <c r="Q60" s="7" t="s">
        <v>85</v>
      </c>
      <c r="R60" s="4" t="s">
        <v>474</v>
      </c>
      <c r="S60" s="43" t="s">
        <v>0</v>
      </c>
      <c r="T60" s="44" t="s">
        <v>475</v>
      </c>
      <c r="U60" s="7">
        <v>1</v>
      </c>
      <c r="V60" s="44"/>
      <c r="W60" s="43" t="s">
        <v>1</v>
      </c>
      <c r="X60" s="4" t="s">
        <v>519</v>
      </c>
      <c r="Y60" s="45" t="s">
        <v>221</v>
      </c>
      <c r="Z60" s="4" t="s">
        <v>484</v>
      </c>
      <c r="AA60" s="45" t="s">
        <v>487</v>
      </c>
      <c r="AB60" s="4" t="s">
        <v>486</v>
      </c>
      <c r="AC60" s="7" t="s">
        <v>492</v>
      </c>
      <c r="AE60" s="7" t="s">
        <v>1</v>
      </c>
      <c r="AI60" s="7" t="s">
        <v>214</v>
      </c>
      <c r="AJ60" s="7">
        <v>2</v>
      </c>
      <c r="AL60" s="40">
        <f>Table43[[#This Row],[Harga Jual Pcs GT
(-PPN)]]-(Table43[[#This Row],[Harga Jual Pcs GT
(-PPN)]]*6%)</f>
        <v>8807.2078000000001</v>
      </c>
      <c r="AM60" s="41">
        <f>Table43[[#This Row],[Harga Beli Pcs
(-PPN)]]*Table43[[#This Row],[ISI/CTN]]</f>
        <v>422745.97440000001</v>
      </c>
      <c r="AN60" s="41">
        <f>Table43[[#This Row],[Harga Beli Pcs
(-PPN)]]*1.11</f>
        <v>9776.0006580000008</v>
      </c>
      <c r="AO60" s="41">
        <f>Table43[[#This Row],[Harga Beli Krt
(- PPN)]]*1.11</f>
        <v>469248.03158400004</v>
      </c>
      <c r="AP60" s="41">
        <v>9369.3700000000008</v>
      </c>
      <c r="AQ60" s="41">
        <f>Table43[[#This Row],[Harga Jual Pcs GT
(-PPN)]]*Table43[[#This Row],[ISI/CTN]]</f>
        <v>449729.76</v>
      </c>
      <c r="AR60" s="41">
        <f>Table43[[#This Row],[Harga Jual Pcs GT
(-PPN)]]*1.11</f>
        <v>10400.000700000002</v>
      </c>
      <c r="AS60" s="41">
        <f>Table43[[#This Row],[Harga Jual Krt GT
(- PPN)]]*1.11</f>
        <v>499200.03360000008</v>
      </c>
      <c r="AT60" s="41">
        <v>10118.92</v>
      </c>
      <c r="AU60" s="41">
        <f>(Table43[[#This Row],[Harga Jual Pcs MT
(-PPN)]]*Table43[[#This Row],[ISI/CTN]])</f>
        <v>485708.16000000003</v>
      </c>
      <c r="AV60" s="41">
        <f>Table43[[#This Row],[Harga Jual Pcs MT
(-PPN)]]*1.11</f>
        <v>11232.001200000001</v>
      </c>
      <c r="AW60" s="41">
        <f>Table43[[#This Row],[Harga Jual Pcs MT
(+PPN)]]*Table43[[#This Row],[ISI/CTN]]</f>
        <v>539136.05760000006</v>
      </c>
      <c r="AX60" s="41"/>
      <c r="AY60" s="46">
        <v>45553</v>
      </c>
      <c r="AZ60" s="54">
        <v>45553</v>
      </c>
      <c r="BA60" s="7" t="str">
        <f ca="1">IF(TODAY()-Table43[[#This Row],[Efektif
Pembuatan]]&gt;60,"Lama","Baru")</f>
        <v>Lama</v>
      </c>
      <c r="BB60" s="7" t="str">
        <f ca="1">IF(TODAY()-Table43[[#This Row],[Efektif Naik Harga]]&lt;30,"Naik","Sama")</f>
        <v>Sama</v>
      </c>
      <c r="BC60" s="7" t="s">
        <v>235</v>
      </c>
      <c r="BD60" s="7" t="str">
        <f>IF(Table43[[#This Row],[Kode BARANG Win2]]&lt;&gt;"","IDR","")</f>
        <v>IDR</v>
      </c>
      <c r="BE60" s="7" t="str">
        <f>CONCATENATE(Table43[[#This Row],[kode  1 Digit
(Nomor)]],Table43[[#This Row],[kode  4 Digit                (Nomor)]])</f>
        <v>20135</v>
      </c>
      <c r="BF60" s="7" t="str">
        <f>Table43[[#This Row],[Nama            Gramasi atau Jumlah Pack per CTN]]</f>
        <v>135 ML</v>
      </c>
      <c r="BG60" s="7" t="s">
        <v>653</v>
      </c>
      <c r="BH60" s="51" t="s">
        <v>654</v>
      </c>
      <c r="BI60" s="4" t="str">
        <f>IF(Table43[[#This Row],[SATUAN Fix Win]]&lt;&gt;"","KRT")</f>
        <v>KRT</v>
      </c>
      <c r="BJ60" s="4" t="str">
        <f>IF(Table43[[#This Row],[SATUAN Fix Win]]&lt;&gt;"","GD01")</f>
        <v>GD01</v>
      </c>
      <c r="BK60" s="4">
        <f>IF(Table43[[#This Row],[SATUAN Fix Win]]&lt;&gt;"",11611)</f>
        <v>11611</v>
      </c>
      <c r="BL60" s="4">
        <f>IF(Table43[[#This Row],[SATUAN Fix Win]]&lt;&gt;"",11612)</f>
        <v>11612</v>
      </c>
      <c r="BM60" s="47" t="s">
        <v>655</v>
      </c>
      <c r="BN60" s="4">
        <f>IF(Table43[[#This Row],[SATUAN Fix Win]]&lt;&gt;"",1)</f>
        <v>1</v>
      </c>
      <c r="BO60" s="4" t="s">
        <v>656</v>
      </c>
      <c r="BP60" s="4">
        <f>IFERROR(VLOOKUP(Table43[[#This Row],[Kode Pcpl]],'[1]HEINZ ABC'!$A$4:$E$112,8,0),0)</f>
        <v>0</v>
      </c>
      <c r="BQ60" s="55">
        <f>Table43[[#This Row],[Harga Jual Pcs GT
(-PPN)]]-Table43[[#This Row],[HARGA NAIK GT]]</f>
        <v>9369.3700000000008</v>
      </c>
      <c r="BR60" s="4">
        <f>IF(Table43[[#This Row],[HARGA NAIK GT]]=0,Table43[[#This Row],[Harga Jual Pcs GT
(-PPN)]],Table43[[#This Row],[HARGA NAIK GT]])</f>
        <v>9369.3700000000008</v>
      </c>
      <c r="BS60">
        <f>IFERROR(VLOOKUP(Table43[[#This Row],[Kode Pcpl]],'[1]HEINZ ABC'!$A$4:$E$112,8,0),0)</f>
        <v>0</v>
      </c>
      <c r="BT60" s="58">
        <f>Table43[[#This Row],[Harga Jual Pcs GT
(-PPN)]]-BS60</f>
        <v>9369.3700000000008</v>
      </c>
      <c r="BU60">
        <f>IF(BS60=0,Table43[[#This Row],[Harga Jual Pcs MT
(-PPN)]])</f>
        <v>10118.92</v>
      </c>
      <c r="BV60">
        <f>IFERROR(VLOOKUP(Table43[[#This Row],[Kode Pcpl]],[2]Pricelist!$A$4:$K$112,11,0),0)</f>
        <v>0</v>
      </c>
      <c r="BW60">
        <f>IFERROR(VLOOKUP(Table43[[#This Row],[Kode BARANG Win2]],[3]!RECKITT211216[[KDBRG]:[HRG_JL_PCS-PPN]],11,0),0)</f>
        <v>0</v>
      </c>
      <c r="BX60">
        <f t="shared" si="2"/>
        <v>0</v>
      </c>
    </row>
    <row r="61" spans="1:76" x14ac:dyDescent="0.25">
      <c r="A61" s="4" t="str">
        <f>CONCATENATE(Table43[[#This Row],[Kode BARANG Win2]],Table43[[#This Row],[No. Urut
Item Sama]])</f>
        <v>A10110060135203</v>
      </c>
      <c r="B61" s="7">
        <v>3</v>
      </c>
      <c r="C61" s="4">
        <v>281</v>
      </c>
      <c r="D61" s="27">
        <v>100215</v>
      </c>
      <c r="E61" s="27"/>
      <c r="F61" s="27" t="s">
        <v>1074</v>
      </c>
      <c r="G61" s="27">
        <v>48</v>
      </c>
      <c r="H61" s="42" t="s">
        <v>2649</v>
      </c>
      <c r="I61" s="27" t="str">
        <f>Table43[[#This Row],[Nama Jenis Kemasan]]</f>
        <v>BTL</v>
      </c>
      <c r="J61" s="4" t="str">
        <f>TRIM(CONCATENATE(Table43[[#This Row],[Nama            KLP]]," ",Table43[[#This Row],[Nama            Sub KLP]]))</f>
        <v>KECAP MANIS</v>
      </c>
      <c r="K61" s="4" t="str">
        <f>CONCATENATE(Table43[[#This Row],[kode  2 Digit                (hrf+No)]],Table43[[#This Row],[kode  2 Digit                (Nomor)]],Table43[[#This Row],[kode  1 Digit                (Nomor)]])</f>
        <v>A1011</v>
      </c>
      <c r="L61" s="4" t="str">
        <f>IF(AG61="",CONCATENATE(Q61,S61,U61,W61,Y61,AA61,AC61,AE61,Table43[[#This Row],[Tanda Kode Revisi]]),CONCATENATE(Q61,S61,U61,W61,Y61,AA61,AC61,AG61))</f>
        <v>A1011006013520</v>
      </c>
      <c r="M61" s="11">
        <f t="shared" si="0"/>
        <v>14</v>
      </c>
      <c r="N61" s="14" t="str">
        <f>IF(AF61&lt;&gt;"",TRIM(UPPER(CONCATENATE(P61," ",R61," ",T61," ",V61," ",X61," ",Z61," ","X"," ",Table43[[#This Row],[ISI/CTN]]," ",AF61," ",AB61," ",AD61," ",AH61))),TRIM(UPPER(CONCATENATE(P61," ",R61," ",T61," ",V61," ",X61," ",Z61," ","X"," ",Table43[[#This Row],[ISI/CTN]]," ",AB61," ",AD61," ",AH61))))</f>
        <v>ABC KECAP MANIS EXTRA PEDAS 135/130 ML X 48 BTL</v>
      </c>
      <c r="O61" s="11">
        <f t="shared" si="1"/>
        <v>47</v>
      </c>
      <c r="P61" s="4" t="s">
        <v>28</v>
      </c>
      <c r="Q61" s="7" t="s">
        <v>85</v>
      </c>
      <c r="R61" s="4" t="s">
        <v>474</v>
      </c>
      <c r="S61" s="43" t="s">
        <v>0</v>
      </c>
      <c r="T61" s="44" t="s">
        <v>475</v>
      </c>
      <c r="U61" s="7">
        <v>1</v>
      </c>
      <c r="V61" s="44"/>
      <c r="W61" s="43" t="s">
        <v>1</v>
      </c>
      <c r="X61" s="4" t="s">
        <v>519</v>
      </c>
      <c r="Y61" s="45" t="s">
        <v>221</v>
      </c>
      <c r="Z61" s="4" t="s">
        <v>1075</v>
      </c>
      <c r="AA61" s="45" t="s">
        <v>487</v>
      </c>
      <c r="AB61" s="4" t="s">
        <v>486</v>
      </c>
      <c r="AC61" s="7" t="s">
        <v>492</v>
      </c>
      <c r="AE61" s="7" t="s">
        <v>1</v>
      </c>
      <c r="AL61" s="40">
        <f>Table43[[#This Row],[Harga Jual Pcs GT
(-PPN)]]-(Table43[[#This Row],[Harga Jual Pcs GT
(-PPN)]]*6%)</f>
        <v>0</v>
      </c>
      <c r="AM61" s="41">
        <f>Table43[[#This Row],[Harga Beli Pcs
(-PPN)]]*Table43[[#This Row],[ISI/CTN]]</f>
        <v>0</v>
      </c>
      <c r="AN61" s="41">
        <f>Table43[[#This Row],[Harga Beli Pcs
(-PPN)]]*1.11</f>
        <v>0</v>
      </c>
      <c r="AO61" s="41">
        <f>Table43[[#This Row],[Harga Beli Krt
(- PPN)]]*1.11</f>
        <v>0</v>
      </c>
      <c r="AP61" s="41"/>
      <c r="AQ61" s="41">
        <f>Table43[[#This Row],[Harga Jual Pcs GT
(-PPN)]]*Table43[[#This Row],[ISI/CTN]]</f>
        <v>0</v>
      </c>
      <c r="AR61" s="41">
        <f>Table43[[#This Row],[Harga Jual Pcs GT
(-PPN)]]*1.11</f>
        <v>0</v>
      </c>
      <c r="AS61" s="41">
        <f>Table43[[#This Row],[Harga Jual Krt GT
(- PPN)]]*1.11</f>
        <v>0</v>
      </c>
      <c r="AT61" s="41"/>
      <c r="AU61" s="41">
        <f>(Table43[[#This Row],[Harga Jual Pcs MT
(-PPN)]]*Table43[[#This Row],[ISI/CTN]])</f>
        <v>0</v>
      </c>
      <c r="AV61" s="41">
        <f>Table43[[#This Row],[Harga Jual Pcs MT
(-PPN)]]*1.11</f>
        <v>0</v>
      </c>
      <c r="AW61" s="41">
        <f>Table43[[#This Row],[Harga Jual Pcs MT
(+PPN)]]*Table43[[#This Row],[ISI/CTN]]</f>
        <v>0</v>
      </c>
      <c r="AX61" s="41"/>
      <c r="AY61" s="46"/>
      <c r="AZ61" s="54"/>
      <c r="BA61" s="7" t="str">
        <f ca="1">IF(TODAY()-Table43[[#This Row],[Efektif
Pembuatan]]&gt;60,"Lama","Baru")</f>
        <v>Lama</v>
      </c>
      <c r="BB61" s="7" t="str">
        <f ca="1">IF(TODAY()-Table43[[#This Row],[Efektif Naik Harga]]&lt;30,"Naik","Sama")</f>
        <v>Sama</v>
      </c>
      <c r="BC61" s="7"/>
      <c r="BD61" s="7" t="str">
        <f>IF(Table43[[#This Row],[Kode BARANG Win2]]&lt;&gt;"","IDR","")</f>
        <v>IDR</v>
      </c>
      <c r="BE61" s="7" t="str">
        <f>CONCATENATE(Table43[[#This Row],[kode  1 Digit
(Nomor)]],Table43[[#This Row],[kode  4 Digit                (Nomor)]])</f>
        <v>0135</v>
      </c>
      <c r="BF61" s="7" t="str">
        <f>Table43[[#This Row],[Nama            Gramasi atau Jumlah Pack per CTN]]</f>
        <v xml:space="preserve">135/130 ML </v>
      </c>
      <c r="BG61" s="7"/>
      <c r="BH61" s="51"/>
      <c r="BI61" s="4" t="str">
        <f>IF(Table43[[#This Row],[SATUAN Fix Win]]&lt;&gt;"","KRT")</f>
        <v>KRT</v>
      </c>
      <c r="BJ61" s="4" t="str">
        <f>IF(Table43[[#This Row],[SATUAN Fix Win]]&lt;&gt;"","GD01")</f>
        <v>GD01</v>
      </c>
      <c r="BK61" s="4">
        <f>IF(Table43[[#This Row],[SATUAN Fix Win]]&lt;&gt;"",11611)</f>
        <v>11611</v>
      </c>
      <c r="BL61" s="4">
        <f>IF(Table43[[#This Row],[SATUAN Fix Win]]&lt;&gt;"",11612)</f>
        <v>11612</v>
      </c>
      <c r="BM61" s="47"/>
      <c r="BN61" s="4">
        <f>IF(Table43[[#This Row],[SATUAN Fix Win]]&lt;&gt;"",1)</f>
        <v>1</v>
      </c>
      <c r="BP61" s="4">
        <f>IFERROR(VLOOKUP(Table43[[#This Row],[Kode Pcpl]],'[1]HEINZ ABC'!$A$4:$E$112,8,0),0)</f>
        <v>0</v>
      </c>
      <c r="BQ61" s="55">
        <f>Table43[[#This Row],[Harga Jual Pcs GT
(-PPN)]]-Table43[[#This Row],[HARGA NAIK GT]]</f>
        <v>0</v>
      </c>
      <c r="BR61" s="4">
        <f>IF(Table43[[#This Row],[HARGA NAIK GT]]=0,Table43[[#This Row],[Harga Jual Pcs GT
(-PPN)]],Table43[[#This Row],[HARGA NAIK GT]])</f>
        <v>0</v>
      </c>
      <c r="BT61" s="58"/>
    </row>
    <row r="62" spans="1:76" x14ac:dyDescent="0.25">
      <c r="A62" s="4" t="str">
        <f>CONCATENATE(Table43[[#This Row],[Kode BARANG Win2]],Table43[[#This Row],[No. Urut
Item Sama]])</f>
        <v>A10111000015101</v>
      </c>
      <c r="B62" s="7">
        <v>1</v>
      </c>
      <c r="C62" s="4">
        <v>50</v>
      </c>
      <c r="D62" s="27">
        <v>100168</v>
      </c>
      <c r="E62" s="27" t="s">
        <v>280</v>
      </c>
      <c r="F62" s="27" t="s">
        <v>281</v>
      </c>
      <c r="G62" s="27">
        <v>24</v>
      </c>
      <c r="H62" s="42" t="s">
        <v>2750</v>
      </c>
      <c r="I62" s="27" t="str">
        <f>Table43[[#This Row],[Nama Jenis Kemasan]]</f>
        <v>PCSX12</v>
      </c>
      <c r="J62" s="4" t="str">
        <f>TRIM(CONCATENATE(Table43[[#This Row],[Nama            KLP]]," ",Table43[[#This Row],[Nama            Sub KLP]]))</f>
        <v>KECAP MANIS</v>
      </c>
      <c r="K62" s="4" t="str">
        <f>CONCATENATE(Table43[[#This Row],[kode  2 Digit                (hrf+No)]],Table43[[#This Row],[kode  2 Digit                (Nomor)]],Table43[[#This Row],[kode  1 Digit                (Nomor)]])</f>
        <v>A1011</v>
      </c>
      <c r="L62" s="4" t="str">
        <f>IF(AG62="",CONCATENATE(Q62,S62,U62,W62,Y62,AA62,AC62,AE62,Table43[[#This Row],[Tanda Kode Revisi]]),CONCATENATE(Q62,S62,U62,W62,Y62,AA62,AC62,AG62))</f>
        <v>A1011100001510</v>
      </c>
      <c r="M62" s="11">
        <f t="shared" si="0"/>
        <v>14</v>
      </c>
      <c r="N62" s="14" t="str">
        <f>IF(AF62&lt;&gt;"",TRIM(UPPER(CONCATENATE(P62," ",R62," ",T62," ",V62," ",X62," ",Z62," ","X"," ",Table43[[#This Row],[ISI/CTN]]," ",AF62," ",AB62," ",AD62," ",AH62))),TRIM(UPPER(CONCATENATE(P62," ",R62," ",T62," ",V62," ",X62," ",Z62," ","X"," ",Table43[[#This Row],[ISI/CTN]]," ",AB62," ",AD62," ",AH62))))</f>
        <v>ABC KECAP MANIS SACHET 15/18 GR X 24 RCG PCSX12</v>
      </c>
      <c r="O62" s="11">
        <f t="shared" si="1"/>
        <v>47</v>
      </c>
      <c r="P62" s="4" t="s">
        <v>28</v>
      </c>
      <c r="Q62" s="7" t="s">
        <v>85</v>
      </c>
      <c r="R62" s="4" t="s">
        <v>474</v>
      </c>
      <c r="S62" s="43" t="s">
        <v>0</v>
      </c>
      <c r="T62" s="44" t="s">
        <v>475</v>
      </c>
      <c r="U62" s="7">
        <v>1</v>
      </c>
      <c r="V62" s="44" t="s">
        <v>151</v>
      </c>
      <c r="W62" s="43">
        <v>1</v>
      </c>
      <c r="Y62" s="45" t="s">
        <v>476</v>
      </c>
      <c r="Z62" s="4" t="s">
        <v>1081</v>
      </c>
      <c r="AA62" s="45" t="s">
        <v>523</v>
      </c>
      <c r="AB62" s="4" t="s">
        <v>524</v>
      </c>
      <c r="AC62" s="7" t="s">
        <v>480</v>
      </c>
      <c r="AE62" s="7">
        <v>0</v>
      </c>
      <c r="AF62" s="7" t="s">
        <v>525</v>
      </c>
      <c r="AI62" s="7" t="s">
        <v>215</v>
      </c>
      <c r="AJ62" s="7">
        <v>1</v>
      </c>
      <c r="AL62" s="40">
        <f>Table43[[#This Row],[Harga Jual Pcs GT
(-PPN)]]-(Table43[[#This Row],[Harga Jual Pcs GT
(-PPN)]]*6%)</f>
        <v>4234.2299999999996</v>
      </c>
      <c r="AM62" s="41">
        <f>Table43[[#This Row],[Harga Beli Pcs
(-PPN)]]*Table43[[#This Row],[ISI/CTN]]</f>
        <v>101621.51999999999</v>
      </c>
      <c r="AN62" s="41">
        <f>Table43[[#This Row],[Harga Beli Pcs
(-PPN)]]*1.11</f>
        <v>4699.9952999999996</v>
      </c>
      <c r="AO62" s="41">
        <f>Table43[[#This Row],[Harga Beli Krt
(- PPN)]]*1.11</f>
        <v>112799.8872</v>
      </c>
      <c r="AP62" s="41">
        <v>4504.5</v>
      </c>
      <c r="AQ62" s="41">
        <f>Table43[[#This Row],[Harga Jual Pcs GT
(-PPN)]]*Table43[[#This Row],[ISI/CTN]]</f>
        <v>108108</v>
      </c>
      <c r="AR62" s="41">
        <f>Table43[[#This Row],[Harga Jual Pcs GT
(-PPN)]]*1.11</f>
        <v>4999.9950000000008</v>
      </c>
      <c r="AS62" s="41">
        <f>Table43[[#This Row],[Harga Jual Krt GT
(- PPN)]]*1.11</f>
        <v>119999.88</v>
      </c>
      <c r="AT62" s="41">
        <v>4729.7297297297291</v>
      </c>
      <c r="AU62" s="41">
        <f>(Table43[[#This Row],[Harga Jual Pcs MT
(-PPN)]]*Table43[[#This Row],[ISI/CTN]])</f>
        <v>113513.51351351349</v>
      </c>
      <c r="AV62" s="41">
        <f>Table43[[#This Row],[Harga Jual Pcs MT
(-PPN)]]*1.11</f>
        <v>5250</v>
      </c>
      <c r="AW62" s="41">
        <f>Table43[[#This Row],[Harga Jual Pcs MT
(+PPN)]]*Table43[[#This Row],[ISI/CTN]]</f>
        <v>126000</v>
      </c>
      <c r="AX62" s="41"/>
      <c r="AY62" s="46">
        <v>45553</v>
      </c>
      <c r="AZ62" s="54">
        <v>45553</v>
      </c>
      <c r="BA62" s="7" t="str">
        <f ca="1">IF(TODAY()-Table43[[#This Row],[Efektif
Pembuatan]]&gt;60,"Lama","Baru")</f>
        <v>Lama</v>
      </c>
      <c r="BB62" s="7" t="str">
        <f ca="1">IF(TODAY()-Table43[[#This Row],[Efektif Naik Harga]]&lt;30,"Naik","Sama")</f>
        <v>Sama</v>
      </c>
      <c r="BC62" s="7" t="s">
        <v>235</v>
      </c>
      <c r="BD62" s="7" t="str">
        <f>IF(Table43[[#This Row],[Kode BARANG Win2]]&lt;&gt;"","IDR","")</f>
        <v>IDR</v>
      </c>
      <c r="BE62" s="7" t="str">
        <f>CONCATENATE(Table43[[#This Row],[kode  1 Digit
(Nomor)]],Table43[[#This Row],[kode  4 Digit                (Nomor)]])</f>
        <v>10015</v>
      </c>
      <c r="BF62" s="7" t="str">
        <f>Table43[[#This Row],[Nama            Gramasi atau Jumlah Pack per CTN]]</f>
        <v>15/18 GR</v>
      </c>
      <c r="BG62" s="7" t="s">
        <v>653</v>
      </c>
      <c r="BH62" s="51" t="s">
        <v>654</v>
      </c>
      <c r="BI62" s="4" t="str">
        <f>IF(Table43[[#This Row],[SATUAN Fix Win]]&lt;&gt;"","KRT")</f>
        <v>KRT</v>
      </c>
      <c r="BJ62" s="4" t="str">
        <f>IF(Table43[[#This Row],[SATUAN Fix Win]]&lt;&gt;"","GD01")</f>
        <v>GD01</v>
      </c>
      <c r="BK62" s="4">
        <f>IF(Table43[[#This Row],[SATUAN Fix Win]]&lt;&gt;"",11611)</f>
        <v>11611</v>
      </c>
      <c r="BL62" s="4">
        <f>IF(Table43[[#This Row],[SATUAN Fix Win]]&lt;&gt;"",11612)</f>
        <v>11612</v>
      </c>
      <c r="BM62" s="47" t="s">
        <v>655</v>
      </c>
      <c r="BN62" s="4">
        <f>IF(Table43[[#This Row],[SATUAN Fix Win]]&lt;&gt;"",1)</f>
        <v>1</v>
      </c>
      <c r="BO62" s="4" t="s">
        <v>656</v>
      </c>
      <c r="BP62" s="4">
        <f>IFERROR(VLOOKUP(Table43[[#This Row],[Kode Pcpl]],'[1]HEINZ ABC'!$A$4:$E$112,8,0),0)</f>
        <v>0</v>
      </c>
      <c r="BQ62" s="55">
        <f>Table43[[#This Row],[Harga Jual Pcs GT
(-PPN)]]-Table43[[#This Row],[HARGA NAIK GT]]</f>
        <v>4504.5</v>
      </c>
      <c r="BR62" s="4">
        <f>IF(Table43[[#This Row],[HARGA NAIK GT]]=0,Table43[[#This Row],[Harga Jual Pcs GT
(-PPN)]],Table43[[#This Row],[HARGA NAIK GT]])</f>
        <v>4504.5</v>
      </c>
      <c r="BS62">
        <f>IFERROR(VLOOKUP(Table43[[#This Row],[Kode Pcpl]],'[1]HEINZ ABC'!$A$4:$E$112,8,0),0)</f>
        <v>0</v>
      </c>
      <c r="BT62" s="58">
        <f>Table43[[#This Row],[Harga Jual Pcs GT
(-PPN)]]-BS62</f>
        <v>4504.5</v>
      </c>
      <c r="BU62">
        <f>IF(BS62=0,Table43[[#This Row],[Harga Jual Pcs MT
(-PPN)]])</f>
        <v>4729.7297297297291</v>
      </c>
      <c r="BV62">
        <f>IFERROR(VLOOKUP(Table43[[#This Row],[Kode Pcpl]],[2]Pricelist!$A$4:$K$112,11,0),0)</f>
        <v>0</v>
      </c>
      <c r="BW62">
        <f>IFERROR(VLOOKUP(Table43[[#This Row],[Kode BARANG Win2]],[3]!RECKITT211216[[KDBRG]:[HRG_JL_PCS-PPN]],11,0),0)</f>
        <v>0</v>
      </c>
      <c r="BX62">
        <f t="shared" si="2"/>
        <v>0</v>
      </c>
    </row>
    <row r="63" spans="1:76" x14ac:dyDescent="0.25">
      <c r="A63" s="4" t="str">
        <f>CONCATENATE(Table43[[#This Row],[Kode BARANG Win2]],Table43[[#This Row],[No. Urut
Item Sama]])</f>
        <v>A10111000015102</v>
      </c>
      <c r="B63" s="7">
        <v>2</v>
      </c>
      <c r="C63" s="4">
        <v>51</v>
      </c>
      <c r="D63" s="27">
        <v>100205</v>
      </c>
      <c r="E63" s="27" t="s">
        <v>280</v>
      </c>
      <c r="F63" s="27" t="s">
        <v>282</v>
      </c>
      <c r="G63" s="27">
        <v>24</v>
      </c>
      <c r="H63" s="42" t="s">
        <v>2740</v>
      </c>
      <c r="I63" s="27" t="str">
        <f>Table43[[#This Row],[Nama Jenis Kemasan]]</f>
        <v>PCSX12</v>
      </c>
      <c r="J63" s="4" t="str">
        <f>TRIM(CONCATENATE(Table43[[#This Row],[Nama            KLP]]," ",Table43[[#This Row],[Nama            Sub KLP]]))</f>
        <v>KECAP MANIS</v>
      </c>
      <c r="K63" s="4" t="str">
        <f>CONCATENATE(Table43[[#This Row],[kode  2 Digit                (hrf+No)]],Table43[[#This Row],[kode  2 Digit                (Nomor)]],Table43[[#This Row],[kode  1 Digit                (Nomor)]])</f>
        <v>A1011</v>
      </c>
      <c r="L63" s="4" t="str">
        <f>IF(AG63="",CONCATENATE(Q63,S63,U63,W63,Y63,AA63,AC63,AE63,Table43[[#This Row],[Tanda Kode Revisi]]),CONCATENATE(Q63,S63,U63,W63,Y63,AA63,AC63,AG63))</f>
        <v>A1011100001510</v>
      </c>
      <c r="M63" s="11">
        <f t="shared" si="0"/>
        <v>14</v>
      </c>
      <c r="N63" s="14" t="str">
        <f>IF(AF63&lt;&gt;"",TRIM(UPPER(CONCATENATE(P63," ",R63," ",T63," ",V63," ",X63," ",Z63," ","X"," ",Table43[[#This Row],[ISI/CTN]]," ",AF63," ",AB63," ",AD63," ",AH63))),TRIM(UPPER(CONCATENATE(P63," ",R63," ",T63," ",V63," ",X63," ",Z63," ","X"," ",Table43[[#This Row],[ISI/CTN]]," ",AB63," ",AD63," ",AH63))))</f>
        <v>ABC KECAP MANIS SACHET 15/18 GR X 24 RCG PCSX12</v>
      </c>
      <c r="O63" s="11">
        <f t="shared" si="1"/>
        <v>47</v>
      </c>
      <c r="P63" s="4" t="s">
        <v>28</v>
      </c>
      <c r="Q63" s="7" t="s">
        <v>85</v>
      </c>
      <c r="R63" s="4" t="s">
        <v>474</v>
      </c>
      <c r="S63" s="43" t="s">
        <v>0</v>
      </c>
      <c r="T63" s="44" t="s">
        <v>475</v>
      </c>
      <c r="U63" s="7">
        <v>1</v>
      </c>
      <c r="V63" s="44" t="s">
        <v>151</v>
      </c>
      <c r="W63" s="43">
        <v>1</v>
      </c>
      <c r="Y63" s="45" t="s">
        <v>476</v>
      </c>
      <c r="Z63" s="4" t="s">
        <v>1081</v>
      </c>
      <c r="AA63" s="45" t="s">
        <v>523</v>
      </c>
      <c r="AB63" s="4" t="s">
        <v>524</v>
      </c>
      <c r="AC63" s="7" t="s">
        <v>480</v>
      </c>
      <c r="AE63" s="7">
        <v>0</v>
      </c>
      <c r="AF63" s="7" t="s">
        <v>525</v>
      </c>
      <c r="AI63" s="7" t="s">
        <v>215</v>
      </c>
      <c r="AJ63" s="7">
        <v>1</v>
      </c>
      <c r="AL63" s="40">
        <f>Table43[[#This Row],[Harga Jual Pcs GT
(-PPN)]]-(Table43[[#This Row],[Harga Jual Pcs GT
(-PPN)]]*6%)</f>
        <v>4234.2299999999996</v>
      </c>
      <c r="AM63" s="41">
        <f>Table43[[#This Row],[Harga Beli Pcs
(-PPN)]]*Table43[[#This Row],[ISI/CTN]]</f>
        <v>101621.51999999999</v>
      </c>
      <c r="AN63" s="41">
        <f>Table43[[#This Row],[Harga Beli Pcs
(-PPN)]]*1.11</f>
        <v>4699.9952999999996</v>
      </c>
      <c r="AO63" s="41">
        <f>Table43[[#This Row],[Harga Beli Krt
(- PPN)]]*1.11</f>
        <v>112799.8872</v>
      </c>
      <c r="AP63" s="41">
        <v>4504.5</v>
      </c>
      <c r="AQ63" s="41">
        <f>Table43[[#This Row],[Harga Jual Pcs GT
(-PPN)]]*Table43[[#This Row],[ISI/CTN]]</f>
        <v>108108</v>
      </c>
      <c r="AR63" s="41">
        <f>Table43[[#This Row],[Harga Jual Pcs GT
(-PPN)]]*1.11</f>
        <v>4999.9950000000008</v>
      </c>
      <c r="AS63" s="41">
        <f>Table43[[#This Row],[Harga Jual Krt GT
(- PPN)]]*1.11</f>
        <v>119999.88</v>
      </c>
      <c r="AT63" s="41">
        <v>4729.7297297297291</v>
      </c>
      <c r="AU63" s="41">
        <f>(Table43[[#This Row],[Harga Jual Pcs MT
(-PPN)]]*Table43[[#This Row],[ISI/CTN]])</f>
        <v>113513.51351351349</v>
      </c>
      <c r="AV63" s="41">
        <f>Table43[[#This Row],[Harga Jual Pcs MT
(-PPN)]]*1.11</f>
        <v>5250</v>
      </c>
      <c r="AW63" s="41">
        <f>Table43[[#This Row],[Harga Jual Pcs MT
(+PPN)]]*Table43[[#This Row],[ISI/CTN]]</f>
        <v>126000</v>
      </c>
      <c r="AX63" s="41"/>
      <c r="AY63" s="46">
        <v>45553</v>
      </c>
      <c r="AZ63" s="54">
        <v>45553</v>
      </c>
      <c r="BA63" s="7" t="str">
        <f ca="1">IF(TODAY()-Table43[[#This Row],[Efektif
Pembuatan]]&gt;60,"Lama","Baru")</f>
        <v>Lama</v>
      </c>
      <c r="BB63" s="7" t="str">
        <f ca="1">IF(TODAY()-Table43[[#This Row],[Efektif Naik Harga]]&lt;30,"Naik","Sama")</f>
        <v>Sama</v>
      </c>
      <c r="BC63" s="7" t="s">
        <v>235</v>
      </c>
      <c r="BD63" s="7" t="str">
        <f>IF(Table43[[#This Row],[Kode BARANG Win2]]&lt;&gt;"","IDR","")</f>
        <v>IDR</v>
      </c>
      <c r="BE63" s="7" t="str">
        <f>CONCATENATE(Table43[[#This Row],[kode  1 Digit
(Nomor)]],Table43[[#This Row],[kode  4 Digit                (Nomor)]])</f>
        <v>10015</v>
      </c>
      <c r="BF63" s="7" t="str">
        <f>Table43[[#This Row],[Nama            Gramasi atau Jumlah Pack per CTN]]</f>
        <v>15/18 GR</v>
      </c>
      <c r="BG63" s="7" t="s">
        <v>653</v>
      </c>
      <c r="BH63" s="51" t="s">
        <v>654</v>
      </c>
      <c r="BI63" s="4" t="str">
        <f>IF(Table43[[#This Row],[SATUAN Fix Win]]&lt;&gt;"","KRT")</f>
        <v>KRT</v>
      </c>
      <c r="BJ63" s="4" t="str">
        <f>IF(Table43[[#This Row],[SATUAN Fix Win]]&lt;&gt;"","GD01")</f>
        <v>GD01</v>
      </c>
      <c r="BK63" s="4">
        <f>IF(Table43[[#This Row],[SATUAN Fix Win]]&lt;&gt;"",11611)</f>
        <v>11611</v>
      </c>
      <c r="BL63" s="4">
        <f>IF(Table43[[#This Row],[SATUAN Fix Win]]&lt;&gt;"",11612)</f>
        <v>11612</v>
      </c>
      <c r="BM63" s="47" t="s">
        <v>655</v>
      </c>
      <c r="BN63" s="4">
        <f>IF(Table43[[#This Row],[SATUAN Fix Win]]&lt;&gt;"",1)</f>
        <v>1</v>
      </c>
      <c r="BO63" s="4" t="s">
        <v>656</v>
      </c>
      <c r="BP63" s="4">
        <f>IFERROR(VLOOKUP(Table43[[#This Row],[Kode Pcpl]],'[1]HEINZ ABC'!$A$4:$E$112,8,0),0)</f>
        <v>0</v>
      </c>
      <c r="BQ63" s="55">
        <f>Table43[[#This Row],[Harga Jual Pcs GT
(-PPN)]]-Table43[[#This Row],[HARGA NAIK GT]]</f>
        <v>4504.5</v>
      </c>
      <c r="BR63" s="4">
        <f>IF(Table43[[#This Row],[HARGA NAIK GT]]=0,Table43[[#This Row],[Harga Jual Pcs GT
(-PPN)]],Table43[[#This Row],[HARGA NAIK GT]])</f>
        <v>4504.5</v>
      </c>
      <c r="BS63">
        <f>IFERROR(VLOOKUP(Table43[[#This Row],[Kode Pcpl]],'[1]HEINZ ABC'!$A$4:$E$112,8,0),0)</f>
        <v>0</v>
      </c>
      <c r="BT63" s="58">
        <f>Table43[[#This Row],[Harga Jual Pcs GT
(-PPN)]]-BS63</f>
        <v>4504.5</v>
      </c>
      <c r="BU63">
        <f>IF(BS63=0,Table43[[#This Row],[Harga Jual Pcs MT
(-PPN)]])</f>
        <v>4729.7297297297291</v>
      </c>
      <c r="BV63">
        <f>IFERROR(VLOOKUP(Table43[[#This Row],[Kode Pcpl]],[2]Pricelist!$A$4:$K$112,11,0),0)</f>
        <v>0</v>
      </c>
      <c r="BW63">
        <f>IFERROR(VLOOKUP(Table43[[#This Row],[Kode BARANG Win2]],[3]!RECKITT211216[[KDBRG]:[HRG_JL_PCS-PPN]],11,0),0)</f>
        <v>0</v>
      </c>
      <c r="BX63">
        <f t="shared" si="2"/>
        <v>0</v>
      </c>
    </row>
    <row r="64" spans="1:76" x14ac:dyDescent="0.25">
      <c r="A64" s="4" t="str">
        <f>CONCATENATE(Table43[[#This Row],[Kode BARANG Win2]],Table43[[#This Row],[No. Urut
Item Sama]])</f>
        <v>A10111000015103</v>
      </c>
      <c r="B64" s="7">
        <v>3</v>
      </c>
      <c r="C64" s="4">
        <v>52</v>
      </c>
      <c r="D64" s="27">
        <v>100233</v>
      </c>
      <c r="E64" s="27" t="s">
        <v>280</v>
      </c>
      <c r="F64" s="27" t="s">
        <v>282</v>
      </c>
      <c r="G64" s="27">
        <v>24</v>
      </c>
      <c r="H64" s="42" t="s">
        <v>2650</v>
      </c>
      <c r="I64" s="27" t="str">
        <f>Table43[[#This Row],[Nama Jenis Kemasan]]</f>
        <v>PCSX12</v>
      </c>
      <c r="J64" s="4" t="str">
        <f>TRIM(CONCATENATE(Table43[[#This Row],[Nama            KLP]]," ",Table43[[#This Row],[Nama            Sub KLP]]))</f>
        <v>KECAP MANIS</v>
      </c>
      <c r="K64" s="4" t="str">
        <f>CONCATENATE(Table43[[#This Row],[kode  2 Digit                (hrf+No)]],Table43[[#This Row],[kode  2 Digit                (Nomor)]],Table43[[#This Row],[kode  1 Digit                (Nomor)]])</f>
        <v>A1011</v>
      </c>
      <c r="L64" s="4" t="str">
        <f>IF(AG64="",CONCATENATE(Q64,S64,U64,W64,Y64,AA64,AC64,AE64,Table43[[#This Row],[Tanda Kode Revisi]]),CONCATENATE(Q64,S64,U64,W64,Y64,AA64,AC64,AG64))</f>
        <v>A1011100001510</v>
      </c>
      <c r="M64" s="11">
        <f t="shared" si="0"/>
        <v>14</v>
      </c>
      <c r="N64" s="14" t="str">
        <f>IF(AF64&lt;&gt;"",TRIM(UPPER(CONCATENATE(P64," ",R64," ",T64," ",V64," ",X64," ",Z64," ","X"," ",Table43[[#This Row],[ISI/CTN]]," ",AF64," ",AB64," ",AD64," ",AH64))),TRIM(UPPER(CONCATENATE(P64," ",R64," ",T64," ",V64," ",X64," ",Z64," ","X"," ",Table43[[#This Row],[ISI/CTN]]," ",AB64," ",AD64," ",AH64))))</f>
        <v>ABC KECAP MANIS SACHET 15/18 GR X 24 RCG PCSX12</v>
      </c>
      <c r="O64" s="11">
        <f t="shared" si="1"/>
        <v>47</v>
      </c>
      <c r="P64" s="4" t="s">
        <v>28</v>
      </c>
      <c r="Q64" s="7" t="s">
        <v>85</v>
      </c>
      <c r="R64" s="4" t="s">
        <v>474</v>
      </c>
      <c r="S64" s="43" t="s">
        <v>0</v>
      </c>
      <c r="T64" s="44" t="s">
        <v>475</v>
      </c>
      <c r="U64" s="7">
        <v>1</v>
      </c>
      <c r="V64" s="44" t="s">
        <v>151</v>
      </c>
      <c r="W64" s="43">
        <v>1</v>
      </c>
      <c r="Y64" s="45" t="s">
        <v>476</v>
      </c>
      <c r="Z64" s="4" t="s">
        <v>1081</v>
      </c>
      <c r="AA64" s="45" t="s">
        <v>523</v>
      </c>
      <c r="AB64" s="4" t="s">
        <v>524</v>
      </c>
      <c r="AC64" s="7" t="s">
        <v>480</v>
      </c>
      <c r="AE64" s="7">
        <v>0</v>
      </c>
      <c r="AF64" s="7" t="s">
        <v>525</v>
      </c>
      <c r="AI64" s="7" t="s">
        <v>215</v>
      </c>
      <c r="AJ64" s="7">
        <v>1</v>
      </c>
      <c r="AL64" s="40">
        <f>Table43[[#This Row],[Harga Jual Pcs GT
(-PPN)]]-(Table43[[#This Row],[Harga Jual Pcs GT
(-PPN)]]*6%)</f>
        <v>4234.2299999999996</v>
      </c>
      <c r="AM64" s="41">
        <f>Table43[[#This Row],[Harga Beli Pcs
(-PPN)]]*Table43[[#This Row],[ISI/CTN]]</f>
        <v>101621.51999999999</v>
      </c>
      <c r="AN64" s="41">
        <f>Table43[[#This Row],[Harga Beli Pcs
(-PPN)]]*1.11</f>
        <v>4699.9952999999996</v>
      </c>
      <c r="AO64" s="41">
        <f>Table43[[#This Row],[Harga Beli Krt
(- PPN)]]*1.11</f>
        <v>112799.8872</v>
      </c>
      <c r="AP64" s="41">
        <v>4504.5</v>
      </c>
      <c r="AQ64" s="41">
        <f>Table43[[#This Row],[Harga Jual Pcs GT
(-PPN)]]*Table43[[#This Row],[ISI/CTN]]</f>
        <v>108108</v>
      </c>
      <c r="AR64" s="41">
        <f>Table43[[#This Row],[Harga Jual Pcs GT
(-PPN)]]*1.11</f>
        <v>4999.9950000000008</v>
      </c>
      <c r="AS64" s="41">
        <f>Table43[[#This Row],[Harga Jual Krt GT
(- PPN)]]*1.11</f>
        <v>119999.88</v>
      </c>
      <c r="AT64" s="41">
        <v>4729.7297297297291</v>
      </c>
      <c r="AU64" s="41">
        <f>(Table43[[#This Row],[Harga Jual Pcs MT
(-PPN)]]*Table43[[#This Row],[ISI/CTN]])</f>
        <v>113513.51351351349</v>
      </c>
      <c r="AV64" s="41">
        <f>Table43[[#This Row],[Harga Jual Pcs MT
(-PPN)]]*1.11</f>
        <v>5250</v>
      </c>
      <c r="AW64" s="41">
        <f>Table43[[#This Row],[Harga Jual Pcs MT
(+PPN)]]*Table43[[#This Row],[ISI/CTN]]</f>
        <v>126000</v>
      </c>
      <c r="AX64" s="41"/>
      <c r="AY64" s="46"/>
      <c r="AZ64" s="54">
        <v>45553</v>
      </c>
      <c r="BA64" s="7" t="str">
        <f ca="1">IF(TODAY()-Table43[[#This Row],[Efektif
Pembuatan]]&gt;60,"Lama","Baru")</f>
        <v>Lama</v>
      </c>
      <c r="BB64" s="7" t="str">
        <f ca="1">IF(TODAY()-Table43[[#This Row],[Efektif Naik Harga]]&lt;30,"Naik","Sama")</f>
        <v>Sama</v>
      </c>
      <c r="BC64" s="7" t="s">
        <v>235</v>
      </c>
      <c r="BD64" s="7" t="str">
        <f>IF(Table43[[#This Row],[Kode BARANG Win2]]&lt;&gt;"","IDR","")</f>
        <v>IDR</v>
      </c>
      <c r="BE64" s="7" t="str">
        <f>CONCATENATE(Table43[[#This Row],[kode  1 Digit
(Nomor)]],Table43[[#This Row],[kode  4 Digit                (Nomor)]])</f>
        <v>10015</v>
      </c>
      <c r="BF64" s="7" t="str">
        <f>Table43[[#This Row],[Nama            Gramasi atau Jumlah Pack per CTN]]</f>
        <v>15/18 GR</v>
      </c>
      <c r="BG64" s="7" t="s">
        <v>653</v>
      </c>
      <c r="BH64" s="51" t="s">
        <v>654</v>
      </c>
      <c r="BI64" s="4" t="str">
        <f>IF(Table43[[#This Row],[SATUAN Fix Win]]&lt;&gt;"","KRT")</f>
        <v>KRT</v>
      </c>
      <c r="BJ64" s="4" t="str">
        <f>IF(Table43[[#This Row],[SATUAN Fix Win]]&lt;&gt;"","GD01")</f>
        <v>GD01</v>
      </c>
      <c r="BK64" s="4">
        <f>IF(Table43[[#This Row],[SATUAN Fix Win]]&lt;&gt;"",11611)</f>
        <v>11611</v>
      </c>
      <c r="BL64" s="4">
        <f>IF(Table43[[#This Row],[SATUAN Fix Win]]&lt;&gt;"",11612)</f>
        <v>11612</v>
      </c>
      <c r="BM64" s="47" t="s">
        <v>655</v>
      </c>
      <c r="BN64" s="4">
        <f>IF(Table43[[#This Row],[SATUAN Fix Win]]&lt;&gt;"",1)</f>
        <v>1</v>
      </c>
      <c r="BO64" s="4" t="s">
        <v>656</v>
      </c>
      <c r="BP64" s="4">
        <f>IFERROR(VLOOKUP(Table43[[#This Row],[Kode Pcpl]],'[1]HEINZ ABC'!$A$4:$E$112,8,0),0)</f>
        <v>0</v>
      </c>
      <c r="BQ64" s="55">
        <f>Table43[[#This Row],[Harga Jual Pcs GT
(-PPN)]]-Table43[[#This Row],[HARGA NAIK GT]]</f>
        <v>4504.5</v>
      </c>
      <c r="BR64" s="4">
        <f>IF(Table43[[#This Row],[HARGA NAIK GT]]=0,Table43[[#This Row],[Harga Jual Pcs GT
(-PPN)]],Table43[[#This Row],[HARGA NAIK GT]])</f>
        <v>4504.5</v>
      </c>
      <c r="BS64">
        <f>IFERROR(VLOOKUP(Table43[[#This Row],[Kode Pcpl]],'[1]HEINZ ABC'!$A$4:$E$112,8,0),0)</f>
        <v>0</v>
      </c>
      <c r="BT64" s="58">
        <f>Table43[[#This Row],[Harga Jual Pcs GT
(-PPN)]]-BS64</f>
        <v>4504.5</v>
      </c>
      <c r="BU64">
        <f>IF(BS64=0,Table43[[#This Row],[Harga Jual Pcs MT
(-PPN)]])</f>
        <v>4729.7297297297291</v>
      </c>
      <c r="BV64">
        <f>IFERROR(VLOOKUP(Table43[[#This Row],[Kode Pcpl]],[2]Pricelist!$A$4:$K$112,11,0),0)</f>
        <v>0</v>
      </c>
      <c r="BW64">
        <f>IFERROR(VLOOKUP(Table43[[#This Row],[Kode BARANG Win2]],[3]!RECKITT211216[[KDBRG]:[HRG_JL_PCS-PPN]],11,0),0)</f>
        <v>0</v>
      </c>
      <c r="BX64">
        <f t="shared" si="2"/>
        <v>0</v>
      </c>
    </row>
    <row r="65" spans="1:76" x14ac:dyDescent="0.25">
      <c r="A65" s="4" t="str">
        <f>CONCATENATE(Table43[[#This Row],[Kode BARANG Win2]],Table43[[#This Row],[No. Urut
Item Sama]])</f>
        <v>A10111000015104</v>
      </c>
      <c r="B65" s="7">
        <v>4</v>
      </c>
      <c r="C65" s="4">
        <v>53</v>
      </c>
      <c r="D65" s="27">
        <v>100265</v>
      </c>
      <c r="E65" s="27" t="s">
        <v>280</v>
      </c>
      <c r="F65" s="27" t="s">
        <v>1048</v>
      </c>
      <c r="G65" s="27">
        <v>24</v>
      </c>
      <c r="H65" s="42" t="s">
        <v>2653</v>
      </c>
      <c r="I65" s="27" t="str">
        <f>Table43[[#This Row],[Nama Jenis Kemasan]]</f>
        <v>PCSX12</v>
      </c>
      <c r="J65" s="4" t="str">
        <f>TRIM(CONCATENATE(Table43[[#This Row],[Nama            KLP]]," ",Table43[[#This Row],[Nama            Sub KLP]]))</f>
        <v>KECAP MANIS</v>
      </c>
      <c r="K65" s="4" t="str">
        <f>CONCATENATE(Table43[[#This Row],[kode  2 Digit                (hrf+No)]],Table43[[#This Row],[kode  2 Digit                (Nomor)]],Table43[[#This Row],[kode  1 Digit                (Nomor)]])</f>
        <v>A1011</v>
      </c>
      <c r="L65" s="4" t="str">
        <f>IF(AG65="",CONCATENATE(Q65,S65,U65,W65,Y65,AA65,AC65,AE65,Table43[[#This Row],[Tanda Kode Revisi]]),CONCATENATE(Q65,S65,U65,W65,Y65,AA65,AC65,AG65))</f>
        <v>A1011100001510</v>
      </c>
      <c r="M65" s="11">
        <f t="shared" si="0"/>
        <v>14</v>
      </c>
      <c r="N65" s="14" t="str">
        <f>IF(AF65&lt;&gt;"",TRIM(UPPER(CONCATENATE(P65," ",R65," ",T65," ",V65," ",X65," ",Z65," ","X"," ",Table43[[#This Row],[ISI/CTN]]," ",AF65," ",AB65," ",AD65," ",AH65))),TRIM(UPPER(CONCATENATE(P65," ",R65," ",T65," ",V65," ",X65," ",Z65," ","X"," ",Table43[[#This Row],[ISI/CTN]]," ",AB65," ",AD65," ",AH65))))</f>
        <v>ABC KECAP MANIS SACHET 15/18 GR X 24 RCG PCSX12</v>
      </c>
      <c r="O65" s="11">
        <f t="shared" si="1"/>
        <v>47</v>
      </c>
      <c r="P65" s="4" t="s">
        <v>28</v>
      </c>
      <c r="Q65" s="7" t="s">
        <v>85</v>
      </c>
      <c r="R65" s="4" t="s">
        <v>474</v>
      </c>
      <c r="S65" s="43" t="s">
        <v>0</v>
      </c>
      <c r="T65" s="44" t="s">
        <v>475</v>
      </c>
      <c r="U65" s="7">
        <v>1</v>
      </c>
      <c r="V65" s="44" t="s">
        <v>151</v>
      </c>
      <c r="W65" s="43">
        <v>1</v>
      </c>
      <c r="Y65" s="45" t="s">
        <v>476</v>
      </c>
      <c r="Z65" s="4" t="s">
        <v>1081</v>
      </c>
      <c r="AA65" s="45" t="s">
        <v>523</v>
      </c>
      <c r="AB65" s="4" t="s">
        <v>524</v>
      </c>
      <c r="AC65" s="7" t="s">
        <v>480</v>
      </c>
      <c r="AE65" s="7">
        <v>0</v>
      </c>
      <c r="AF65" s="7" t="s">
        <v>525</v>
      </c>
      <c r="AI65" s="7" t="s">
        <v>215</v>
      </c>
      <c r="AJ65" s="7">
        <v>1</v>
      </c>
      <c r="AL65" s="40">
        <f>Table43[[#This Row],[Harga Jual Pcs GT
(-PPN)]]-(Table43[[#This Row],[Harga Jual Pcs GT
(-PPN)]]*6%)</f>
        <v>4234.2299999999996</v>
      </c>
      <c r="AM65" s="41">
        <f>Table43[[#This Row],[Harga Beli Pcs
(-PPN)]]*Table43[[#This Row],[ISI/CTN]]</f>
        <v>101621.51999999999</v>
      </c>
      <c r="AN65" s="41">
        <f>Table43[[#This Row],[Harga Beli Pcs
(-PPN)]]*1.11</f>
        <v>4699.9952999999996</v>
      </c>
      <c r="AO65" s="41">
        <f>Table43[[#This Row],[Harga Beli Krt
(- PPN)]]*1.11</f>
        <v>112799.8872</v>
      </c>
      <c r="AP65" s="41">
        <v>4504.5</v>
      </c>
      <c r="AQ65" s="41">
        <f>Table43[[#This Row],[Harga Jual Pcs GT
(-PPN)]]*Table43[[#This Row],[ISI/CTN]]</f>
        <v>108108</v>
      </c>
      <c r="AR65" s="41">
        <f>Table43[[#This Row],[Harga Jual Pcs GT
(-PPN)]]*1.11</f>
        <v>4999.9950000000008</v>
      </c>
      <c r="AS65" s="41">
        <f>Table43[[#This Row],[Harga Jual Krt GT
(- PPN)]]*1.11</f>
        <v>119999.88</v>
      </c>
      <c r="AT65" s="41">
        <v>4729.7297297297291</v>
      </c>
      <c r="AU65" s="41">
        <f>(Table43[[#This Row],[Harga Jual Pcs MT
(-PPN)]]*Table43[[#This Row],[ISI/CTN]])</f>
        <v>113513.51351351349</v>
      </c>
      <c r="AV65" s="41">
        <f>Table43[[#This Row],[Harga Jual Pcs MT
(-PPN)]]*1.11</f>
        <v>5250</v>
      </c>
      <c r="AW65" s="41">
        <f>Table43[[#This Row],[Harga Jual Pcs MT
(+PPN)]]*Table43[[#This Row],[ISI/CTN]]</f>
        <v>126000</v>
      </c>
      <c r="AX65" s="41"/>
      <c r="AY65" s="46" t="s">
        <v>1049</v>
      </c>
      <c r="AZ65" s="54"/>
      <c r="BA65" s="7" t="e">
        <f ca="1">IF(TODAY()-Table43[[#This Row],[Efektif
Pembuatan]]&gt;60,"Lama","Baru")</f>
        <v>#VALUE!</v>
      </c>
      <c r="BB65" s="7" t="str">
        <f ca="1">IF(TODAY()-Table43[[#This Row],[Efektif Naik Harga]]&lt;30,"Naik","Sama")</f>
        <v>Sama</v>
      </c>
      <c r="BC65" s="7" t="s">
        <v>235</v>
      </c>
      <c r="BD65" s="7" t="str">
        <f>IF(Table43[[#This Row],[Kode BARANG Win2]]&lt;&gt;"","IDR","")</f>
        <v>IDR</v>
      </c>
      <c r="BE65" s="7" t="str">
        <f>CONCATENATE(Table43[[#This Row],[kode  1 Digit
(Nomor)]],Table43[[#This Row],[kode  4 Digit                (Nomor)]])</f>
        <v>10015</v>
      </c>
      <c r="BF65" s="7" t="str">
        <f>Table43[[#This Row],[Nama            Gramasi atau Jumlah Pack per CTN]]</f>
        <v>15/18 GR</v>
      </c>
      <c r="BG65" s="7"/>
      <c r="BH65" s="51"/>
      <c r="BI65" s="4" t="str">
        <f>IF(Table43[[#This Row],[SATUAN Fix Win]]&lt;&gt;"","KRT")</f>
        <v>KRT</v>
      </c>
      <c r="BJ65" s="4" t="str">
        <f>IF(Table43[[#This Row],[SATUAN Fix Win]]&lt;&gt;"","GD01")</f>
        <v>GD01</v>
      </c>
      <c r="BK65" s="4">
        <f>IF(Table43[[#This Row],[SATUAN Fix Win]]&lt;&gt;"",11611)</f>
        <v>11611</v>
      </c>
      <c r="BL65" s="4">
        <f>IF(Table43[[#This Row],[SATUAN Fix Win]]&lt;&gt;"",11612)</f>
        <v>11612</v>
      </c>
      <c r="BM65" s="47"/>
      <c r="BN65" s="4">
        <f>IF(Table43[[#This Row],[SATUAN Fix Win]]&lt;&gt;"",1)</f>
        <v>1</v>
      </c>
      <c r="BP65" s="4">
        <f>IFERROR(VLOOKUP(Table43[[#This Row],[Kode Pcpl]],'[1]HEINZ ABC'!$A$4:$E$112,8,0),0)</f>
        <v>0</v>
      </c>
      <c r="BQ65" s="55">
        <f>Table43[[#This Row],[Harga Jual Pcs GT
(-PPN)]]-Table43[[#This Row],[HARGA NAIK GT]]</f>
        <v>4504.5</v>
      </c>
      <c r="BR65" s="4">
        <f>IF(Table43[[#This Row],[HARGA NAIK GT]]=0,Table43[[#This Row],[Harga Jual Pcs GT
(-PPN)]],Table43[[#This Row],[HARGA NAIK GT]])</f>
        <v>4504.5</v>
      </c>
      <c r="BS65">
        <f>IFERROR(VLOOKUP(Table43[[#This Row],[Kode Pcpl]],'[1]HEINZ ABC'!$A$4:$E$112,8,0),0)</f>
        <v>0</v>
      </c>
      <c r="BT65" s="58">
        <f>Table43[[#This Row],[Harga Jual Pcs GT
(-PPN)]]-BS65</f>
        <v>4504.5</v>
      </c>
      <c r="BU65">
        <f>IF(BS65=0,Table43[[#This Row],[Harga Jual Pcs MT
(-PPN)]])</f>
        <v>4729.7297297297291</v>
      </c>
      <c r="BV65">
        <f>IFERROR(VLOOKUP(Table43[[#This Row],[Kode Pcpl]],[2]Pricelist!$A$4:$K$112,11,0),0)</f>
        <v>0</v>
      </c>
      <c r="BW65">
        <f>IFERROR(VLOOKUP(Table43[[#This Row],[Kode BARANG Win2]],[3]!RECKITT211216[[KDBRG]:[HRG_JL_PCS-PPN]],11,0),0)</f>
        <v>0</v>
      </c>
      <c r="BX65">
        <f t="shared" si="2"/>
        <v>0</v>
      </c>
    </row>
    <row r="66" spans="1:76" x14ac:dyDescent="0.25">
      <c r="A66" s="4" t="str">
        <f>CONCATENATE(Table43[[#This Row],[Kode BARANG Win2]],Table43[[#This Row],[No. Urut
Item Sama]])</f>
        <v>A10111000015411</v>
      </c>
      <c r="B66" s="7">
        <v>1</v>
      </c>
      <c r="C66" s="4">
        <v>54</v>
      </c>
      <c r="D66" s="27">
        <v>100987</v>
      </c>
      <c r="E66" s="27" t="s">
        <v>280</v>
      </c>
      <c r="F66" s="27" t="s">
        <v>283</v>
      </c>
      <c r="G66" s="27">
        <v>24</v>
      </c>
      <c r="H66" s="42" t="s">
        <v>2746</v>
      </c>
      <c r="I66" s="27" t="str">
        <f>Table43[[#This Row],[Nama Jenis Kemasan]]</f>
        <v>PCSX12</v>
      </c>
      <c r="J66" s="4" t="str">
        <f>TRIM(CONCATENATE(Table43[[#This Row],[Nama            KLP]]," ",Table43[[#This Row],[Nama            Sub KLP]]))</f>
        <v>KECAP MANIS</v>
      </c>
      <c r="K66" s="4" t="str">
        <f>CONCATENATE(Table43[[#This Row],[kode  2 Digit                (hrf+No)]],Table43[[#This Row],[kode  2 Digit                (Nomor)]],Table43[[#This Row],[kode  1 Digit                (Nomor)]])</f>
        <v>A1011</v>
      </c>
      <c r="L66" s="4" t="str">
        <f>IF(AG66="",CONCATENATE(Q66,S66,U66,W66,Y66,AA66,AC66,AE66,Table43[[#This Row],[Tanda Kode Revisi]]),CONCATENATE(Q66,S66,U66,W66,Y66,AA66,AC66,AG66))</f>
        <v>A1011100001541</v>
      </c>
      <c r="M66" s="11">
        <f t="shared" si="0"/>
        <v>14</v>
      </c>
      <c r="N66" s="14" t="str">
        <f>IF(AF66&lt;&gt;"",TRIM(UPPER(CONCATENATE(P66," ",R66," ",T66," ",V66," ",X66," ",Z66," ","X"," ",Table43[[#This Row],[ISI/CTN]]," ",AF66," ",AB66," ",AD66," ",AH66))),TRIM(UPPER(CONCATENATE(P66," ",R66," ",T66," ",V66," ",X66," ",Z66," ","X"," ",Table43[[#This Row],[ISI/CTN]]," ",AB66," ",AD66," ",AH66))))</f>
        <v>ABC KECAP MANIS SACHET 15 GR X 24 RCG PCSX12 B5G1</v>
      </c>
      <c r="O66" s="11">
        <f t="shared" si="1"/>
        <v>49</v>
      </c>
      <c r="P66" s="4" t="s">
        <v>28</v>
      </c>
      <c r="Q66" s="7" t="s">
        <v>85</v>
      </c>
      <c r="R66" s="4" t="s">
        <v>474</v>
      </c>
      <c r="S66" s="43" t="s">
        <v>0</v>
      </c>
      <c r="T66" s="44" t="s">
        <v>475</v>
      </c>
      <c r="U66" s="7">
        <v>1</v>
      </c>
      <c r="V66" s="44" t="s">
        <v>151</v>
      </c>
      <c r="W66" s="43">
        <v>1</v>
      </c>
      <c r="Y66" s="45" t="s">
        <v>476</v>
      </c>
      <c r="Z66" s="4" t="s">
        <v>522</v>
      </c>
      <c r="AA66" s="45" t="s">
        <v>523</v>
      </c>
      <c r="AB66" s="4" t="s">
        <v>524</v>
      </c>
      <c r="AC66" s="7" t="s">
        <v>526</v>
      </c>
      <c r="AD66" s="4" t="s">
        <v>481</v>
      </c>
      <c r="AE66" s="7">
        <v>1</v>
      </c>
      <c r="AF66" s="7" t="s">
        <v>525</v>
      </c>
      <c r="AI66" s="7" t="s">
        <v>215</v>
      </c>
      <c r="AJ66" s="7">
        <v>1</v>
      </c>
      <c r="AL66" s="40">
        <f>Table43[[#This Row],[Harga Jual Pcs GT
(-PPN)]]-(Table43[[#This Row],[Harga Jual Pcs GT
(-PPN)]]*6%)</f>
        <v>3528.5720000000001</v>
      </c>
      <c r="AM66" s="41">
        <f>Table43[[#This Row],[Harga Beli Pcs
(-PPN)]]*Table43[[#This Row],[ISI/CTN]]</f>
        <v>84685.728000000003</v>
      </c>
      <c r="AN66" s="41">
        <f>Table43[[#This Row],[Harga Beli Pcs
(-PPN)]]*1.11</f>
        <v>3916.7149200000003</v>
      </c>
      <c r="AO66" s="41">
        <f>Table43[[#This Row],[Harga Beli Krt
(- PPN)]]*1.11</f>
        <v>94001.158080000008</v>
      </c>
      <c r="AP66" s="41">
        <v>3753.8</v>
      </c>
      <c r="AQ66" s="41">
        <f>Table43[[#This Row],[Harga Jual Pcs GT
(-PPN)]]*Table43[[#This Row],[ISI/CTN]]</f>
        <v>90091.200000000012</v>
      </c>
      <c r="AR66" s="41">
        <f>Table43[[#This Row],[Harga Jual Pcs GT
(-PPN)]]*1.11</f>
        <v>4166.7180000000008</v>
      </c>
      <c r="AS66" s="41">
        <f>Table43[[#This Row],[Harga Jual Krt GT
(- PPN)]]*1.11</f>
        <v>100001.23200000002</v>
      </c>
      <c r="AT66" s="41">
        <v>3941.49</v>
      </c>
      <c r="AU66" s="41">
        <f>(Table43[[#This Row],[Harga Jual Pcs MT
(-PPN)]]*Table43[[#This Row],[ISI/CTN]])</f>
        <v>94595.76</v>
      </c>
      <c r="AV66" s="41">
        <f>Table43[[#This Row],[Harga Jual Pcs MT
(-PPN)]]*1.11</f>
        <v>4375.0538999999999</v>
      </c>
      <c r="AW66" s="41">
        <f>Table43[[#This Row],[Harga Jual Pcs MT
(+PPN)]]*Table43[[#This Row],[ISI/CTN]]</f>
        <v>105001.2936</v>
      </c>
      <c r="AX66" s="41"/>
      <c r="AY66" s="46">
        <v>45553</v>
      </c>
      <c r="AZ66" s="54">
        <v>45553</v>
      </c>
      <c r="BA66" s="7" t="str">
        <f ca="1">IF(TODAY()-Table43[[#This Row],[Efektif
Pembuatan]]&gt;60,"Lama","Baru")</f>
        <v>Lama</v>
      </c>
      <c r="BB66" s="7" t="str">
        <f ca="1">IF(TODAY()-Table43[[#This Row],[Efektif Naik Harga]]&lt;30,"Naik","Sama")</f>
        <v>Sama</v>
      </c>
      <c r="BC66" s="7" t="s">
        <v>235</v>
      </c>
      <c r="BD66" s="7" t="str">
        <f>IF(Table43[[#This Row],[Kode BARANG Win2]]&lt;&gt;"","IDR","")</f>
        <v>IDR</v>
      </c>
      <c r="BE66" s="7" t="str">
        <f>CONCATENATE(Table43[[#This Row],[kode  1 Digit
(Nomor)]],Table43[[#This Row],[kode  4 Digit                (Nomor)]])</f>
        <v>10015</v>
      </c>
      <c r="BF66" s="7" t="str">
        <f>Table43[[#This Row],[Nama            Gramasi atau Jumlah Pack per CTN]]</f>
        <v>15 GR</v>
      </c>
      <c r="BG66" s="7" t="s">
        <v>653</v>
      </c>
      <c r="BH66" s="51" t="s">
        <v>654</v>
      </c>
      <c r="BI66" s="4" t="str">
        <f>IF(Table43[[#This Row],[SATUAN Fix Win]]&lt;&gt;"","KRT")</f>
        <v>KRT</v>
      </c>
      <c r="BJ66" s="4" t="str">
        <f>IF(Table43[[#This Row],[SATUAN Fix Win]]&lt;&gt;"","GD01")</f>
        <v>GD01</v>
      </c>
      <c r="BK66" s="4">
        <f>IF(Table43[[#This Row],[SATUAN Fix Win]]&lt;&gt;"",11611)</f>
        <v>11611</v>
      </c>
      <c r="BL66" s="4">
        <f>IF(Table43[[#This Row],[SATUAN Fix Win]]&lt;&gt;"",11612)</f>
        <v>11612</v>
      </c>
      <c r="BM66" s="47" t="s">
        <v>655</v>
      </c>
      <c r="BN66" s="4">
        <f>IF(Table43[[#This Row],[SATUAN Fix Win]]&lt;&gt;"",1)</f>
        <v>1</v>
      </c>
      <c r="BO66" s="4" t="s">
        <v>656</v>
      </c>
      <c r="BP66" s="4">
        <f>IFERROR(VLOOKUP(Table43[[#This Row],[Kode Pcpl]],'[1]HEINZ ABC'!$A$4:$E$112,8,0),0)</f>
        <v>0</v>
      </c>
      <c r="BQ66" s="55">
        <f>Table43[[#This Row],[Harga Jual Pcs GT
(-PPN)]]-Table43[[#This Row],[HARGA NAIK GT]]</f>
        <v>3753.8</v>
      </c>
      <c r="BR66" s="4">
        <f>IF(Table43[[#This Row],[HARGA NAIK GT]]=0,Table43[[#This Row],[Harga Jual Pcs GT
(-PPN)]],Table43[[#This Row],[HARGA NAIK GT]])</f>
        <v>3753.8</v>
      </c>
      <c r="BS66">
        <f>IFERROR(VLOOKUP(Table43[[#This Row],[Kode Pcpl]],'[1]HEINZ ABC'!$A$4:$E$112,8,0),0)</f>
        <v>0</v>
      </c>
      <c r="BT66" s="58">
        <f>Table43[[#This Row],[Harga Jual Pcs GT
(-PPN)]]-BS66</f>
        <v>3753.8</v>
      </c>
      <c r="BU66">
        <f>IF(BS66=0,Table43[[#This Row],[Harga Jual Pcs MT
(-PPN)]])</f>
        <v>3941.49</v>
      </c>
      <c r="BV66">
        <f>IFERROR(VLOOKUP(Table43[[#This Row],[Kode Pcpl]],[2]Pricelist!$A$4:$K$112,11,0),0)</f>
        <v>0</v>
      </c>
      <c r="BW66">
        <f>IFERROR(VLOOKUP(Table43[[#This Row],[Kode BARANG Win2]],[3]!RECKITT211216[[KDBRG]:[HRG_JL_PCS-PPN]],11,0),0)</f>
        <v>0</v>
      </c>
      <c r="BX66">
        <f t="shared" si="2"/>
        <v>0</v>
      </c>
    </row>
    <row r="67" spans="1:76" x14ac:dyDescent="0.25">
      <c r="A67" s="4" t="str">
        <f>CONCATENATE(Table43[[#This Row],[Kode BARANG Win2]],Table43[[#This Row],[No. Urut
Item Sama]])</f>
        <v>A10111000025101</v>
      </c>
      <c r="B67" s="7">
        <v>1</v>
      </c>
      <c r="C67" s="4">
        <v>55</v>
      </c>
      <c r="D67" s="27">
        <v>100195</v>
      </c>
      <c r="E67" s="27" t="s">
        <v>280</v>
      </c>
      <c r="F67" s="27" t="s">
        <v>284</v>
      </c>
      <c r="G67" s="27">
        <v>12</v>
      </c>
      <c r="H67" s="42">
        <v>0</v>
      </c>
      <c r="I67" s="27" t="str">
        <f>Table43[[#This Row],[Nama Jenis Kemasan]]</f>
        <v>PCSX12</v>
      </c>
      <c r="J67" s="4" t="str">
        <f>TRIM(CONCATENATE(Table43[[#This Row],[Nama            KLP]]," ",Table43[[#This Row],[Nama            Sub KLP]]))</f>
        <v>KECAP MANIS</v>
      </c>
      <c r="K67" s="4" t="str">
        <f>CONCATENATE(Table43[[#This Row],[kode  2 Digit                (hrf+No)]],Table43[[#This Row],[kode  2 Digit                (Nomor)]],Table43[[#This Row],[kode  1 Digit                (Nomor)]])</f>
        <v>A1011</v>
      </c>
      <c r="L67" s="4" t="str">
        <f>IF(AG67="",CONCATENATE(Q67,S67,U67,W67,Y67,AA67,AC67,AE67,Table43[[#This Row],[Tanda Kode Revisi]]),CONCATENATE(Q67,S67,U67,W67,Y67,AA67,AC67,AG67))</f>
        <v>A1011100002510</v>
      </c>
      <c r="M67" s="11">
        <f t="shared" si="0"/>
        <v>14</v>
      </c>
      <c r="N67" s="14" t="str">
        <f>IF(AF67&lt;&gt;"",TRIM(UPPER(CONCATENATE(P67," ",R67," ",T67," ",V67," ",X67," ",Z67," ","X"," ",Table43[[#This Row],[ISI/CTN]]," ",AF67," ",AB67," ",AD67," ",AH67))),TRIM(UPPER(CONCATENATE(P67," ",R67," ",T67," ",V67," ",X67," ",Z67," ","X"," ",Table43[[#This Row],[ISI/CTN]]," ",AB67," ",AD67," ",AH67))))</f>
        <v>ABC KECAP MANIS SACHET 25 GR X 12 RCG PCSX12</v>
      </c>
      <c r="O67" s="11">
        <f t="shared" si="1"/>
        <v>44</v>
      </c>
      <c r="P67" s="4" t="s">
        <v>28</v>
      </c>
      <c r="Q67" s="7" t="s">
        <v>85</v>
      </c>
      <c r="R67" s="4" t="s">
        <v>474</v>
      </c>
      <c r="S67" s="43" t="s">
        <v>0</v>
      </c>
      <c r="T67" s="44" t="s">
        <v>475</v>
      </c>
      <c r="U67" s="7">
        <v>1</v>
      </c>
      <c r="V67" s="44" t="s">
        <v>151</v>
      </c>
      <c r="W67" s="43">
        <v>1</v>
      </c>
      <c r="Y67" s="45" t="s">
        <v>476</v>
      </c>
      <c r="Z67" s="4" t="s">
        <v>527</v>
      </c>
      <c r="AA67" s="45" t="s">
        <v>232</v>
      </c>
      <c r="AB67" s="4" t="s">
        <v>524</v>
      </c>
      <c r="AC67" s="7" t="s">
        <v>480</v>
      </c>
      <c r="AE67" s="7">
        <v>0</v>
      </c>
      <c r="AF67" s="7" t="s">
        <v>525</v>
      </c>
      <c r="AI67" s="7" t="s">
        <v>215</v>
      </c>
      <c r="AJ67" s="7">
        <v>1</v>
      </c>
      <c r="AL67" s="40">
        <f>Table43[[#This Row],[Harga Jual Pcs GT
(-PPN)]]-(Table43[[#This Row],[Harga Jual Pcs GT
(-PPN)]]*6%)</f>
        <v>8510.8069999999989</v>
      </c>
      <c r="AM67" s="41">
        <f>Table43[[#This Row],[Harga Beli Pcs
(-PPN)]]*Table43[[#This Row],[ISI/CTN]]</f>
        <v>102129.68399999998</v>
      </c>
      <c r="AN67" s="41">
        <f>Table43[[#This Row],[Harga Beli Pcs
(-PPN)]]*1.11</f>
        <v>9446.9957699999995</v>
      </c>
      <c r="AO67" s="41">
        <f>Table43[[#This Row],[Harga Beli Krt
(- PPN)]]*1.11</f>
        <v>113363.94923999999</v>
      </c>
      <c r="AP67" s="41">
        <v>9054.0499999999993</v>
      </c>
      <c r="AQ67" s="41">
        <f>Table43[[#This Row],[Harga Jual Pcs GT
(-PPN)]]*Table43[[#This Row],[ISI/CTN]]</f>
        <v>108648.59999999999</v>
      </c>
      <c r="AR67" s="41">
        <f>Table43[[#This Row],[Harga Jual Pcs GT
(-PPN)]]*1.11</f>
        <v>10049.995500000001</v>
      </c>
      <c r="AS67" s="41">
        <f>Table43[[#This Row],[Harga Jual Krt GT
(- PPN)]]*1.11</f>
        <v>120599.946</v>
      </c>
      <c r="AT67" s="41">
        <v>9506.75</v>
      </c>
      <c r="AU67" s="41">
        <f>(Table43[[#This Row],[Harga Jual Pcs MT
(-PPN)]]*Table43[[#This Row],[ISI/CTN]])</f>
        <v>114081</v>
      </c>
      <c r="AV67" s="41">
        <f>Table43[[#This Row],[Harga Jual Pcs MT
(-PPN)]]*1.11</f>
        <v>10552.4925</v>
      </c>
      <c r="AW67" s="41">
        <f>Table43[[#This Row],[Harga Jual Pcs MT
(+PPN)]]*Table43[[#This Row],[ISI/CTN]]</f>
        <v>126629.91</v>
      </c>
      <c r="AX67" s="41"/>
      <c r="AY67" s="46">
        <v>45553</v>
      </c>
      <c r="AZ67" s="54">
        <v>45553</v>
      </c>
      <c r="BA67" s="7" t="str">
        <f ca="1">IF(TODAY()-Table43[[#This Row],[Efektif
Pembuatan]]&gt;60,"Lama","Baru")</f>
        <v>Lama</v>
      </c>
      <c r="BB67" s="7" t="str">
        <f ca="1">IF(TODAY()-Table43[[#This Row],[Efektif Naik Harga]]&lt;30,"Naik","Sama")</f>
        <v>Sama</v>
      </c>
      <c r="BC67" s="7" t="s">
        <v>235</v>
      </c>
      <c r="BD67" s="7" t="str">
        <f>IF(Table43[[#This Row],[Kode BARANG Win2]]&lt;&gt;"","IDR","")</f>
        <v>IDR</v>
      </c>
      <c r="BE67" s="7" t="str">
        <f>CONCATENATE(Table43[[#This Row],[kode  1 Digit
(Nomor)]],Table43[[#This Row],[kode  4 Digit                (Nomor)]])</f>
        <v>10025</v>
      </c>
      <c r="BF67" s="7" t="str">
        <f>Table43[[#This Row],[Nama            Gramasi atau Jumlah Pack per CTN]]</f>
        <v>25 GR</v>
      </c>
      <c r="BG67" s="7" t="s">
        <v>653</v>
      </c>
      <c r="BH67" s="51" t="s">
        <v>654</v>
      </c>
      <c r="BI67" s="4" t="str">
        <f>IF(Table43[[#This Row],[SATUAN Fix Win]]&lt;&gt;"","KRT")</f>
        <v>KRT</v>
      </c>
      <c r="BJ67" s="4" t="str">
        <f>IF(Table43[[#This Row],[SATUAN Fix Win]]&lt;&gt;"","GD01")</f>
        <v>GD01</v>
      </c>
      <c r="BK67" s="4">
        <f>IF(Table43[[#This Row],[SATUAN Fix Win]]&lt;&gt;"",11611)</f>
        <v>11611</v>
      </c>
      <c r="BL67" s="4">
        <f>IF(Table43[[#This Row],[SATUAN Fix Win]]&lt;&gt;"",11612)</f>
        <v>11612</v>
      </c>
      <c r="BM67" s="47" t="s">
        <v>655</v>
      </c>
      <c r="BN67" s="4">
        <f>IF(Table43[[#This Row],[SATUAN Fix Win]]&lt;&gt;"",1)</f>
        <v>1</v>
      </c>
      <c r="BO67" s="4" t="s">
        <v>656</v>
      </c>
      <c r="BP67" s="4">
        <f>IFERROR(VLOOKUP(Table43[[#This Row],[Kode Pcpl]],'[1]HEINZ ABC'!$A$4:$E$112,8,0),0)</f>
        <v>0</v>
      </c>
      <c r="BQ67" s="55">
        <f>Table43[[#This Row],[Harga Jual Pcs GT
(-PPN)]]-Table43[[#This Row],[HARGA NAIK GT]]</f>
        <v>9054.0499999999993</v>
      </c>
      <c r="BR67" s="4">
        <f>IF(Table43[[#This Row],[HARGA NAIK GT]]=0,Table43[[#This Row],[Harga Jual Pcs GT
(-PPN)]],Table43[[#This Row],[HARGA NAIK GT]])</f>
        <v>9054.0499999999993</v>
      </c>
      <c r="BS67">
        <f>IFERROR(VLOOKUP(Table43[[#This Row],[Kode Pcpl]],'[1]HEINZ ABC'!$A$4:$E$112,8,0),0)</f>
        <v>0</v>
      </c>
      <c r="BT67" s="58">
        <f>Table43[[#This Row],[Harga Jual Pcs GT
(-PPN)]]-BS67</f>
        <v>9054.0499999999993</v>
      </c>
      <c r="BU67">
        <f>IF(BS67=0,Table43[[#This Row],[Harga Jual Pcs MT
(-PPN)]])</f>
        <v>9506.75</v>
      </c>
      <c r="BV67">
        <f>IFERROR(VLOOKUP(Table43[[#This Row],[Kode Pcpl]],[2]Pricelist!$A$4:$K$112,11,0),0)</f>
        <v>0</v>
      </c>
      <c r="BW67">
        <f>IFERROR(VLOOKUP(Table43[[#This Row],[Kode BARANG Win2]],[3]!RECKITT211216[[KDBRG]:[HRG_JL_PCS-PPN]],11,0),0)</f>
        <v>0</v>
      </c>
      <c r="BX67">
        <f t="shared" si="2"/>
        <v>0</v>
      </c>
    </row>
    <row r="68" spans="1:76" x14ac:dyDescent="0.25">
      <c r="A68" s="4" t="str">
        <f>CONCATENATE(Table43[[#This Row],[Kode BARANG Win2]],Table43[[#This Row],[No. Urut
Item Sama]])</f>
        <v>A10111000027411</v>
      </c>
      <c r="B68" s="7">
        <v>1</v>
      </c>
      <c r="C68" s="4">
        <v>56</v>
      </c>
      <c r="D68" s="27">
        <v>100975</v>
      </c>
      <c r="E68" s="27" t="s">
        <v>280</v>
      </c>
      <c r="F68" s="27" t="s">
        <v>285</v>
      </c>
      <c r="G68" s="27">
        <v>12</v>
      </c>
      <c r="H68" s="42">
        <v>0</v>
      </c>
      <c r="I68" s="27" t="str">
        <f>Table43[[#This Row],[Nama Jenis Kemasan]]</f>
        <v>PCSX12</v>
      </c>
      <c r="J68" s="4" t="str">
        <f>TRIM(CONCATENATE(Table43[[#This Row],[Nama            KLP]]," ",Table43[[#This Row],[Nama            Sub KLP]]))</f>
        <v>KECAP MANIS</v>
      </c>
      <c r="K68" s="4" t="str">
        <f>CONCATENATE(Table43[[#This Row],[kode  2 Digit                (hrf+No)]],Table43[[#This Row],[kode  2 Digit                (Nomor)]],Table43[[#This Row],[kode  1 Digit                (Nomor)]])</f>
        <v>A1011</v>
      </c>
      <c r="L68" s="4" t="str">
        <f>IF(AG68="",CONCATENATE(Q68,S68,U68,W68,Y68,AA68,AC68,AE68,Table43[[#This Row],[Tanda Kode Revisi]]),CONCATENATE(Q68,S68,U68,W68,Y68,AA68,AC68,AG68))</f>
        <v>A1011100002741</v>
      </c>
      <c r="M68" s="11">
        <f t="shared" si="0"/>
        <v>14</v>
      </c>
      <c r="N68" s="14" t="str">
        <f>IF(AF68&lt;&gt;"",TRIM(UPPER(CONCATENATE(P68," ",R68," ",T68," ",V68," ",X68," ",Z68," ","X"," ",Table43[[#This Row],[ISI/CTN]]," ",AF68," ",AB68," ",AD68," ",AH68))),TRIM(UPPER(CONCATENATE(P68," ",R68," ",T68," ",V68," ",X68," ",Z68," ","X"," ",Table43[[#This Row],[ISI/CTN]]," ",AB68," ",AD68," ",AH68))))</f>
        <v>ABC KECAP MANIS SACHET 27 GR X 12 RCG PCSX12 PROMO</v>
      </c>
      <c r="O68" s="11">
        <f t="shared" si="1"/>
        <v>50</v>
      </c>
      <c r="P68" s="4" t="s">
        <v>28</v>
      </c>
      <c r="Q68" s="7" t="s">
        <v>85</v>
      </c>
      <c r="R68" s="4" t="s">
        <v>474</v>
      </c>
      <c r="S68" s="43" t="s">
        <v>0</v>
      </c>
      <c r="T68" s="44" t="s">
        <v>475</v>
      </c>
      <c r="U68" s="7">
        <v>1</v>
      </c>
      <c r="V68" s="44" t="s">
        <v>151</v>
      </c>
      <c r="W68" s="43">
        <v>1</v>
      </c>
      <c r="Y68" s="45" t="s">
        <v>476</v>
      </c>
      <c r="Z68" s="4" t="s">
        <v>528</v>
      </c>
      <c r="AA68" s="45" t="s">
        <v>529</v>
      </c>
      <c r="AB68" s="4" t="s">
        <v>524</v>
      </c>
      <c r="AC68" s="7" t="s">
        <v>526</v>
      </c>
      <c r="AD68" s="4" t="s">
        <v>233</v>
      </c>
      <c r="AE68" s="7">
        <v>1</v>
      </c>
      <c r="AF68" s="7" t="s">
        <v>525</v>
      </c>
      <c r="AI68" s="7" t="s">
        <v>215</v>
      </c>
      <c r="AJ68" s="7">
        <v>1</v>
      </c>
      <c r="AL68" s="40">
        <f>Table43[[#This Row],[Harga Jual Pcs GT
(-PPN)]]-(Table43[[#This Row],[Harga Jual Pcs GT
(-PPN)]]*6%)</f>
        <v>6383.07</v>
      </c>
      <c r="AM68" s="41">
        <f>Table43[[#This Row],[Harga Beli Pcs
(-PPN)]]*Table43[[#This Row],[ISI/CTN]]</f>
        <v>76596.84</v>
      </c>
      <c r="AN68" s="41">
        <f>Table43[[#This Row],[Harga Beli Pcs
(-PPN)]]*1.11</f>
        <v>7085.2076999999999</v>
      </c>
      <c r="AO68" s="41">
        <f>Table43[[#This Row],[Harga Beli Krt
(- PPN)]]*1.11</f>
        <v>85022.492400000003</v>
      </c>
      <c r="AP68" s="41">
        <v>6790.5</v>
      </c>
      <c r="AQ68" s="41">
        <f>Table43[[#This Row],[Harga Jual Pcs GT
(-PPN)]]*Table43[[#This Row],[ISI/CTN]]</f>
        <v>81486</v>
      </c>
      <c r="AR68" s="41">
        <f>Table43[[#This Row],[Harga Jual Pcs GT
(-PPN)]]*1.11</f>
        <v>7537.4550000000008</v>
      </c>
      <c r="AS68" s="41">
        <f>Table43[[#This Row],[Harga Jual Krt GT
(- PPN)]]*1.11</f>
        <v>90449.46</v>
      </c>
      <c r="AT68" s="41">
        <v>7130.03</v>
      </c>
      <c r="AU68" s="41">
        <f>(Table43[[#This Row],[Harga Jual Pcs MT
(-PPN)]]*Table43[[#This Row],[ISI/CTN]])</f>
        <v>85560.36</v>
      </c>
      <c r="AV68" s="41">
        <f>Table43[[#This Row],[Harga Jual Pcs MT
(-PPN)]]*1.11</f>
        <v>7914.3333000000002</v>
      </c>
      <c r="AW68" s="41">
        <f>Table43[[#This Row],[Harga Jual Pcs MT
(+PPN)]]*Table43[[#This Row],[ISI/CTN]]</f>
        <v>94971.99960000001</v>
      </c>
      <c r="AX68" s="41"/>
      <c r="AY68" s="46">
        <v>45553</v>
      </c>
      <c r="AZ68" s="54">
        <v>45553</v>
      </c>
      <c r="BA68" s="7" t="str">
        <f ca="1">IF(TODAY()-Table43[[#This Row],[Efektif
Pembuatan]]&gt;60,"Lama","Baru")</f>
        <v>Lama</v>
      </c>
      <c r="BB68" s="7" t="str">
        <f ca="1">IF(TODAY()-Table43[[#This Row],[Efektif Naik Harga]]&lt;30,"Naik","Sama")</f>
        <v>Sama</v>
      </c>
      <c r="BC68" s="7" t="s">
        <v>235</v>
      </c>
      <c r="BD68" s="7" t="str">
        <f>IF(Table43[[#This Row],[Kode BARANG Win2]]&lt;&gt;"","IDR","")</f>
        <v>IDR</v>
      </c>
      <c r="BE68" s="7" t="str">
        <f>CONCATENATE(Table43[[#This Row],[kode  1 Digit
(Nomor)]],Table43[[#This Row],[kode  4 Digit                (Nomor)]])</f>
        <v>10027</v>
      </c>
      <c r="BF68" s="7" t="str">
        <f>Table43[[#This Row],[Nama            Gramasi atau Jumlah Pack per CTN]]</f>
        <v>27 GR</v>
      </c>
      <c r="BG68" s="7" t="s">
        <v>653</v>
      </c>
      <c r="BH68" s="51" t="s">
        <v>654</v>
      </c>
      <c r="BI68" s="4" t="str">
        <f>IF(Table43[[#This Row],[SATUAN Fix Win]]&lt;&gt;"","KRT")</f>
        <v>KRT</v>
      </c>
      <c r="BJ68" s="4" t="str">
        <f>IF(Table43[[#This Row],[SATUAN Fix Win]]&lt;&gt;"","GD01")</f>
        <v>GD01</v>
      </c>
      <c r="BK68" s="4">
        <f>IF(Table43[[#This Row],[SATUAN Fix Win]]&lt;&gt;"",11611)</f>
        <v>11611</v>
      </c>
      <c r="BL68" s="4">
        <f>IF(Table43[[#This Row],[SATUAN Fix Win]]&lt;&gt;"",11612)</f>
        <v>11612</v>
      </c>
      <c r="BM68" s="47" t="s">
        <v>655</v>
      </c>
      <c r="BN68" s="4">
        <f>IF(Table43[[#This Row],[SATUAN Fix Win]]&lt;&gt;"",1)</f>
        <v>1</v>
      </c>
      <c r="BO68" s="4" t="s">
        <v>656</v>
      </c>
      <c r="BP68" s="4">
        <f>IFERROR(VLOOKUP(Table43[[#This Row],[Kode Pcpl]],'[1]HEINZ ABC'!$A$4:$E$112,8,0),0)</f>
        <v>0</v>
      </c>
      <c r="BQ68" s="55">
        <f>Table43[[#This Row],[Harga Jual Pcs GT
(-PPN)]]-Table43[[#This Row],[HARGA NAIK GT]]</f>
        <v>6790.5</v>
      </c>
      <c r="BR68" s="4">
        <f>IF(Table43[[#This Row],[HARGA NAIK GT]]=0,Table43[[#This Row],[Harga Jual Pcs GT
(-PPN)]],Table43[[#This Row],[HARGA NAIK GT]])</f>
        <v>6790.5</v>
      </c>
      <c r="BS68">
        <f>IFERROR(VLOOKUP(Table43[[#This Row],[Kode Pcpl]],'[1]HEINZ ABC'!$A$4:$E$112,8,0),0)</f>
        <v>0</v>
      </c>
      <c r="BT68" s="58">
        <f>Table43[[#This Row],[Harga Jual Pcs GT
(-PPN)]]-BS68</f>
        <v>6790.5</v>
      </c>
      <c r="BU68">
        <f>IF(BS68=0,Table43[[#This Row],[Harga Jual Pcs MT
(-PPN)]])</f>
        <v>7130.03</v>
      </c>
      <c r="BV68">
        <f>IFERROR(VLOOKUP(Table43[[#This Row],[Kode Pcpl]],[2]Pricelist!$A$4:$K$112,11,0),0)</f>
        <v>0</v>
      </c>
      <c r="BW68">
        <f>IFERROR(VLOOKUP(Table43[[#This Row],[Kode BARANG Win2]],[3]!RECKITT211216[[KDBRG]:[HRG_JL_PCS-PPN]],11,0),0)</f>
        <v>0</v>
      </c>
      <c r="BX68">
        <f t="shared" si="2"/>
        <v>0</v>
      </c>
    </row>
    <row r="69" spans="1:76" x14ac:dyDescent="0.25">
      <c r="A69" s="4" t="str">
        <f>CONCATENATE(Table43[[#This Row],[Kode BARANG Win2]],Table43[[#This Row],[No. Urut
Item Sama]])</f>
        <v>A10120000131101</v>
      </c>
      <c r="B69" s="7">
        <v>1</v>
      </c>
      <c r="C69" s="4">
        <v>57</v>
      </c>
      <c r="D69" s="27">
        <v>110016</v>
      </c>
      <c r="E69" s="27" t="s">
        <v>237</v>
      </c>
      <c r="F69" s="27" t="s">
        <v>286</v>
      </c>
      <c r="G69" s="27">
        <v>48</v>
      </c>
      <c r="H69" s="42" t="s">
        <v>2640</v>
      </c>
      <c r="I69" s="27" t="str">
        <f>Table43[[#This Row],[Nama Jenis Kemasan]]</f>
        <v>BTL</v>
      </c>
      <c r="J69" s="4" t="str">
        <f>TRIM(CONCATENATE(Table43[[#This Row],[Nama            KLP]]," ",Table43[[#This Row],[Nama            Sub KLP]]))</f>
        <v>KECAP ASIN</v>
      </c>
      <c r="K69" s="4" t="str">
        <f>CONCATENATE(Table43[[#This Row],[kode  2 Digit                (hrf+No)]],Table43[[#This Row],[kode  2 Digit                (Nomor)]],Table43[[#This Row],[kode  1 Digit                (Nomor)]])</f>
        <v>A1012</v>
      </c>
      <c r="L69" s="4" t="str">
        <f>IF(AG69="",CONCATENATE(Q69,S69,U69,W69,Y69,AA69,AC69,AE69,Table43[[#This Row],[Tanda Kode Revisi]]),CONCATENATE(Q69,S69,U69,W69,Y69,AA69,AC69,AG69))</f>
        <v>A1012000013110</v>
      </c>
      <c r="M69" s="11">
        <f t="shared" si="0"/>
        <v>14</v>
      </c>
      <c r="N69" s="14" t="str">
        <f>IF(AF69&lt;&gt;"",TRIM(UPPER(CONCATENATE(P69," ",R69," ",T69," ",V69," ",X69," ",Z69," ","X"," ",Table43[[#This Row],[ISI/CTN]]," ",AF69," ",AB69," ",AD69," ",AH69))),TRIM(UPPER(CONCATENATE(P69," ",R69," ",T69," ",V69," ",X69," ",Z69," ","X"," ",Table43[[#This Row],[ISI/CTN]]," ",AB69," ",AD69," ",AH69))))</f>
        <v>ABC KECAP ASIN 131 ML X 48 BTL</v>
      </c>
      <c r="O69" s="11">
        <f t="shared" si="1"/>
        <v>30</v>
      </c>
      <c r="P69" s="4" t="s">
        <v>28</v>
      </c>
      <c r="Q69" s="7" t="s">
        <v>85</v>
      </c>
      <c r="R69" s="4" t="s">
        <v>474</v>
      </c>
      <c r="S69" s="43" t="s">
        <v>0</v>
      </c>
      <c r="T69" s="44" t="s">
        <v>530</v>
      </c>
      <c r="U69" s="7">
        <v>2</v>
      </c>
      <c r="V69" s="44"/>
      <c r="W69" s="43" t="s">
        <v>1</v>
      </c>
      <c r="Y69" s="45" t="s">
        <v>476</v>
      </c>
      <c r="Z69" s="4" t="s">
        <v>531</v>
      </c>
      <c r="AA69" s="45" t="s">
        <v>532</v>
      </c>
      <c r="AB69" s="4" t="s">
        <v>486</v>
      </c>
      <c r="AC69" s="7" t="s">
        <v>480</v>
      </c>
      <c r="AE69" s="7">
        <v>0</v>
      </c>
      <c r="AI69" s="7" t="s">
        <v>214</v>
      </c>
      <c r="AJ69" s="7">
        <v>2</v>
      </c>
      <c r="AL69" s="40">
        <f>Table43[[#This Row],[Harga Jual Pcs GT
(-PPN)]]-(Table43[[#This Row],[Harga Jual Pcs GT
(-PPN)]]*6%)</f>
        <v>4291.4810810810804</v>
      </c>
      <c r="AM69" s="41">
        <f>Table43[[#This Row],[Harga Beli Pcs
(-PPN)]]*Table43[[#This Row],[ISI/CTN]]</f>
        <v>205991.09189189185</v>
      </c>
      <c r="AN69" s="41">
        <f>Table43[[#This Row],[Harga Beli Pcs
(-PPN)]]*1.11</f>
        <v>4763.5439999999999</v>
      </c>
      <c r="AO69" s="41">
        <f>Table43[[#This Row],[Harga Beli Krt
(- PPN)]]*1.11</f>
        <v>228650.11199999996</v>
      </c>
      <c r="AP69" s="41">
        <v>4565.405405405405</v>
      </c>
      <c r="AQ69" s="41">
        <f>Table43[[#This Row],[Harga Jual Pcs GT
(-PPN)]]*Table43[[#This Row],[ISI/CTN]]</f>
        <v>219139.45945945944</v>
      </c>
      <c r="AR69" s="41">
        <f>Table43[[#This Row],[Harga Jual Pcs GT
(-PPN)]]*1.11</f>
        <v>5067.6000000000004</v>
      </c>
      <c r="AS69" s="41">
        <f>Table43[[#This Row],[Harga Jual Krt GT
(- PPN)]]*1.11</f>
        <v>243244.79999999999</v>
      </c>
      <c r="AT69" s="41">
        <v>4930.6378378378377</v>
      </c>
      <c r="AU69" s="41">
        <f>(Table43[[#This Row],[Harga Jual Pcs MT
(-PPN)]]*Table43[[#This Row],[ISI/CTN]])</f>
        <v>236670.61621621621</v>
      </c>
      <c r="AV69" s="41">
        <f>Table43[[#This Row],[Harga Jual Pcs MT
(-PPN)]]*1.11</f>
        <v>5473.0080000000007</v>
      </c>
      <c r="AW69" s="41">
        <f>Table43[[#This Row],[Harga Jual Pcs MT
(+PPN)]]*Table43[[#This Row],[ISI/CTN]]</f>
        <v>262704.38400000002</v>
      </c>
      <c r="AX69" s="41"/>
      <c r="AY69" s="46">
        <v>45553</v>
      </c>
      <c r="AZ69" s="54">
        <v>45839</v>
      </c>
      <c r="BA69" s="7" t="str">
        <f ca="1">IF(TODAY()-Table43[[#This Row],[Efektif
Pembuatan]]&gt;60,"Lama","Baru")</f>
        <v>Lama</v>
      </c>
      <c r="BB69" s="7" t="str">
        <f ca="1">IF(TODAY()-Table43[[#This Row],[Efektif Naik Harga]]&lt;30,"Naik","Sama")</f>
        <v>Sama</v>
      </c>
      <c r="BC69" s="7" t="s">
        <v>235</v>
      </c>
      <c r="BD69" s="7" t="str">
        <f>IF(Table43[[#This Row],[Kode BARANG Win2]]&lt;&gt;"","IDR","")</f>
        <v>IDR</v>
      </c>
      <c r="BE69" s="7" t="str">
        <f>CONCATENATE(Table43[[#This Row],[kode  1 Digit
(Nomor)]],Table43[[#This Row],[kode  4 Digit                (Nomor)]])</f>
        <v>20131</v>
      </c>
      <c r="BF69" s="7" t="str">
        <f>Table43[[#This Row],[Nama            Gramasi atau Jumlah Pack per CTN]]</f>
        <v>131 ML</v>
      </c>
      <c r="BG69" s="7" t="s">
        <v>653</v>
      </c>
      <c r="BH69" s="51" t="s">
        <v>654</v>
      </c>
      <c r="BI69" s="4" t="str">
        <f>IF(Table43[[#This Row],[SATUAN Fix Win]]&lt;&gt;"","KRT")</f>
        <v>KRT</v>
      </c>
      <c r="BJ69" s="4" t="str">
        <f>IF(Table43[[#This Row],[SATUAN Fix Win]]&lt;&gt;"","GD01")</f>
        <v>GD01</v>
      </c>
      <c r="BK69" s="4">
        <f>IF(Table43[[#This Row],[SATUAN Fix Win]]&lt;&gt;"",11611)</f>
        <v>11611</v>
      </c>
      <c r="BL69" s="4">
        <f>IF(Table43[[#This Row],[SATUAN Fix Win]]&lt;&gt;"",11612)</f>
        <v>11612</v>
      </c>
      <c r="BM69" s="47" t="s">
        <v>655</v>
      </c>
      <c r="BN69" s="4">
        <f>IF(Table43[[#This Row],[SATUAN Fix Win]]&lt;&gt;"",1)</f>
        <v>1</v>
      </c>
      <c r="BO69" s="4" t="s">
        <v>656</v>
      </c>
      <c r="BP69" s="4">
        <f>IFERROR(VLOOKUP(Table43[[#This Row],[Kode Pcpl]],'[1]HEINZ ABC'!$A$4:$E$112,8,0),0)</f>
        <v>0</v>
      </c>
      <c r="BQ69" s="55">
        <f>Table43[[#This Row],[Harga Jual Pcs GT
(-PPN)]]-Table43[[#This Row],[HARGA NAIK GT]]</f>
        <v>4565.405405405405</v>
      </c>
      <c r="BR69" s="4">
        <f>IF(Table43[[#This Row],[HARGA NAIK GT]]=0,Table43[[#This Row],[Harga Jual Pcs GT
(-PPN)]],Table43[[#This Row],[HARGA NAIK GT]])</f>
        <v>4565.405405405405</v>
      </c>
      <c r="BS69">
        <f>IFERROR(VLOOKUP(Table43[[#This Row],[Kode Pcpl]],'[1]HEINZ ABC'!$A$4:$E$112,8,0),0)</f>
        <v>0</v>
      </c>
      <c r="BT69" s="58">
        <f>Table43[[#This Row],[Harga Jual Pcs GT
(-PPN)]]-BS69</f>
        <v>4565.405405405405</v>
      </c>
      <c r="BU69">
        <f>IF(BS69=0,Table43[[#This Row],[Harga Jual Pcs MT
(-PPN)]])</f>
        <v>4930.6378378378377</v>
      </c>
      <c r="BV69">
        <f>IFERROR(VLOOKUP(Table43[[#This Row],[Kode Pcpl]],[2]Pricelist!$A$4:$K$112,11,0),0)</f>
        <v>5473.0080000000007</v>
      </c>
      <c r="BW69">
        <f>IFERROR(VLOOKUP(Table43[[#This Row],[Kode BARANG Win2]],[3]!RECKITT211216[[KDBRG]:[HRG_JL_PCS-PPN]],11,0),0)</f>
        <v>0</v>
      </c>
      <c r="BX69">
        <f t="shared" si="2"/>
        <v>4930.6378378378377</v>
      </c>
    </row>
    <row r="70" spans="1:76" x14ac:dyDescent="0.25">
      <c r="A70" s="4" t="str">
        <f>CONCATENATE(Table43[[#This Row],[Kode BARANG Win2]],Table43[[#This Row],[No. Urut
Item Sama]])</f>
        <v>A10120000131102</v>
      </c>
      <c r="B70" s="7">
        <v>2</v>
      </c>
      <c r="C70" s="4">
        <v>58</v>
      </c>
      <c r="D70" s="27">
        <v>110017</v>
      </c>
      <c r="E70" s="27" t="s">
        <v>237</v>
      </c>
      <c r="F70" s="27" t="s">
        <v>287</v>
      </c>
      <c r="G70" s="27">
        <v>48</v>
      </c>
      <c r="H70" s="42">
        <v>0</v>
      </c>
      <c r="I70" s="27" t="str">
        <f>Table43[[#This Row],[Nama Jenis Kemasan]]</f>
        <v>BTL</v>
      </c>
      <c r="J70" s="4" t="str">
        <f>TRIM(CONCATENATE(Table43[[#This Row],[Nama            KLP]]," ",Table43[[#This Row],[Nama            Sub KLP]]))</f>
        <v>KECAP ASIN</v>
      </c>
      <c r="K70" s="4" t="str">
        <f>CONCATENATE(Table43[[#This Row],[kode  2 Digit                (hrf+No)]],Table43[[#This Row],[kode  2 Digit                (Nomor)]],Table43[[#This Row],[kode  1 Digit                (Nomor)]])</f>
        <v>A1012</v>
      </c>
      <c r="L70" s="4" t="str">
        <f>IF(AG70="",CONCATENATE(Q70,S70,U70,W70,Y70,AA70,AC70,AE70,Table43[[#This Row],[Tanda Kode Revisi]]),CONCATENATE(Q70,S70,U70,W70,Y70,AA70,AC70,AG70))</f>
        <v>A1012000013110</v>
      </c>
      <c r="M70" s="11">
        <f t="shared" si="0"/>
        <v>14</v>
      </c>
      <c r="N70" s="14" t="str">
        <f>IF(AF70&lt;&gt;"",TRIM(UPPER(CONCATENATE(P70," ",R70," ",T70," ",V70," ",X70," ",Z70," ","X"," ",Table43[[#This Row],[ISI/CTN]]," ",AF70," ",AB70," ",AD70," ",AH70))),TRIM(UPPER(CONCATENATE(P70," ",R70," ",T70," ",V70," ",X70," ",Z70," ","X"," ",Table43[[#This Row],[ISI/CTN]]," ",AB70," ",AD70," ",AH70))))</f>
        <v>ABC KECAP ASIN 131 ML X 48 BTL</v>
      </c>
      <c r="O70" s="11">
        <f t="shared" si="1"/>
        <v>30</v>
      </c>
      <c r="P70" s="4" t="s">
        <v>28</v>
      </c>
      <c r="Q70" s="7" t="s">
        <v>85</v>
      </c>
      <c r="R70" s="4" t="s">
        <v>474</v>
      </c>
      <c r="S70" s="43" t="s">
        <v>0</v>
      </c>
      <c r="T70" s="44" t="s">
        <v>530</v>
      </c>
      <c r="U70" s="7">
        <v>2</v>
      </c>
      <c r="V70" s="44"/>
      <c r="W70" s="43" t="s">
        <v>1</v>
      </c>
      <c r="Y70" s="45" t="s">
        <v>476</v>
      </c>
      <c r="Z70" s="4" t="s">
        <v>531</v>
      </c>
      <c r="AA70" s="45" t="s">
        <v>532</v>
      </c>
      <c r="AB70" s="4" t="s">
        <v>486</v>
      </c>
      <c r="AC70" s="7" t="s">
        <v>480</v>
      </c>
      <c r="AE70" s="7">
        <v>0</v>
      </c>
      <c r="AI70" s="7" t="s">
        <v>214</v>
      </c>
      <c r="AJ70" s="7">
        <v>2</v>
      </c>
      <c r="AL70" s="40">
        <f>Table43[[#This Row],[Harga Jual Pcs GT
(-PPN)]]-(Table43[[#This Row],[Harga Jual Pcs GT
(-PPN)]]*6%)</f>
        <v>4291.4810810810804</v>
      </c>
      <c r="AM70" s="41">
        <f>Table43[[#This Row],[Harga Beli Pcs
(-PPN)]]*Table43[[#This Row],[ISI/CTN]]</f>
        <v>205991.09189189185</v>
      </c>
      <c r="AN70" s="41">
        <f>Table43[[#This Row],[Harga Beli Pcs
(-PPN)]]*1.11</f>
        <v>4763.5439999999999</v>
      </c>
      <c r="AO70" s="41">
        <f>Table43[[#This Row],[Harga Beli Krt
(- PPN)]]*1.11</f>
        <v>228650.11199999996</v>
      </c>
      <c r="AP70" s="41">
        <v>4565.405405405405</v>
      </c>
      <c r="AQ70" s="41">
        <f>Table43[[#This Row],[Harga Jual Pcs GT
(-PPN)]]*Table43[[#This Row],[ISI/CTN]]</f>
        <v>219139.45945945944</v>
      </c>
      <c r="AR70" s="41">
        <f>Table43[[#This Row],[Harga Jual Pcs GT
(-PPN)]]*1.11</f>
        <v>5067.6000000000004</v>
      </c>
      <c r="AS70" s="41">
        <f>Table43[[#This Row],[Harga Jual Krt GT
(- PPN)]]*1.11</f>
        <v>243244.79999999999</v>
      </c>
      <c r="AT70" s="41">
        <v>4930.6378378378377</v>
      </c>
      <c r="AU70" s="41">
        <f>(Table43[[#This Row],[Harga Jual Pcs MT
(-PPN)]]*Table43[[#This Row],[ISI/CTN]])</f>
        <v>236670.61621621621</v>
      </c>
      <c r="AV70" s="41">
        <f>Table43[[#This Row],[Harga Jual Pcs MT
(-PPN)]]*1.11</f>
        <v>5473.0080000000007</v>
      </c>
      <c r="AW70" s="41">
        <f>Table43[[#This Row],[Harga Jual Pcs MT
(+PPN)]]*Table43[[#This Row],[ISI/CTN]]</f>
        <v>262704.38400000002</v>
      </c>
      <c r="AX70" s="41"/>
      <c r="AY70" s="46">
        <v>45553</v>
      </c>
      <c r="AZ70" s="54">
        <v>45839</v>
      </c>
      <c r="BA70" s="7" t="str">
        <f ca="1">IF(TODAY()-Table43[[#This Row],[Efektif
Pembuatan]]&gt;60,"Lama","Baru")</f>
        <v>Lama</v>
      </c>
      <c r="BB70" s="7" t="str">
        <f ca="1">IF(TODAY()-Table43[[#This Row],[Efektif Naik Harga]]&lt;30,"Naik","Sama")</f>
        <v>Sama</v>
      </c>
      <c r="BC70" s="7" t="s">
        <v>235</v>
      </c>
      <c r="BD70" s="7" t="str">
        <f>IF(Table43[[#This Row],[Kode BARANG Win2]]&lt;&gt;"","IDR","")</f>
        <v>IDR</v>
      </c>
      <c r="BE70" s="7" t="str">
        <f>CONCATENATE(Table43[[#This Row],[kode  1 Digit
(Nomor)]],Table43[[#This Row],[kode  4 Digit                (Nomor)]])</f>
        <v>20131</v>
      </c>
      <c r="BF70" s="7" t="str">
        <f>Table43[[#This Row],[Nama            Gramasi atau Jumlah Pack per CTN]]</f>
        <v>131 ML</v>
      </c>
      <c r="BG70" s="7" t="s">
        <v>653</v>
      </c>
      <c r="BH70" s="51" t="s">
        <v>654</v>
      </c>
      <c r="BI70" s="4" t="str">
        <f>IF(Table43[[#This Row],[SATUAN Fix Win]]&lt;&gt;"","KRT")</f>
        <v>KRT</v>
      </c>
      <c r="BJ70" s="4" t="str">
        <f>IF(Table43[[#This Row],[SATUAN Fix Win]]&lt;&gt;"","GD01")</f>
        <v>GD01</v>
      </c>
      <c r="BK70" s="4">
        <f>IF(Table43[[#This Row],[SATUAN Fix Win]]&lt;&gt;"",11611)</f>
        <v>11611</v>
      </c>
      <c r="BL70" s="4">
        <f>IF(Table43[[#This Row],[SATUAN Fix Win]]&lt;&gt;"",11612)</f>
        <v>11612</v>
      </c>
      <c r="BM70" s="47" t="s">
        <v>655</v>
      </c>
      <c r="BN70" s="4">
        <f>IF(Table43[[#This Row],[SATUAN Fix Win]]&lt;&gt;"",1)</f>
        <v>1</v>
      </c>
      <c r="BO70" s="4" t="s">
        <v>656</v>
      </c>
      <c r="BP70" s="4">
        <f>IFERROR(VLOOKUP(Table43[[#This Row],[Kode Pcpl]],'[1]HEINZ ABC'!$A$4:$E$112,8,0),0)</f>
        <v>0</v>
      </c>
      <c r="BQ70" s="55">
        <f>Table43[[#This Row],[Harga Jual Pcs GT
(-PPN)]]-Table43[[#This Row],[HARGA NAIK GT]]</f>
        <v>4565.405405405405</v>
      </c>
      <c r="BR70" s="4">
        <f>IF(Table43[[#This Row],[HARGA NAIK GT]]=0,Table43[[#This Row],[Harga Jual Pcs GT
(-PPN)]],Table43[[#This Row],[HARGA NAIK GT]])</f>
        <v>4565.405405405405</v>
      </c>
      <c r="BS70">
        <f>IFERROR(VLOOKUP(Table43[[#This Row],[Kode Pcpl]],'[1]HEINZ ABC'!$A$4:$E$112,8,0),0)</f>
        <v>0</v>
      </c>
      <c r="BT70" s="58">
        <f>Table43[[#This Row],[Harga Jual Pcs GT
(-PPN)]]-BS70</f>
        <v>4565.405405405405</v>
      </c>
      <c r="BU70">
        <f>IF(BS70=0,Table43[[#This Row],[Harga Jual Pcs MT
(-PPN)]])</f>
        <v>4930.6378378378377</v>
      </c>
      <c r="BV70">
        <f>IFERROR(VLOOKUP(Table43[[#This Row],[Kode Pcpl]],[2]Pricelist!$A$4:$K$112,11,0),0)</f>
        <v>5473.0080000000007</v>
      </c>
      <c r="BW70">
        <f>IFERROR(VLOOKUP(Table43[[#This Row],[Kode BARANG Win2]],[3]!RECKITT211216[[KDBRG]:[HRG_JL_PCS-PPN]],11,0),0)</f>
        <v>0</v>
      </c>
      <c r="BX70">
        <f t="shared" si="2"/>
        <v>4930.6378378378377</v>
      </c>
    </row>
    <row r="71" spans="1:76" x14ac:dyDescent="0.25">
      <c r="A71" s="4" t="str">
        <f>CONCATENATE(Table43[[#This Row],[Kode BARANG Win2]],Table43[[#This Row],[No. Urut
Item Sama]])</f>
        <v>A10120000131103</v>
      </c>
      <c r="B71" s="7">
        <v>3</v>
      </c>
      <c r="C71" s="4">
        <v>59</v>
      </c>
      <c r="D71" s="27">
        <v>110018</v>
      </c>
      <c r="E71" s="27" t="s">
        <v>237</v>
      </c>
      <c r="F71" s="27" t="s">
        <v>288</v>
      </c>
      <c r="G71" s="27">
        <v>48</v>
      </c>
      <c r="H71" s="42">
        <v>0</v>
      </c>
      <c r="I71" s="27" t="str">
        <f>Table43[[#This Row],[Nama Jenis Kemasan]]</f>
        <v>BTL</v>
      </c>
      <c r="J71" s="4" t="str">
        <f>TRIM(CONCATENATE(Table43[[#This Row],[Nama            KLP]]," ",Table43[[#This Row],[Nama            Sub KLP]]))</f>
        <v>KECAP ASIN</v>
      </c>
      <c r="K71" s="4" t="str">
        <f>CONCATENATE(Table43[[#This Row],[kode  2 Digit                (hrf+No)]],Table43[[#This Row],[kode  2 Digit                (Nomor)]],Table43[[#This Row],[kode  1 Digit                (Nomor)]])</f>
        <v>A1012</v>
      </c>
      <c r="L71" s="4" t="str">
        <f>IF(AG71="",CONCATENATE(Q71,S71,U71,W71,Y71,AA71,AC71,AE71,Table43[[#This Row],[Tanda Kode Revisi]]),CONCATENATE(Q71,S71,U71,W71,Y71,AA71,AC71,AG71))</f>
        <v>A1012000013110</v>
      </c>
      <c r="M71" s="11">
        <f t="shared" si="0"/>
        <v>14</v>
      </c>
      <c r="N71" s="14" t="str">
        <f>IF(AF71&lt;&gt;"",TRIM(UPPER(CONCATENATE(P71," ",R71," ",T71," ",V71," ",X71," ",Z71," ","X"," ",Table43[[#This Row],[ISI/CTN]]," ",AF71," ",AB71," ",AD71," ",AH71))),TRIM(UPPER(CONCATENATE(P71," ",R71," ",T71," ",V71," ",X71," ",Z71," ","X"," ",Table43[[#This Row],[ISI/CTN]]," ",AB71," ",AD71," ",AH71))))</f>
        <v>ABC KECAP ASIN 131 ML X 48 BTL</v>
      </c>
      <c r="O71" s="11">
        <f t="shared" si="1"/>
        <v>30</v>
      </c>
      <c r="P71" s="4" t="s">
        <v>28</v>
      </c>
      <c r="Q71" s="7" t="s">
        <v>85</v>
      </c>
      <c r="R71" s="4" t="s">
        <v>474</v>
      </c>
      <c r="S71" s="43" t="s">
        <v>0</v>
      </c>
      <c r="T71" s="44" t="s">
        <v>530</v>
      </c>
      <c r="U71" s="7">
        <v>2</v>
      </c>
      <c r="V71" s="44"/>
      <c r="W71" s="43" t="s">
        <v>1</v>
      </c>
      <c r="Y71" s="45" t="s">
        <v>476</v>
      </c>
      <c r="Z71" s="4" t="s">
        <v>531</v>
      </c>
      <c r="AA71" s="45" t="s">
        <v>532</v>
      </c>
      <c r="AB71" s="4" t="s">
        <v>486</v>
      </c>
      <c r="AC71" s="7" t="s">
        <v>480</v>
      </c>
      <c r="AE71" s="7">
        <v>0</v>
      </c>
      <c r="AI71" s="7" t="s">
        <v>214</v>
      </c>
      <c r="AJ71" s="7">
        <v>2</v>
      </c>
      <c r="AL71" s="40">
        <f>Table43[[#This Row],[Harga Jual Pcs GT
(-PPN)]]-(Table43[[#This Row],[Harga Jual Pcs GT
(-PPN)]]*6%)</f>
        <v>4291.4810810810804</v>
      </c>
      <c r="AM71" s="41">
        <f>Table43[[#This Row],[Harga Beli Pcs
(-PPN)]]*Table43[[#This Row],[ISI/CTN]]</f>
        <v>205991.09189189185</v>
      </c>
      <c r="AN71" s="41">
        <f>Table43[[#This Row],[Harga Beli Pcs
(-PPN)]]*1.11</f>
        <v>4763.5439999999999</v>
      </c>
      <c r="AO71" s="41">
        <f>Table43[[#This Row],[Harga Beli Krt
(- PPN)]]*1.11</f>
        <v>228650.11199999996</v>
      </c>
      <c r="AP71" s="41">
        <v>4565.405405405405</v>
      </c>
      <c r="AQ71" s="41">
        <f>Table43[[#This Row],[Harga Jual Pcs GT
(-PPN)]]*Table43[[#This Row],[ISI/CTN]]</f>
        <v>219139.45945945944</v>
      </c>
      <c r="AR71" s="41">
        <f>Table43[[#This Row],[Harga Jual Pcs GT
(-PPN)]]*1.11</f>
        <v>5067.6000000000004</v>
      </c>
      <c r="AS71" s="41">
        <f>Table43[[#This Row],[Harga Jual Krt GT
(- PPN)]]*1.11</f>
        <v>243244.79999999999</v>
      </c>
      <c r="AT71" s="41">
        <v>4930.6378378378377</v>
      </c>
      <c r="AU71" s="41">
        <f>(Table43[[#This Row],[Harga Jual Pcs MT
(-PPN)]]*Table43[[#This Row],[ISI/CTN]])</f>
        <v>236670.61621621621</v>
      </c>
      <c r="AV71" s="41">
        <f>Table43[[#This Row],[Harga Jual Pcs MT
(-PPN)]]*1.11</f>
        <v>5473.0080000000007</v>
      </c>
      <c r="AW71" s="41">
        <f>Table43[[#This Row],[Harga Jual Pcs MT
(+PPN)]]*Table43[[#This Row],[ISI/CTN]]</f>
        <v>262704.38400000002</v>
      </c>
      <c r="AX71" s="41"/>
      <c r="AY71" s="46">
        <v>45553</v>
      </c>
      <c r="AZ71" s="54">
        <v>45839</v>
      </c>
      <c r="BA71" s="7" t="str">
        <f ca="1">IF(TODAY()-Table43[[#This Row],[Efektif
Pembuatan]]&gt;60,"Lama","Baru")</f>
        <v>Lama</v>
      </c>
      <c r="BB71" s="7" t="str">
        <f ca="1">IF(TODAY()-Table43[[#This Row],[Efektif Naik Harga]]&lt;30,"Naik","Sama")</f>
        <v>Sama</v>
      </c>
      <c r="BC71" s="7" t="s">
        <v>235</v>
      </c>
      <c r="BD71" s="7" t="str">
        <f>IF(Table43[[#This Row],[Kode BARANG Win2]]&lt;&gt;"","IDR","")</f>
        <v>IDR</v>
      </c>
      <c r="BE71" s="7" t="str">
        <f>CONCATENATE(Table43[[#This Row],[kode  1 Digit
(Nomor)]],Table43[[#This Row],[kode  4 Digit                (Nomor)]])</f>
        <v>20131</v>
      </c>
      <c r="BF71" s="7" t="str">
        <f>Table43[[#This Row],[Nama            Gramasi atau Jumlah Pack per CTN]]</f>
        <v>131 ML</v>
      </c>
      <c r="BG71" s="7" t="s">
        <v>653</v>
      </c>
      <c r="BH71" s="51" t="s">
        <v>654</v>
      </c>
      <c r="BI71" s="4" t="str">
        <f>IF(Table43[[#This Row],[SATUAN Fix Win]]&lt;&gt;"","KRT")</f>
        <v>KRT</v>
      </c>
      <c r="BJ71" s="4" t="str">
        <f>IF(Table43[[#This Row],[SATUAN Fix Win]]&lt;&gt;"","GD01")</f>
        <v>GD01</v>
      </c>
      <c r="BK71" s="4">
        <f>IF(Table43[[#This Row],[SATUAN Fix Win]]&lt;&gt;"",11611)</f>
        <v>11611</v>
      </c>
      <c r="BL71" s="4">
        <f>IF(Table43[[#This Row],[SATUAN Fix Win]]&lt;&gt;"",11612)</f>
        <v>11612</v>
      </c>
      <c r="BM71" s="47" t="s">
        <v>655</v>
      </c>
      <c r="BN71" s="4">
        <f>IF(Table43[[#This Row],[SATUAN Fix Win]]&lt;&gt;"",1)</f>
        <v>1</v>
      </c>
      <c r="BO71" s="4" t="s">
        <v>656</v>
      </c>
      <c r="BP71" s="4">
        <f>IFERROR(VLOOKUP(Table43[[#This Row],[Kode Pcpl]],'[1]HEINZ ABC'!$A$4:$E$112,8,0),0)</f>
        <v>0</v>
      </c>
      <c r="BQ71" s="55">
        <f>Table43[[#This Row],[Harga Jual Pcs GT
(-PPN)]]-Table43[[#This Row],[HARGA NAIK GT]]</f>
        <v>4565.405405405405</v>
      </c>
      <c r="BR71" s="4">
        <f>IF(Table43[[#This Row],[HARGA NAIK GT]]=0,Table43[[#This Row],[Harga Jual Pcs GT
(-PPN)]],Table43[[#This Row],[HARGA NAIK GT]])</f>
        <v>4565.405405405405</v>
      </c>
      <c r="BS71">
        <f>IFERROR(VLOOKUP(Table43[[#This Row],[Kode Pcpl]],'[1]HEINZ ABC'!$A$4:$E$112,8,0),0)</f>
        <v>0</v>
      </c>
      <c r="BT71" s="58">
        <f>Table43[[#This Row],[Harga Jual Pcs GT
(-PPN)]]-BS71</f>
        <v>4565.405405405405</v>
      </c>
      <c r="BU71">
        <f>IF(BS71=0,Table43[[#This Row],[Harga Jual Pcs MT
(-PPN)]])</f>
        <v>4930.6378378378377</v>
      </c>
      <c r="BV71">
        <f>IFERROR(VLOOKUP(Table43[[#This Row],[Kode Pcpl]],[2]Pricelist!$A$4:$K$112,11,0),0)</f>
        <v>5473.0080000000007</v>
      </c>
      <c r="BW71">
        <f>IFERROR(VLOOKUP(Table43[[#This Row],[Kode BARANG Win2]],[3]!RECKITT211216[[KDBRG]:[HRG_JL_PCS-PPN]],11,0),0)</f>
        <v>0</v>
      </c>
      <c r="BX71">
        <f t="shared" si="2"/>
        <v>4930.6378378378377</v>
      </c>
    </row>
    <row r="72" spans="1:76" x14ac:dyDescent="0.25">
      <c r="A72" s="4" t="str">
        <f>CONCATENATE(Table43[[#This Row],[Kode BARANG Win2]],Table43[[#This Row],[No. Urut
Item Sama]])</f>
        <v>A10120000131104</v>
      </c>
      <c r="B72" s="7">
        <v>4</v>
      </c>
      <c r="C72" s="4">
        <v>60</v>
      </c>
      <c r="D72" s="27">
        <v>110021</v>
      </c>
      <c r="E72" s="27" t="s">
        <v>237</v>
      </c>
      <c r="F72" s="27" t="s">
        <v>985</v>
      </c>
      <c r="G72" s="27">
        <v>48</v>
      </c>
      <c r="H72" s="42" t="s">
        <v>2638</v>
      </c>
      <c r="I72" s="27" t="str">
        <f>Table43[[#This Row],[Nama Jenis Kemasan]]</f>
        <v>BTL</v>
      </c>
      <c r="J72" s="4" t="str">
        <f>TRIM(CONCATENATE(Table43[[#This Row],[Nama            KLP]]," ",Table43[[#This Row],[Nama            Sub KLP]]))</f>
        <v>KECAP ASIN</v>
      </c>
      <c r="K72" s="4" t="str">
        <f>CONCATENATE(Table43[[#This Row],[kode  2 Digit                (hrf+No)]],Table43[[#This Row],[kode  2 Digit                (Nomor)]],Table43[[#This Row],[kode  1 Digit                (Nomor)]])</f>
        <v>A1012</v>
      </c>
      <c r="L72" s="4" t="str">
        <f>IF(AG72="",CONCATENATE(Q72,S72,U72,W72,Y72,AA72,AC72,AE72,Table43[[#This Row],[Tanda Kode Revisi]]),CONCATENATE(Q72,S72,U72,W72,Y72,AA72,AC72,AG72))</f>
        <v>A1012000013110</v>
      </c>
      <c r="M72" s="11">
        <f t="shared" si="0"/>
        <v>14</v>
      </c>
      <c r="N72" s="14" t="str">
        <f>IF(AF72&lt;&gt;"",TRIM(UPPER(CONCATENATE(P72," ",R72," ",T72," ",V72," ",X72," ",Z72," ","X"," ",Table43[[#This Row],[ISI/CTN]]," ",AF72," ",AB72," ",AD72," ",AH72))),TRIM(UPPER(CONCATENATE(P72," ",R72," ",T72," ",V72," ",X72," ",Z72," ","X"," ",Table43[[#This Row],[ISI/CTN]]," ",AB72," ",AD72," ",AH72))))</f>
        <v>ABC KECAP ASIN 131 ML X 48 BTL</v>
      </c>
      <c r="O72" s="11">
        <f t="shared" si="1"/>
        <v>30</v>
      </c>
      <c r="P72" s="4" t="s">
        <v>28</v>
      </c>
      <c r="Q72" s="7" t="s">
        <v>85</v>
      </c>
      <c r="R72" s="4" t="s">
        <v>474</v>
      </c>
      <c r="S72" s="43" t="s">
        <v>0</v>
      </c>
      <c r="T72" s="44" t="s">
        <v>530</v>
      </c>
      <c r="U72" s="7">
        <v>2</v>
      </c>
      <c r="V72" s="44"/>
      <c r="W72" s="43" t="s">
        <v>1</v>
      </c>
      <c r="Y72" s="45" t="s">
        <v>476</v>
      </c>
      <c r="Z72" s="4" t="s">
        <v>531</v>
      </c>
      <c r="AA72" s="45" t="s">
        <v>532</v>
      </c>
      <c r="AB72" s="4" t="s">
        <v>486</v>
      </c>
      <c r="AC72" s="7" t="s">
        <v>480</v>
      </c>
      <c r="AE72" s="7">
        <v>0</v>
      </c>
      <c r="AI72" s="7" t="s">
        <v>214</v>
      </c>
      <c r="AJ72" s="7">
        <v>2</v>
      </c>
      <c r="AL72" s="40">
        <f>Table43[[#This Row],[Harga Jual Pcs GT
(-PPN)]]-(Table43[[#This Row],[Harga Jual Pcs GT
(-PPN)]]*6%)</f>
        <v>4291.4810810810804</v>
      </c>
      <c r="AM72" s="41">
        <f>Table43[[#This Row],[Harga Beli Pcs
(-PPN)]]*Table43[[#This Row],[ISI/CTN]]</f>
        <v>205991.09189189185</v>
      </c>
      <c r="AN72" s="41">
        <f>Table43[[#This Row],[Harga Beli Pcs
(-PPN)]]*1.11</f>
        <v>4763.5439999999999</v>
      </c>
      <c r="AO72" s="41">
        <f>Table43[[#This Row],[Harga Beli Krt
(- PPN)]]*1.11</f>
        <v>228650.11199999996</v>
      </c>
      <c r="AP72" s="41">
        <v>4565.405405405405</v>
      </c>
      <c r="AQ72" s="41">
        <f>Table43[[#This Row],[Harga Jual Pcs GT
(-PPN)]]*Table43[[#This Row],[ISI/CTN]]</f>
        <v>219139.45945945944</v>
      </c>
      <c r="AR72" s="41">
        <f>Table43[[#This Row],[Harga Jual Pcs GT
(-PPN)]]*1.11</f>
        <v>5067.6000000000004</v>
      </c>
      <c r="AS72" s="41">
        <f>Table43[[#This Row],[Harga Jual Krt GT
(- PPN)]]*1.11</f>
        <v>243244.79999999999</v>
      </c>
      <c r="AT72" s="41">
        <v>4930.6378378378377</v>
      </c>
      <c r="AU72" s="41">
        <f>(Table43[[#This Row],[Harga Jual Pcs MT
(-PPN)]]*Table43[[#This Row],[ISI/CTN]])</f>
        <v>236670.61621621621</v>
      </c>
      <c r="AV72" s="41">
        <f>Table43[[#This Row],[Harga Jual Pcs MT
(-PPN)]]*1.11</f>
        <v>5473.0080000000007</v>
      </c>
      <c r="AW72" s="41">
        <f>Table43[[#This Row],[Harga Jual Pcs MT
(+PPN)]]*Table43[[#This Row],[ISI/CTN]]</f>
        <v>262704.38400000002</v>
      </c>
      <c r="AX72" s="41"/>
      <c r="AY72" s="46"/>
      <c r="AZ72" s="54">
        <v>45839</v>
      </c>
      <c r="BA72" s="7" t="str">
        <f ca="1">IF(TODAY()-Table43[[#This Row],[Efektif
Pembuatan]]&gt;60,"Lama","Baru")</f>
        <v>Lama</v>
      </c>
      <c r="BB72" s="7" t="str">
        <f ca="1">IF(TODAY()-Table43[[#This Row],[Efektif Naik Harga]]&lt;30,"Naik","Sama")</f>
        <v>Sama</v>
      </c>
      <c r="BC72" s="7"/>
      <c r="BD72" s="7" t="str">
        <f>IF(Table43[[#This Row],[Kode BARANG Win2]]&lt;&gt;"","IDR","")</f>
        <v>IDR</v>
      </c>
      <c r="BE72" s="7" t="str">
        <f>CONCATENATE(Table43[[#This Row],[kode  1 Digit
(Nomor)]],Table43[[#This Row],[kode  4 Digit                (Nomor)]])</f>
        <v>20131</v>
      </c>
      <c r="BF72" s="7" t="str">
        <f>Table43[[#This Row],[Nama            Gramasi atau Jumlah Pack per CTN]]</f>
        <v>131 ML</v>
      </c>
      <c r="BG72" s="7" t="s">
        <v>653</v>
      </c>
      <c r="BH72" s="51" t="s">
        <v>654</v>
      </c>
      <c r="BI72" s="4" t="str">
        <f>IF(Table43[[#This Row],[SATUAN Fix Win]]&lt;&gt;"","KRT")</f>
        <v>KRT</v>
      </c>
      <c r="BJ72" s="4" t="str">
        <f>IF(Table43[[#This Row],[SATUAN Fix Win]]&lt;&gt;"","GD01")</f>
        <v>GD01</v>
      </c>
      <c r="BK72" s="4">
        <f>IF(Table43[[#This Row],[SATUAN Fix Win]]&lt;&gt;"",11611)</f>
        <v>11611</v>
      </c>
      <c r="BL72" s="4">
        <f>IF(Table43[[#This Row],[SATUAN Fix Win]]&lt;&gt;"",11612)</f>
        <v>11612</v>
      </c>
      <c r="BM72" s="47" t="s">
        <v>655</v>
      </c>
      <c r="BN72" s="4">
        <f>IF(Table43[[#This Row],[SATUAN Fix Win]]&lt;&gt;"",1)</f>
        <v>1</v>
      </c>
      <c r="BO72" s="4" t="s">
        <v>656</v>
      </c>
      <c r="BP72" s="4">
        <f>IFERROR(VLOOKUP(Table43[[#This Row],[Kode Pcpl]],'[1]HEINZ ABC'!$A$4:$E$112,8,0),0)</f>
        <v>0</v>
      </c>
      <c r="BQ72" s="55">
        <f>Table43[[#This Row],[Harga Jual Pcs GT
(-PPN)]]-Table43[[#This Row],[HARGA NAIK GT]]</f>
        <v>4565.405405405405</v>
      </c>
      <c r="BR72" s="4">
        <f>IF(Table43[[#This Row],[HARGA NAIK GT]]=0,Table43[[#This Row],[Harga Jual Pcs GT
(-PPN)]],Table43[[#This Row],[HARGA NAIK GT]])</f>
        <v>4565.405405405405</v>
      </c>
      <c r="BS72">
        <f>IFERROR(VLOOKUP(Table43[[#This Row],[Kode Pcpl]],'[1]HEINZ ABC'!$A$4:$E$112,8,0),0)</f>
        <v>0</v>
      </c>
      <c r="BT72" s="58">
        <f>Table43[[#This Row],[Harga Jual Pcs GT
(-PPN)]]-BS72</f>
        <v>4565.405405405405</v>
      </c>
      <c r="BU72">
        <f>IF(BS72=0,Table43[[#This Row],[Harga Jual Pcs MT
(-PPN)]])</f>
        <v>4930.6378378378377</v>
      </c>
      <c r="BV72">
        <f>IFERROR(VLOOKUP(Table43[[#This Row],[Kode Pcpl]],[2]Pricelist!$A$4:$K$112,11,0),0)</f>
        <v>5473.0080000000007</v>
      </c>
      <c r="BW72">
        <f>IFERROR(VLOOKUP(Table43[[#This Row],[Kode BARANG Win2]],[3]!RECKITT211216[[KDBRG]:[HRG_JL_PCS-PPN]],11,0),0)</f>
        <v>0</v>
      </c>
      <c r="BX72">
        <f t="shared" si="2"/>
        <v>4930.6378378378377</v>
      </c>
    </row>
    <row r="73" spans="1:76" x14ac:dyDescent="0.25">
      <c r="A73" s="4" t="str">
        <f>CONCATENATE(Table43[[#This Row],[Kode BARANG Win2]],Table43[[#This Row],[No. Urut
Item Sama]])</f>
        <v>A10120000620101</v>
      </c>
      <c r="B73" s="7">
        <v>1</v>
      </c>
      <c r="C73" s="4">
        <v>61</v>
      </c>
      <c r="D73" s="27">
        <v>110013</v>
      </c>
      <c r="E73" s="27" t="s">
        <v>237</v>
      </c>
      <c r="F73" s="27" t="s">
        <v>289</v>
      </c>
      <c r="G73" s="27">
        <v>12</v>
      </c>
      <c r="H73" s="42" t="s">
        <v>2645</v>
      </c>
      <c r="I73" s="27" t="str">
        <f>Table43[[#This Row],[Nama Jenis Kemasan]]</f>
        <v>BTL</v>
      </c>
      <c r="J73" s="4" t="str">
        <f>TRIM(CONCATENATE(Table43[[#This Row],[Nama            KLP]]," ",Table43[[#This Row],[Nama            Sub KLP]]))</f>
        <v>KECAP ASIN</v>
      </c>
      <c r="K73" s="4" t="str">
        <f>CONCATENATE(Table43[[#This Row],[kode  2 Digit                (hrf+No)]],Table43[[#This Row],[kode  2 Digit                (Nomor)]],Table43[[#This Row],[kode  1 Digit                (Nomor)]])</f>
        <v>A1012</v>
      </c>
      <c r="L73" s="4" t="str">
        <f>IF(AG73="",CONCATENATE(Q73,S73,U73,W73,Y73,AA73,AC73,AE73,Table43[[#This Row],[Tanda Kode Revisi]]),CONCATENATE(Q73,S73,U73,W73,Y73,AA73,AC73,AG73))</f>
        <v>A1012000062010</v>
      </c>
      <c r="M73" s="11">
        <f t="shared" si="0"/>
        <v>14</v>
      </c>
      <c r="N73" s="14" t="str">
        <f>IF(AF73&lt;&gt;"",TRIM(UPPER(CONCATENATE(P73," ",R73," ",T73," ",V73," ",X73," ",Z73," ","X"," ",Table43[[#This Row],[ISI/CTN]]," ",AF73," ",AB73," ",AD73," ",AH73))),TRIM(UPPER(CONCATENATE(P73," ",R73," ",T73," ",V73," ",X73," ",Z73," ","X"," ",Table43[[#This Row],[ISI/CTN]]," ",AB73," ",AD73," ",AH73))))</f>
        <v>ABC KECAP ASIN 620 ML X 12 BTL</v>
      </c>
      <c r="O73" s="11">
        <f t="shared" si="1"/>
        <v>30</v>
      </c>
      <c r="P73" s="4" t="s">
        <v>28</v>
      </c>
      <c r="Q73" s="7" t="s">
        <v>85</v>
      </c>
      <c r="R73" s="4" t="s">
        <v>474</v>
      </c>
      <c r="S73" s="43" t="s">
        <v>0</v>
      </c>
      <c r="T73" s="44" t="s">
        <v>530</v>
      </c>
      <c r="U73" s="7">
        <v>2</v>
      </c>
      <c r="V73" s="44"/>
      <c r="W73" s="43" t="s">
        <v>1</v>
      </c>
      <c r="Y73" s="45" t="s">
        <v>476</v>
      </c>
      <c r="Z73" s="4" t="s">
        <v>498</v>
      </c>
      <c r="AA73" s="45" t="s">
        <v>499</v>
      </c>
      <c r="AB73" s="4" t="s">
        <v>486</v>
      </c>
      <c r="AC73" s="7" t="s">
        <v>480</v>
      </c>
      <c r="AE73" s="7">
        <v>0</v>
      </c>
      <c r="AI73" s="7" t="s">
        <v>214</v>
      </c>
      <c r="AJ73" s="7">
        <v>2</v>
      </c>
      <c r="AL73" s="40">
        <f>Table43[[#This Row],[Harga Jual Pcs GT
(-PPN)]]-(Table43[[#This Row],[Harga Jual Pcs GT
(-PPN)]]*6%)</f>
        <v>13685.046399999999</v>
      </c>
      <c r="AM73" s="41">
        <f>Table43[[#This Row],[Harga Beli Pcs
(-PPN)]]*Table43[[#This Row],[ISI/CTN]]</f>
        <v>164220.55679999999</v>
      </c>
      <c r="AN73" s="41">
        <f>Table43[[#This Row],[Harga Beli Pcs
(-PPN)]]*1.11</f>
        <v>15190.401504000001</v>
      </c>
      <c r="AO73" s="41">
        <f>Table43[[#This Row],[Harga Beli Krt
(- PPN)]]*1.11</f>
        <v>182284.81804800002</v>
      </c>
      <c r="AP73" s="41">
        <v>14558.56</v>
      </c>
      <c r="AQ73" s="41">
        <f>Table43[[#This Row],[Harga Jual Pcs GT
(-PPN)]]*Table43[[#This Row],[ISI/CTN]]</f>
        <v>174702.72</v>
      </c>
      <c r="AR73" s="41">
        <f>Table43[[#This Row],[Harga Jual Pcs GT
(-PPN)]]*1.11</f>
        <v>16160.001600000001</v>
      </c>
      <c r="AS73" s="41">
        <f>Table43[[#This Row],[Harga Jual Krt GT
(- PPN)]]*1.11</f>
        <v>193920.01920000001</v>
      </c>
      <c r="AT73" s="41">
        <v>15723.24</v>
      </c>
      <c r="AU73" s="41">
        <f>(Table43[[#This Row],[Harga Jual Pcs MT
(-PPN)]]*Table43[[#This Row],[ISI/CTN]])</f>
        <v>188678.88</v>
      </c>
      <c r="AV73" s="41">
        <f>Table43[[#This Row],[Harga Jual Pcs MT
(-PPN)]]*1.11</f>
        <v>17452.796400000003</v>
      </c>
      <c r="AW73" s="41">
        <f>Table43[[#This Row],[Harga Jual Pcs MT
(+PPN)]]*Table43[[#This Row],[ISI/CTN]]</f>
        <v>209433.55680000002</v>
      </c>
      <c r="AX73" s="41"/>
      <c r="AY73" s="46">
        <v>45553</v>
      </c>
      <c r="AZ73" s="54">
        <v>45553</v>
      </c>
      <c r="BA73" s="7" t="str">
        <f ca="1">IF(TODAY()-Table43[[#This Row],[Efektif
Pembuatan]]&gt;60,"Lama","Baru")</f>
        <v>Lama</v>
      </c>
      <c r="BB73" s="7" t="str">
        <f ca="1">IF(TODAY()-Table43[[#This Row],[Efektif Naik Harga]]&lt;30,"Naik","Sama")</f>
        <v>Sama</v>
      </c>
      <c r="BC73" s="7" t="s">
        <v>235</v>
      </c>
      <c r="BD73" s="7" t="str">
        <f>IF(Table43[[#This Row],[Kode BARANG Win2]]&lt;&gt;"","IDR","")</f>
        <v>IDR</v>
      </c>
      <c r="BE73" s="7" t="str">
        <f>CONCATENATE(Table43[[#This Row],[kode  1 Digit
(Nomor)]],Table43[[#This Row],[kode  4 Digit                (Nomor)]])</f>
        <v>20620</v>
      </c>
      <c r="BF73" s="7" t="str">
        <f>Table43[[#This Row],[Nama            Gramasi atau Jumlah Pack per CTN]]</f>
        <v>620 ML</v>
      </c>
      <c r="BG73" s="7" t="s">
        <v>653</v>
      </c>
      <c r="BH73" s="51" t="s">
        <v>654</v>
      </c>
      <c r="BI73" s="4" t="str">
        <f>IF(Table43[[#This Row],[SATUAN Fix Win]]&lt;&gt;"","KRT")</f>
        <v>KRT</v>
      </c>
      <c r="BJ73" s="4" t="str">
        <f>IF(Table43[[#This Row],[SATUAN Fix Win]]&lt;&gt;"","GD01")</f>
        <v>GD01</v>
      </c>
      <c r="BK73" s="4">
        <f>IF(Table43[[#This Row],[SATUAN Fix Win]]&lt;&gt;"",11611)</f>
        <v>11611</v>
      </c>
      <c r="BL73" s="4">
        <f>IF(Table43[[#This Row],[SATUAN Fix Win]]&lt;&gt;"",11612)</f>
        <v>11612</v>
      </c>
      <c r="BM73" s="47" t="s">
        <v>655</v>
      </c>
      <c r="BN73" s="4">
        <f>IF(Table43[[#This Row],[SATUAN Fix Win]]&lt;&gt;"",1)</f>
        <v>1</v>
      </c>
      <c r="BO73" s="4" t="s">
        <v>656</v>
      </c>
      <c r="BP73" s="4">
        <f>IFERROR(VLOOKUP(Table43[[#This Row],[Kode Pcpl]],'[1]HEINZ ABC'!$A$4:$E$112,8,0),0)</f>
        <v>0</v>
      </c>
      <c r="BQ73" s="55">
        <f>Table43[[#This Row],[Harga Jual Pcs GT
(-PPN)]]-Table43[[#This Row],[HARGA NAIK GT]]</f>
        <v>14558.56</v>
      </c>
      <c r="BR73" s="4">
        <f>IF(Table43[[#This Row],[HARGA NAIK GT]]=0,Table43[[#This Row],[Harga Jual Pcs GT
(-PPN)]],Table43[[#This Row],[HARGA NAIK GT]])</f>
        <v>14558.56</v>
      </c>
      <c r="BS73">
        <f>IFERROR(VLOOKUP(Table43[[#This Row],[Kode Pcpl]],'[1]HEINZ ABC'!$A$4:$E$112,8,0),0)</f>
        <v>0</v>
      </c>
      <c r="BT73" s="58">
        <f>Table43[[#This Row],[Harga Jual Pcs GT
(-PPN)]]-BS73</f>
        <v>14558.56</v>
      </c>
      <c r="BU73">
        <f>IF(BS73=0,Table43[[#This Row],[Harga Jual Pcs MT
(-PPN)]])</f>
        <v>15723.24</v>
      </c>
      <c r="BV73">
        <f>IFERROR(VLOOKUP(Table43[[#This Row],[Kode Pcpl]],[2]Pricelist!$A$4:$K$112,11,0),0)</f>
        <v>0</v>
      </c>
      <c r="BW73">
        <f>IFERROR(VLOOKUP(Table43[[#This Row],[Kode BARANG Win2]],[3]!RECKITT211216[[KDBRG]:[HRG_JL_PCS-PPN]],11,0),0)</f>
        <v>0</v>
      </c>
      <c r="BX73">
        <f t="shared" si="2"/>
        <v>0</v>
      </c>
    </row>
    <row r="74" spans="1:76" x14ac:dyDescent="0.25">
      <c r="A74" s="4" t="str">
        <f>CONCATENATE(Table43[[#This Row],[Kode BARANG Win2]],Table43[[#This Row],[No. Urut
Item Sama]])</f>
        <v>A10120000620102</v>
      </c>
      <c r="B74" s="7">
        <v>2</v>
      </c>
      <c r="C74" s="4">
        <v>62</v>
      </c>
      <c r="D74" s="27">
        <v>110019</v>
      </c>
      <c r="E74" s="27" t="s">
        <v>237</v>
      </c>
      <c r="F74" s="27" t="s">
        <v>986</v>
      </c>
      <c r="G74" s="27">
        <v>12</v>
      </c>
      <c r="H74" s="42" t="s">
        <v>2636</v>
      </c>
      <c r="I74" s="27" t="str">
        <f>Table43[[#This Row],[Nama Jenis Kemasan]]</f>
        <v>BTL</v>
      </c>
      <c r="J74" s="4" t="str">
        <f>TRIM(CONCATENATE(Table43[[#This Row],[Nama            KLP]]," ",Table43[[#This Row],[Nama            Sub KLP]]))</f>
        <v>KECAP ASIN</v>
      </c>
      <c r="K74" s="4" t="str">
        <f>CONCATENATE(Table43[[#This Row],[kode  2 Digit                (hrf+No)]],Table43[[#This Row],[kode  2 Digit                (Nomor)]],Table43[[#This Row],[kode  1 Digit                (Nomor)]])</f>
        <v>A1012</v>
      </c>
      <c r="L74" s="4" t="str">
        <f>IF(AG74="",CONCATENATE(Q74,S74,U74,W74,Y74,AA74,AC74,AE74,Table43[[#This Row],[Tanda Kode Revisi]]),CONCATENATE(Q74,S74,U74,W74,Y74,AA74,AC74,AG74))</f>
        <v>A1012000062010</v>
      </c>
      <c r="M74" s="11">
        <f t="shared" ref="M74:M137" si="3">LEN(L74)</f>
        <v>14</v>
      </c>
      <c r="N74" s="14" t="str">
        <f>IF(AF74&lt;&gt;"",TRIM(UPPER(CONCATENATE(P74," ",R74," ",T74," ",V74," ",X74," ",Z74," ","X"," ",Table43[[#This Row],[ISI/CTN]]," ",AF74," ",AB74," ",AD74," ",AH74))),TRIM(UPPER(CONCATENATE(P74," ",R74," ",T74," ",V74," ",X74," ",Z74," ","X"," ",Table43[[#This Row],[ISI/CTN]]," ",AB74," ",AD74," ",AH74))))</f>
        <v>ABC KECAP ASIN 620 ML X 12 BTL</v>
      </c>
      <c r="O74" s="11">
        <f t="shared" ref="O74:O137" si="4">LEN(N74)</f>
        <v>30</v>
      </c>
      <c r="P74" s="4" t="s">
        <v>28</v>
      </c>
      <c r="Q74" s="7" t="s">
        <v>85</v>
      </c>
      <c r="R74" s="4" t="s">
        <v>474</v>
      </c>
      <c r="S74" s="43" t="s">
        <v>0</v>
      </c>
      <c r="T74" s="44" t="s">
        <v>530</v>
      </c>
      <c r="U74" s="7">
        <v>2</v>
      </c>
      <c r="V74" s="44"/>
      <c r="W74" s="43" t="s">
        <v>1</v>
      </c>
      <c r="Y74" s="45" t="s">
        <v>476</v>
      </c>
      <c r="Z74" s="4" t="s">
        <v>498</v>
      </c>
      <c r="AA74" s="45" t="s">
        <v>499</v>
      </c>
      <c r="AB74" s="4" t="s">
        <v>486</v>
      </c>
      <c r="AC74" s="7" t="s">
        <v>480</v>
      </c>
      <c r="AE74" s="7">
        <v>0</v>
      </c>
      <c r="AI74" s="7" t="s">
        <v>214</v>
      </c>
      <c r="AJ74" s="7">
        <v>2</v>
      </c>
      <c r="AL74" s="40">
        <f>Table43[[#This Row],[Harga Jual Pcs GT
(-PPN)]]-(Table43[[#This Row],[Harga Jual Pcs GT
(-PPN)]]*6%)</f>
        <v>13685.046399999999</v>
      </c>
      <c r="AM74" s="41">
        <f>Table43[[#This Row],[Harga Beli Pcs
(-PPN)]]*Table43[[#This Row],[ISI/CTN]]</f>
        <v>164220.55679999999</v>
      </c>
      <c r="AN74" s="41">
        <f>Table43[[#This Row],[Harga Beli Pcs
(-PPN)]]*1.11</f>
        <v>15190.401504000001</v>
      </c>
      <c r="AO74" s="41">
        <f>Table43[[#This Row],[Harga Beli Krt
(- PPN)]]*1.11</f>
        <v>182284.81804800002</v>
      </c>
      <c r="AP74" s="41">
        <v>14558.56</v>
      </c>
      <c r="AQ74" s="41">
        <f>Table43[[#This Row],[Harga Jual Pcs GT
(-PPN)]]*Table43[[#This Row],[ISI/CTN]]</f>
        <v>174702.72</v>
      </c>
      <c r="AR74" s="41">
        <f>Table43[[#This Row],[Harga Jual Pcs GT
(-PPN)]]*1.11</f>
        <v>16160.001600000001</v>
      </c>
      <c r="AS74" s="41">
        <f>Table43[[#This Row],[Harga Jual Krt GT
(- PPN)]]*1.11</f>
        <v>193920.01920000001</v>
      </c>
      <c r="AT74" s="41">
        <v>15723.24</v>
      </c>
      <c r="AU74" s="41">
        <f>(Table43[[#This Row],[Harga Jual Pcs MT
(-PPN)]]*Table43[[#This Row],[ISI/CTN]])</f>
        <v>188678.88</v>
      </c>
      <c r="AV74" s="41">
        <f>Table43[[#This Row],[Harga Jual Pcs MT
(-PPN)]]*1.11</f>
        <v>17452.796400000003</v>
      </c>
      <c r="AW74" s="41">
        <f>Table43[[#This Row],[Harga Jual Pcs MT
(+PPN)]]*Table43[[#This Row],[ISI/CTN]]</f>
        <v>209433.55680000002</v>
      </c>
      <c r="AX74" s="41"/>
      <c r="AY74" s="46">
        <v>45671</v>
      </c>
      <c r="AZ74" s="54">
        <v>45553</v>
      </c>
      <c r="BA74" s="7" t="str">
        <f ca="1">IF(TODAY()-Table43[[#This Row],[Efektif
Pembuatan]]&gt;60,"Lama","Baru")</f>
        <v>Lama</v>
      </c>
      <c r="BB74" s="7" t="str">
        <f ca="1">IF(TODAY()-Table43[[#This Row],[Efektif Naik Harga]]&lt;30,"Naik","Sama")</f>
        <v>Sama</v>
      </c>
      <c r="BC74" s="7"/>
      <c r="BD74" s="7" t="str">
        <f>IF(Table43[[#This Row],[Kode BARANG Win2]]&lt;&gt;"","IDR","")</f>
        <v>IDR</v>
      </c>
      <c r="BE74" s="7" t="str">
        <f>CONCATENATE(Table43[[#This Row],[kode  1 Digit
(Nomor)]],Table43[[#This Row],[kode  4 Digit                (Nomor)]])</f>
        <v>20620</v>
      </c>
      <c r="BF74" s="7" t="str">
        <f>Table43[[#This Row],[Nama            Gramasi atau Jumlah Pack per CTN]]</f>
        <v>620 ML</v>
      </c>
      <c r="BG74" s="7"/>
      <c r="BH74" s="51"/>
      <c r="BI74" s="4" t="str">
        <f>IF(Table43[[#This Row],[SATUAN Fix Win]]&lt;&gt;"","KRT")</f>
        <v>KRT</v>
      </c>
      <c r="BJ74" s="4" t="str">
        <f>IF(Table43[[#This Row],[SATUAN Fix Win]]&lt;&gt;"","GD01")</f>
        <v>GD01</v>
      </c>
      <c r="BK74" s="4">
        <f>IF(Table43[[#This Row],[SATUAN Fix Win]]&lt;&gt;"",11611)</f>
        <v>11611</v>
      </c>
      <c r="BL74" s="4">
        <f>IF(Table43[[#This Row],[SATUAN Fix Win]]&lt;&gt;"",11612)</f>
        <v>11612</v>
      </c>
      <c r="BM74" s="47"/>
      <c r="BN74" s="4">
        <f>IF(Table43[[#This Row],[SATUAN Fix Win]]&lt;&gt;"",1)</f>
        <v>1</v>
      </c>
      <c r="BP74" s="4">
        <f>IFERROR(VLOOKUP(Table43[[#This Row],[Kode Pcpl]],'[1]HEINZ ABC'!$A$4:$E$112,8,0),0)</f>
        <v>0</v>
      </c>
      <c r="BQ74" s="55">
        <f>Table43[[#This Row],[Harga Jual Pcs GT
(-PPN)]]-Table43[[#This Row],[HARGA NAIK GT]]</f>
        <v>14558.56</v>
      </c>
      <c r="BR74" s="4">
        <f>IF(Table43[[#This Row],[HARGA NAIK GT]]=0,Table43[[#This Row],[Harga Jual Pcs GT
(-PPN)]],Table43[[#This Row],[HARGA NAIK GT]])</f>
        <v>14558.56</v>
      </c>
      <c r="BS74">
        <f>IFERROR(VLOOKUP(Table43[[#This Row],[Kode Pcpl]],'[1]HEINZ ABC'!$A$4:$E$112,8,0),0)</f>
        <v>0</v>
      </c>
      <c r="BT74" s="58">
        <f>Table43[[#This Row],[Harga Jual Pcs GT
(-PPN)]]-BS74</f>
        <v>14558.56</v>
      </c>
      <c r="BU74">
        <f>IF(BS74=0,Table43[[#This Row],[Harga Jual Pcs MT
(-PPN)]])</f>
        <v>15723.24</v>
      </c>
      <c r="BV74">
        <f>IFERROR(VLOOKUP(Table43[[#This Row],[Kode Pcpl]],[2]Pricelist!$A$4:$K$112,11,0),0)</f>
        <v>0</v>
      </c>
      <c r="BW74">
        <f>IFERROR(VLOOKUP(Table43[[#This Row],[Kode BARANG Win2]],[3]!RECKITT211216[[KDBRG]:[HRG_JL_PCS-PPN]],11,0),0)</f>
        <v>0</v>
      </c>
      <c r="BX74">
        <f t="shared" si="2"/>
        <v>0</v>
      </c>
    </row>
    <row r="75" spans="1:76" x14ac:dyDescent="0.25">
      <c r="A75" s="4" t="str">
        <f>CONCATENATE(Table43[[#This Row],[Kode BARANG Win2]],Table43[[#This Row],[No. Urut
Item Sama]])</f>
        <v>A10120001006101</v>
      </c>
      <c r="B75" s="7">
        <v>1</v>
      </c>
      <c r="C75" s="4">
        <v>63</v>
      </c>
      <c r="D75" s="27">
        <v>110014</v>
      </c>
      <c r="E75" s="27" t="s">
        <v>237</v>
      </c>
      <c r="F75" s="27" t="s">
        <v>290</v>
      </c>
      <c r="G75" s="27">
        <v>1</v>
      </c>
      <c r="H75" s="42">
        <v>0</v>
      </c>
      <c r="I75" s="27" t="str">
        <f>Table43[[#This Row],[Nama Jenis Kemasan]]</f>
        <v>JRG</v>
      </c>
      <c r="J75" s="4" t="str">
        <f>TRIM(CONCATENATE(Table43[[#This Row],[Nama            KLP]]," ",Table43[[#This Row],[Nama            Sub KLP]]))</f>
        <v>KECAP ASIN</v>
      </c>
      <c r="K75" s="4" t="str">
        <f>CONCATENATE(Table43[[#This Row],[kode  2 Digit                (hrf+No)]],Table43[[#This Row],[kode  2 Digit                (Nomor)]],Table43[[#This Row],[kode  1 Digit                (Nomor)]])</f>
        <v>A1012</v>
      </c>
      <c r="L75" s="4" t="str">
        <f>IF(AG75="",CONCATENATE(Q75,S75,U75,W75,Y75,AA75,AC75,AE75,Table43[[#This Row],[Tanda Kode Revisi]]),CONCATENATE(Q75,S75,U75,W75,Y75,AA75,AC75,AG75))</f>
        <v>A1012000100610</v>
      </c>
      <c r="M75" s="11">
        <f t="shared" si="3"/>
        <v>14</v>
      </c>
      <c r="N75" s="14" t="str">
        <f>IF(AF75&lt;&gt;"",TRIM(UPPER(CONCATENATE(P75," ",R75," ",T75," ",V75," ",X75," ",Z75," ","X"," ",Table43[[#This Row],[ISI/CTN]]," ",AF75," ",AB75," ",AD75," ",AH75))),TRIM(UPPER(CONCATENATE(P75," ",R75," ",T75," ",V75," ",X75," ",Z75," ","X"," ",Table43[[#This Row],[ISI/CTN]]," ",AB75," ",AD75," ",AH75))))</f>
        <v>ABC KECAP ASIN 6 KG X 1 JRG</v>
      </c>
      <c r="O75" s="11">
        <f t="shared" si="4"/>
        <v>27</v>
      </c>
      <c r="P75" s="4" t="s">
        <v>28</v>
      </c>
      <c r="Q75" s="7" t="s">
        <v>85</v>
      </c>
      <c r="R75" s="4" t="s">
        <v>474</v>
      </c>
      <c r="S75" s="43" t="s">
        <v>0</v>
      </c>
      <c r="T75" s="44" t="s">
        <v>530</v>
      </c>
      <c r="U75" s="7">
        <v>2</v>
      </c>
      <c r="V75" s="44"/>
      <c r="W75" s="43" t="s">
        <v>1</v>
      </c>
      <c r="Y75" s="45" t="s">
        <v>476</v>
      </c>
      <c r="Z75" s="4" t="s">
        <v>505</v>
      </c>
      <c r="AA75" s="45">
        <v>1006</v>
      </c>
      <c r="AB75" s="4" t="s">
        <v>506</v>
      </c>
      <c r="AC75" s="7" t="s">
        <v>480</v>
      </c>
      <c r="AE75" s="7">
        <v>0</v>
      </c>
      <c r="AI75" s="7" t="s">
        <v>215</v>
      </c>
      <c r="AJ75" s="7">
        <v>1</v>
      </c>
      <c r="AL75" s="40">
        <f>Table43[[#This Row],[Harga Jual Pcs GT
(-PPN)]]-(Table43[[#This Row],[Harga Jual Pcs GT
(-PPN)]]*6%)</f>
        <v>67366.669800000003</v>
      </c>
      <c r="AM75" s="41">
        <f>Table43[[#This Row],[Harga Beli Pcs
(-PPN)]]*Table43[[#This Row],[ISI/CTN]]</f>
        <v>67366.669800000003</v>
      </c>
      <c r="AN75" s="41">
        <f>Table43[[#This Row],[Harga Beli Pcs
(-PPN)]]*1.11</f>
        <v>74777.003478000013</v>
      </c>
      <c r="AO75" s="41">
        <f>Table43[[#This Row],[Harga Beli Krt
(- PPN)]]*1.11</f>
        <v>74777.003478000013</v>
      </c>
      <c r="AP75" s="41">
        <v>71666.67</v>
      </c>
      <c r="AQ75" s="41">
        <f>Table43[[#This Row],[Harga Jual Pcs GT
(-PPN)]]*Table43[[#This Row],[ISI/CTN]]</f>
        <v>71666.67</v>
      </c>
      <c r="AR75" s="41">
        <f>Table43[[#This Row],[Harga Jual Pcs GT
(-PPN)]]*1.11</f>
        <v>79550.003700000001</v>
      </c>
      <c r="AS75" s="41">
        <f>Table43[[#This Row],[Harga Jual Krt GT
(- PPN)]]*1.11</f>
        <v>79550.003700000001</v>
      </c>
      <c r="AT75" s="41">
        <v>77400</v>
      </c>
      <c r="AU75" s="41">
        <f>(Table43[[#This Row],[Harga Jual Pcs MT
(-PPN)]]*Table43[[#This Row],[ISI/CTN]])</f>
        <v>77400</v>
      </c>
      <c r="AV75" s="41">
        <f>Table43[[#This Row],[Harga Jual Pcs MT
(-PPN)]]*1.11</f>
        <v>85914.000000000015</v>
      </c>
      <c r="AW75" s="41">
        <f>Table43[[#This Row],[Harga Jual Pcs MT
(+PPN)]]*Table43[[#This Row],[ISI/CTN]]</f>
        <v>85914.000000000015</v>
      </c>
      <c r="AX75" s="41"/>
      <c r="AY75" s="46">
        <v>45553</v>
      </c>
      <c r="AZ75" s="54">
        <v>45553</v>
      </c>
      <c r="BA75" s="7" t="str">
        <f ca="1">IF(TODAY()-Table43[[#This Row],[Efektif
Pembuatan]]&gt;60,"Lama","Baru")</f>
        <v>Lama</v>
      </c>
      <c r="BB75" s="7" t="str">
        <f ca="1">IF(TODAY()-Table43[[#This Row],[Efektif Naik Harga]]&lt;30,"Naik","Sama")</f>
        <v>Sama</v>
      </c>
      <c r="BC75" s="7" t="s">
        <v>235</v>
      </c>
      <c r="BD75" s="7" t="str">
        <f>IF(Table43[[#This Row],[Kode BARANG Win2]]&lt;&gt;"","IDR","")</f>
        <v>IDR</v>
      </c>
      <c r="BE75" s="7" t="str">
        <f>CONCATENATE(Table43[[#This Row],[kode  1 Digit
(Nomor)]],Table43[[#This Row],[kode  4 Digit                (Nomor)]])</f>
        <v>11006</v>
      </c>
      <c r="BF75" s="7" t="str">
        <f>Table43[[#This Row],[Nama            Gramasi atau Jumlah Pack per CTN]]</f>
        <v>6 KG</v>
      </c>
      <c r="BG75" s="7" t="s">
        <v>653</v>
      </c>
      <c r="BH75" s="51" t="s">
        <v>654</v>
      </c>
      <c r="BI75" s="4" t="str">
        <f>IF(Table43[[#This Row],[SATUAN Fix Win]]&lt;&gt;"","KRT")</f>
        <v>KRT</v>
      </c>
      <c r="BJ75" s="4" t="str">
        <f>IF(Table43[[#This Row],[SATUAN Fix Win]]&lt;&gt;"","GD01")</f>
        <v>GD01</v>
      </c>
      <c r="BK75" s="4">
        <f>IF(Table43[[#This Row],[SATUAN Fix Win]]&lt;&gt;"",11611)</f>
        <v>11611</v>
      </c>
      <c r="BL75" s="4">
        <f>IF(Table43[[#This Row],[SATUAN Fix Win]]&lt;&gt;"",11612)</f>
        <v>11612</v>
      </c>
      <c r="BM75" s="47" t="s">
        <v>655</v>
      </c>
      <c r="BN75" s="4">
        <f>IF(Table43[[#This Row],[SATUAN Fix Win]]&lt;&gt;"",1)</f>
        <v>1</v>
      </c>
      <c r="BO75" s="4" t="s">
        <v>656</v>
      </c>
      <c r="BP75" s="4">
        <f>IFERROR(VLOOKUP(Table43[[#This Row],[Kode Pcpl]],'[1]HEINZ ABC'!$A$4:$E$112,8,0),0)</f>
        <v>0</v>
      </c>
      <c r="BQ75" s="55">
        <f>Table43[[#This Row],[Harga Jual Pcs GT
(-PPN)]]-Table43[[#This Row],[HARGA NAIK GT]]</f>
        <v>71666.67</v>
      </c>
      <c r="BR75" s="4">
        <f>IF(Table43[[#This Row],[HARGA NAIK GT]]=0,Table43[[#This Row],[Harga Jual Pcs GT
(-PPN)]],Table43[[#This Row],[HARGA NAIK GT]])</f>
        <v>71666.67</v>
      </c>
      <c r="BS75">
        <f>IFERROR(VLOOKUP(Table43[[#This Row],[Kode Pcpl]],'[1]HEINZ ABC'!$A$4:$E$112,8,0),0)</f>
        <v>0</v>
      </c>
      <c r="BT75" s="58">
        <f>Table43[[#This Row],[Harga Jual Pcs GT
(-PPN)]]-BS75</f>
        <v>71666.67</v>
      </c>
      <c r="BU75">
        <f>IF(BS75=0,Table43[[#This Row],[Harga Jual Pcs MT
(-PPN)]])</f>
        <v>77400</v>
      </c>
      <c r="BV75">
        <f>IFERROR(VLOOKUP(Table43[[#This Row],[Kode Pcpl]],[2]Pricelist!$A$4:$K$112,11,0),0)</f>
        <v>0</v>
      </c>
      <c r="BW75">
        <f>IFERROR(VLOOKUP(Table43[[#This Row],[Kode BARANG Win2]],[3]!RECKITT211216[[KDBRG]:[HRG_JL_PCS-PPN]],11,0),0)</f>
        <v>0</v>
      </c>
      <c r="BX75">
        <f t="shared" si="2"/>
        <v>0</v>
      </c>
    </row>
    <row r="76" spans="1:76" x14ac:dyDescent="0.25">
      <c r="A76" s="4" t="str">
        <f>CONCATENATE(Table43[[#This Row],[Kode BARANG Win2]],Table43[[#This Row],[No. Urut
Item Sama]])</f>
        <v>A10120001006102</v>
      </c>
      <c r="B76" s="7">
        <v>2</v>
      </c>
      <c r="C76" s="4">
        <v>64</v>
      </c>
      <c r="D76" s="27">
        <v>110020</v>
      </c>
      <c r="E76" s="27" t="s">
        <v>237</v>
      </c>
      <c r="F76" s="27" t="s">
        <v>290</v>
      </c>
      <c r="G76" s="27">
        <v>1</v>
      </c>
      <c r="H76" s="42" t="s">
        <v>2637</v>
      </c>
      <c r="I76" s="27" t="str">
        <f>Table43[[#This Row],[Nama Jenis Kemasan]]</f>
        <v>JRG</v>
      </c>
      <c r="J76" s="4" t="str">
        <f>TRIM(CONCATENATE(Table43[[#This Row],[Nama            KLP]]," ",Table43[[#This Row],[Nama            Sub KLP]]))</f>
        <v>KECAP ASIN</v>
      </c>
      <c r="K76" s="4" t="str">
        <f>CONCATENATE(Table43[[#This Row],[kode  2 Digit                (hrf+No)]],Table43[[#This Row],[kode  2 Digit                (Nomor)]],Table43[[#This Row],[kode  1 Digit                (Nomor)]])</f>
        <v>A1012</v>
      </c>
      <c r="L76" s="4" t="str">
        <f>IF(AG76="",CONCATENATE(Q76,S76,U76,W76,Y76,AA76,AC76,AE76,Table43[[#This Row],[Tanda Kode Revisi]]),CONCATENATE(Q76,S76,U76,W76,Y76,AA76,AC76,AG76))</f>
        <v>A1012000100610</v>
      </c>
      <c r="M76" s="11">
        <f t="shared" si="3"/>
        <v>14</v>
      </c>
      <c r="N76" s="14" t="str">
        <f>IF(AF76&lt;&gt;"",TRIM(UPPER(CONCATENATE(P76," ",R76," ",T76," ",V76," ",X76," ",Z76," ","X"," ",Table43[[#This Row],[ISI/CTN]]," ",AF76," ",AB76," ",AD76," ",AH76))),TRIM(UPPER(CONCATENATE(P76," ",R76," ",T76," ",V76," ",X76," ",Z76," ","X"," ",Table43[[#This Row],[ISI/CTN]]," ",AB76," ",AD76," ",AH76))))</f>
        <v>ABC KECAP ASIN 6 KG X 1 JRG</v>
      </c>
      <c r="O76" s="11">
        <f t="shared" si="4"/>
        <v>27</v>
      </c>
      <c r="P76" s="4" t="s">
        <v>28</v>
      </c>
      <c r="Q76" s="7" t="s">
        <v>85</v>
      </c>
      <c r="R76" s="4" t="s">
        <v>474</v>
      </c>
      <c r="S76" s="43" t="s">
        <v>0</v>
      </c>
      <c r="T76" s="44" t="s">
        <v>530</v>
      </c>
      <c r="U76" s="7">
        <v>2</v>
      </c>
      <c r="V76" s="44"/>
      <c r="W76" s="43" t="s">
        <v>1</v>
      </c>
      <c r="Y76" s="45" t="s">
        <v>476</v>
      </c>
      <c r="Z76" s="4" t="s">
        <v>505</v>
      </c>
      <c r="AA76" s="45">
        <v>1006</v>
      </c>
      <c r="AB76" s="4" t="s">
        <v>506</v>
      </c>
      <c r="AC76" s="7" t="s">
        <v>480</v>
      </c>
      <c r="AE76" s="7">
        <v>0</v>
      </c>
      <c r="AI76" s="7" t="s">
        <v>215</v>
      </c>
      <c r="AJ76" s="7">
        <v>1</v>
      </c>
      <c r="AL76" s="40">
        <f>Table43[[#This Row],[Harga Jual Pcs GT
(-PPN)]]-(Table43[[#This Row],[Harga Jual Pcs GT
(-PPN)]]*6%)</f>
        <v>67366.669800000003</v>
      </c>
      <c r="AM76" s="41">
        <f>Table43[[#This Row],[Harga Beli Pcs
(-PPN)]]*Table43[[#This Row],[ISI/CTN]]</f>
        <v>67366.669800000003</v>
      </c>
      <c r="AN76" s="41">
        <f>Table43[[#This Row],[Harga Beli Pcs
(-PPN)]]*1.11</f>
        <v>74777.003478000013</v>
      </c>
      <c r="AO76" s="41">
        <f>Table43[[#This Row],[Harga Beli Krt
(- PPN)]]*1.11</f>
        <v>74777.003478000013</v>
      </c>
      <c r="AP76" s="41">
        <v>71666.67</v>
      </c>
      <c r="AQ76" s="41">
        <f>Table43[[#This Row],[Harga Jual Pcs GT
(-PPN)]]*Table43[[#This Row],[ISI/CTN]]</f>
        <v>71666.67</v>
      </c>
      <c r="AR76" s="41">
        <f>Table43[[#This Row],[Harga Jual Pcs GT
(-PPN)]]*1.11</f>
        <v>79550.003700000001</v>
      </c>
      <c r="AS76" s="41">
        <f>Table43[[#This Row],[Harga Jual Krt GT
(- PPN)]]*1.11</f>
        <v>79550.003700000001</v>
      </c>
      <c r="AT76" s="41">
        <v>77400</v>
      </c>
      <c r="AU76" s="41">
        <f>(Table43[[#This Row],[Harga Jual Pcs MT
(-PPN)]]*Table43[[#This Row],[ISI/CTN]])</f>
        <v>77400</v>
      </c>
      <c r="AV76" s="41">
        <f>Table43[[#This Row],[Harga Jual Pcs MT
(-PPN)]]*1.11</f>
        <v>85914.000000000015</v>
      </c>
      <c r="AW76" s="41">
        <f>Table43[[#This Row],[Harga Jual Pcs MT
(+PPN)]]*Table43[[#This Row],[ISI/CTN]]</f>
        <v>85914.000000000015</v>
      </c>
      <c r="AX76" s="41"/>
      <c r="AY76" s="46">
        <v>45716</v>
      </c>
      <c r="AZ76" s="54">
        <v>45553</v>
      </c>
      <c r="BA76" s="7" t="str">
        <f ca="1">IF(TODAY()-Table43[[#This Row],[Efektif
Pembuatan]]&gt;60,"Lama","Baru")</f>
        <v>Lama</v>
      </c>
      <c r="BB76" s="7" t="str">
        <f ca="1">IF(TODAY()-Table43[[#This Row],[Efektif Naik Harga]]&lt;30,"Naik","Sama")</f>
        <v>Sama</v>
      </c>
      <c r="BC76" s="7" t="s">
        <v>235</v>
      </c>
      <c r="BD76" s="7" t="str">
        <f>IF(Table43[[#This Row],[Kode BARANG Win2]]&lt;&gt;"","IDR","")</f>
        <v>IDR</v>
      </c>
      <c r="BE76" s="7" t="str">
        <f>CONCATENATE(Table43[[#This Row],[kode  1 Digit
(Nomor)]],Table43[[#This Row],[kode  4 Digit                (Nomor)]])</f>
        <v>11006</v>
      </c>
      <c r="BF76" s="7" t="str">
        <f>Table43[[#This Row],[Nama            Gramasi atau Jumlah Pack per CTN]]</f>
        <v>6 KG</v>
      </c>
      <c r="BG76" s="7" t="s">
        <v>653</v>
      </c>
      <c r="BH76" s="51" t="s">
        <v>654</v>
      </c>
      <c r="BI76" s="4" t="str">
        <f>IF(Table43[[#This Row],[SATUAN Fix Win]]&lt;&gt;"","KRT")</f>
        <v>KRT</v>
      </c>
      <c r="BJ76" s="4" t="str">
        <f>IF(Table43[[#This Row],[SATUAN Fix Win]]&lt;&gt;"","GD01")</f>
        <v>GD01</v>
      </c>
      <c r="BK76" s="4">
        <f>IF(Table43[[#This Row],[SATUAN Fix Win]]&lt;&gt;"",11611)</f>
        <v>11611</v>
      </c>
      <c r="BL76" s="4">
        <f>IF(Table43[[#This Row],[SATUAN Fix Win]]&lt;&gt;"",11612)</f>
        <v>11612</v>
      </c>
      <c r="BM76" s="47" t="s">
        <v>655</v>
      </c>
      <c r="BN76" s="4">
        <f>IF(Table43[[#This Row],[SATUAN Fix Win]]&lt;&gt;"",1)</f>
        <v>1</v>
      </c>
      <c r="BO76" s="4" t="s">
        <v>656</v>
      </c>
      <c r="BP76" s="4">
        <f>IFERROR(VLOOKUP(Table43[[#This Row],[Kode Pcpl]],'[1]HEINZ ABC'!$A$4:$E$112,8,0),0)</f>
        <v>0</v>
      </c>
      <c r="BQ76" s="55">
        <f>Table43[[#This Row],[Harga Jual Pcs GT
(-PPN)]]-Table43[[#This Row],[HARGA NAIK GT]]</f>
        <v>71666.67</v>
      </c>
      <c r="BR76" s="4">
        <f>IF(Table43[[#This Row],[HARGA NAIK GT]]=0,Table43[[#This Row],[Harga Jual Pcs GT
(-PPN)]],Table43[[#This Row],[HARGA NAIK GT]])</f>
        <v>71666.67</v>
      </c>
      <c r="BS76">
        <f>IFERROR(VLOOKUP(Table43[[#This Row],[Kode Pcpl]],'[1]HEINZ ABC'!$A$4:$E$112,8,0),0)</f>
        <v>0</v>
      </c>
      <c r="BT76" s="58">
        <f>Table43[[#This Row],[Harga Jual Pcs GT
(-PPN)]]-BS76</f>
        <v>71666.67</v>
      </c>
      <c r="BU76">
        <f>IF(BS76=0,Table43[[#This Row],[Harga Jual Pcs MT
(-PPN)]])</f>
        <v>77400</v>
      </c>
      <c r="BV76">
        <f>IFERROR(VLOOKUP(Table43[[#This Row],[Kode Pcpl]],[2]Pricelist!$A$4:$K$112,11,0),0)</f>
        <v>0</v>
      </c>
      <c r="BW76">
        <f>IFERROR(VLOOKUP(Table43[[#This Row],[Kode BARANG Win2]],[3]!RECKITT211216[[KDBRG]:[HRG_JL_PCS-PPN]],11,0),0)</f>
        <v>0</v>
      </c>
      <c r="BX76">
        <f t="shared" si="2"/>
        <v>0</v>
      </c>
    </row>
    <row r="77" spans="1:76" x14ac:dyDescent="0.25">
      <c r="A77" s="4" t="str">
        <f>CONCATENATE(Table43[[#This Row],[Kode BARANG Win2]],Table43[[#This Row],[No. Urut
Item Sama]])</f>
        <v>A10200010195101</v>
      </c>
      <c r="B77" s="7">
        <v>1</v>
      </c>
      <c r="C77" s="4">
        <v>65</v>
      </c>
      <c r="D77" s="27">
        <v>120011</v>
      </c>
      <c r="E77" s="27" t="s">
        <v>291</v>
      </c>
      <c r="F77" s="27" t="s">
        <v>292</v>
      </c>
      <c r="G77" s="27">
        <v>24</v>
      </c>
      <c r="H77" s="42" t="s">
        <v>2922</v>
      </c>
      <c r="I77" s="27" t="str">
        <f>Table43[[#This Row],[Nama Jenis Kemasan]]</f>
        <v>BTL</v>
      </c>
      <c r="J77" s="4" t="str">
        <f>TRIM(CONCATENATE(Table43[[#This Row],[Nama            KLP]]," ",Table43[[#This Row],[Nama            Sub KLP]]))</f>
        <v>SAUCE</v>
      </c>
      <c r="K77" s="4" t="str">
        <f>CONCATENATE(Table43[[#This Row],[kode  2 Digit                (hrf+No)]],Table43[[#This Row],[kode  2 Digit                (Nomor)]],Table43[[#This Row],[kode  1 Digit                (Nomor)]])</f>
        <v>A1020</v>
      </c>
      <c r="L77" s="4" t="str">
        <f>IF(AG77="",CONCATENATE(Q77,S77,U77,W77,Y77,AA77,AC77,AE77,Table43[[#This Row],[Tanda Kode Revisi]]),CONCATENATE(Q77,S77,U77,W77,Y77,AA77,AC77,AG77))</f>
        <v>A1020001019510</v>
      </c>
      <c r="M77" s="11">
        <f t="shared" si="3"/>
        <v>14</v>
      </c>
      <c r="N77" s="14" t="str">
        <f>IF(AF77&lt;&gt;"",TRIM(UPPER(CONCATENATE(P77," ",R77," ",T77," ",V77," ",X77," ",Z77," ","X"," ",Table43[[#This Row],[ISI/CTN]]," ",AF77," ",AB77," ",AD77," ",AH77))),TRIM(UPPER(CONCATENATE(P77," ",R77," ",T77," ",V77," ",X77," ",Z77," ","X"," ",Table43[[#This Row],[ISI/CTN]]," ",AB77," ",AD77," ",AH77))))</f>
        <v>ABC SAUCE MINYAK WIJEN 195 ML X 24 BTL</v>
      </c>
      <c r="O77" s="11">
        <f t="shared" si="4"/>
        <v>38</v>
      </c>
      <c r="P77" s="4" t="s">
        <v>28</v>
      </c>
      <c r="Q77" s="7" t="s">
        <v>85</v>
      </c>
      <c r="R77" s="4" t="s">
        <v>533</v>
      </c>
      <c r="S77" s="43" t="s">
        <v>31</v>
      </c>
      <c r="T77" s="44"/>
      <c r="U77" s="7" t="s">
        <v>1</v>
      </c>
      <c r="V77" s="44"/>
      <c r="W77" s="43" t="s">
        <v>1</v>
      </c>
      <c r="X77" s="4" t="s">
        <v>534</v>
      </c>
      <c r="Y77" s="45" t="s">
        <v>0</v>
      </c>
      <c r="Z77" s="4" t="s">
        <v>535</v>
      </c>
      <c r="AA77" s="45" t="s">
        <v>536</v>
      </c>
      <c r="AB77" s="4" t="s">
        <v>486</v>
      </c>
      <c r="AC77" s="7" t="s">
        <v>480</v>
      </c>
      <c r="AE77" s="7" t="s">
        <v>1</v>
      </c>
      <c r="AI77" s="7" t="s">
        <v>214</v>
      </c>
      <c r="AJ77" s="7">
        <v>2</v>
      </c>
      <c r="AL77" s="40">
        <f>Table43[[#This Row],[Harga Jual Pcs GT
(-PPN)]]-(Table43[[#This Row],[Harga Jual Pcs GT
(-PPN)]]*6%)</f>
        <v>42984.59099099099</v>
      </c>
      <c r="AM77" s="41">
        <f>Table43[[#This Row],[Harga Beli Pcs
(-PPN)]]*Table43[[#This Row],[ISI/CTN]]</f>
        <v>1031630.1837837838</v>
      </c>
      <c r="AN77" s="41">
        <f>Table43[[#This Row],[Harga Beli Pcs
(-PPN)]]*1.11</f>
        <v>47712.896000000001</v>
      </c>
      <c r="AO77" s="41">
        <f>Table43[[#This Row],[Harga Beli Krt
(- PPN)]]*1.11</f>
        <v>1145109.5040000002</v>
      </c>
      <c r="AP77" s="41">
        <v>45728.288288288284</v>
      </c>
      <c r="AQ77" s="41">
        <f>Table43[[#This Row],[Harga Jual Pcs GT
(-PPN)]]*Table43[[#This Row],[ISI/CTN]]</f>
        <v>1097478.9189189188</v>
      </c>
      <c r="AR77" s="41">
        <f>Table43[[#This Row],[Harga Jual Pcs GT
(-PPN)]]*1.11</f>
        <v>50758.400000000001</v>
      </c>
      <c r="AS77" s="41">
        <f>Table43[[#This Row],[Harga Jual Krt GT
(- PPN)]]*1.11</f>
        <v>1218201.6000000001</v>
      </c>
      <c r="AT77" s="41">
        <v>49386.551351351351</v>
      </c>
      <c r="AU77" s="41">
        <f>(Table43[[#This Row],[Harga Jual Pcs MT
(-PPN)]]*Table43[[#This Row],[ISI/CTN]])</f>
        <v>1185277.2324324325</v>
      </c>
      <c r="AV77" s="41">
        <f>Table43[[#This Row],[Harga Jual Pcs MT
(-PPN)]]*1.11</f>
        <v>54819.072000000007</v>
      </c>
      <c r="AW77" s="41">
        <f>Table43[[#This Row],[Harga Jual Pcs MT
(+PPN)]]*Table43[[#This Row],[ISI/CTN]]</f>
        <v>1315657.7280000001</v>
      </c>
      <c r="AX77" s="41"/>
      <c r="AY77" s="46">
        <v>45553</v>
      </c>
      <c r="AZ77" s="54">
        <v>45839</v>
      </c>
      <c r="BA77" s="7" t="str">
        <f ca="1">IF(TODAY()-Table43[[#This Row],[Efektif
Pembuatan]]&gt;60,"Lama","Baru")</f>
        <v>Lama</v>
      </c>
      <c r="BB77" s="7" t="str">
        <f ca="1">IF(TODAY()-Table43[[#This Row],[Efektif Naik Harga]]&lt;30,"Naik","Sama")</f>
        <v>Sama</v>
      </c>
      <c r="BC77" s="7" t="s">
        <v>235</v>
      </c>
      <c r="BD77" s="7" t="str">
        <f>IF(Table43[[#This Row],[Kode BARANG Win2]]&lt;&gt;"","IDR","")</f>
        <v>IDR</v>
      </c>
      <c r="BE77" s="7" t="str">
        <f>CONCATENATE(Table43[[#This Row],[kode  1 Digit
(Nomor)]],Table43[[#This Row],[kode  4 Digit                (Nomor)]])</f>
        <v>20195</v>
      </c>
      <c r="BF77" s="7" t="str">
        <f>Table43[[#This Row],[Nama            Gramasi atau Jumlah Pack per CTN]]</f>
        <v>195 ML</v>
      </c>
      <c r="BG77" s="7" t="s">
        <v>653</v>
      </c>
      <c r="BH77" s="51" t="s">
        <v>654</v>
      </c>
      <c r="BI77" s="4" t="str">
        <f>IF(Table43[[#This Row],[SATUAN Fix Win]]&lt;&gt;"","KRT")</f>
        <v>KRT</v>
      </c>
      <c r="BJ77" s="4" t="str">
        <f>IF(Table43[[#This Row],[SATUAN Fix Win]]&lt;&gt;"","GD01")</f>
        <v>GD01</v>
      </c>
      <c r="BK77" s="4">
        <f>IF(Table43[[#This Row],[SATUAN Fix Win]]&lt;&gt;"",11611)</f>
        <v>11611</v>
      </c>
      <c r="BL77" s="4">
        <f>IF(Table43[[#This Row],[SATUAN Fix Win]]&lt;&gt;"",11612)</f>
        <v>11612</v>
      </c>
      <c r="BM77" s="47" t="s">
        <v>655</v>
      </c>
      <c r="BN77" s="4">
        <f>IF(Table43[[#This Row],[SATUAN Fix Win]]&lt;&gt;"",1)</f>
        <v>1</v>
      </c>
      <c r="BO77" s="4" t="s">
        <v>656</v>
      </c>
      <c r="BP77" s="4">
        <f>IFERROR(VLOOKUP(Table43[[#This Row],[Kode Pcpl]],'[1]HEINZ ABC'!$A$4:$E$112,8,0),0)</f>
        <v>0</v>
      </c>
      <c r="BQ77" s="55">
        <f>Table43[[#This Row],[Harga Jual Pcs GT
(-PPN)]]-Table43[[#This Row],[HARGA NAIK GT]]</f>
        <v>45728.288288288284</v>
      </c>
      <c r="BR77" s="4">
        <f>IF(Table43[[#This Row],[HARGA NAIK GT]]=0,Table43[[#This Row],[Harga Jual Pcs GT
(-PPN)]],Table43[[#This Row],[HARGA NAIK GT]])</f>
        <v>45728.288288288284</v>
      </c>
      <c r="BS77">
        <f>IFERROR(VLOOKUP(Table43[[#This Row],[Kode Pcpl]],'[1]HEINZ ABC'!$A$4:$E$112,8,0),0)</f>
        <v>0</v>
      </c>
      <c r="BT77" s="58">
        <f>Table43[[#This Row],[Harga Jual Pcs GT
(-PPN)]]-BS77</f>
        <v>45728.288288288284</v>
      </c>
      <c r="BU77">
        <f>IF(BS77=0,Table43[[#This Row],[Harga Jual Pcs MT
(-PPN)]])</f>
        <v>49386.551351351351</v>
      </c>
      <c r="BV77">
        <f>IFERROR(VLOOKUP(Table43[[#This Row],[Kode Pcpl]],[2]Pricelist!$A$4:$K$112,11,0),0)</f>
        <v>54819.072000000007</v>
      </c>
      <c r="BW77">
        <f>IFERROR(VLOOKUP(Table43[[#This Row],[Kode BARANG Win2]],[3]!RECKITT211216[[KDBRG]:[HRG_JL_PCS-PPN]],11,0),0)</f>
        <v>0</v>
      </c>
      <c r="BX77">
        <f t="shared" si="2"/>
        <v>49386.551351351351</v>
      </c>
    </row>
    <row r="78" spans="1:76" x14ac:dyDescent="0.25">
      <c r="A78" s="4" t="str">
        <f>CONCATENATE(Table43[[#This Row],[Kode BARANG Win2]],Table43[[#This Row],[No. Urut
Item Sama]])</f>
        <v>A10200010195102</v>
      </c>
      <c r="B78" s="7">
        <v>2</v>
      </c>
      <c r="C78" s="4">
        <v>66</v>
      </c>
      <c r="D78" s="27">
        <v>120029</v>
      </c>
      <c r="E78" s="27" t="s">
        <v>291</v>
      </c>
      <c r="F78" s="27" t="s">
        <v>293</v>
      </c>
      <c r="G78" s="27">
        <v>24</v>
      </c>
      <c r="H78" s="42">
        <v>0</v>
      </c>
      <c r="I78" s="27" t="str">
        <f>Table43[[#This Row],[Nama Jenis Kemasan]]</f>
        <v>BTL</v>
      </c>
      <c r="J78" s="4" t="str">
        <f>TRIM(CONCATENATE(Table43[[#This Row],[Nama            KLP]]," ",Table43[[#This Row],[Nama            Sub KLP]]))</f>
        <v>SAUCE</v>
      </c>
      <c r="K78" s="4" t="str">
        <f>CONCATENATE(Table43[[#This Row],[kode  2 Digit                (hrf+No)]],Table43[[#This Row],[kode  2 Digit                (Nomor)]],Table43[[#This Row],[kode  1 Digit                (Nomor)]])</f>
        <v>A1020</v>
      </c>
      <c r="L78" s="4" t="str">
        <f>IF(AG78="",CONCATENATE(Q78,S78,U78,W78,Y78,AA78,AC78,AE78,Table43[[#This Row],[Tanda Kode Revisi]]),CONCATENATE(Q78,S78,U78,W78,Y78,AA78,AC78,AG78))</f>
        <v>A1020001019510</v>
      </c>
      <c r="M78" s="11">
        <f t="shared" si="3"/>
        <v>14</v>
      </c>
      <c r="N78" s="14" t="str">
        <f>IF(AF78&lt;&gt;"",TRIM(UPPER(CONCATENATE(P78," ",R78," ",T78," ",V78," ",X78," ",Z78," ","X"," ",Table43[[#This Row],[ISI/CTN]]," ",AF78," ",AB78," ",AD78," ",AH78))),TRIM(UPPER(CONCATENATE(P78," ",R78," ",T78," ",V78," ",X78," ",Z78," ","X"," ",Table43[[#This Row],[ISI/CTN]]," ",AB78," ",AD78," ",AH78))))</f>
        <v>ABC SAUCE MINYAK WIJEN 195 ML X 24 BTL</v>
      </c>
      <c r="O78" s="11">
        <f t="shared" si="4"/>
        <v>38</v>
      </c>
      <c r="P78" s="4" t="s">
        <v>28</v>
      </c>
      <c r="Q78" s="7" t="s">
        <v>85</v>
      </c>
      <c r="R78" s="4" t="s">
        <v>533</v>
      </c>
      <c r="S78" s="43" t="s">
        <v>31</v>
      </c>
      <c r="T78" s="44"/>
      <c r="U78" s="7" t="s">
        <v>1</v>
      </c>
      <c r="V78" s="44"/>
      <c r="W78" s="43" t="s">
        <v>1</v>
      </c>
      <c r="X78" s="4" t="s">
        <v>534</v>
      </c>
      <c r="Y78" s="45" t="s">
        <v>0</v>
      </c>
      <c r="Z78" s="4" t="s">
        <v>535</v>
      </c>
      <c r="AA78" s="45" t="s">
        <v>536</v>
      </c>
      <c r="AB78" s="4" t="s">
        <v>486</v>
      </c>
      <c r="AC78" s="7" t="s">
        <v>480</v>
      </c>
      <c r="AE78" s="7" t="s">
        <v>1</v>
      </c>
      <c r="AI78" s="7" t="s">
        <v>214</v>
      </c>
      <c r="AJ78" s="7">
        <v>2</v>
      </c>
      <c r="AL78" s="40">
        <f>Table43[[#This Row],[Harga Jual Pcs GT
(-PPN)]]-(Table43[[#This Row],[Harga Jual Pcs GT
(-PPN)]]*6%)</f>
        <v>42984.59099099099</v>
      </c>
      <c r="AM78" s="41">
        <f>Table43[[#This Row],[Harga Beli Pcs
(-PPN)]]*Table43[[#This Row],[ISI/CTN]]</f>
        <v>1031630.1837837838</v>
      </c>
      <c r="AN78" s="41">
        <f>Table43[[#This Row],[Harga Beli Pcs
(-PPN)]]*1.11</f>
        <v>47712.896000000001</v>
      </c>
      <c r="AO78" s="41">
        <f>Table43[[#This Row],[Harga Beli Krt
(- PPN)]]*1.11</f>
        <v>1145109.5040000002</v>
      </c>
      <c r="AP78" s="41">
        <v>45728.288288288284</v>
      </c>
      <c r="AQ78" s="41">
        <f>Table43[[#This Row],[Harga Jual Pcs GT
(-PPN)]]*Table43[[#This Row],[ISI/CTN]]</f>
        <v>1097478.9189189188</v>
      </c>
      <c r="AR78" s="41">
        <f>Table43[[#This Row],[Harga Jual Pcs GT
(-PPN)]]*1.11</f>
        <v>50758.400000000001</v>
      </c>
      <c r="AS78" s="41">
        <f>Table43[[#This Row],[Harga Jual Krt GT
(- PPN)]]*1.11</f>
        <v>1218201.6000000001</v>
      </c>
      <c r="AT78" s="41">
        <v>49386.551351351351</v>
      </c>
      <c r="AU78" s="41">
        <f>(Table43[[#This Row],[Harga Jual Pcs MT
(-PPN)]]*Table43[[#This Row],[ISI/CTN]])</f>
        <v>1185277.2324324325</v>
      </c>
      <c r="AV78" s="41">
        <f>Table43[[#This Row],[Harga Jual Pcs MT
(-PPN)]]*1.11</f>
        <v>54819.072000000007</v>
      </c>
      <c r="AW78" s="41">
        <f>Table43[[#This Row],[Harga Jual Pcs MT
(+PPN)]]*Table43[[#This Row],[ISI/CTN]]</f>
        <v>1315657.7280000001</v>
      </c>
      <c r="AX78" s="41"/>
      <c r="AY78" s="46">
        <v>45553</v>
      </c>
      <c r="AZ78" s="54">
        <v>45839</v>
      </c>
      <c r="BA78" s="7" t="str">
        <f ca="1">IF(TODAY()-Table43[[#This Row],[Efektif
Pembuatan]]&gt;60,"Lama","Baru")</f>
        <v>Lama</v>
      </c>
      <c r="BB78" s="7" t="str">
        <f ca="1">IF(TODAY()-Table43[[#This Row],[Efektif Naik Harga]]&lt;30,"Naik","Sama")</f>
        <v>Sama</v>
      </c>
      <c r="BC78" s="7" t="s">
        <v>235</v>
      </c>
      <c r="BD78" s="7" t="str">
        <f>IF(Table43[[#This Row],[Kode BARANG Win2]]&lt;&gt;"","IDR","")</f>
        <v>IDR</v>
      </c>
      <c r="BE78" s="7" t="str">
        <f>CONCATENATE(Table43[[#This Row],[kode  1 Digit
(Nomor)]],Table43[[#This Row],[kode  4 Digit                (Nomor)]])</f>
        <v>20195</v>
      </c>
      <c r="BF78" s="7" t="str">
        <f>Table43[[#This Row],[Nama            Gramasi atau Jumlah Pack per CTN]]</f>
        <v>195 ML</v>
      </c>
      <c r="BG78" s="7" t="s">
        <v>653</v>
      </c>
      <c r="BH78" s="51" t="s">
        <v>654</v>
      </c>
      <c r="BI78" s="4" t="str">
        <f>IF(Table43[[#This Row],[SATUAN Fix Win]]&lt;&gt;"","KRT")</f>
        <v>KRT</v>
      </c>
      <c r="BJ78" s="4" t="str">
        <f>IF(Table43[[#This Row],[SATUAN Fix Win]]&lt;&gt;"","GD01")</f>
        <v>GD01</v>
      </c>
      <c r="BK78" s="4">
        <f>IF(Table43[[#This Row],[SATUAN Fix Win]]&lt;&gt;"",11611)</f>
        <v>11611</v>
      </c>
      <c r="BL78" s="4">
        <f>IF(Table43[[#This Row],[SATUAN Fix Win]]&lt;&gt;"",11612)</f>
        <v>11612</v>
      </c>
      <c r="BM78" s="47" t="s">
        <v>655</v>
      </c>
      <c r="BN78" s="4">
        <f>IF(Table43[[#This Row],[SATUAN Fix Win]]&lt;&gt;"",1)</f>
        <v>1</v>
      </c>
      <c r="BO78" s="4" t="s">
        <v>656</v>
      </c>
      <c r="BP78" s="4">
        <f>IFERROR(VLOOKUP(Table43[[#This Row],[Kode Pcpl]],'[1]HEINZ ABC'!$A$4:$E$112,8,0),0)</f>
        <v>0</v>
      </c>
      <c r="BQ78" s="55">
        <f>Table43[[#This Row],[Harga Jual Pcs GT
(-PPN)]]-Table43[[#This Row],[HARGA NAIK GT]]</f>
        <v>45728.288288288284</v>
      </c>
      <c r="BR78" s="4">
        <f>IF(Table43[[#This Row],[HARGA NAIK GT]]=0,Table43[[#This Row],[Harga Jual Pcs GT
(-PPN)]],Table43[[#This Row],[HARGA NAIK GT]])</f>
        <v>45728.288288288284</v>
      </c>
      <c r="BS78">
        <f>IFERROR(VLOOKUP(Table43[[#This Row],[Kode Pcpl]],'[1]HEINZ ABC'!$A$4:$E$112,8,0),0)</f>
        <v>0</v>
      </c>
      <c r="BT78" s="58">
        <f>Table43[[#This Row],[Harga Jual Pcs GT
(-PPN)]]-BS78</f>
        <v>45728.288288288284</v>
      </c>
      <c r="BU78">
        <f>IF(BS78=0,Table43[[#This Row],[Harga Jual Pcs MT
(-PPN)]])</f>
        <v>49386.551351351351</v>
      </c>
      <c r="BV78">
        <f>IFERROR(VLOOKUP(Table43[[#This Row],[Kode Pcpl]],[2]Pricelist!$A$4:$K$112,11,0),0)</f>
        <v>54819.072000000007</v>
      </c>
      <c r="BW78">
        <f>IFERROR(VLOOKUP(Table43[[#This Row],[Kode BARANG Win2]],[3]!RECKITT211216[[KDBRG]:[HRG_JL_PCS-PPN]],11,0),0)</f>
        <v>0</v>
      </c>
      <c r="BX78">
        <f t="shared" si="2"/>
        <v>49386.551351351351</v>
      </c>
    </row>
    <row r="79" spans="1:76" x14ac:dyDescent="0.25">
      <c r="A79" s="4" t="str">
        <f>CONCATENATE(Table43[[#This Row],[Kode BARANG Win2]],Table43[[#This Row],[No. Urut
Item Sama]])</f>
        <v>A10200010195103</v>
      </c>
      <c r="B79" s="7">
        <v>3</v>
      </c>
      <c r="C79" s="4">
        <v>67</v>
      </c>
      <c r="D79" s="27">
        <v>120041</v>
      </c>
      <c r="E79" s="27" t="s">
        <v>291</v>
      </c>
      <c r="F79" s="27" t="s">
        <v>1024</v>
      </c>
      <c r="G79" s="27">
        <v>24</v>
      </c>
      <c r="H79" s="42" t="s">
        <v>2920</v>
      </c>
      <c r="I79" s="27" t="str">
        <f>Table43[[#This Row],[Nama Jenis Kemasan]]</f>
        <v>BTL</v>
      </c>
      <c r="J79" s="4" t="str">
        <f>TRIM(CONCATENATE(Table43[[#This Row],[Nama            KLP]]," ",Table43[[#This Row],[Nama            Sub KLP]]))</f>
        <v>SAUCE</v>
      </c>
      <c r="K79" s="4" t="str">
        <f>CONCATENATE(Table43[[#This Row],[kode  2 Digit                (hrf+No)]],Table43[[#This Row],[kode  2 Digit                (Nomor)]],Table43[[#This Row],[kode  1 Digit                (Nomor)]])</f>
        <v>A1020</v>
      </c>
      <c r="L79" s="4" t="str">
        <f>IF(AG79="",CONCATENATE(Q79,S79,U79,W79,Y79,AA79,AC79,AE79,Table43[[#This Row],[Tanda Kode Revisi]]),CONCATENATE(Q79,S79,U79,W79,Y79,AA79,AC79,AG79))</f>
        <v>A1020001019510</v>
      </c>
      <c r="M79" s="11">
        <f t="shared" si="3"/>
        <v>14</v>
      </c>
      <c r="N79" s="14" t="str">
        <f>IF(AF79&lt;&gt;"",TRIM(UPPER(CONCATENATE(P79," ",R79," ",T79," ",V79," ",X79," ",Z79," ","X"," ",Table43[[#This Row],[ISI/CTN]]," ",AF79," ",AB79," ",AD79," ",AH79))),TRIM(UPPER(CONCATENATE(P79," ",R79," ",T79," ",V79," ",X79," ",Z79," ","X"," ",Table43[[#This Row],[ISI/CTN]]," ",AB79," ",AD79," ",AH79))))</f>
        <v>ABC SAUCE MINYAK WIJEN 195 ML X 24 BTL</v>
      </c>
      <c r="O79" s="11">
        <f t="shared" si="4"/>
        <v>38</v>
      </c>
      <c r="P79" s="4" t="s">
        <v>28</v>
      </c>
      <c r="Q79" s="7" t="s">
        <v>85</v>
      </c>
      <c r="R79" s="4" t="s">
        <v>533</v>
      </c>
      <c r="S79" s="43" t="s">
        <v>31</v>
      </c>
      <c r="T79" s="44"/>
      <c r="U79" s="7" t="s">
        <v>1</v>
      </c>
      <c r="V79" s="44"/>
      <c r="W79" s="43" t="s">
        <v>1</v>
      </c>
      <c r="X79" s="4" t="s">
        <v>534</v>
      </c>
      <c r="Y79" s="45" t="s">
        <v>0</v>
      </c>
      <c r="Z79" s="4" t="s">
        <v>535</v>
      </c>
      <c r="AA79" s="45" t="s">
        <v>536</v>
      </c>
      <c r="AB79" s="4" t="s">
        <v>486</v>
      </c>
      <c r="AC79" s="7" t="s">
        <v>480</v>
      </c>
      <c r="AE79" s="7" t="s">
        <v>1</v>
      </c>
      <c r="AI79" s="7" t="s">
        <v>214</v>
      </c>
      <c r="AJ79" s="7">
        <v>2</v>
      </c>
      <c r="AL79" s="40">
        <f>Table43[[#This Row],[Harga Jual Pcs GT
(-PPN)]]-(Table43[[#This Row],[Harga Jual Pcs GT
(-PPN)]]*6%)</f>
        <v>42984.59099099099</v>
      </c>
      <c r="AM79" s="41">
        <f>Table43[[#This Row],[Harga Beli Pcs
(-PPN)]]*Table43[[#This Row],[ISI/CTN]]</f>
        <v>1031630.1837837838</v>
      </c>
      <c r="AN79" s="41">
        <f>Table43[[#This Row],[Harga Beli Pcs
(-PPN)]]*1.11</f>
        <v>47712.896000000001</v>
      </c>
      <c r="AO79" s="41">
        <f>Table43[[#This Row],[Harga Beli Krt
(- PPN)]]*1.11</f>
        <v>1145109.5040000002</v>
      </c>
      <c r="AP79" s="41">
        <v>45728.288288288284</v>
      </c>
      <c r="AQ79" s="41">
        <f>Table43[[#This Row],[Harga Jual Pcs GT
(-PPN)]]*Table43[[#This Row],[ISI/CTN]]</f>
        <v>1097478.9189189188</v>
      </c>
      <c r="AR79" s="41">
        <f>Table43[[#This Row],[Harga Jual Pcs GT
(-PPN)]]*1.11</f>
        <v>50758.400000000001</v>
      </c>
      <c r="AS79" s="41">
        <f>Table43[[#This Row],[Harga Jual Krt GT
(- PPN)]]*1.11</f>
        <v>1218201.6000000001</v>
      </c>
      <c r="AT79" s="41">
        <v>49386.551351351351</v>
      </c>
      <c r="AU79" s="41">
        <f>(Table43[[#This Row],[Harga Jual Pcs MT
(-PPN)]]*Table43[[#This Row],[ISI/CTN]])</f>
        <v>1185277.2324324325</v>
      </c>
      <c r="AV79" s="41">
        <f>Table43[[#This Row],[Harga Jual Pcs MT
(-PPN)]]*1.11</f>
        <v>54819.072000000007</v>
      </c>
      <c r="AW79" s="41">
        <f>Table43[[#This Row],[Harga Jual Pcs MT
(+PPN)]]*Table43[[#This Row],[ISI/CTN]]</f>
        <v>1315657.7280000001</v>
      </c>
      <c r="AX79" s="41"/>
      <c r="AY79" s="46">
        <v>45769</v>
      </c>
      <c r="AZ79" s="54">
        <v>45839</v>
      </c>
      <c r="BA79" s="7" t="str">
        <f ca="1">IF(TODAY()-Table43[[#This Row],[Efektif
Pembuatan]]&gt;60,"Lama","Baru")</f>
        <v>Lama</v>
      </c>
      <c r="BB79" s="7" t="str">
        <f ca="1">IF(TODAY()-Table43[[#This Row],[Efektif Naik Harga]]&lt;30,"Naik","Sama")</f>
        <v>Sama</v>
      </c>
      <c r="BC79" s="7"/>
      <c r="BD79" s="7" t="str">
        <f>IF(Table43[[#This Row],[Kode BARANG Win2]]&lt;&gt;"","IDR","")</f>
        <v>IDR</v>
      </c>
      <c r="BE79" s="7" t="str">
        <f>CONCATENATE(Table43[[#This Row],[kode  1 Digit
(Nomor)]],Table43[[#This Row],[kode  4 Digit                (Nomor)]])</f>
        <v>20195</v>
      </c>
      <c r="BF79" s="7" t="str">
        <f>Table43[[#This Row],[Nama            Gramasi atau Jumlah Pack per CTN]]</f>
        <v>195 ML</v>
      </c>
      <c r="BG79" s="7" t="s">
        <v>653</v>
      </c>
      <c r="BH79" s="51" t="s">
        <v>654</v>
      </c>
      <c r="BI79" s="4" t="str">
        <f>IF(Table43[[#This Row],[SATUAN Fix Win]]&lt;&gt;"","KRT")</f>
        <v>KRT</v>
      </c>
      <c r="BJ79" s="4" t="str">
        <f>IF(Table43[[#This Row],[SATUAN Fix Win]]&lt;&gt;"","GD01")</f>
        <v>GD01</v>
      </c>
      <c r="BK79" s="4">
        <f>IF(Table43[[#This Row],[SATUAN Fix Win]]&lt;&gt;"",11611)</f>
        <v>11611</v>
      </c>
      <c r="BL79" s="4">
        <f>IF(Table43[[#This Row],[SATUAN Fix Win]]&lt;&gt;"",11612)</f>
        <v>11612</v>
      </c>
      <c r="BM79" s="47" t="s">
        <v>655</v>
      </c>
      <c r="BN79" s="4">
        <f>IF(Table43[[#This Row],[SATUAN Fix Win]]&lt;&gt;"",1)</f>
        <v>1</v>
      </c>
      <c r="BO79" s="4" t="s">
        <v>656</v>
      </c>
      <c r="BP79" s="4">
        <f>IFERROR(VLOOKUP(Table43[[#This Row],[Kode Pcpl]],'[1]HEINZ ABC'!$A$4:$E$112,8,0),0)</f>
        <v>0</v>
      </c>
      <c r="BQ79" s="55">
        <f>Table43[[#This Row],[Harga Jual Pcs GT
(-PPN)]]-Table43[[#This Row],[HARGA NAIK GT]]</f>
        <v>45728.288288288284</v>
      </c>
      <c r="BR79" s="4">
        <f>IF(Table43[[#This Row],[HARGA NAIK GT]]=0,Table43[[#This Row],[Harga Jual Pcs GT
(-PPN)]],Table43[[#This Row],[HARGA NAIK GT]])</f>
        <v>45728.288288288284</v>
      </c>
      <c r="BS79">
        <f>IFERROR(VLOOKUP(Table43[[#This Row],[Kode Pcpl]],'[1]HEINZ ABC'!$A$4:$E$112,8,0),0)</f>
        <v>0</v>
      </c>
      <c r="BT79" s="58">
        <f>Table43[[#This Row],[Harga Jual Pcs GT
(-PPN)]]-BS79</f>
        <v>45728.288288288284</v>
      </c>
      <c r="BU79">
        <f>IF(BS79=0,Table43[[#This Row],[Harga Jual Pcs MT
(-PPN)]])</f>
        <v>49386.551351351351</v>
      </c>
      <c r="BV79">
        <f>IFERROR(VLOOKUP(Table43[[#This Row],[Kode Pcpl]],[2]Pricelist!$A$4:$K$112,11,0),0)</f>
        <v>54819.072000000007</v>
      </c>
      <c r="BW79">
        <f>IFERROR(VLOOKUP(Table43[[#This Row],[Kode BARANG Win2]],[3]!RECKITT211216[[KDBRG]:[HRG_JL_PCS-PPN]],11,0),0)</f>
        <v>0</v>
      </c>
      <c r="BX79">
        <f t="shared" si="2"/>
        <v>49386.551351351351</v>
      </c>
    </row>
    <row r="80" spans="1:76" x14ac:dyDescent="0.25">
      <c r="A80" s="4" t="str">
        <f>CONCATENATE(Table43[[#This Row],[Kode BARANG Win2]],Table43[[#This Row],[No. Urut
Item Sama]])</f>
        <v>A10200010195202</v>
      </c>
      <c r="B80" s="7">
        <v>2</v>
      </c>
      <c r="C80" s="4">
        <v>68</v>
      </c>
      <c r="D80" s="27">
        <v>120042</v>
      </c>
      <c r="E80" s="27" t="s">
        <v>534</v>
      </c>
      <c r="F80" s="27" t="s">
        <v>1053</v>
      </c>
      <c r="G80" s="27">
        <v>6</v>
      </c>
      <c r="H80" s="42" t="s">
        <v>2921</v>
      </c>
      <c r="I80" s="27" t="str">
        <f>Table43[[#This Row],[Nama Jenis Kemasan]]</f>
        <v>JRG</v>
      </c>
      <c r="J80" s="4" t="str">
        <f>TRIM(CONCATENATE(Table43[[#This Row],[Nama            KLP]]," ",Table43[[#This Row],[Nama            Sub KLP]]))</f>
        <v>MINYAK WIJEN</v>
      </c>
      <c r="K80" s="4" t="str">
        <f>CONCATENATE(Table43[[#This Row],[kode  2 Digit                (hrf+No)]],Table43[[#This Row],[kode  2 Digit                (Nomor)]],Table43[[#This Row],[kode  1 Digit                (Nomor)]])</f>
        <v>A1020</v>
      </c>
      <c r="L80" s="4" t="str">
        <f>IF(AG80="",CONCATENATE(Q80,S80,U80,W80,Y80,AA80,AC80,AE80,Table43[[#This Row],[Tanda Kode Revisi]]),CONCATENATE(Q80,S80,U80,W80,Y80,AA80,AC80,AG80))</f>
        <v>A1020001019520</v>
      </c>
      <c r="M80" s="11">
        <f t="shared" si="3"/>
        <v>14</v>
      </c>
      <c r="N80" s="14" t="str">
        <f>IF(AF80&lt;&gt;"",TRIM(UPPER(CONCATENATE(P80," ",R80," ",T80," ",V80," ",X80," ",Z80," ","X"," ",Table43[[#This Row],[ISI/CTN]]," ",AF80," ",AB80," ",AD80," ",AH80))),TRIM(UPPER(CONCATENATE(P80," ",R80," ",T80," ",V80," ",X80," ",Z80," ","X"," ",Table43[[#This Row],[ISI/CTN]]," ",AB80," ",AD80," ",AH80))))</f>
        <v>ABC MINYAK WIJEN SESAME OIL 1L X 6 JRG</v>
      </c>
      <c r="O80" s="11">
        <f t="shared" si="4"/>
        <v>38</v>
      </c>
      <c r="P80" s="4" t="s">
        <v>28</v>
      </c>
      <c r="Q80" s="7" t="s">
        <v>85</v>
      </c>
      <c r="R80" s="4" t="s">
        <v>534</v>
      </c>
      <c r="S80" s="43" t="s">
        <v>31</v>
      </c>
      <c r="T80" s="44"/>
      <c r="U80" s="7" t="s">
        <v>1</v>
      </c>
      <c r="V80" s="44"/>
      <c r="W80" s="43" t="s">
        <v>1</v>
      </c>
      <c r="X80" s="4" t="s">
        <v>1054</v>
      </c>
      <c r="Y80" s="43" t="s">
        <v>0</v>
      </c>
      <c r="Z80" s="4" t="s">
        <v>1055</v>
      </c>
      <c r="AA80" s="43" t="s">
        <v>536</v>
      </c>
      <c r="AB80" s="4" t="s">
        <v>506</v>
      </c>
      <c r="AC80" s="7">
        <v>2</v>
      </c>
      <c r="AE80" s="7" t="s">
        <v>1</v>
      </c>
      <c r="AI80" s="7" t="s">
        <v>214</v>
      </c>
      <c r="AJ80" s="7">
        <v>2</v>
      </c>
      <c r="AL80" s="40">
        <f>Table43[[#This Row],[Harga Jual Pcs GT
(-PPN)]]-(Table43[[#This Row],[Harga Jual Pcs GT
(-PPN)]]*6%)</f>
        <v>147846.75320000001</v>
      </c>
      <c r="AM80" s="40">
        <f>Table43[[#This Row],[Harga Beli Pcs
(-PPN)]]*Table43[[#This Row],[ISI/CTN]]</f>
        <v>887080.51919999998</v>
      </c>
      <c r="AN80" s="40">
        <f>Table43[[#This Row],[Harga Beli Pcs
(-PPN)]]*1.11</f>
        <v>164109.89605200003</v>
      </c>
      <c r="AO80" s="40">
        <f>Table43[[#This Row],[Harga Beli Krt
(- PPN)]]*1.11</f>
        <v>984659.37631200009</v>
      </c>
      <c r="AP80" s="40">
        <v>157283.78</v>
      </c>
      <c r="AQ80" s="40">
        <f>Table43[[#This Row],[Harga Jual Pcs GT
(-PPN)]]*Table43[[#This Row],[ISI/CTN]]</f>
        <v>943702.67999999993</v>
      </c>
      <c r="AR80" s="40">
        <f>Table43[[#This Row],[Harga Jual Pcs GT
(-PPN)]]*1.11</f>
        <v>174584.9958</v>
      </c>
      <c r="AS80" s="40">
        <f>Table43[[#This Row],[Harga Jual Krt GT
(- PPN)]]*1.11</f>
        <v>1047509.9748</v>
      </c>
      <c r="AT80" s="40">
        <v>169866.48</v>
      </c>
      <c r="AU80" s="40">
        <f>(Table43[[#This Row],[Harga Jual Pcs MT
(-PPN)]]*Table43[[#This Row],[ISI/CTN]])</f>
        <v>1019198.8800000001</v>
      </c>
      <c r="AV80" s="40">
        <f>Table43[[#This Row],[Harga Jual Pcs MT
(-PPN)]]*1.11</f>
        <v>188551.79280000002</v>
      </c>
      <c r="AW80" s="40">
        <f>Table43[[#This Row],[Harga Jual Pcs MT
(+PPN)]]*Table43[[#This Row],[ISI/CTN]]</f>
        <v>1131310.7568000001</v>
      </c>
      <c r="AX80" s="40"/>
      <c r="AY80" s="54">
        <v>45938</v>
      </c>
      <c r="AZ80" s="54"/>
      <c r="BA80" s="7" t="str">
        <f ca="1">IF(TODAY()-Table43[[#This Row],[Efektif
Pembuatan]]&gt;60,"Lama","Baru")</f>
        <v>Lama</v>
      </c>
      <c r="BB80" s="7" t="str">
        <f ca="1">IF(TODAY()-Table43[[#This Row],[Efektif Naik Harga]]&lt;30,"Naik","Sama")</f>
        <v>Sama</v>
      </c>
      <c r="BC80" s="7"/>
      <c r="BD80" s="7" t="str">
        <f>IF(Table43[[#This Row],[Kode BARANG Win2]]&lt;&gt;"","IDR","")</f>
        <v>IDR</v>
      </c>
      <c r="BE80" s="7" t="str">
        <f>CONCATENATE(Table43[[#This Row],[kode  1 Digit
(Nomor)]],Table43[[#This Row],[kode  4 Digit                (Nomor)]])</f>
        <v>20195</v>
      </c>
      <c r="BF80" s="7" t="str">
        <f>Table43[[#This Row],[Nama            Gramasi atau Jumlah Pack per CTN]]</f>
        <v>1L</v>
      </c>
      <c r="BG80" s="7"/>
      <c r="BH80" s="7"/>
      <c r="BI80" s="4" t="str">
        <f>IF(Table43[[#This Row],[SATUAN Fix Win]]&lt;&gt;"","KRT")</f>
        <v>KRT</v>
      </c>
      <c r="BJ80" s="4" t="str">
        <f>IF(Table43[[#This Row],[SATUAN Fix Win]]&lt;&gt;"","GD01")</f>
        <v>GD01</v>
      </c>
      <c r="BK80" s="4">
        <f>IF(Table43[[#This Row],[SATUAN Fix Win]]&lt;&gt;"",11611)</f>
        <v>11611</v>
      </c>
      <c r="BL80" s="4">
        <f>IF(Table43[[#This Row],[SATUAN Fix Win]]&lt;&gt;"",11612)</f>
        <v>11612</v>
      </c>
      <c r="BN80" s="4">
        <f>IF(Table43[[#This Row],[SATUAN Fix Win]]&lt;&gt;"",1)</f>
        <v>1</v>
      </c>
      <c r="BP80" s="4">
        <f>IFERROR(VLOOKUP(Table43[[#This Row],[Kode Pcpl]],'[1]HEINZ ABC'!$A$4:$E$112,8,0),0)</f>
        <v>0</v>
      </c>
      <c r="BQ80" s="55">
        <f>Table43[[#This Row],[Harga Jual Pcs GT
(-PPN)]]-Table43[[#This Row],[HARGA NAIK GT]]</f>
        <v>157283.78</v>
      </c>
      <c r="BR80" s="4">
        <f>IF(Table43[[#This Row],[HARGA NAIK GT]]=0,Table43[[#This Row],[Harga Jual Pcs GT
(-PPN)]],Table43[[#This Row],[HARGA NAIK GT]])</f>
        <v>157283.78</v>
      </c>
      <c r="BS80">
        <f>IFERROR(VLOOKUP(Table43[[#This Row],[Kode Pcpl]],'[1]HEINZ ABC'!$A$4:$E$112,8,0),0)</f>
        <v>0</v>
      </c>
      <c r="BT80" s="58">
        <f>Table43[[#This Row],[Harga Jual Pcs GT
(-PPN)]]-BS80</f>
        <v>157283.78</v>
      </c>
      <c r="BU80">
        <f>IF(BS80=0,Table43[[#This Row],[Harga Jual Pcs MT
(-PPN)]])</f>
        <v>169866.48</v>
      </c>
      <c r="BV80">
        <f>IFERROR(VLOOKUP(Table43[[#This Row],[Kode Pcpl]],[2]Pricelist!$A$4:$K$112,11,0),0)</f>
        <v>188551.79922323834</v>
      </c>
      <c r="BW80">
        <f>IFERROR(VLOOKUP(Table43[[#This Row],[Kode BARANG Win2]],[3]!RECKITT211216[[KDBRG]:[HRG_JL_PCS-PPN]],11,0),0)</f>
        <v>0</v>
      </c>
      <c r="BX80">
        <f t="shared" si="2"/>
        <v>169866.4857867012</v>
      </c>
    </row>
    <row r="81" spans="1:76" x14ac:dyDescent="0.25">
      <c r="A81" s="60" t="str">
        <f>CONCATENATE(Table43[[#This Row],[Kode BARANG Win2]],Table43[[#This Row],[No. Urut
Item Sama]])</f>
        <v>A10200020130103</v>
      </c>
      <c r="B81" s="61">
        <v>3</v>
      </c>
      <c r="C81" s="60">
        <v>280</v>
      </c>
      <c r="D81" s="62">
        <v>120036</v>
      </c>
      <c r="E81" s="62"/>
      <c r="F81" s="62" t="s">
        <v>1069</v>
      </c>
      <c r="G81" s="62">
        <v>48</v>
      </c>
      <c r="H81" s="63" t="s">
        <v>2896</v>
      </c>
      <c r="I81" s="62" t="str">
        <f>Table43[[#This Row],[Nama Jenis Kemasan]]</f>
        <v>BTL</v>
      </c>
      <c r="J81" s="60" t="str">
        <f>TRIM(CONCATENATE(Table43[[#This Row],[Nama            KLP]]," ",Table43[[#This Row],[Nama            Sub KLP]]))</f>
        <v>SAUCE</v>
      </c>
      <c r="K81" s="60" t="str">
        <f>CONCATENATE(Table43[[#This Row],[kode  2 Digit                (hrf+No)]],Table43[[#This Row],[kode  2 Digit                (Nomor)]],Table43[[#This Row],[kode  1 Digit                (Nomor)]])</f>
        <v>A1020</v>
      </c>
      <c r="L81" s="60" t="str">
        <f>IF(AG81="",CONCATENATE(Q81,S81,U81,W81,Y81,AA81,AC81,AE81,Table43[[#This Row],[Tanda Kode Revisi]]),CONCATENATE(Q81,S81,U81,W81,Y81,AA81,AC81,AG81))</f>
        <v>A1020002013010</v>
      </c>
      <c r="M81" s="64">
        <f t="shared" si="3"/>
        <v>14</v>
      </c>
      <c r="N81" s="65" t="str">
        <f>IF(AF81&lt;&gt;"",TRIM(UPPER(CONCATENATE(P81," ",R81," ",T81," ",V81," ",X81," ",Z81," ","X"," ",Table43[[#This Row],[ISI/CTN]]," ",AF81," ",AB81," ",AD81," ",AH81))),TRIM(UPPER(CONCATENATE(P81," ",R81," ",T81," ",V81," ",X81," ",Z81," ","X"," ",Table43[[#This Row],[ISI/CTN]]," ",AB81," ",AD81," ",AH81))))</f>
        <v>ABC SAUCE TIRAM 130 ML X 48 BTL</v>
      </c>
      <c r="O81" s="64">
        <f t="shared" si="4"/>
        <v>31</v>
      </c>
      <c r="P81" s="60" t="s">
        <v>28</v>
      </c>
      <c r="Q81" s="61" t="s">
        <v>85</v>
      </c>
      <c r="R81" s="60" t="s">
        <v>533</v>
      </c>
      <c r="S81" s="66" t="s">
        <v>31</v>
      </c>
      <c r="T81" s="67"/>
      <c r="U81" s="61" t="s">
        <v>1</v>
      </c>
      <c r="V81" s="67"/>
      <c r="W81" s="66" t="s">
        <v>1</v>
      </c>
      <c r="X81" s="60" t="s">
        <v>537</v>
      </c>
      <c r="Y81" s="68" t="s">
        <v>31</v>
      </c>
      <c r="Z81" s="60" t="s">
        <v>606</v>
      </c>
      <c r="AA81" s="68" t="s">
        <v>485</v>
      </c>
      <c r="AB81" s="60" t="s">
        <v>486</v>
      </c>
      <c r="AC81" s="61" t="s">
        <v>480</v>
      </c>
      <c r="AD81" s="60"/>
      <c r="AE81" s="61" t="s">
        <v>1</v>
      </c>
      <c r="AF81" s="61"/>
      <c r="AG81" s="61"/>
      <c r="AH81" s="61"/>
      <c r="AI81" s="61"/>
      <c r="AJ81" s="61"/>
      <c r="AK81" s="61"/>
      <c r="AL81" s="69">
        <f>Table43[[#This Row],[Harga Jual Pcs GT
(-PPN)]]-(Table43[[#This Row],[Harga Jual Pcs GT
(-PPN)]]*6%)</f>
        <v>7953.3023999999996</v>
      </c>
      <c r="AM81" s="70">
        <f>Table43[[#This Row],[Harga Beli Pcs
(-PPN)]]*Table43[[#This Row],[ISI/CTN]]</f>
        <v>381758.51519999997</v>
      </c>
      <c r="AN81" s="70">
        <f>Table43[[#This Row],[Harga Beli Pcs
(-PPN)]]*1.11</f>
        <v>8828.1656640000001</v>
      </c>
      <c r="AO81" s="70">
        <f>Table43[[#This Row],[Harga Beli Krt
(- PPN)]]*1.11</f>
        <v>423751.95187200001</v>
      </c>
      <c r="AP81" s="70">
        <v>8460.9599999999991</v>
      </c>
      <c r="AQ81" s="70">
        <f>Table43[[#This Row],[Harga Jual Pcs GT
(-PPN)]]*Table43[[#This Row],[ISI/CTN]]</f>
        <v>406126.07999999996</v>
      </c>
      <c r="AR81" s="70">
        <f>Table43[[#This Row],[Harga Jual Pcs GT
(-PPN)]]*1.11</f>
        <v>9391.6656000000003</v>
      </c>
      <c r="AS81" s="70">
        <f>Table43[[#This Row],[Harga Jual Krt GT
(- PPN)]]*1.11</f>
        <v>450799.94880000001</v>
      </c>
      <c r="AT81" s="70">
        <v>9137.84</v>
      </c>
      <c r="AU81" s="70">
        <f>(Table43[[#This Row],[Harga Jual Pcs MT
(-PPN)]]*Table43[[#This Row],[ISI/CTN]])</f>
        <v>438616.32000000001</v>
      </c>
      <c r="AV81" s="70">
        <f>Table43[[#This Row],[Harga Jual Pcs MT
(-PPN)]]*1.11</f>
        <v>10143.002400000001</v>
      </c>
      <c r="AW81" s="70">
        <f>Table43[[#This Row],[Harga Jual Pcs MT
(+PPN)]]*Table43[[#This Row],[ISI/CTN]]</f>
        <v>486864.11520000006</v>
      </c>
      <c r="AX81" s="70"/>
      <c r="AY81" s="71">
        <v>45967</v>
      </c>
      <c r="AZ81" s="72">
        <v>45967</v>
      </c>
      <c r="BA81" s="61" t="str">
        <f ca="1">IF(TODAY()-Table43[[#This Row],[Efektif
Pembuatan]]&gt;60,"Lama","Baru")</f>
        <v>Lama</v>
      </c>
      <c r="BB81" s="61" t="str">
        <f ca="1">IF(TODAY()-Table43[[#This Row],[Efektif Naik Harga]]&lt;30,"Naik","Sama")</f>
        <v>Sama</v>
      </c>
      <c r="BC81" s="61"/>
      <c r="BD81" s="61" t="str">
        <f>IF(Table43[[#This Row],[Kode BARANG Win2]]&lt;&gt;"","IDR","")</f>
        <v>IDR</v>
      </c>
      <c r="BE81" s="61" t="str">
        <f>CONCATENATE(Table43[[#This Row],[kode  1 Digit
(Nomor)]],Table43[[#This Row],[kode  4 Digit                (Nomor)]])</f>
        <v>0130</v>
      </c>
      <c r="BF81" s="61" t="str">
        <f>Table43[[#This Row],[Nama            Gramasi atau Jumlah Pack per CTN]]</f>
        <v>130 ML</v>
      </c>
      <c r="BG81" s="61"/>
      <c r="BH81" s="73"/>
      <c r="BI81" s="60" t="str">
        <f>IF(Table43[[#This Row],[SATUAN Fix Win]]&lt;&gt;"","KRT")</f>
        <v>KRT</v>
      </c>
      <c r="BJ81" s="60" t="str">
        <f>IF(Table43[[#This Row],[SATUAN Fix Win]]&lt;&gt;"","GD01")</f>
        <v>GD01</v>
      </c>
      <c r="BK81" s="60">
        <f>IF(Table43[[#This Row],[SATUAN Fix Win]]&lt;&gt;"",11611)</f>
        <v>11611</v>
      </c>
      <c r="BL81" s="60">
        <f>IF(Table43[[#This Row],[SATUAN Fix Win]]&lt;&gt;"",11612)</f>
        <v>11612</v>
      </c>
      <c r="BM81" s="74"/>
      <c r="BN81" s="60">
        <f>IF(Table43[[#This Row],[SATUAN Fix Win]]&lt;&gt;"",1)</f>
        <v>1</v>
      </c>
      <c r="BO81" s="60"/>
      <c r="BP81" s="60">
        <f>IFERROR(VLOOKUP(Table43[[#This Row],[Kode Pcpl]],'[1]HEINZ ABC'!$A$4:$E$112,8,0),0)</f>
        <v>0</v>
      </c>
      <c r="BQ81" s="75">
        <f>Table43[[#This Row],[Harga Jual Pcs GT
(-PPN)]]-Table43[[#This Row],[HARGA NAIK GT]]</f>
        <v>8460.9599999999991</v>
      </c>
      <c r="BR81" s="60">
        <f>IF(Table43[[#This Row],[HARGA NAIK GT]]=0,Table43[[#This Row],[Harga Jual Pcs GT
(-PPN)]],Table43[[#This Row],[HARGA NAIK GT]])</f>
        <v>8460.9599999999991</v>
      </c>
      <c r="BS81">
        <f>IFERROR(VLOOKUP(Table43[[#This Row],[Kode Pcpl]],'[1]HEINZ ABC'!$A$4:$E$112,8,0),0)</f>
        <v>0</v>
      </c>
      <c r="BT81" s="58">
        <f>Table43[[#This Row],[Harga Jual Pcs GT
(-PPN)]]-BS81</f>
        <v>8460.9599999999991</v>
      </c>
      <c r="BU81">
        <f>IF(BS81=0,Table43[[#This Row],[Harga Jual Pcs MT
(-PPN)]])</f>
        <v>9137.84</v>
      </c>
      <c r="BV81">
        <f>IFERROR(VLOOKUP(Table43[[#This Row],[Kode Pcpl]],[2]Pricelist!$A$4:$K$112,11,0),0)</f>
        <v>0</v>
      </c>
      <c r="BW81">
        <f>IFERROR(VLOOKUP(Table43[[#This Row],[Kode BARANG Win2]],[3]!RECKITT211216[[KDBRG]:[HRG_JL_PCS-PPN]],11,0),0)</f>
        <v>0</v>
      </c>
      <c r="BX81">
        <f t="shared" si="2"/>
        <v>0</v>
      </c>
    </row>
    <row r="82" spans="1:76" x14ac:dyDescent="0.25">
      <c r="A82" s="4" t="str">
        <f>CONCATENATE(Table43[[#This Row],[Kode BARANG Win2]],Table43[[#This Row],[No. Urut
Item Sama]])</f>
        <v>A10200020135101</v>
      </c>
      <c r="B82" s="7">
        <v>1</v>
      </c>
      <c r="C82" s="4">
        <v>69</v>
      </c>
      <c r="D82" s="27">
        <v>120030</v>
      </c>
      <c r="E82" s="27" t="s">
        <v>291</v>
      </c>
      <c r="F82" s="27" t="s">
        <v>294</v>
      </c>
      <c r="G82" s="27">
        <v>48</v>
      </c>
      <c r="H82" s="42" t="s">
        <v>2910</v>
      </c>
      <c r="I82" s="27" t="str">
        <f>Table43[[#This Row],[Nama Jenis Kemasan]]</f>
        <v>BTL</v>
      </c>
      <c r="J82" s="4" t="str">
        <f>TRIM(CONCATENATE(Table43[[#This Row],[Nama            KLP]]," ",Table43[[#This Row],[Nama            Sub KLP]]))</f>
        <v>SAUCE</v>
      </c>
      <c r="K82" s="4" t="str">
        <f>CONCATENATE(Table43[[#This Row],[kode  2 Digit                (hrf+No)]],Table43[[#This Row],[kode  2 Digit                (Nomor)]],Table43[[#This Row],[kode  1 Digit                (Nomor)]])</f>
        <v>A1020</v>
      </c>
      <c r="L82" s="4" t="str">
        <f>IF(AG82="",CONCATENATE(Q82,S82,U82,W82,Y82,AA82,AC82,AE82,Table43[[#This Row],[Tanda Kode Revisi]]),CONCATENATE(Q82,S82,U82,W82,Y82,AA82,AC82,AG82))</f>
        <v>A1020002013510</v>
      </c>
      <c r="M82" s="11">
        <f t="shared" si="3"/>
        <v>14</v>
      </c>
      <c r="N82" s="14" t="str">
        <f>IF(AF82&lt;&gt;"",TRIM(UPPER(CONCATENATE(P82," ",R82," ",T82," ",V82," ",X82," ",Z82," ","X"," ",Table43[[#This Row],[ISI/CTN]]," ",AF82," ",AB82," ",AD82," ",AH82))),TRIM(UPPER(CONCATENATE(P82," ",R82," ",T82," ",V82," ",X82," ",Z82," ","X"," ",Table43[[#This Row],[ISI/CTN]]," ",AB82," ",AD82," ",AH82))))</f>
        <v>ABC SAUCE TIRAM 135 ML X 48 BTL</v>
      </c>
      <c r="O82" s="11">
        <f t="shared" si="4"/>
        <v>31</v>
      </c>
      <c r="P82" s="4" t="s">
        <v>28</v>
      </c>
      <c r="Q82" s="7" t="s">
        <v>85</v>
      </c>
      <c r="R82" s="4" t="s">
        <v>533</v>
      </c>
      <c r="S82" s="43" t="s">
        <v>31</v>
      </c>
      <c r="T82" s="44"/>
      <c r="U82" s="7" t="s">
        <v>1</v>
      </c>
      <c r="V82" s="44"/>
      <c r="W82" s="43" t="s">
        <v>1</v>
      </c>
      <c r="X82" s="4" t="s">
        <v>537</v>
      </c>
      <c r="Y82" s="45" t="s">
        <v>31</v>
      </c>
      <c r="Z82" s="4" t="s">
        <v>484</v>
      </c>
      <c r="AA82" s="45" t="s">
        <v>487</v>
      </c>
      <c r="AB82" s="4" t="s">
        <v>486</v>
      </c>
      <c r="AC82" s="7" t="s">
        <v>480</v>
      </c>
      <c r="AE82" s="7" t="s">
        <v>1</v>
      </c>
      <c r="AI82" s="7" t="s">
        <v>214</v>
      </c>
      <c r="AJ82" s="7">
        <v>2</v>
      </c>
      <c r="AL82" s="40">
        <f>Table43[[#This Row],[Harga Jual Pcs GT
(-PPN)]]-(Table43[[#This Row],[Harga Jual Pcs GT
(-PPN)]]*6%)</f>
        <v>9830.2828828828806</v>
      </c>
      <c r="AM82" s="41">
        <f>Table43[[#This Row],[Harga Beli Pcs
(-PPN)]]*Table43[[#This Row],[ISI/CTN]]</f>
        <v>471853.5783783783</v>
      </c>
      <c r="AN82" s="41">
        <f>Table43[[#This Row],[Harga Beli Pcs
(-PPN)]]*1.11</f>
        <v>10911.613999999998</v>
      </c>
      <c r="AO82" s="41">
        <f>Table43[[#This Row],[Harga Beli Krt
(- PPN)]]*1.11</f>
        <v>523757.47199999995</v>
      </c>
      <c r="AP82" s="41">
        <v>10457.747747747746</v>
      </c>
      <c r="AQ82" s="41">
        <f>Table43[[#This Row],[Harga Jual Pcs GT
(-PPN)]]*Table43[[#This Row],[ISI/CTN]]</f>
        <v>501971.89189189184</v>
      </c>
      <c r="AR82" s="41">
        <f>Table43[[#This Row],[Harga Jual Pcs GT
(-PPN)]]*1.11</f>
        <v>11608.099999999999</v>
      </c>
      <c r="AS82" s="41">
        <f>Table43[[#This Row],[Harga Jual Krt GT
(- PPN)]]*1.11</f>
        <v>557188.79999999993</v>
      </c>
      <c r="AT82" s="41">
        <v>11294.367567567566</v>
      </c>
      <c r="AU82" s="41">
        <f>(Table43[[#This Row],[Harga Jual Pcs MT
(-PPN)]]*Table43[[#This Row],[ISI/CTN]])</f>
        <v>542129.64324324322</v>
      </c>
      <c r="AV82" s="41">
        <f>Table43[[#This Row],[Harga Jual Pcs MT
(-PPN)]]*1.11</f>
        <v>12536.748</v>
      </c>
      <c r="AW82" s="41">
        <f>Table43[[#This Row],[Harga Jual Pcs MT
(+PPN)]]*Table43[[#This Row],[ISI/CTN]]</f>
        <v>601763.90399999998</v>
      </c>
      <c r="AX82" s="41"/>
      <c r="AY82" s="46">
        <v>45553</v>
      </c>
      <c r="AZ82" s="54">
        <v>45839</v>
      </c>
      <c r="BA82" s="7" t="str">
        <f ca="1">IF(TODAY()-Table43[[#This Row],[Efektif
Pembuatan]]&gt;60,"Lama","Baru")</f>
        <v>Lama</v>
      </c>
      <c r="BB82" s="7" t="str">
        <f ca="1">IF(TODAY()-Table43[[#This Row],[Efektif Naik Harga]]&lt;30,"Naik","Sama")</f>
        <v>Sama</v>
      </c>
      <c r="BC82" s="7" t="s">
        <v>235</v>
      </c>
      <c r="BD82" s="7" t="str">
        <f>IF(Table43[[#This Row],[Kode BARANG Win2]]&lt;&gt;"","IDR","")</f>
        <v>IDR</v>
      </c>
      <c r="BE82" s="7" t="str">
        <f>CONCATENATE(Table43[[#This Row],[kode  1 Digit
(Nomor)]],Table43[[#This Row],[kode  4 Digit                (Nomor)]])</f>
        <v>20135</v>
      </c>
      <c r="BF82" s="7" t="str">
        <f>Table43[[#This Row],[Nama            Gramasi atau Jumlah Pack per CTN]]</f>
        <v>135 ML</v>
      </c>
      <c r="BG82" s="7" t="s">
        <v>653</v>
      </c>
      <c r="BH82" s="51" t="s">
        <v>654</v>
      </c>
      <c r="BI82" s="4" t="str">
        <f>IF(Table43[[#This Row],[SATUAN Fix Win]]&lt;&gt;"","KRT")</f>
        <v>KRT</v>
      </c>
      <c r="BJ82" s="4" t="str">
        <f>IF(Table43[[#This Row],[SATUAN Fix Win]]&lt;&gt;"","GD01")</f>
        <v>GD01</v>
      </c>
      <c r="BK82" s="4">
        <f>IF(Table43[[#This Row],[SATUAN Fix Win]]&lt;&gt;"",11611)</f>
        <v>11611</v>
      </c>
      <c r="BL82" s="4">
        <f>IF(Table43[[#This Row],[SATUAN Fix Win]]&lt;&gt;"",11612)</f>
        <v>11612</v>
      </c>
      <c r="BM82" s="47" t="s">
        <v>655</v>
      </c>
      <c r="BN82" s="4">
        <f>IF(Table43[[#This Row],[SATUAN Fix Win]]&lt;&gt;"",1)</f>
        <v>1</v>
      </c>
      <c r="BO82" s="4" t="s">
        <v>656</v>
      </c>
      <c r="BP82" s="4">
        <f>IFERROR(VLOOKUP(Table43[[#This Row],[Kode Pcpl]],'[1]HEINZ ABC'!$A$4:$E$112,8,0),0)</f>
        <v>0</v>
      </c>
      <c r="BQ82" s="55">
        <f>Table43[[#This Row],[Harga Jual Pcs GT
(-PPN)]]-Table43[[#This Row],[HARGA NAIK GT]]</f>
        <v>10457.747747747746</v>
      </c>
      <c r="BR82" s="4">
        <f>IF(Table43[[#This Row],[HARGA NAIK GT]]=0,Table43[[#This Row],[Harga Jual Pcs GT
(-PPN)]],Table43[[#This Row],[HARGA NAIK GT]])</f>
        <v>10457.747747747746</v>
      </c>
      <c r="BS82">
        <f>IFERROR(VLOOKUP(Table43[[#This Row],[Kode Pcpl]],'[1]HEINZ ABC'!$A$4:$E$112,8,0),0)</f>
        <v>0</v>
      </c>
      <c r="BT82" s="58">
        <f>Table43[[#This Row],[Harga Jual Pcs GT
(-PPN)]]-BS82</f>
        <v>10457.747747747746</v>
      </c>
      <c r="BU82">
        <f>IF(BS82=0,Table43[[#This Row],[Harga Jual Pcs MT
(-PPN)]])</f>
        <v>11294.367567567566</v>
      </c>
      <c r="BV82">
        <f>IFERROR(VLOOKUP(Table43[[#This Row],[Kode Pcpl]],[2]Pricelist!$A$4:$K$112,11,0),0)</f>
        <v>12536.748</v>
      </c>
      <c r="BW82">
        <f>IFERROR(VLOOKUP(Table43[[#This Row],[Kode BARANG Win2]],[3]!RECKITT211216[[KDBRG]:[HRG_JL_PCS-PPN]],11,0),0)</f>
        <v>0</v>
      </c>
      <c r="BX82">
        <f t="shared" ref="BX82:BX151" si="5">BV82/1.11</f>
        <v>11294.367567567566</v>
      </c>
    </row>
    <row r="83" spans="1:76" s="76" customFormat="1" x14ac:dyDescent="0.25">
      <c r="A83" s="4" t="str">
        <f>CONCATENATE(Table43[[#This Row],[Kode BARANG Win2]],Table43[[#This Row],[No. Urut
Item Sama]])</f>
        <v>A10200020135102</v>
      </c>
      <c r="B83" s="7">
        <v>2</v>
      </c>
      <c r="C83" s="4">
        <v>70</v>
      </c>
      <c r="D83" s="27">
        <v>120035</v>
      </c>
      <c r="E83" s="27" t="s">
        <v>291</v>
      </c>
      <c r="F83" s="27" t="s">
        <v>295</v>
      </c>
      <c r="G83" s="27">
        <v>48</v>
      </c>
      <c r="H83" s="42" t="s">
        <v>2911</v>
      </c>
      <c r="I83" s="27" t="str">
        <f>Table43[[#This Row],[Nama Jenis Kemasan]]</f>
        <v>BTL</v>
      </c>
      <c r="J83" s="4" t="str">
        <f>TRIM(CONCATENATE(Table43[[#This Row],[Nama            KLP]]," ",Table43[[#This Row],[Nama            Sub KLP]]))</f>
        <v>SAUCE</v>
      </c>
      <c r="K83" s="4" t="str">
        <f>CONCATENATE(Table43[[#This Row],[kode  2 Digit                (hrf+No)]],Table43[[#This Row],[kode  2 Digit                (Nomor)]],Table43[[#This Row],[kode  1 Digit                (Nomor)]])</f>
        <v>A1020</v>
      </c>
      <c r="L83" s="4" t="str">
        <f>IF(AG83="",CONCATENATE(Q83,S83,U83,W83,Y83,AA83,AC83,AE83,Table43[[#This Row],[Tanda Kode Revisi]]),CONCATENATE(Q83,S83,U83,W83,Y83,AA83,AC83,AG83))</f>
        <v>A1020002013510</v>
      </c>
      <c r="M83" s="11">
        <f t="shared" si="3"/>
        <v>14</v>
      </c>
      <c r="N83" s="14" t="str">
        <f>IF(AF83&lt;&gt;"",TRIM(UPPER(CONCATENATE(P83," ",R83," ",T83," ",V83," ",X83," ",Z83," ","X"," ",Table43[[#This Row],[ISI/CTN]]," ",AF83," ",AB83," ",AD83," ",AH83))),TRIM(UPPER(CONCATENATE(P83," ",R83," ",T83," ",V83," ",X83," ",Z83," ","X"," ",Table43[[#This Row],[ISI/CTN]]," ",AB83," ",AD83," ",AH83))))</f>
        <v>ABC SAUCE TIRAM 135 ML X 48 BTL</v>
      </c>
      <c r="O83" s="11">
        <f t="shared" si="4"/>
        <v>31</v>
      </c>
      <c r="P83" s="4" t="s">
        <v>28</v>
      </c>
      <c r="Q83" s="7" t="s">
        <v>85</v>
      </c>
      <c r="R83" s="4" t="s">
        <v>533</v>
      </c>
      <c r="S83" s="43" t="s">
        <v>31</v>
      </c>
      <c r="T83" s="44"/>
      <c r="U83" s="7" t="s">
        <v>1</v>
      </c>
      <c r="V83" s="44"/>
      <c r="W83" s="43" t="s">
        <v>1</v>
      </c>
      <c r="X83" s="4" t="s">
        <v>537</v>
      </c>
      <c r="Y83" s="45" t="s">
        <v>31</v>
      </c>
      <c r="Z83" s="4" t="s">
        <v>484</v>
      </c>
      <c r="AA83" s="45" t="s">
        <v>487</v>
      </c>
      <c r="AB83" s="4" t="s">
        <v>486</v>
      </c>
      <c r="AC83" s="7" t="s">
        <v>480</v>
      </c>
      <c r="AD83" s="4"/>
      <c r="AE83" s="7" t="s">
        <v>1</v>
      </c>
      <c r="AF83" s="7"/>
      <c r="AG83" s="7"/>
      <c r="AH83" s="7"/>
      <c r="AI83" s="7" t="s">
        <v>214</v>
      </c>
      <c r="AJ83" s="7">
        <v>2</v>
      </c>
      <c r="AK83" s="7"/>
      <c r="AL83" s="40">
        <f>Table43[[#This Row],[Harga Jual Pcs GT
(-PPN)]]-(Table43[[#This Row],[Harga Jual Pcs GT
(-PPN)]]*6%)</f>
        <v>9830.2828828828806</v>
      </c>
      <c r="AM83" s="41">
        <f>Table43[[#This Row],[Harga Beli Pcs
(-PPN)]]*Table43[[#This Row],[ISI/CTN]]</f>
        <v>471853.5783783783</v>
      </c>
      <c r="AN83" s="41">
        <f>Table43[[#This Row],[Harga Beli Pcs
(-PPN)]]*1.11</f>
        <v>10911.613999999998</v>
      </c>
      <c r="AO83" s="41">
        <f>Table43[[#This Row],[Harga Beli Krt
(- PPN)]]*1.11</f>
        <v>523757.47199999995</v>
      </c>
      <c r="AP83" s="41">
        <v>10457.747747747746</v>
      </c>
      <c r="AQ83" s="41">
        <f>Table43[[#This Row],[Harga Jual Pcs GT
(-PPN)]]*Table43[[#This Row],[ISI/CTN]]</f>
        <v>501971.89189189184</v>
      </c>
      <c r="AR83" s="41">
        <f>Table43[[#This Row],[Harga Jual Pcs GT
(-PPN)]]*1.11</f>
        <v>11608.099999999999</v>
      </c>
      <c r="AS83" s="41">
        <f>Table43[[#This Row],[Harga Jual Krt GT
(- PPN)]]*1.11</f>
        <v>557188.79999999993</v>
      </c>
      <c r="AT83" s="41">
        <v>11294.367567567566</v>
      </c>
      <c r="AU83" s="41">
        <f>(Table43[[#This Row],[Harga Jual Pcs MT
(-PPN)]]*Table43[[#This Row],[ISI/CTN]])</f>
        <v>542129.64324324322</v>
      </c>
      <c r="AV83" s="41">
        <f>Table43[[#This Row],[Harga Jual Pcs MT
(-PPN)]]*1.11</f>
        <v>12536.748</v>
      </c>
      <c r="AW83" s="41">
        <f>Table43[[#This Row],[Harga Jual Pcs MT
(+PPN)]]*Table43[[#This Row],[ISI/CTN]]</f>
        <v>601763.90399999998</v>
      </c>
      <c r="AX83" s="41"/>
      <c r="AY83" s="46">
        <v>45553</v>
      </c>
      <c r="AZ83" s="54">
        <v>45839</v>
      </c>
      <c r="BA83" s="7" t="str">
        <f ca="1">IF(TODAY()-Table43[[#This Row],[Efektif
Pembuatan]]&gt;60,"Lama","Baru")</f>
        <v>Lama</v>
      </c>
      <c r="BB83" s="7" t="str">
        <f ca="1">IF(TODAY()-Table43[[#This Row],[Efektif Naik Harga]]&lt;30,"Naik","Sama")</f>
        <v>Sama</v>
      </c>
      <c r="BC83" s="7" t="s">
        <v>235</v>
      </c>
      <c r="BD83" s="7" t="str">
        <f>IF(Table43[[#This Row],[Kode BARANG Win2]]&lt;&gt;"","IDR","")</f>
        <v>IDR</v>
      </c>
      <c r="BE83" s="7" t="str">
        <f>CONCATENATE(Table43[[#This Row],[kode  1 Digit
(Nomor)]],Table43[[#This Row],[kode  4 Digit                (Nomor)]])</f>
        <v>20135</v>
      </c>
      <c r="BF83" s="7" t="str">
        <f>Table43[[#This Row],[Nama            Gramasi atau Jumlah Pack per CTN]]</f>
        <v>135 ML</v>
      </c>
      <c r="BG83" s="7" t="s">
        <v>653</v>
      </c>
      <c r="BH83" s="51" t="s">
        <v>654</v>
      </c>
      <c r="BI83" s="4" t="str">
        <f>IF(Table43[[#This Row],[SATUAN Fix Win]]&lt;&gt;"","KRT")</f>
        <v>KRT</v>
      </c>
      <c r="BJ83" s="4" t="str">
        <f>IF(Table43[[#This Row],[SATUAN Fix Win]]&lt;&gt;"","GD01")</f>
        <v>GD01</v>
      </c>
      <c r="BK83" s="4">
        <f>IF(Table43[[#This Row],[SATUAN Fix Win]]&lt;&gt;"",11611)</f>
        <v>11611</v>
      </c>
      <c r="BL83" s="4">
        <f>IF(Table43[[#This Row],[SATUAN Fix Win]]&lt;&gt;"",11612)</f>
        <v>11612</v>
      </c>
      <c r="BM83" s="47" t="s">
        <v>655</v>
      </c>
      <c r="BN83" s="4">
        <f>IF(Table43[[#This Row],[SATUAN Fix Win]]&lt;&gt;"",1)</f>
        <v>1</v>
      </c>
      <c r="BO83" s="4" t="s">
        <v>656</v>
      </c>
      <c r="BP83" s="4">
        <f>IFERROR(VLOOKUP(Table43[[#This Row],[Kode Pcpl]],'[1]HEINZ ABC'!$A$4:$E$112,8,0),0)</f>
        <v>0</v>
      </c>
      <c r="BQ83" s="55">
        <f>Table43[[#This Row],[Harga Jual Pcs GT
(-PPN)]]-Table43[[#This Row],[HARGA NAIK GT]]</f>
        <v>10457.747747747746</v>
      </c>
      <c r="BR83" s="4">
        <f>IF(Table43[[#This Row],[HARGA NAIK GT]]=0,Table43[[#This Row],[Harga Jual Pcs GT
(-PPN)]],Table43[[#This Row],[HARGA NAIK GT]])</f>
        <v>10457.747747747746</v>
      </c>
      <c r="BT83" s="77"/>
    </row>
    <row r="84" spans="1:76" x14ac:dyDescent="0.25">
      <c r="A84" s="4" t="str">
        <f>CONCATENATE(Table43[[#This Row],[Kode BARANG Win2]],Table43[[#This Row],[No. Urut
Item Sama]])</f>
        <v>A10200020195101</v>
      </c>
      <c r="B84" s="7">
        <v>1</v>
      </c>
      <c r="C84" s="4">
        <v>71</v>
      </c>
      <c r="D84" s="27">
        <v>120034</v>
      </c>
      <c r="E84" s="27" t="s">
        <v>291</v>
      </c>
      <c r="F84" s="27" t="s">
        <v>296</v>
      </c>
      <c r="G84" s="27">
        <v>24</v>
      </c>
      <c r="H84" s="42">
        <v>0</v>
      </c>
      <c r="I84" s="27" t="str">
        <f>Table43[[#This Row],[Nama Jenis Kemasan]]</f>
        <v>BTL</v>
      </c>
      <c r="J84" s="4" t="str">
        <f>TRIM(CONCATENATE(Table43[[#This Row],[Nama            KLP]]," ",Table43[[#This Row],[Nama            Sub KLP]]))</f>
        <v>SAUCE</v>
      </c>
      <c r="K84" s="4" t="str">
        <f>CONCATENATE(Table43[[#This Row],[kode  2 Digit                (hrf+No)]],Table43[[#This Row],[kode  2 Digit                (Nomor)]],Table43[[#This Row],[kode  1 Digit                (Nomor)]])</f>
        <v>A1020</v>
      </c>
      <c r="L84" s="4" t="str">
        <f>IF(AG84="",CONCATENATE(Q84,S84,U84,W84,Y84,AA84,AC84,AE84,Table43[[#This Row],[Tanda Kode Revisi]]),CONCATENATE(Q84,S84,U84,W84,Y84,AA84,AC84,AG84))</f>
        <v>A1020002019510</v>
      </c>
      <c r="M84" s="11">
        <f t="shared" si="3"/>
        <v>14</v>
      </c>
      <c r="N84" s="14" t="str">
        <f>IF(AF84&lt;&gt;"",TRIM(UPPER(CONCATENATE(P84," ",R84," ",T84," ",V84," ",X84," ",Z84," ","X"," ",Table43[[#This Row],[ISI/CTN]]," ",AF84," ",AB84," ",AD84," ",AH84))),TRIM(UPPER(CONCATENATE(P84," ",R84," ",T84," ",V84," ",X84," ",Z84," ","X"," ",Table43[[#This Row],[ISI/CTN]]," ",AB84," ",AD84," ",AH84))))</f>
        <v>ABC SAUCE TIRAM 195 ML X 24 BTL</v>
      </c>
      <c r="O84" s="11">
        <f t="shared" si="4"/>
        <v>31</v>
      </c>
      <c r="P84" s="4" t="s">
        <v>28</v>
      </c>
      <c r="Q84" s="7" t="s">
        <v>85</v>
      </c>
      <c r="R84" s="4" t="s">
        <v>533</v>
      </c>
      <c r="S84" s="43" t="s">
        <v>31</v>
      </c>
      <c r="T84" s="44"/>
      <c r="U84" s="7" t="s">
        <v>1</v>
      </c>
      <c r="V84" s="44"/>
      <c r="W84" s="43" t="s">
        <v>1</v>
      </c>
      <c r="X84" s="4" t="s">
        <v>537</v>
      </c>
      <c r="Y84" s="45" t="s">
        <v>31</v>
      </c>
      <c r="Z84" s="4" t="s">
        <v>535</v>
      </c>
      <c r="AA84" s="45" t="s">
        <v>536</v>
      </c>
      <c r="AB84" s="4" t="s">
        <v>486</v>
      </c>
      <c r="AC84" s="7" t="s">
        <v>480</v>
      </c>
      <c r="AE84" s="7" t="s">
        <v>1</v>
      </c>
      <c r="AI84" s="7" t="s">
        <v>214</v>
      </c>
      <c r="AJ84" s="7">
        <v>2</v>
      </c>
      <c r="AL84" s="40">
        <f>Table43[[#This Row],[Harga Jual Pcs GT
(-PPN)]]-(Table43[[#This Row],[Harga Jual Pcs GT
(-PPN)]]*6%)</f>
        <v>14540.445045045042</v>
      </c>
      <c r="AM84" s="41">
        <f>Table43[[#This Row],[Harga Beli Pcs
(-PPN)]]*Table43[[#This Row],[ISI/CTN]]</f>
        <v>348970.68108108104</v>
      </c>
      <c r="AN84" s="41">
        <f>Table43[[#This Row],[Harga Beli Pcs
(-PPN)]]*1.11</f>
        <v>16139.893999999998</v>
      </c>
      <c r="AO84" s="41">
        <f>Table43[[#This Row],[Harga Beli Krt
(- PPN)]]*1.11</f>
        <v>387357.45600000001</v>
      </c>
      <c r="AP84" s="41">
        <v>15468.558558558556</v>
      </c>
      <c r="AQ84" s="41">
        <f>Table43[[#This Row],[Harga Jual Pcs GT
(-PPN)]]*Table43[[#This Row],[ISI/CTN]]</f>
        <v>371245.40540540533</v>
      </c>
      <c r="AR84" s="41">
        <f>Table43[[#This Row],[Harga Jual Pcs GT
(-PPN)]]*1.11</f>
        <v>17170.099999999999</v>
      </c>
      <c r="AS84" s="41">
        <f>Table43[[#This Row],[Harga Jual Krt GT
(- PPN)]]*1.11</f>
        <v>412082.39999999997</v>
      </c>
      <c r="AT84" s="41">
        <v>16706.043243243243</v>
      </c>
      <c r="AU84" s="41">
        <f>(Table43[[#This Row],[Harga Jual Pcs MT
(-PPN)]]*Table43[[#This Row],[ISI/CTN]])</f>
        <v>400945.03783783782</v>
      </c>
      <c r="AV84" s="41">
        <f>Table43[[#This Row],[Harga Jual Pcs MT
(-PPN)]]*1.11</f>
        <v>18543.708000000002</v>
      </c>
      <c r="AW84" s="41">
        <f>Table43[[#This Row],[Harga Jual Pcs MT
(+PPN)]]*Table43[[#This Row],[ISI/CTN]]</f>
        <v>445048.99200000009</v>
      </c>
      <c r="AX84" s="41"/>
      <c r="AY84" s="46">
        <v>45553</v>
      </c>
      <c r="AZ84" s="54">
        <v>45839</v>
      </c>
      <c r="BA84" s="7" t="str">
        <f ca="1">IF(TODAY()-Table43[[#This Row],[Efektif
Pembuatan]]&gt;60,"Lama","Baru")</f>
        <v>Lama</v>
      </c>
      <c r="BB84" s="7" t="str">
        <f ca="1">IF(TODAY()-Table43[[#This Row],[Efektif Naik Harga]]&lt;30,"Naik","Sama")</f>
        <v>Sama</v>
      </c>
      <c r="BC84" s="7" t="s">
        <v>235</v>
      </c>
      <c r="BD84" s="7" t="str">
        <f>IF(Table43[[#This Row],[Kode BARANG Win2]]&lt;&gt;"","IDR","")</f>
        <v>IDR</v>
      </c>
      <c r="BE84" s="7" t="str">
        <f>CONCATENATE(Table43[[#This Row],[kode  1 Digit
(Nomor)]],Table43[[#This Row],[kode  4 Digit                (Nomor)]])</f>
        <v>20195</v>
      </c>
      <c r="BF84" s="7" t="str">
        <f>Table43[[#This Row],[Nama            Gramasi atau Jumlah Pack per CTN]]</f>
        <v>195 ML</v>
      </c>
      <c r="BG84" s="7" t="s">
        <v>653</v>
      </c>
      <c r="BH84" s="51" t="s">
        <v>654</v>
      </c>
      <c r="BI84" s="4" t="str">
        <f>IF(Table43[[#This Row],[SATUAN Fix Win]]&lt;&gt;"","KRT")</f>
        <v>KRT</v>
      </c>
      <c r="BJ84" s="4" t="str">
        <f>IF(Table43[[#This Row],[SATUAN Fix Win]]&lt;&gt;"","GD01")</f>
        <v>GD01</v>
      </c>
      <c r="BK84" s="4">
        <f>IF(Table43[[#This Row],[SATUAN Fix Win]]&lt;&gt;"",11611)</f>
        <v>11611</v>
      </c>
      <c r="BL84" s="4">
        <f>IF(Table43[[#This Row],[SATUAN Fix Win]]&lt;&gt;"",11612)</f>
        <v>11612</v>
      </c>
      <c r="BM84" s="47" t="s">
        <v>655</v>
      </c>
      <c r="BN84" s="4">
        <f>IF(Table43[[#This Row],[SATUAN Fix Win]]&lt;&gt;"",1)</f>
        <v>1</v>
      </c>
      <c r="BO84" s="4" t="s">
        <v>656</v>
      </c>
      <c r="BP84" s="4">
        <f>IFERROR(VLOOKUP(Table43[[#This Row],[Kode Pcpl]],'[1]HEINZ ABC'!$A$4:$E$112,8,0),0)</f>
        <v>0</v>
      </c>
      <c r="BQ84" s="55">
        <f>Table43[[#This Row],[Harga Jual Pcs GT
(-PPN)]]-Table43[[#This Row],[HARGA NAIK GT]]</f>
        <v>15468.558558558556</v>
      </c>
      <c r="BR84" s="4">
        <f>IF(Table43[[#This Row],[HARGA NAIK GT]]=0,Table43[[#This Row],[Harga Jual Pcs GT
(-PPN)]],Table43[[#This Row],[HARGA NAIK GT]])</f>
        <v>15468.558558558556</v>
      </c>
      <c r="BS84">
        <f>IFERROR(VLOOKUP(Table43[[#This Row],[Kode Pcpl]],'[1]HEINZ ABC'!$A$4:$E$112,8,0),0)</f>
        <v>0</v>
      </c>
      <c r="BT84" s="58">
        <f>Table43[[#This Row],[Harga Jual Pcs GT
(-PPN)]]-BS84</f>
        <v>15468.558558558556</v>
      </c>
      <c r="BU84">
        <f>IF(BS84=0,Table43[[#This Row],[Harga Jual Pcs MT
(-PPN)]])</f>
        <v>16706.043243243243</v>
      </c>
      <c r="BV84">
        <f>IFERROR(VLOOKUP(Table43[[#This Row],[Kode Pcpl]],[2]Pricelist!$A$4:$K$112,11,0),0)</f>
        <v>18543.708000000002</v>
      </c>
      <c r="BW84">
        <f>IFERROR(VLOOKUP(Table43[[#This Row],[Kode BARANG Win2]],[3]!RECKITT211216[[KDBRG]:[HRG_JL_PCS-PPN]],11,0),0)</f>
        <v>0</v>
      </c>
      <c r="BX84">
        <f t="shared" si="5"/>
        <v>16706.043243243243</v>
      </c>
    </row>
    <row r="85" spans="1:76" x14ac:dyDescent="0.25">
      <c r="A85" s="4" t="str">
        <f>CONCATENATE(Table43[[#This Row],[Kode BARANG Win2]],Table43[[#This Row],[No. Urut
Item Sama]])</f>
        <v>A10200020195102</v>
      </c>
      <c r="B85" s="7">
        <v>2</v>
      </c>
      <c r="C85" s="4">
        <v>72</v>
      </c>
      <c r="D85" s="27">
        <v>120038</v>
      </c>
      <c r="E85" s="27" t="s">
        <v>291</v>
      </c>
      <c r="F85" s="27" t="s">
        <v>296</v>
      </c>
      <c r="G85" s="27">
        <v>24</v>
      </c>
      <c r="H85" s="42" t="s">
        <v>2894</v>
      </c>
      <c r="I85" s="27" t="str">
        <f>Table43[[#This Row],[Nama Jenis Kemasan]]</f>
        <v>BTL</v>
      </c>
      <c r="J85" s="4" t="str">
        <f>TRIM(CONCATENATE(Table43[[#This Row],[Nama            KLP]]," ",Table43[[#This Row],[Nama            Sub KLP]]))</f>
        <v>SAUCE</v>
      </c>
      <c r="K85" s="4" t="str">
        <f>CONCATENATE(Table43[[#This Row],[kode  2 Digit                (hrf+No)]],Table43[[#This Row],[kode  2 Digit                (Nomor)]],Table43[[#This Row],[kode  1 Digit                (Nomor)]])</f>
        <v>A1020</v>
      </c>
      <c r="L85" s="4" t="str">
        <f>IF(AG85="",CONCATENATE(Q85,S85,U85,W85,Y85,AA85,AC85,AE85,Table43[[#This Row],[Tanda Kode Revisi]]),CONCATENATE(Q85,S85,U85,W85,Y85,AA85,AC85,AG85))</f>
        <v>A1020002019510</v>
      </c>
      <c r="M85" s="11">
        <f t="shared" si="3"/>
        <v>14</v>
      </c>
      <c r="N85" s="14" t="str">
        <f>IF(AF85&lt;&gt;"",TRIM(UPPER(CONCATENATE(P85," ",R85," ",T85," ",V85," ",X85," ",Z85," ","X"," ",Table43[[#This Row],[ISI/CTN]]," ",AF85," ",AB85," ",AD85," ",AH85))),TRIM(UPPER(CONCATENATE(P85," ",R85," ",T85," ",V85," ",X85," ",Z85," ","X"," ",Table43[[#This Row],[ISI/CTN]]," ",AB85," ",AD85," ",AH85))))</f>
        <v>ABC SAUCE TIRAM 195 ML X 24 BTL</v>
      </c>
      <c r="O85" s="11">
        <f t="shared" si="4"/>
        <v>31</v>
      </c>
      <c r="P85" s="4" t="s">
        <v>28</v>
      </c>
      <c r="Q85" s="7" t="s">
        <v>85</v>
      </c>
      <c r="R85" s="4" t="s">
        <v>533</v>
      </c>
      <c r="S85" s="43" t="s">
        <v>31</v>
      </c>
      <c r="T85" s="44"/>
      <c r="U85" s="7" t="s">
        <v>1</v>
      </c>
      <c r="V85" s="44"/>
      <c r="W85" s="43" t="s">
        <v>1</v>
      </c>
      <c r="X85" s="4" t="s">
        <v>537</v>
      </c>
      <c r="Y85" s="45" t="s">
        <v>31</v>
      </c>
      <c r="Z85" s="4" t="s">
        <v>535</v>
      </c>
      <c r="AA85" s="45" t="s">
        <v>536</v>
      </c>
      <c r="AB85" s="4" t="s">
        <v>486</v>
      </c>
      <c r="AC85" s="7" t="s">
        <v>480</v>
      </c>
      <c r="AE85" s="7" t="s">
        <v>1</v>
      </c>
      <c r="AI85" s="7" t="s">
        <v>214</v>
      </c>
      <c r="AJ85" s="7">
        <v>2</v>
      </c>
      <c r="AL85" s="40">
        <f>Table43[[#This Row],[Harga Jual Pcs GT
(-PPN)]]-(Table43[[#This Row],[Harga Jual Pcs GT
(-PPN)]]*6%)</f>
        <v>14540.445045045042</v>
      </c>
      <c r="AM85" s="41">
        <f>Table43[[#This Row],[Harga Beli Pcs
(-PPN)]]*Table43[[#This Row],[ISI/CTN]]</f>
        <v>348970.68108108104</v>
      </c>
      <c r="AN85" s="41">
        <f>Table43[[#This Row],[Harga Beli Pcs
(-PPN)]]*1.11</f>
        <v>16139.893999999998</v>
      </c>
      <c r="AO85" s="41">
        <f>Table43[[#This Row],[Harga Beli Krt
(- PPN)]]*1.11</f>
        <v>387357.45600000001</v>
      </c>
      <c r="AP85" s="41">
        <v>15468.558558558556</v>
      </c>
      <c r="AQ85" s="41">
        <f>Table43[[#This Row],[Harga Jual Pcs GT
(-PPN)]]*Table43[[#This Row],[ISI/CTN]]</f>
        <v>371245.40540540533</v>
      </c>
      <c r="AR85" s="41">
        <f>Table43[[#This Row],[Harga Jual Pcs GT
(-PPN)]]*1.11</f>
        <v>17170.099999999999</v>
      </c>
      <c r="AS85" s="41">
        <f>Table43[[#This Row],[Harga Jual Krt GT
(- PPN)]]*1.11</f>
        <v>412082.39999999997</v>
      </c>
      <c r="AT85" s="41">
        <v>16706.043243243243</v>
      </c>
      <c r="AU85" s="41">
        <f>(Table43[[#This Row],[Harga Jual Pcs MT
(-PPN)]]*Table43[[#This Row],[ISI/CTN]])</f>
        <v>400945.03783783782</v>
      </c>
      <c r="AV85" s="41">
        <f>Table43[[#This Row],[Harga Jual Pcs MT
(-PPN)]]*1.11</f>
        <v>18543.708000000002</v>
      </c>
      <c r="AW85" s="41">
        <f>Table43[[#This Row],[Harga Jual Pcs MT
(+PPN)]]*Table43[[#This Row],[ISI/CTN]]</f>
        <v>445048.99200000009</v>
      </c>
      <c r="AX85" s="41"/>
      <c r="AY85" s="46">
        <v>45716</v>
      </c>
      <c r="AZ85" s="54">
        <v>45839</v>
      </c>
      <c r="BA85" s="7" t="str">
        <f ca="1">IF(TODAY()-Table43[[#This Row],[Efektif
Pembuatan]]&gt;60,"Lama","Baru")</f>
        <v>Lama</v>
      </c>
      <c r="BB85" s="7" t="str">
        <f ca="1">IF(TODAY()-Table43[[#This Row],[Efektif Naik Harga]]&lt;30,"Naik","Sama")</f>
        <v>Sama</v>
      </c>
      <c r="BC85" s="7" t="s">
        <v>235</v>
      </c>
      <c r="BD85" s="7" t="str">
        <f>IF(Table43[[#This Row],[Kode BARANG Win2]]&lt;&gt;"","IDR","")</f>
        <v>IDR</v>
      </c>
      <c r="BE85" s="7" t="str">
        <f>CONCATENATE(Table43[[#This Row],[kode  1 Digit
(Nomor)]],Table43[[#This Row],[kode  4 Digit                (Nomor)]])</f>
        <v>20195</v>
      </c>
      <c r="BF85" s="7" t="str">
        <f>Table43[[#This Row],[Nama            Gramasi atau Jumlah Pack per CTN]]</f>
        <v>195 ML</v>
      </c>
      <c r="BG85" s="7" t="s">
        <v>653</v>
      </c>
      <c r="BH85" s="51" t="s">
        <v>654</v>
      </c>
      <c r="BI85" s="4" t="str">
        <f>IF(Table43[[#This Row],[SATUAN Fix Win]]&lt;&gt;"","KRT")</f>
        <v>KRT</v>
      </c>
      <c r="BJ85" s="4" t="str">
        <f>IF(Table43[[#This Row],[SATUAN Fix Win]]&lt;&gt;"","GD01")</f>
        <v>GD01</v>
      </c>
      <c r="BK85" s="4">
        <f>IF(Table43[[#This Row],[SATUAN Fix Win]]&lt;&gt;"",11611)</f>
        <v>11611</v>
      </c>
      <c r="BL85" s="4">
        <f>IF(Table43[[#This Row],[SATUAN Fix Win]]&lt;&gt;"",11612)</f>
        <v>11612</v>
      </c>
      <c r="BM85" s="47" t="s">
        <v>655</v>
      </c>
      <c r="BN85" s="4">
        <f>IF(Table43[[#This Row],[SATUAN Fix Win]]&lt;&gt;"",1)</f>
        <v>1</v>
      </c>
      <c r="BO85" s="4" t="s">
        <v>656</v>
      </c>
      <c r="BP85" s="4">
        <f>IFERROR(VLOOKUP(Table43[[#This Row],[Kode Pcpl]],'[1]HEINZ ABC'!$A$4:$E$112,8,0),0)</f>
        <v>0</v>
      </c>
      <c r="BQ85" s="55">
        <f>Table43[[#This Row],[Harga Jual Pcs GT
(-PPN)]]-Table43[[#This Row],[HARGA NAIK GT]]</f>
        <v>15468.558558558556</v>
      </c>
      <c r="BR85" s="4">
        <f>IF(Table43[[#This Row],[HARGA NAIK GT]]=0,Table43[[#This Row],[Harga Jual Pcs GT
(-PPN)]],Table43[[#This Row],[HARGA NAIK GT]])</f>
        <v>15468.558558558556</v>
      </c>
      <c r="BS85">
        <f>IFERROR(VLOOKUP(Table43[[#This Row],[Kode Pcpl]],'[1]HEINZ ABC'!$A$4:$E$112,8,0),0)</f>
        <v>0</v>
      </c>
      <c r="BT85" s="58">
        <f>Table43[[#This Row],[Harga Jual Pcs GT
(-PPN)]]-BS85</f>
        <v>15468.558558558556</v>
      </c>
      <c r="BU85">
        <f>IF(BS85=0,Table43[[#This Row],[Harga Jual Pcs MT
(-PPN)]])</f>
        <v>16706.043243243243</v>
      </c>
      <c r="BV85">
        <f>IFERROR(VLOOKUP(Table43[[#This Row],[Kode Pcpl]],[2]Pricelist!$A$4:$K$112,11,0),0)</f>
        <v>18543.708000000002</v>
      </c>
      <c r="BW85">
        <f>IFERROR(VLOOKUP(Table43[[#This Row],[Kode BARANG Win2]],[3]!RECKITT211216[[KDBRG]:[HRG_JL_PCS-PPN]],11,0),0)</f>
        <v>0</v>
      </c>
      <c r="BX85">
        <f t="shared" si="5"/>
        <v>16706.043243243243</v>
      </c>
    </row>
    <row r="86" spans="1:76" x14ac:dyDescent="0.25">
      <c r="A86" s="4" t="str">
        <f>CONCATENATE(Table43[[#This Row],[Kode BARANG Win2]],Table43[[#This Row],[No. Urut
Item Sama]])</f>
        <v>A10200020420101</v>
      </c>
      <c r="B86" s="7">
        <v>1</v>
      </c>
      <c r="C86" s="4">
        <v>73</v>
      </c>
      <c r="D86" s="27">
        <v>120031</v>
      </c>
      <c r="E86" s="27" t="s">
        <v>291</v>
      </c>
      <c r="F86" s="27" t="s">
        <v>297</v>
      </c>
      <c r="G86" s="27">
        <v>24</v>
      </c>
      <c r="H86" s="42" t="s">
        <v>2903</v>
      </c>
      <c r="I86" s="27" t="str">
        <f>Table43[[#This Row],[Nama Jenis Kemasan]]</f>
        <v>BTL</v>
      </c>
      <c r="J86" s="4" t="str">
        <f>TRIM(CONCATENATE(Table43[[#This Row],[Nama            KLP]]," ",Table43[[#This Row],[Nama            Sub KLP]]))</f>
        <v>SAUCE</v>
      </c>
      <c r="K86" s="4" t="str">
        <f>CONCATENATE(Table43[[#This Row],[kode  2 Digit                (hrf+No)]],Table43[[#This Row],[kode  2 Digit                (Nomor)]],Table43[[#This Row],[kode  1 Digit                (Nomor)]])</f>
        <v>A1020</v>
      </c>
      <c r="L86" s="4" t="str">
        <f>IF(AG86="",CONCATENATE(Q86,S86,U86,W86,Y86,AA86,AC86,AE86,Table43[[#This Row],[Tanda Kode Revisi]]),CONCATENATE(Q86,S86,U86,W86,Y86,AA86,AC86,AG86))</f>
        <v>A1020002042010</v>
      </c>
      <c r="M86" s="11">
        <f t="shared" si="3"/>
        <v>14</v>
      </c>
      <c r="N86" s="14" t="str">
        <f>IF(AF86&lt;&gt;"",TRIM(UPPER(CONCATENATE(P86," ",R86," ",T86," ",V86," ",X86," ",Z86," ","X"," ",Table43[[#This Row],[ISI/CTN]]," ",AF86," ",AB86," ",AD86," ",AH86))),TRIM(UPPER(CONCATENATE(P86," ",R86," ",T86," ",V86," ",X86," ",Z86," ","X"," ",Table43[[#This Row],[ISI/CTN]]," ",AB86," ",AD86," ",AH86))))</f>
        <v>ABC SAUCE TIRAM 420 ML X 24 BTL</v>
      </c>
      <c r="O86" s="11">
        <f t="shared" si="4"/>
        <v>31</v>
      </c>
      <c r="P86" s="4" t="s">
        <v>28</v>
      </c>
      <c r="Q86" s="7" t="s">
        <v>85</v>
      </c>
      <c r="R86" s="4" t="s">
        <v>533</v>
      </c>
      <c r="S86" s="43" t="s">
        <v>31</v>
      </c>
      <c r="T86" s="44"/>
      <c r="U86" s="7" t="s">
        <v>1</v>
      </c>
      <c r="V86" s="44"/>
      <c r="W86" s="43" t="s">
        <v>1</v>
      </c>
      <c r="X86" s="4" t="s">
        <v>537</v>
      </c>
      <c r="Y86" s="45" t="s">
        <v>31</v>
      </c>
      <c r="Z86" s="4" t="s">
        <v>538</v>
      </c>
      <c r="AA86" s="45" t="s">
        <v>539</v>
      </c>
      <c r="AB86" s="4" t="s">
        <v>486</v>
      </c>
      <c r="AC86" s="7" t="s">
        <v>480</v>
      </c>
      <c r="AE86" s="7" t="s">
        <v>1</v>
      </c>
      <c r="AI86" s="7" t="s">
        <v>214</v>
      </c>
      <c r="AJ86" s="7">
        <v>2</v>
      </c>
      <c r="AL86" s="40">
        <f>Table43[[#This Row],[Harga Jual Pcs GT
(-PPN)]]-(Table43[[#This Row],[Harga Jual Pcs GT
(-PPN)]]*6%)</f>
        <v>30275.875675675674</v>
      </c>
      <c r="AM86" s="41">
        <f>Table43[[#This Row],[Harga Beli Pcs
(-PPN)]]*Table43[[#This Row],[ISI/CTN]]</f>
        <v>726621.01621621614</v>
      </c>
      <c r="AN86" s="41">
        <f>Table43[[#This Row],[Harga Beli Pcs
(-PPN)]]*1.11</f>
        <v>33606.222000000002</v>
      </c>
      <c r="AO86" s="41">
        <f>Table43[[#This Row],[Harga Beli Krt
(- PPN)]]*1.11</f>
        <v>806549.32799999998</v>
      </c>
      <c r="AP86" s="41">
        <v>32208.378378378377</v>
      </c>
      <c r="AQ86" s="41">
        <f>Table43[[#This Row],[Harga Jual Pcs GT
(-PPN)]]*Table43[[#This Row],[ISI/CTN]]</f>
        <v>773001.08108108107</v>
      </c>
      <c r="AR86" s="41">
        <f>Table43[[#This Row],[Harga Jual Pcs GT
(-PPN)]]*1.11</f>
        <v>35751.300000000003</v>
      </c>
      <c r="AS86" s="41">
        <f>Table43[[#This Row],[Harga Jual Krt GT
(- PPN)]]*1.11</f>
        <v>858031.20000000007</v>
      </c>
      <c r="AT86" s="41">
        <v>34785.048648648648</v>
      </c>
      <c r="AU86" s="41">
        <f>(Table43[[#This Row],[Harga Jual Pcs MT
(-PPN)]]*Table43[[#This Row],[ISI/CTN]])</f>
        <v>834841.16756756755</v>
      </c>
      <c r="AV86" s="41">
        <f>Table43[[#This Row],[Harga Jual Pcs MT
(-PPN)]]*1.11</f>
        <v>38611.404000000002</v>
      </c>
      <c r="AW86" s="41">
        <f>Table43[[#This Row],[Harga Jual Pcs MT
(+PPN)]]*Table43[[#This Row],[ISI/CTN]]</f>
        <v>926673.696</v>
      </c>
      <c r="AX86" s="41"/>
      <c r="AY86" s="46">
        <v>45553</v>
      </c>
      <c r="AZ86" s="54">
        <v>45839</v>
      </c>
      <c r="BA86" s="7" t="str">
        <f ca="1">IF(TODAY()-Table43[[#This Row],[Efektif
Pembuatan]]&gt;60,"Lama","Baru")</f>
        <v>Lama</v>
      </c>
      <c r="BB86" s="7" t="str">
        <f ca="1">IF(TODAY()-Table43[[#This Row],[Efektif Naik Harga]]&lt;30,"Naik","Sama")</f>
        <v>Sama</v>
      </c>
      <c r="BC86" s="7" t="s">
        <v>235</v>
      </c>
      <c r="BD86" s="7" t="str">
        <f>IF(Table43[[#This Row],[Kode BARANG Win2]]&lt;&gt;"","IDR","")</f>
        <v>IDR</v>
      </c>
      <c r="BE86" s="7" t="str">
        <f>CONCATENATE(Table43[[#This Row],[kode  1 Digit
(Nomor)]],Table43[[#This Row],[kode  4 Digit                (Nomor)]])</f>
        <v>20420</v>
      </c>
      <c r="BF86" s="7" t="str">
        <f>Table43[[#This Row],[Nama            Gramasi atau Jumlah Pack per CTN]]</f>
        <v>420 ML</v>
      </c>
      <c r="BG86" s="7" t="s">
        <v>653</v>
      </c>
      <c r="BH86" s="51" t="s">
        <v>654</v>
      </c>
      <c r="BI86" s="4" t="str">
        <f>IF(Table43[[#This Row],[SATUAN Fix Win]]&lt;&gt;"","KRT")</f>
        <v>KRT</v>
      </c>
      <c r="BJ86" s="4" t="str">
        <f>IF(Table43[[#This Row],[SATUAN Fix Win]]&lt;&gt;"","GD01")</f>
        <v>GD01</v>
      </c>
      <c r="BK86" s="4">
        <f>IF(Table43[[#This Row],[SATUAN Fix Win]]&lt;&gt;"",11611)</f>
        <v>11611</v>
      </c>
      <c r="BL86" s="4">
        <f>IF(Table43[[#This Row],[SATUAN Fix Win]]&lt;&gt;"",11612)</f>
        <v>11612</v>
      </c>
      <c r="BM86" s="47" t="s">
        <v>655</v>
      </c>
      <c r="BN86" s="4">
        <f>IF(Table43[[#This Row],[SATUAN Fix Win]]&lt;&gt;"",1)</f>
        <v>1</v>
      </c>
      <c r="BO86" s="4" t="s">
        <v>656</v>
      </c>
      <c r="BP86" s="4">
        <f>IFERROR(VLOOKUP(Table43[[#This Row],[Kode Pcpl]],'[1]HEINZ ABC'!$A$4:$E$112,8,0),0)</f>
        <v>0</v>
      </c>
      <c r="BQ86" s="55">
        <f>Table43[[#This Row],[Harga Jual Pcs GT
(-PPN)]]-Table43[[#This Row],[HARGA NAIK GT]]</f>
        <v>32208.378378378377</v>
      </c>
      <c r="BR86" s="4">
        <f>IF(Table43[[#This Row],[HARGA NAIK GT]]=0,Table43[[#This Row],[Harga Jual Pcs GT
(-PPN)]],Table43[[#This Row],[HARGA NAIK GT]])</f>
        <v>32208.378378378377</v>
      </c>
      <c r="BS86">
        <f>IFERROR(VLOOKUP(Table43[[#This Row],[Kode Pcpl]],'[1]HEINZ ABC'!$A$4:$E$112,8,0),0)</f>
        <v>0</v>
      </c>
      <c r="BT86" s="58">
        <f>Table43[[#This Row],[Harga Jual Pcs GT
(-PPN)]]-BS86</f>
        <v>32208.378378378377</v>
      </c>
      <c r="BU86">
        <f>IF(BS86=0,Table43[[#This Row],[Harga Jual Pcs MT
(-PPN)]])</f>
        <v>34785.048648648648</v>
      </c>
      <c r="BV86">
        <f>IFERROR(VLOOKUP(Table43[[#This Row],[Kode Pcpl]],[2]Pricelist!$A$4:$K$112,11,0),0)</f>
        <v>38611.404000000002</v>
      </c>
      <c r="BW86">
        <f>IFERROR(VLOOKUP(Table43[[#This Row],[Kode BARANG Win2]],[3]!RECKITT211216[[KDBRG]:[HRG_JL_PCS-PPN]],11,0),0)</f>
        <v>0</v>
      </c>
      <c r="BX86">
        <f t="shared" si="5"/>
        <v>34785.048648648648</v>
      </c>
    </row>
    <row r="87" spans="1:76" x14ac:dyDescent="0.25">
      <c r="A87" s="4" t="str">
        <f>CONCATENATE(Table43[[#This Row],[Kode BARANG Win2]],Table43[[#This Row],[No. Urut
Item Sama]])</f>
        <v>A10200020420102</v>
      </c>
      <c r="B87" s="7">
        <v>2</v>
      </c>
      <c r="C87" s="4">
        <v>74</v>
      </c>
      <c r="D87" s="27">
        <v>120033</v>
      </c>
      <c r="E87" s="27" t="s">
        <v>291</v>
      </c>
      <c r="F87" s="27" t="s">
        <v>298</v>
      </c>
      <c r="G87" s="27">
        <v>24</v>
      </c>
      <c r="H87" s="42">
        <v>0</v>
      </c>
      <c r="I87" s="27" t="str">
        <f>Table43[[#This Row],[Nama Jenis Kemasan]]</f>
        <v>BTL</v>
      </c>
      <c r="J87" s="4" t="str">
        <f>TRIM(CONCATENATE(Table43[[#This Row],[Nama            KLP]]," ",Table43[[#This Row],[Nama            Sub KLP]]))</f>
        <v>SAUCE</v>
      </c>
      <c r="K87" s="4" t="str">
        <f>CONCATENATE(Table43[[#This Row],[kode  2 Digit                (hrf+No)]],Table43[[#This Row],[kode  2 Digit                (Nomor)]],Table43[[#This Row],[kode  1 Digit                (Nomor)]])</f>
        <v>A1020</v>
      </c>
      <c r="L87" s="4" t="str">
        <f>IF(AG87="",CONCATENATE(Q87,S87,U87,W87,Y87,AA87,AC87,AE87,Table43[[#This Row],[Tanda Kode Revisi]]),CONCATENATE(Q87,S87,U87,W87,Y87,AA87,AC87,AG87))</f>
        <v>A1020002042010</v>
      </c>
      <c r="M87" s="11">
        <f t="shared" si="3"/>
        <v>14</v>
      </c>
      <c r="N87" s="14" t="str">
        <f>IF(AF87&lt;&gt;"",TRIM(UPPER(CONCATENATE(P87," ",R87," ",T87," ",V87," ",X87," ",Z87," ","X"," ",Table43[[#This Row],[ISI/CTN]]," ",AF87," ",AB87," ",AD87," ",AH87))),TRIM(UPPER(CONCATENATE(P87," ",R87," ",T87," ",V87," ",X87," ",Z87," ","X"," ",Table43[[#This Row],[ISI/CTN]]," ",AB87," ",AD87," ",AH87))))</f>
        <v>ABC SAUCE TIRAM 420 ML X 24 BTL</v>
      </c>
      <c r="O87" s="11">
        <f t="shared" si="4"/>
        <v>31</v>
      </c>
      <c r="P87" s="4" t="s">
        <v>28</v>
      </c>
      <c r="Q87" s="7" t="s">
        <v>85</v>
      </c>
      <c r="R87" s="4" t="s">
        <v>533</v>
      </c>
      <c r="S87" s="43" t="s">
        <v>31</v>
      </c>
      <c r="T87" s="44"/>
      <c r="U87" s="7" t="s">
        <v>1</v>
      </c>
      <c r="V87" s="44"/>
      <c r="W87" s="43" t="s">
        <v>1</v>
      </c>
      <c r="X87" s="4" t="s">
        <v>537</v>
      </c>
      <c r="Y87" s="45" t="s">
        <v>31</v>
      </c>
      <c r="Z87" s="4" t="s">
        <v>538</v>
      </c>
      <c r="AA87" s="45" t="s">
        <v>539</v>
      </c>
      <c r="AB87" s="4" t="s">
        <v>486</v>
      </c>
      <c r="AC87" s="7" t="s">
        <v>480</v>
      </c>
      <c r="AE87" s="7" t="s">
        <v>1</v>
      </c>
      <c r="AI87" s="7" t="s">
        <v>214</v>
      </c>
      <c r="AJ87" s="7">
        <v>2</v>
      </c>
      <c r="AL87" s="40">
        <f>Table43[[#This Row],[Harga Jual Pcs GT
(-PPN)]]-(Table43[[#This Row],[Harga Jual Pcs GT
(-PPN)]]*6%)</f>
        <v>30275.875675675674</v>
      </c>
      <c r="AM87" s="41">
        <f>Table43[[#This Row],[Harga Beli Pcs
(-PPN)]]*Table43[[#This Row],[ISI/CTN]]</f>
        <v>726621.01621621614</v>
      </c>
      <c r="AN87" s="41">
        <f>Table43[[#This Row],[Harga Beli Pcs
(-PPN)]]*1.11</f>
        <v>33606.222000000002</v>
      </c>
      <c r="AO87" s="41">
        <f>Table43[[#This Row],[Harga Beli Krt
(- PPN)]]*1.11</f>
        <v>806549.32799999998</v>
      </c>
      <c r="AP87" s="41">
        <v>32208.378378378377</v>
      </c>
      <c r="AQ87" s="41">
        <f>Table43[[#This Row],[Harga Jual Pcs GT
(-PPN)]]*Table43[[#This Row],[ISI/CTN]]</f>
        <v>773001.08108108107</v>
      </c>
      <c r="AR87" s="41">
        <f>Table43[[#This Row],[Harga Jual Pcs GT
(-PPN)]]*1.11</f>
        <v>35751.300000000003</v>
      </c>
      <c r="AS87" s="41">
        <f>Table43[[#This Row],[Harga Jual Krt GT
(- PPN)]]*1.11</f>
        <v>858031.20000000007</v>
      </c>
      <c r="AT87" s="41">
        <v>34785.048648648648</v>
      </c>
      <c r="AU87" s="41">
        <f>(Table43[[#This Row],[Harga Jual Pcs MT
(-PPN)]]*Table43[[#This Row],[ISI/CTN]])</f>
        <v>834841.16756756755</v>
      </c>
      <c r="AV87" s="41">
        <f>Table43[[#This Row],[Harga Jual Pcs MT
(-PPN)]]*1.11</f>
        <v>38611.404000000002</v>
      </c>
      <c r="AW87" s="41">
        <f>Table43[[#This Row],[Harga Jual Pcs MT
(+PPN)]]*Table43[[#This Row],[ISI/CTN]]</f>
        <v>926673.696</v>
      </c>
      <c r="AX87" s="41"/>
      <c r="AY87" s="46">
        <v>45553</v>
      </c>
      <c r="AZ87" s="54">
        <v>45839</v>
      </c>
      <c r="BA87" s="7" t="str">
        <f ca="1">IF(TODAY()-Table43[[#This Row],[Efektif
Pembuatan]]&gt;60,"Lama","Baru")</f>
        <v>Lama</v>
      </c>
      <c r="BB87" s="7" t="str">
        <f ca="1">IF(TODAY()-Table43[[#This Row],[Efektif Naik Harga]]&lt;30,"Naik","Sama")</f>
        <v>Sama</v>
      </c>
      <c r="BC87" s="7" t="s">
        <v>235</v>
      </c>
      <c r="BD87" s="7" t="str">
        <f>IF(Table43[[#This Row],[Kode BARANG Win2]]&lt;&gt;"","IDR","")</f>
        <v>IDR</v>
      </c>
      <c r="BE87" s="7" t="str">
        <f>CONCATENATE(Table43[[#This Row],[kode  1 Digit
(Nomor)]],Table43[[#This Row],[kode  4 Digit                (Nomor)]])</f>
        <v>20420</v>
      </c>
      <c r="BF87" s="7" t="str">
        <f>Table43[[#This Row],[Nama            Gramasi atau Jumlah Pack per CTN]]</f>
        <v>420 ML</v>
      </c>
      <c r="BG87" s="7" t="s">
        <v>653</v>
      </c>
      <c r="BH87" s="51" t="s">
        <v>654</v>
      </c>
      <c r="BI87" s="4" t="str">
        <f>IF(Table43[[#This Row],[SATUAN Fix Win]]&lt;&gt;"","KRT")</f>
        <v>KRT</v>
      </c>
      <c r="BJ87" s="4" t="str">
        <f>IF(Table43[[#This Row],[SATUAN Fix Win]]&lt;&gt;"","GD01")</f>
        <v>GD01</v>
      </c>
      <c r="BK87" s="4">
        <f>IF(Table43[[#This Row],[SATUAN Fix Win]]&lt;&gt;"",11611)</f>
        <v>11611</v>
      </c>
      <c r="BL87" s="4">
        <f>IF(Table43[[#This Row],[SATUAN Fix Win]]&lt;&gt;"",11612)</f>
        <v>11612</v>
      </c>
      <c r="BM87" s="47" t="s">
        <v>655</v>
      </c>
      <c r="BN87" s="4">
        <f>IF(Table43[[#This Row],[SATUAN Fix Win]]&lt;&gt;"",1)</f>
        <v>1</v>
      </c>
      <c r="BO87" s="4" t="s">
        <v>656</v>
      </c>
      <c r="BP87" s="4">
        <f>IFERROR(VLOOKUP(Table43[[#This Row],[Kode Pcpl]],'[1]HEINZ ABC'!$A$4:$E$112,8,0),0)</f>
        <v>0</v>
      </c>
      <c r="BQ87" s="55">
        <f>Table43[[#This Row],[Harga Jual Pcs GT
(-PPN)]]-Table43[[#This Row],[HARGA NAIK GT]]</f>
        <v>32208.378378378377</v>
      </c>
      <c r="BR87" s="4">
        <f>IF(Table43[[#This Row],[HARGA NAIK GT]]=0,Table43[[#This Row],[Harga Jual Pcs GT
(-PPN)]],Table43[[#This Row],[HARGA NAIK GT]])</f>
        <v>32208.378378378377</v>
      </c>
      <c r="BS87">
        <f>IFERROR(VLOOKUP(Table43[[#This Row],[Kode Pcpl]],'[1]HEINZ ABC'!$A$4:$E$112,8,0),0)</f>
        <v>0</v>
      </c>
      <c r="BT87" s="58">
        <f>Table43[[#This Row],[Harga Jual Pcs GT
(-PPN)]]-BS87</f>
        <v>32208.378378378377</v>
      </c>
      <c r="BU87">
        <f>IF(BS87=0,Table43[[#This Row],[Harga Jual Pcs MT
(-PPN)]])</f>
        <v>34785.048648648648</v>
      </c>
      <c r="BV87">
        <f>IFERROR(VLOOKUP(Table43[[#This Row],[Kode Pcpl]],[2]Pricelist!$A$4:$K$112,11,0),0)</f>
        <v>38611.404000000002</v>
      </c>
      <c r="BW87">
        <f>IFERROR(VLOOKUP(Table43[[#This Row],[Kode BARANG Win2]],[3]!RECKITT211216[[KDBRG]:[HRG_JL_PCS-PPN]],11,0),0)</f>
        <v>0</v>
      </c>
      <c r="BX87">
        <f t="shared" si="5"/>
        <v>34785.048648648648</v>
      </c>
    </row>
    <row r="88" spans="1:76" x14ac:dyDescent="0.25">
      <c r="A88" s="4" t="str">
        <f>CONCATENATE(Table43[[#This Row],[Kode BARANG Win2]],Table43[[#This Row],[No. Urut
Item Sama]])</f>
        <v>A10200020420103</v>
      </c>
      <c r="B88" s="7">
        <v>3</v>
      </c>
      <c r="C88" s="4">
        <v>75</v>
      </c>
      <c r="D88" s="27">
        <v>120040</v>
      </c>
      <c r="E88" s="27" t="s">
        <v>291</v>
      </c>
      <c r="F88" s="27" t="s">
        <v>298</v>
      </c>
      <c r="G88" s="27">
        <v>24</v>
      </c>
      <c r="H88" s="42" t="s">
        <v>2895</v>
      </c>
      <c r="I88" s="27" t="str">
        <f>Table43[[#This Row],[Nama Jenis Kemasan]]</f>
        <v>BTL</v>
      </c>
      <c r="J88" s="4" t="str">
        <f>TRIM(CONCATENATE(Table43[[#This Row],[Nama            KLP]]," ",Table43[[#This Row],[Nama            Sub KLP]]))</f>
        <v>SAUCE</v>
      </c>
      <c r="K88" s="4" t="str">
        <f>CONCATENATE(Table43[[#This Row],[kode  2 Digit                (hrf+No)]],Table43[[#This Row],[kode  2 Digit                (Nomor)]],Table43[[#This Row],[kode  1 Digit                (Nomor)]])</f>
        <v>A1020</v>
      </c>
      <c r="L88" s="4" t="str">
        <f>IF(AG88="",CONCATENATE(Q88,S88,U88,W88,Y88,AA88,AC88,AE88,Table43[[#This Row],[Tanda Kode Revisi]]),CONCATENATE(Q88,S88,U88,W88,Y88,AA88,AC88,AG88))</f>
        <v>A1020002042010</v>
      </c>
      <c r="M88" s="11">
        <f t="shared" si="3"/>
        <v>14</v>
      </c>
      <c r="N88" s="14" t="str">
        <f>IF(AF88&lt;&gt;"",TRIM(UPPER(CONCATENATE(P88," ",R88," ",T88," ",V88," ",X88," ",Z88," ","X"," ",Table43[[#This Row],[ISI/CTN]]," ",AF88," ",AB88," ",AD88," ",AH88))),TRIM(UPPER(CONCATENATE(P88," ",R88," ",T88," ",V88," ",X88," ",Z88," ","X"," ",Table43[[#This Row],[ISI/CTN]]," ",AB88," ",AD88," ",AH88))))</f>
        <v>ABC SAUCE TIRAM 420 ML X 24 BTL</v>
      </c>
      <c r="O88" s="11">
        <f t="shared" si="4"/>
        <v>31</v>
      </c>
      <c r="P88" s="4" t="s">
        <v>28</v>
      </c>
      <c r="Q88" s="7" t="s">
        <v>85</v>
      </c>
      <c r="R88" s="4" t="s">
        <v>533</v>
      </c>
      <c r="S88" s="43" t="s">
        <v>31</v>
      </c>
      <c r="T88" s="44"/>
      <c r="U88" s="7" t="s">
        <v>1</v>
      </c>
      <c r="V88" s="44"/>
      <c r="W88" s="43" t="s">
        <v>1</v>
      </c>
      <c r="X88" s="4" t="s">
        <v>537</v>
      </c>
      <c r="Y88" s="45" t="s">
        <v>31</v>
      </c>
      <c r="Z88" s="4" t="s">
        <v>538</v>
      </c>
      <c r="AA88" s="45" t="s">
        <v>539</v>
      </c>
      <c r="AB88" s="4" t="s">
        <v>486</v>
      </c>
      <c r="AC88" s="7" t="s">
        <v>480</v>
      </c>
      <c r="AE88" s="7" t="s">
        <v>1</v>
      </c>
      <c r="AI88" s="7" t="s">
        <v>214</v>
      </c>
      <c r="AJ88" s="7">
        <v>2</v>
      </c>
      <c r="AL88" s="40">
        <f>Table43[[#This Row],[Harga Jual Pcs GT
(-PPN)]]-(Table43[[#This Row],[Harga Jual Pcs GT
(-PPN)]]*6%)</f>
        <v>30275.875675675674</v>
      </c>
      <c r="AM88" s="41">
        <f>Table43[[#This Row],[Harga Beli Pcs
(-PPN)]]*Table43[[#This Row],[ISI/CTN]]</f>
        <v>726621.01621621614</v>
      </c>
      <c r="AN88" s="41">
        <f>Table43[[#This Row],[Harga Beli Pcs
(-PPN)]]*1.11</f>
        <v>33606.222000000002</v>
      </c>
      <c r="AO88" s="41">
        <f>Table43[[#This Row],[Harga Beli Krt
(- PPN)]]*1.11</f>
        <v>806549.32799999998</v>
      </c>
      <c r="AP88" s="41">
        <v>32208.378378378377</v>
      </c>
      <c r="AQ88" s="41">
        <f>Table43[[#This Row],[Harga Jual Pcs GT
(-PPN)]]*Table43[[#This Row],[ISI/CTN]]</f>
        <v>773001.08108108107</v>
      </c>
      <c r="AR88" s="41">
        <f>Table43[[#This Row],[Harga Jual Pcs GT
(-PPN)]]*1.11</f>
        <v>35751.300000000003</v>
      </c>
      <c r="AS88" s="41">
        <f>Table43[[#This Row],[Harga Jual Krt GT
(- PPN)]]*1.11</f>
        <v>858031.20000000007</v>
      </c>
      <c r="AT88" s="41">
        <v>34785.048648648648</v>
      </c>
      <c r="AU88" s="41">
        <f>(Table43[[#This Row],[Harga Jual Pcs MT
(-PPN)]]*Table43[[#This Row],[ISI/CTN]])</f>
        <v>834841.16756756755</v>
      </c>
      <c r="AV88" s="41">
        <f>Table43[[#This Row],[Harga Jual Pcs MT
(-PPN)]]*1.11</f>
        <v>38611.404000000002</v>
      </c>
      <c r="AW88" s="41">
        <f>Table43[[#This Row],[Harga Jual Pcs MT
(+PPN)]]*Table43[[#This Row],[ISI/CTN]]</f>
        <v>926673.696</v>
      </c>
      <c r="AX88" s="41"/>
      <c r="AY88" s="46">
        <v>45724</v>
      </c>
      <c r="AZ88" s="54">
        <v>45839</v>
      </c>
      <c r="BA88" s="7" t="str">
        <f ca="1">IF(TODAY()-Table43[[#This Row],[Efektif
Pembuatan]]&gt;60,"Lama","Baru")</f>
        <v>Lama</v>
      </c>
      <c r="BB88" s="7" t="str">
        <f ca="1">IF(TODAY()-Table43[[#This Row],[Efektif Naik Harga]]&lt;30,"Naik","Sama")</f>
        <v>Sama</v>
      </c>
      <c r="BC88" s="7" t="s">
        <v>235</v>
      </c>
      <c r="BD88" s="7" t="str">
        <f>IF(Table43[[#This Row],[Kode BARANG Win2]]&lt;&gt;"","IDR","")</f>
        <v>IDR</v>
      </c>
      <c r="BE88" s="7" t="str">
        <f>CONCATENATE(Table43[[#This Row],[kode  1 Digit
(Nomor)]],Table43[[#This Row],[kode  4 Digit                (Nomor)]])</f>
        <v>20420</v>
      </c>
      <c r="BF88" s="7" t="str">
        <f>Table43[[#This Row],[Nama            Gramasi atau Jumlah Pack per CTN]]</f>
        <v>420 ML</v>
      </c>
      <c r="BG88" s="7" t="s">
        <v>653</v>
      </c>
      <c r="BH88" s="51" t="s">
        <v>654</v>
      </c>
      <c r="BI88" s="4" t="str">
        <f>IF(Table43[[#This Row],[SATUAN Fix Win]]&lt;&gt;"","KRT")</f>
        <v>KRT</v>
      </c>
      <c r="BJ88" s="4" t="str">
        <f>IF(Table43[[#This Row],[SATUAN Fix Win]]&lt;&gt;"","GD01")</f>
        <v>GD01</v>
      </c>
      <c r="BK88" s="4">
        <f>IF(Table43[[#This Row],[SATUAN Fix Win]]&lt;&gt;"",11611)</f>
        <v>11611</v>
      </c>
      <c r="BL88" s="4">
        <f>IF(Table43[[#This Row],[SATUAN Fix Win]]&lt;&gt;"",11612)</f>
        <v>11612</v>
      </c>
      <c r="BM88" s="47" t="s">
        <v>655</v>
      </c>
      <c r="BN88" s="4">
        <f>IF(Table43[[#This Row],[SATUAN Fix Win]]&lt;&gt;"",1)</f>
        <v>1</v>
      </c>
      <c r="BO88" s="4" t="s">
        <v>656</v>
      </c>
      <c r="BP88" s="4">
        <f>IFERROR(VLOOKUP(Table43[[#This Row],[Kode Pcpl]],'[1]HEINZ ABC'!$A$4:$E$112,8,0),0)</f>
        <v>0</v>
      </c>
      <c r="BQ88" s="55">
        <f>Table43[[#This Row],[Harga Jual Pcs GT
(-PPN)]]-Table43[[#This Row],[HARGA NAIK GT]]</f>
        <v>32208.378378378377</v>
      </c>
      <c r="BR88" s="4">
        <f>IF(Table43[[#This Row],[HARGA NAIK GT]]=0,Table43[[#This Row],[Harga Jual Pcs GT
(-PPN)]],Table43[[#This Row],[HARGA NAIK GT]])</f>
        <v>32208.378378378377</v>
      </c>
      <c r="BS88">
        <f>IFERROR(VLOOKUP(Table43[[#This Row],[Kode Pcpl]],'[1]HEINZ ABC'!$A$4:$E$112,8,0),0)</f>
        <v>0</v>
      </c>
      <c r="BT88" s="58">
        <f>Table43[[#This Row],[Harga Jual Pcs GT
(-PPN)]]-BS88</f>
        <v>32208.378378378377</v>
      </c>
      <c r="BU88">
        <f>IF(BS88=0,Table43[[#This Row],[Harga Jual Pcs MT
(-PPN)]])</f>
        <v>34785.048648648648</v>
      </c>
      <c r="BV88">
        <f>IFERROR(VLOOKUP(Table43[[#This Row],[Kode Pcpl]],[2]Pricelist!$A$4:$K$112,11,0),0)</f>
        <v>38611.404000000002</v>
      </c>
      <c r="BW88">
        <f>IFERROR(VLOOKUP(Table43[[#This Row],[Kode BARANG Win2]],[3]!RECKITT211216[[KDBRG]:[HRG_JL_PCS-PPN]],11,0),0)</f>
        <v>0</v>
      </c>
      <c r="BX88">
        <f t="shared" si="5"/>
        <v>34785.048648648648</v>
      </c>
    </row>
    <row r="89" spans="1:76" x14ac:dyDescent="0.25">
      <c r="A89" s="4" t="str">
        <f>CONCATENATE(Table43[[#This Row],[Kode BARANG Win2]],Table43[[#This Row],[No. Urut
Item Sama]])</f>
        <v>A10200030195101</v>
      </c>
      <c r="B89" s="7">
        <v>1</v>
      </c>
      <c r="C89" s="4">
        <v>76</v>
      </c>
      <c r="D89" s="27">
        <v>120032</v>
      </c>
      <c r="E89" s="27" t="s">
        <v>291</v>
      </c>
      <c r="F89" s="27" t="s">
        <v>299</v>
      </c>
      <c r="G89" s="27">
        <v>24</v>
      </c>
      <c r="H89" s="42" t="s">
        <v>2980</v>
      </c>
      <c r="I89" s="27" t="str">
        <f>Table43[[#This Row],[Nama Jenis Kemasan]]</f>
        <v>BTL</v>
      </c>
      <c r="J89" s="4" t="str">
        <f>TRIM(CONCATENATE(Table43[[#This Row],[Nama            KLP]]," ",Table43[[#This Row],[Nama            Sub KLP]]))</f>
        <v>SAUCE</v>
      </c>
      <c r="K89" s="4" t="str">
        <f>CONCATENATE(Table43[[#This Row],[kode  2 Digit                (hrf+No)]],Table43[[#This Row],[kode  2 Digit                (Nomor)]],Table43[[#This Row],[kode  1 Digit                (Nomor)]])</f>
        <v>A1020</v>
      </c>
      <c r="L89" s="4" t="str">
        <f>IF(AG89="",CONCATENATE(Q89,S89,U89,W89,Y89,AA89,AC89,AE89,Table43[[#This Row],[Tanda Kode Revisi]]),CONCATENATE(Q89,S89,U89,W89,Y89,AA89,AC89,AG89))</f>
        <v>A1020003019510</v>
      </c>
      <c r="M89" s="11">
        <f t="shared" si="3"/>
        <v>14</v>
      </c>
      <c r="N89" s="14" t="str">
        <f>IF(AF89&lt;&gt;"",TRIM(UPPER(CONCATENATE(P89," ",R89," ",T89," ",V89," ",X89," ",Z89," ","X"," ",Table43[[#This Row],[ISI/CTN]]," ",AF89," ",AB89," ",AD89," ",AH89))),TRIM(UPPER(CONCATENATE(P89," ",R89," ",T89," ",V89," ",X89," ",Z89," ","X"," ",Table43[[#This Row],[ISI/CTN]]," ",AB89," ",AD89," ",AH89))))</f>
        <v>ABC SAUCE ASAM MANIS 195 ML X 24 BTL</v>
      </c>
      <c r="O89" s="11">
        <f t="shared" si="4"/>
        <v>36</v>
      </c>
      <c r="P89" s="4" t="s">
        <v>28</v>
      </c>
      <c r="Q89" s="7" t="s">
        <v>85</v>
      </c>
      <c r="R89" s="4" t="s">
        <v>533</v>
      </c>
      <c r="S89" s="43" t="s">
        <v>31</v>
      </c>
      <c r="T89" s="44"/>
      <c r="U89" s="7" t="s">
        <v>1</v>
      </c>
      <c r="V89" s="44"/>
      <c r="W89" s="43" t="s">
        <v>1</v>
      </c>
      <c r="X89" s="4" t="s">
        <v>540</v>
      </c>
      <c r="Y89" s="45" t="s">
        <v>219</v>
      </c>
      <c r="Z89" s="4" t="s">
        <v>535</v>
      </c>
      <c r="AA89" s="45" t="s">
        <v>536</v>
      </c>
      <c r="AB89" s="4" t="s">
        <v>486</v>
      </c>
      <c r="AC89" s="7" t="s">
        <v>480</v>
      </c>
      <c r="AE89" s="7" t="s">
        <v>1</v>
      </c>
      <c r="AI89" s="7" t="s">
        <v>214</v>
      </c>
      <c r="AJ89" s="7">
        <v>2</v>
      </c>
      <c r="AL89" s="40">
        <f>Table43[[#This Row],[Harga Jual Pcs GT
(-PPN)]]-(Table43[[#This Row],[Harga Jual Pcs GT
(-PPN)]]*6%)</f>
        <v>16023.273873873874</v>
      </c>
      <c r="AM89" s="41">
        <f>Table43[[#This Row],[Harga Beli Pcs
(-PPN)]]*Table43[[#This Row],[ISI/CTN]]</f>
        <v>384558.57297297299</v>
      </c>
      <c r="AN89" s="41">
        <f>Table43[[#This Row],[Harga Beli Pcs
(-PPN)]]*1.11</f>
        <v>17785.834000000003</v>
      </c>
      <c r="AO89" s="41">
        <f>Table43[[#This Row],[Harga Beli Krt
(- PPN)]]*1.11</f>
        <v>426860.01600000006</v>
      </c>
      <c r="AP89" s="41">
        <v>17046.036036036036</v>
      </c>
      <c r="AQ89" s="41">
        <f>Table43[[#This Row],[Harga Jual Pcs GT
(-PPN)]]*Table43[[#This Row],[ISI/CTN]]</f>
        <v>409104.86486486485</v>
      </c>
      <c r="AR89" s="41">
        <f>Table43[[#This Row],[Harga Jual Pcs GT
(-PPN)]]*1.11</f>
        <v>18921.100000000002</v>
      </c>
      <c r="AS89" s="41">
        <f>Table43[[#This Row],[Harga Jual Krt GT
(- PPN)]]*1.11</f>
        <v>454106.4</v>
      </c>
      <c r="AT89" s="41">
        <v>18409.718918918919</v>
      </c>
      <c r="AU89" s="41">
        <f>(Table43[[#This Row],[Harga Jual Pcs MT
(-PPN)]]*Table43[[#This Row],[ISI/CTN]])</f>
        <v>441833.25405405404</v>
      </c>
      <c r="AV89" s="41">
        <f>Table43[[#This Row],[Harga Jual Pcs MT
(-PPN)]]*1.11</f>
        <v>20434.788000000004</v>
      </c>
      <c r="AW89" s="41">
        <f>Table43[[#This Row],[Harga Jual Pcs MT
(+PPN)]]*Table43[[#This Row],[ISI/CTN]]</f>
        <v>490434.91200000013</v>
      </c>
      <c r="AX89" s="41"/>
      <c r="AY89" s="46">
        <v>45553</v>
      </c>
      <c r="AZ89" s="54">
        <v>45839</v>
      </c>
      <c r="BA89" s="7" t="str">
        <f ca="1">IF(TODAY()-Table43[[#This Row],[Efektif
Pembuatan]]&gt;60,"Lama","Baru")</f>
        <v>Lama</v>
      </c>
      <c r="BB89" s="7" t="str">
        <f ca="1">IF(TODAY()-Table43[[#This Row],[Efektif Naik Harga]]&lt;30,"Naik","Sama")</f>
        <v>Sama</v>
      </c>
      <c r="BC89" s="7" t="s">
        <v>235</v>
      </c>
      <c r="BD89" s="7" t="str">
        <f>IF(Table43[[#This Row],[Kode BARANG Win2]]&lt;&gt;"","IDR","")</f>
        <v>IDR</v>
      </c>
      <c r="BE89" s="7" t="str">
        <f>CONCATENATE(Table43[[#This Row],[kode  1 Digit
(Nomor)]],Table43[[#This Row],[kode  4 Digit                (Nomor)]])</f>
        <v>20195</v>
      </c>
      <c r="BF89" s="7" t="str">
        <f>Table43[[#This Row],[Nama            Gramasi atau Jumlah Pack per CTN]]</f>
        <v>195 ML</v>
      </c>
      <c r="BG89" s="7" t="s">
        <v>653</v>
      </c>
      <c r="BH89" s="51" t="s">
        <v>654</v>
      </c>
      <c r="BI89" s="4" t="str">
        <f>IF(Table43[[#This Row],[SATUAN Fix Win]]&lt;&gt;"","KRT")</f>
        <v>KRT</v>
      </c>
      <c r="BJ89" s="4" t="str">
        <f>IF(Table43[[#This Row],[SATUAN Fix Win]]&lt;&gt;"","GD01")</f>
        <v>GD01</v>
      </c>
      <c r="BK89" s="4">
        <f>IF(Table43[[#This Row],[SATUAN Fix Win]]&lt;&gt;"",11611)</f>
        <v>11611</v>
      </c>
      <c r="BL89" s="4">
        <f>IF(Table43[[#This Row],[SATUAN Fix Win]]&lt;&gt;"",11612)</f>
        <v>11612</v>
      </c>
      <c r="BM89" s="47" t="s">
        <v>655</v>
      </c>
      <c r="BN89" s="4">
        <f>IF(Table43[[#This Row],[SATUAN Fix Win]]&lt;&gt;"",1)</f>
        <v>1</v>
      </c>
      <c r="BO89" s="4" t="s">
        <v>656</v>
      </c>
      <c r="BP89" s="4">
        <f>IFERROR(VLOOKUP(Table43[[#This Row],[Kode Pcpl]],'[1]HEINZ ABC'!$A$4:$E$112,8,0),0)</f>
        <v>0</v>
      </c>
      <c r="BQ89" s="55">
        <f>Table43[[#This Row],[Harga Jual Pcs GT
(-PPN)]]-Table43[[#This Row],[HARGA NAIK GT]]</f>
        <v>17046.036036036036</v>
      </c>
      <c r="BR89" s="4">
        <f>IF(Table43[[#This Row],[HARGA NAIK GT]]=0,Table43[[#This Row],[Harga Jual Pcs GT
(-PPN)]],Table43[[#This Row],[HARGA NAIK GT]])</f>
        <v>17046.036036036036</v>
      </c>
      <c r="BS89">
        <f>IFERROR(VLOOKUP(Table43[[#This Row],[Kode Pcpl]],'[1]HEINZ ABC'!$A$4:$E$112,8,0),0)</f>
        <v>0</v>
      </c>
      <c r="BT89" s="58">
        <f>Table43[[#This Row],[Harga Jual Pcs GT
(-PPN)]]-BS89</f>
        <v>17046.036036036036</v>
      </c>
      <c r="BU89">
        <f>IF(BS89=0,Table43[[#This Row],[Harga Jual Pcs MT
(-PPN)]])</f>
        <v>18409.718918918919</v>
      </c>
      <c r="BV89">
        <f>IFERROR(VLOOKUP(Table43[[#This Row],[Kode Pcpl]],[2]Pricelist!$A$4:$K$112,11,0),0)</f>
        <v>20434.788000000004</v>
      </c>
      <c r="BW89">
        <f>IFERROR(VLOOKUP(Table43[[#This Row],[Kode BARANG Win2]],[3]!RECKITT211216[[KDBRG]:[HRG_JL_PCS-PPN]],11,0),0)</f>
        <v>0</v>
      </c>
      <c r="BX89">
        <f t="shared" si="5"/>
        <v>18409.718918918919</v>
      </c>
    </row>
    <row r="90" spans="1:76" x14ac:dyDescent="0.25">
      <c r="A90" s="4" t="str">
        <f>CONCATENATE(Table43[[#This Row],[Kode BARANG Win2]],Table43[[#This Row],[No. Urut
Item Sama]])</f>
        <v>A10200030195102</v>
      </c>
      <c r="B90" s="7">
        <v>2</v>
      </c>
      <c r="C90" s="4">
        <v>77</v>
      </c>
      <c r="D90" s="27">
        <v>120037</v>
      </c>
      <c r="E90" s="27" t="s">
        <v>291</v>
      </c>
      <c r="F90" s="27" t="s">
        <v>1018</v>
      </c>
      <c r="G90" s="27">
        <v>24</v>
      </c>
      <c r="H90" s="42" t="s">
        <v>2979</v>
      </c>
      <c r="I90" s="27" t="str">
        <f>Table43[[#This Row],[Nama Jenis Kemasan]]</f>
        <v>BTL</v>
      </c>
      <c r="J90" s="4" t="str">
        <f>TRIM(CONCATENATE(Table43[[#This Row],[Nama            KLP]]," ",Table43[[#This Row],[Nama            Sub KLP]]))</f>
        <v>SAUCE</v>
      </c>
      <c r="K90" s="4" t="str">
        <f>CONCATENATE(Table43[[#This Row],[kode  2 Digit                (hrf+No)]],Table43[[#This Row],[kode  2 Digit                (Nomor)]],Table43[[#This Row],[kode  1 Digit                (Nomor)]])</f>
        <v>A1020</v>
      </c>
      <c r="L90" s="4" t="str">
        <f>IF(AG90="",CONCATENATE(Q90,S90,U90,W90,Y90,AA90,AC90,AE90,Table43[[#This Row],[Tanda Kode Revisi]]),CONCATENATE(Q90,S90,U90,W90,Y90,AA90,AC90,AG90))</f>
        <v>A1020003019510</v>
      </c>
      <c r="M90" s="11">
        <f t="shared" si="3"/>
        <v>14</v>
      </c>
      <c r="N90" s="14" t="str">
        <f>IF(AF90&lt;&gt;"",TRIM(UPPER(CONCATENATE(P90," ",R90," ",T90," ",V90," ",X90," ",Z90," ","X"," ",Table43[[#This Row],[ISI/CTN]]," ",AF90," ",AB90," ",AD90," ",AH90))),TRIM(UPPER(CONCATENATE(P90," ",R90," ",T90," ",V90," ",X90," ",Z90," ","X"," ",Table43[[#This Row],[ISI/CTN]]," ",AB90," ",AD90," ",AH90))))</f>
        <v>ABC SAUCE ASAM MANIS 195 ML X 24 BTL</v>
      </c>
      <c r="O90" s="11">
        <f t="shared" si="4"/>
        <v>36</v>
      </c>
      <c r="P90" s="4" t="s">
        <v>28</v>
      </c>
      <c r="Q90" s="7" t="s">
        <v>85</v>
      </c>
      <c r="R90" s="4" t="s">
        <v>533</v>
      </c>
      <c r="S90" s="43" t="s">
        <v>31</v>
      </c>
      <c r="T90" s="44"/>
      <c r="U90" s="7" t="s">
        <v>1</v>
      </c>
      <c r="V90" s="44"/>
      <c r="W90" s="43" t="s">
        <v>1</v>
      </c>
      <c r="X90" s="4" t="s">
        <v>540</v>
      </c>
      <c r="Y90" s="45" t="s">
        <v>219</v>
      </c>
      <c r="Z90" s="4" t="s">
        <v>535</v>
      </c>
      <c r="AA90" s="45" t="s">
        <v>536</v>
      </c>
      <c r="AB90" s="4" t="s">
        <v>486</v>
      </c>
      <c r="AC90" s="7" t="s">
        <v>480</v>
      </c>
      <c r="AE90" s="7" t="s">
        <v>1</v>
      </c>
      <c r="AI90" s="7" t="s">
        <v>214</v>
      </c>
      <c r="AJ90" s="7">
        <v>2</v>
      </c>
      <c r="AL90" s="40">
        <f>Table43[[#This Row],[Harga Jual Pcs GT
(-PPN)]]-(Table43[[#This Row],[Harga Jual Pcs GT
(-PPN)]]*6%)</f>
        <v>16023.273873873874</v>
      </c>
      <c r="AM90" s="41">
        <f>Table43[[#This Row],[Harga Beli Pcs
(-PPN)]]*Table43[[#This Row],[ISI/CTN]]</f>
        <v>384558.57297297299</v>
      </c>
      <c r="AN90" s="41">
        <f>Table43[[#This Row],[Harga Beli Pcs
(-PPN)]]*1.11</f>
        <v>17785.834000000003</v>
      </c>
      <c r="AO90" s="41">
        <f>Table43[[#This Row],[Harga Beli Krt
(- PPN)]]*1.11</f>
        <v>426860.01600000006</v>
      </c>
      <c r="AP90" s="41">
        <v>17046.036036036036</v>
      </c>
      <c r="AQ90" s="41">
        <f>Table43[[#This Row],[Harga Jual Pcs GT
(-PPN)]]*Table43[[#This Row],[ISI/CTN]]</f>
        <v>409104.86486486485</v>
      </c>
      <c r="AR90" s="41">
        <f>Table43[[#This Row],[Harga Jual Pcs GT
(-PPN)]]*1.11</f>
        <v>18921.100000000002</v>
      </c>
      <c r="AS90" s="41">
        <f>Table43[[#This Row],[Harga Jual Krt GT
(- PPN)]]*1.11</f>
        <v>454106.4</v>
      </c>
      <c r="AT90" s="41">
        <v>18409.718918918919</v>
      </c>
      <c r="AU90" s="41">
        <f>(Table43[[#This Row],[Harga Jual Pcs MT
(-PPN)]]*Table43[[#This Row],[ISI/CTN]])</f>
        <v>441833.25405405404</v>
      </c>
      <c r="AV90" s="41">
        <f>Table43[[#This Row],[Harga Jual Pcs MT
(-PPN)]]*1.11</f>
        <v>20434.788000000004</v>
      </c>
      <c r="AW90" s="41">
        <f>Table43[[#This Row],[Harga Jual Pcs MT
(+PPN)]]*Table43[[#This Row],[ISI/CTN]]</f>
        <v>490434.91200000013</v>
      </c>
      <c r="AX90" s="41"/>
      <c r="AY90" s="46">
        <v>45744</v>
      </c>
      <c r="AZ90" s="54">
        <v>45839</v>
      </c>
      <c r="BA90" s="7" t="str">
        <f ca="1">IF(TODAY()-Table43[[#This Row],[Efektif
Pembuatan]]&gt;60,"Lama","Baru")</f>
        <v>Lama</v>
      </c>
      <c r="BB90" s="7" t="str">
        <f ca="1">IF(TODAY()-Table43[[#This Row],[Efektif Naik Harga]]&lt;30,"Naik","Sama")</f>
        <v>Sama</v>
      </c>
      <c r="BC90" s="7" t="s">
        <v>235</v>
      </c>
      <c r="BD90" s="7" t="str">
        <f>IF(Table43[[#This Row],[Kode BARANG Win2]]&lt;&gt;"","IDR","")</f>
        <v>IDR</v>
      </c>
      <c r="BE90" s="7" t="str">
        <f>CONCATENATE(Table43[[#This Row],[kode  1 Digit
(Nomor)]],Table43[[#This Row],[kode  4 Digit                (Nomor)]])</f>
        <v>20195</v>
      </c>
      <c r="BF90" s="7" t="str">
        <f>Table43[[#This Row],[Nama            Gramasi atau Jumlah Pack per CTN]]</f>
        <v>195 ML</v>
      </c>
      <c r="BG90" s="7" t="s">
        <v>653</v>
      </c>
      <c r="BH90" s="51" t="s">
        <v>654</v>
      </c>
      <c r="BI90" s="4" t="str">
        <f>IF(Table43[[#This Row],[SATUAN Fix Win]]&lt;&gt;"","KRT")</f>
        <v>KRT</v>
      </c>
      <c r="BJ90" s="4" t="str">
        <f>IF(Table43[[#This Row],[SATUAN Fix Win]]&lt;&gt;"","GD01")</f>
        <v>GD01</v>
      </c>
      <c r="BK90" s="4">
        <f>IF(Table43[[#This Row],[SATUAN Fix Win]]&lt;&gt;"",11611)</f>
        <v>11611</v>
      </c>
      <c r="BL90" s="4">
        <f>IF(Table43[[#This Row],[SATUAN Fix Win]]&lt;&gt;"",11612)</f>
        <v>11612</v>
      </c>
      <c r="BM90" s="47" t="s">
        <v>655</v>
      </c>
      <c r="BN90" s="4">
        <f>IF(Table43[[#This Row],[SATUAN Fix Win]]&lt;&gt;"",1)</f>
        <v>1</v>
      </c>
      <c r="BO90" s="4" t="s">
        <v>656</v>
      </c>
      <c r="BP90" s="4">
        <f>IFERROR(VLOOKUP(Table43[[#This Row],[Kode Pcpl]],'[1]HEINZ ABC'!$A$4:$E$112,8,0),0)</f>
        <v>0</v>
      </c>
      <c r="BQ90" s="55">
        <f>Table43[[#This Row],[Harga Jual Pcs GT
(-PPN)]]-Table43[[#This Row],[HARGA NAIK GT]]</f>
        <v>17046.036036036036</v>
      </c>
      <c r="BR90" s="4">
        <f>IF(Table43[[#This Row],[HARGA NAIK GT]]=0,Table43[[#This Row],[Harga Jual Pcs GT
(-PPN)]],Table43[[#This Row],[HARGA NAIK GT]])</f>
        <v>17046.036036036036</v>
      </c>
      <c r="BS90">
        <f>IFERROR(VLOOKUP(Table43[[#This Row],[Kode Pcpl]],'[1]HEINZ ABC'!$A$4:$E$112,8,0),0)</f>
        <v>0</v>
      </c>
      <c r="BT90" s="58">
        <f>Table43[[#This Row],[Harga Jual Pcs GT
(-PPN)]]-BS90</f>
        <v>17046.036036036036</v>
      </c>
      <c r="BU90">
        <f>IF(BS90=0,Table43[[#This Row],[Harga Jual Pcs MT
(-PPN)]])</f>
        <v>18409.718918918919</v>
      </c>
      <c r="BV90">
        <f>IFERROR(VLOOKUP(Table43[[#This Row],[Kode Pcpl]],[2]Pricelist!$A$4:$K$112,11,0),0)</f>
        <v>20434.788000000004</v>
      </c>
      <c r="BW90">
        <f>IFERROR(VLOOKUP(Table43[[#This Row],[Kode BARANG Win2]],[3]!RECKITT211216[[KDBRG]:[HRG_JL_PCS-PPN]],11,0),0)</f>
        <v>0</v>
      </c>
      <c r="BX90">
        <f t="shared" si="5"/>
        <v>18409.718918918919</v>
      </c>
    </row>
    <row r="91" spans="1:76" x14ac:dyDescent="0.25">
      <c r="A91" s="4" t="str">
        <f>CONCATENATE(Table43[[#This Row],[Kode BARANG Win2]],Table43[[#This Row],[No. Urut
Item Sama]])</f>
        <v>A10200040195101</v>
      </c>
      <c r="B91" s="7">
        <v>1</v>
      </c>
      <c r="C91" s="4">
        <v>78</v>
      </c>
      <c r="D91" s="27">
        <v>120028</v>
      </c>
      <c r="E91" s="27" t="s">
        <v>291</v>
      </c>
      <c r="F91" s="27" t="s">
        <v>300</v>
      </c>
      <c r="G91" s="27">
        <v>24</v>
      </c>
      <c r="H91" s="42">
        <v>0</v>
      </c>
      <c r="I91" s="27" t="str">
        <f>Table43[[#This Row],[Nama Jenis Kemasan]]</f>
        <v>BTL</v>
      </c>
      <c r="J91" s="4" t="str">
        <f>TRIM(CONCATENATE(Table43[[#This Row],[Nama            KLP]]," ",Table43[[#This Row],[Nama            Sub KLP]]))</f>
        <v>SAUCE</v>
      </c>
      <c r="K91" s="4" t="str">
        <f>CONCATENATE(Table43[[#This Row],[kode  2 Digit                (hrf+No)]],Table43[[#This Row],[kode  2 Digit                (Nomor)]],Table43[[#This Row],[kode  1 Digit                (Nomor)]])</f>
        <v>A1020</v>
      </c>
      <c r="L91" s="4" t="str">
        <f>IF(AG91="",CONCATENATE(Q91,S91,U91,W91,Y91,AA91,AC91,AE91,Table43[[#This Row],[Tanda Kode Revisi]]),CONCATENATE(Q91,S91,U91,W91,Y91,AA91,AC91,AG91))</f>
        <v>A1020004019510</v>
      </c>
      <c r="M91" s="11">
        <f t="shared" si="3"/>
        <v>14</v>
      </c>
      <c r="N91" s="14" t="str">
        <f>IF(AF91&lt;&gt;"",TRIM(UPPER(CONCATENATE(P91," ",R91," ",T91," ",V91," ",X91," ",Z91," ","X"," ",Table43[[#This Row],[ISI/CTN]]," ",AF91," ",AB91," ",AD91," ",AH91))),TRIM(UPPER(CONCATENATE(P91," ",R91," ",T91," ",V91," ",X91," ",Z91," ","X"," ",Table43[[#This Row],[ISI/CTN]]," ",AB91," ",AD91," ",AH91))))</f>
        <v>ABC SAUCE KCP INGGRIS 195 ML X 24 BTL</v>
      </c>
      <c r="O91" s="11">
        <f t="shared" si="4"/>
        <v>37</v>
      </c>
      <c r="P91" s="4" t="s">
        <v>28</v>
      </c>
      <c r="Q91" s="7" t="s">
        <v>85</v>
      </c>
      <c r="R91" s="4" t="s">
        <v>533</v>
      </c>
      <c r="S91" s="43" t="s">
        <v>31</v>
      </c>
      <c r="T91" s="44"/>
      <c r="U91" s="7" t="s">
        <v>1</v>
      </c>
      <c r="V91" s="44"/>
      <c r="W91" s="43" t="s">
        <v>1</v>
      </c>
      <c r="X91" s="4" t="s">
        <v>541</v>
      </c>
      <c r="Y91" s="45" t="s">
        <v>220</v>
      </c>
      <c r="Z91" s="4" t="s">
        <v>535</v>
      </c>
      <c r="AA91" s="45" t="s">
        <v>536</v>
      </c>
      <c r="AB91" s="4" t="s">
        <v>486</v>
      </c>
      <c r="AC91" s="7" t="s">
        <v>480</v>
      </c>
      <c r="AE91" s="7" t="s">
        <v>1</v>
      </c>
      <c r="AI91" s="7" t="s">
        <v>214</v>
      </c>
      <c r="AJ91" s="7">
        <v>2</v>
      </c>
      <c r="AL91" s="40">
        <f>Table43[[#This Row],[Harga Jual Pcs GT
(-PPN)]]-(Table43[[#This Row],[Harga Jual Pcs GT
(-PPN)]]*6%)</f>
        <v>10990.378378378375</v>
      </c>
      <c r="AM91" s="41">
        <f>Table43[[#This Row],[Harga Beli Pcs
(-PPN)]]*Table43[[#This Row],[ISI/CTN]]</f>
        <v>263769.08108108101</v>
      </c>
      <c r="AN91" s="41">
        <f>Table43[[#This Row],[Harga Beli Pcs
(-PPN)]]*1.11</f>
        <v>12199.319999999998</v>
      </c>
      <c r="AO91" s="41">
        <f>Table43[[#This Row],[Harga Beli Krt
(- PPN)]]*1.11</f>
        <v>292783.67999999993</v>
      </c>
      <c r="AP91" s="41">
        <v>11691.891891891888</v>
      </c>
      <c r="AQ91" s="41">
        <f>Table43[[#This Row],[Harga Jual Pcs GT
(-PPN)]]*Table43[[#This Row],[ISI/CTN]]</f>
        <v>280605.40540540533</v>
      </c>
      <c r="AR91" s="41">
        <f>Table43[[#This Row],[Harga Jual Pcs GT
(-PPN)]]*1.11</f>
        <v>12977.999999999996</v>
      </c>
      <c r="AS91" s="41">
        <f>Table43[[#This Row],[Harga Jual Krt GT
(- PPN)]]*1.11</f>
        <v>311471.99999999994</v>
      </c>
      <c r="AT91" s="41">
        <v>12627.24324324324</v>
      </c>
      <c r="AU91" s="41">
        <f>(Table43[[#This Row],[Harga Jual Pcs MT
(-PPN)]]*Table43[[#This Row],[ISI/CTN]])</f>
        <v>303053.83783783775</v>
      </c>
      <c r="AV91" s="41">
        <f>Table43[[#This Row],[Harga Jual Pcs MT
(-PPN)]]*1.11</f>
        <v>14016.239999999998</v>
      </c>
      <c r="AW91" s="41">
        <f>Table43[[#This Row],[Harga Jual Pcs MT
(+PPN)]]*Table43[[#This Row],[ISI/CTN]]</f>
        <v>336389.75999999995</v>
      </c>
      <c r="AX91" s="41"/>
      <c r="AY91" s="46">
        <v>45553</v>
      </c>
      <c r="AZ91" s="54">
        <v>45839</v>
      </c>
      <c r="BA91" s="7" t="str">
        <f ca="1">IF(TODAY()-Table43[[#This Row],[Efektif
Pembuatan]]&gt;60,"Lama","Baru")</f>
        <v>Lama</v>
      </c>
      <c r="BB91" s="7" t="str">
        <f ca="1">IF(TODAY()-Table43[[#This Row],[Efektif Naik Harga]]&lt;30,"Naik","Sama")</f>
        <v>Sama</v>
      </c>
      <c r="BC91" s="7" t="s">
        <v>235</v>
      </c>
      <c r="BD91" s="7" t="str">
        <f>IF(Table43[[#This Row],[Kode BARANG Win2]]&lt;&gt;"","IDR","")</f>
        <v>IDR</v>
      </c>
      <c r="BE91" s="7" t="str">
        <f>CONCATENATE(Table43[[#This Row],[kode  1 Digit
(Nomor)]],Table43[[#This Row],[kode  4 Digit                (Nomor)]])</f>
        <v>20195</v>
      </c>
      <c r="BF91" s="7" t="str">
        <f>Table43[[#This Row],[Nama            Gramasi atau Jumlah Pack per CTN]]</f>
        <v>195 ML</v>
      </c>
      <c r="BG91" s="7" t="s">
        <v>653</v>
      </c>
      <c r="BH91" s="51" t="s">
        <v>654</v>
      </c>
      <c r="BI91" s="4" t="str">
        <f>IF(Table43[[#This Row],[SATUAN Fix Win]]&lt;&gt;"","KRT")</f>
        <v>KRT</v>
      </c>
      <c r="BJ91" s="4" t="str">
        <f>IF(Table43[[#This Row],[SATUAN Fix Win]]&lt;&gt;"","GD01")</f>
        <v>GD01</v>
      </c>
      <c r="BK91" s="4">
        <f>IF(Table43[[#This Row],[SATUAN Fix Win]]&lt;&gt;"",11611)</f>
        <v>11611</v>
      </c>
      <c r="BL91" s="4">
        <f>IF(Table43[[#This Row],[SATUAN Fix Win]]&lt;&gt;"",11612)</f>
        <v>11612</v>
      </c>
      <c r="BM91" s="47" t="s">
        <v>655</v>
      </c>
      <c r="BN91" s="4">
        <f>IF(Table43[[#This Row],[SATUAN Fix Win]]&lt;&gt;"",1)</f>
        <v>1</v>
      </c>
      <c r="BO91" s="4" t="s">
        <v>656</v>
      </c>
      <c r="BP91" s="4">
        <f>IFERROR(VLOOKUP(Table43[[#This Row],[Kode Pcpl]],'[1]HEINZ ABC'!$A$4:$E$112,8,0),0)</f>
        <v>0</v>
      </c>
      <c r="BQ91" s="55">
        <f>Table43[[#This Row],[Harga Jual Pcs GT
(-PPN)]]-Table43[[#This Row],[HARGA NAIK GT]]</f>
        <v>11691.891891891888</v>
      </c>
      <c r="BR91" s="4">
        <f>IF(Table43[[#This Row],[HARGA NAIK GT]]=0,Table43[[#This Row],[Harga Jual Pcs GT
(-PPN)]],Table43[[#This Row],[HARGA NAIK GT]])</f>
        <v>11691.891891891888</v>
      </c>
      <c r="BS91">
        <f>IFERROR(VLOOKUP(Table43[[#This Row],[Kode Pcpl]],'[1]HEINZ ABC'!$A$4:$E$112,8,0),0)</f>
        <v>0</v>
      </c>
      <c r="BT91" s="58">
        <f>Table43[[#This Row],[Harga Jual Pcs GT
(-PPN)]]-BS91</f>
        <v>11691.891891891888</v>
      </c>
      <c r="BU91">
        <f>IF(BS91=0,Table43[[#This Row],[Harga Jual Pcs MT
(-PPN)]])</f>
        <v>12627.24324324324</v>
      </c>
      <c r="BV91">
        <f>IFERROR(VLOOKUP(Table43[[#This Row],[Kode Pcpl]],[2]Pricelist!$A$4:$K$112,11,0),0)</f>
        <v>14016.239999999998</v>
      </c>
      <c r="BW91">
        <f>IFERROR(VLOOKUP(Table43[[#This Row],[Kode BARANG Win2]],[3]!RECKITT211216[[KDBRG]:[HRG_JL_PCS-PPN]],11,0),0)</f>
        <v>0</v>
      </c>
      <c r="BX91">
        <f t="shared" si="5"/>
        <v>12627.24324324324</v>
      </c>
    </row>
    <row r="92" spans="1:76" x14ac:dyDescent="0.25">
      <c r="A92" s="4" t="str">
        <f>CONCATENATE(Table43[[#This Row],[Kode BARANG Win2]],Table43[[#This Row],[No. Urut
Item Sama]])</f>
        <v>A10200040195102</v>
      </c>
      <c r="B92" s="7">
        <v>2</v>
      </c>
      <c r="C92" s="4">
        <v>79</v>
      </c>
      <c r="D92" s="27">
        <v>120043</v>
      </c>
      <c r="E92" s="27" t="s">
        <v>291</v>
      </c>
      <c r="F92" s="27" t="s">
        <v>300</v>
      </c>
      <c r="G92" s="27">
        <v>24</v>
      </c>
      <c r="H92" s="42" t="s">
        <v>2923</v>
      </c>
      <c r="I92" s="27" t="str">
        <f>Table43[[#This Row],[Nama Jenis Kemasan]]</f>
        <v>BTL</v>
      </c>
      <c r="J92" s="4" t="str">
        <f>TRIM(CONCATENATE(Table43[[#This Row],[Nama            KLP]]," ",Table43[[#This Row],[Nama            Sub KLP]]))</f>
        <v>SAUCE</v>
      </c>
      <c r="K92" s="4" t="str">
        <f>CONCATENATE(Table43[[#This Row],[kode  2 Digit                (hrf+No)]],Table43[[#This Row],[kode  2 Digit                (Nomor)]],Table43[[#This Row],[kode  1 Digit                (Nomor)]])</f>
        <v>A1020</v>
      </c>
      <c r="L92" s="4" t="str">
        <f>IF(AG92="",CONCATENATE(Q92,S92,U92,W92,Y92,AA92,AC92,AE92,Table43[[#This Row],[Tanda Kode Revisi]]),CONCATENATE(Q92,S92,U92,W92,Y92,AA92,AC92,AG92))</f>
        <v>A1020004019510</v>
      </c>
      <c r="M92" s="11">
        <f t="shared" si="3"/>
        <v>14</v>
      </c>
      <c r="N92" s="14" t="str">
        <f>IF(AF92&lt;&gt;"",TRIM(UPPER(CONCATENATE(P92," ",R92," ",T92," ",V92," ",X92," ",Z92," ","X"," ",Table43[[#This Row],[ISI/CTN]]," ",AF92," ",AB92," ",AD92," ",AH92))),TRIM(UPPER(CONCATENATE(P92," ",R92," ",T92," ",V92," ",X92," ",Z92," ","X"," ",Table43[[#This Row],[ISI/CTN]]," ",AB92," ",AD92," ",AH92))))</f>
        <v>ABC SAUCE KCP INGGRIS 195 ML X 24 BTL</v>
      </c>
      <c r="O92" s="11">
        <f t="shared" si="4"/>
        <v>37</v>
      </c>
      <c r="P92" s="4" t="s">
        <v>28</v>
      </c>
      <c r="Q92" s="7" t="s">
        <v>85</v>
      </c>
      <c r="R92" s="4" t="s">
        <v>533</v>
      </c>
      <c r="S92" s="43" t="s">
        <v>31</v>
      </c>
      <c r="T92" s="44"/>
      <c r="U92" s="7" t="s">
        <v>1</v>
      </c>
      <c r="V92" s="44"/>
      <c r="W92" s="43" t="s">
        <v>1</v>
      </c>
      <c r="X92" s="4" t="s">
        <v>541</v>
      </c>
      <c r="Y92" s="45" t="s">
        <v>220</v>
      </c>
      <c r="Z92" s="4" t="s">
        <v>535</v>
      </c>
      <c r="AA92" s="45" t="s">
        <v>536</v>
      </c>
      <c r="AB92" s="4" t="s">
        <v>486</v>
      </c>
      <c r="AC92" s="7" t="s">
        <v>480</v>
      </c>
      <c r="AE92" s="7" t="s">
        <v>1</v>
      </c>
      <c r="AI92" s="7" t="s">
        <v>214</v>
      </c>
      <c r="AJ92" s="7">
        <v>2</v>
      </c>
      <c r="AL92" s="40">
        <f>Table43[[#This Row],[Harga Jual Pcs GT
(-PPN)]]-(Table43[[#This Row],[Harga Jual Pcs GT
(-PPN)]]*6%)</f>
        <v>10990.378378378375</v>
      </c>
      <c r="AM92" s="41">
        <f>Table43[[#This Row],[Harga Beli Pcs
(-PPN)]]*Table43[[#This Row],[ISI/CTN]]</f>
        <v>263769.08108108101</v>
      </c>
      <c r="AN92" s="41">
        <f>Table43[[#This Row],[Harga Beli Pcs
(-PPN)]]*1.11</f>
        <v>12199.319999999998</v>
      </c>
      <c r="AO92" s="41">
        <f>Table43[[#This Row],[Harga Beli Krt
(- PPN)]]*1.11</f>
        <v>292783.67999999993</v>
      </c>
      <c r="AP92" s="41">
        <v>11691.891891891888</v>
      </c>
      <c r="AQ92" s="41">
        <f>Table43[[#This Row],[Harga Jual Pcs GT
(-PPN)]]*Table43[[#This Row],[ISI/CTN]]</f>
        <v>280605.40540540533</v>
      </c>
      <c r="AR92" s="41">
        <f>Table43[[#This Row],[Harga Jual Pcs GT
(-PPN)]]*1.11</f>
        <v>12977.999999999996</v>
      </c>
      <c r="AS92" s="41">
        <f>Table43[[#This Row],[Harga Jual Krt GT
(- PPN)]]*1.11</f>
        <v>311471.99999999994</v>
      </c>
      <c r="AT92" s="41">
        <v>12627.24324324324</v>
      </c>
      <c r="AU92" s="41">
        <f>(Table43[[#This Row],[Harga Jual Pcs MT
(-PPN)]]*Table43[[#This Row],[ISI/CTN]])</f>
        <v>303053.83783783775</v>
      </c>
      <c r="AV92" s="41">
        <f>Table43[[#This Row],[Harga Jual Pcs MT
(-PPN)]]*1.11</f>
        <v>14016.239999999998</v>
      </c>
      <c r="AW92" s="41">
        <f>Table43[[#This Row],[Harga Jual Pcs MT
(+PPN)]]*Table43[[#This Row],[ISI/CTN]]</f>
        <v>336389.75999999995</v>
      </c>
      <c r="AX92" s="41"/>
      <c r="AY92" s="46">
        <v>45724</v>
      </c>
      <c r="AZ92" s="54">
        <v>45839</v>
      </c>
      <c r="BA92" s="7" t="str">
        <f ca="1">IF(TODAY()-Table43[[#This Row],[Efektif
Pembuatan]]&gt;60,"Lama","Baru")</f>
        <v>Lama</v>
      </c>
      <c r="BB92" s="7" t="str">
        <f ca="1">IF(TODAY()-Table43[[#This Row],[Efektif Naik Harga]]&lt;30,"Naik","Sama")</f>
        <v>Sama</v>
      </c>
      <c r="BC92" s="7" t="s">
        <v>235</v>
      </c>
      <c r="BD92" s="7" t="str">
        <f>IF(Table43[[#This Row],[Kode BARANG Win2]]&lt;&gt;"","IDR","")</f>
        <v>IDR</v>
      </c>
      <c r="BE92" s="7" t="str">
        <f>CONCATENATE(Table43[[#This Row],[kode  1 Digit
(Nomor)]],Table43[[#This Row],[kode  4 Digit                (Nomor)]])</f>
        <v>20195</v>
      </c>
      <c r="BF92" s="7" t="str">
        <f>Table43[[#This Row],[Nama            Gramasi atau Jumlah Pack per CTN]]</f>
        <v>195 ML</v>
      </c>
      <c r="BG92" s="7" t="s">
        <v>653</v>
      </c>
      <c r="BH92" s="51" t="s">
        <v>654</v>
      </c>
      <c r="BI92" s="4" t="str">
        <f>IF(Table43[[#This Row],[SATUAN Fix Win]]&lt;&gt;"","KRT")</f>
        <v>KRT</v>
      </c>
      <c r="BJ92" s="4" t="str">
        <f>IF(Table43[[#This Row],[SATUAN Fix Win]]&lt;&gt;"","GD01")</f>
        <v>GD01</v>
      </c>
      <c r="BK92" s="4">
        <f>IF(Table43[[#This Row],[SATUAN Fix Win]]&lt;&gt;"",11611)</f>
        <v>11611</v>
      </c>
      <c r="BL92" s="4">
        <f>IF(Table43[[#This Row],[SATUAN Fix Win]]&lt;&gt;"",11612)</f>
        <v>11612</v>
      </c>
      <c r="BM92" s="47" t="s">
        <v>655</v>
      </c>
      <c r="BN92" s="4">
        <f>IF(Table43[[#This Row],[SATUAN Fix Win]]&lt;&gt;"",1)</f>
        <v>1</v>
      </c>
      <c r="BO92" s="4" t="s">
        <v>656</v>
      </c>
      <c r="BP92" s="4">
        <f>IFERROR(VLOOKUP(Table43[[#This Row],[Kode Pcpl]],'[1]HEINZ ABC'!$A$4:$E$112,8,0),0)</f>
        <v>0</v>
      </c>
      <c r="BQ92" s="55">
        <f>Table43[[#This Row],[Harga Jual Pcs GT
(-PPN)]]-Table43[[#This Row],[HARGA NAIK GT]]</f>
        <v>11691.891891891888</v>
      </c>
      <c r="BR92" s="4">
        <f>IF(Table43[[#This Row],[HARGA NAIK GT]]=0,Table43[[#This Row],[Harga Jual Pcs GT
(-PPN)]],Table43[[#This Row],[HARGA NAIK GT]])</f>
        <v>11691.891891891888</v>
      </c>
      <c r="BS92">
        <f>IFERROR(VLOOKUP(Table43[[#This Row],[Kode Pcpl]],'[1]HEINZ ABC'!$A$4:$E$112,8,0),0)</f>
        <v>0</v>
      </c>
      <c r="BT92" s="58">
        <f>Table43[[#This Row],[Harga Jual Pcs GT
(-PPN)]]-BS92</f>
        <v>11691.891891891888</v>
      </c>
      <c r="BU92">
        <f>IF(BS92=0,Table43[[#This Row],[Harga Jual Pcs MT
(-PPN)]])</f>
        <v>12627.24324324324</v>
      </c>
      <c r="BV92">
        <f>IFERROR(VLOOKUP(Table43[[#This Row],[Kode Pcpl]],[2]Pricelist!$A$4:$K$112,11,0),0)</f>
        <v>14016.239999999998</v>
      </c>
      <c r="BW92">
        <f>IFERROR(VLOOKUP(Table43[[#This Row],[Kode BARANG Win2]],[3]!RECKITT211216[[KDBRG]:[HRG_JL_PCS-PPN]],11,0),0)</f>
        <v>0</v>
      </c>
      <c r="BX92">
        <f t="shared" si="5"/>
        <v>12627.24324324324</v>
      </c>
    </row>
    <row r="93" spans="1:76" x14ac:dyDescent="0.25">
      <c r="A93" s="78" t="str">
        <f>CONCATENATE(Table43[[#This Row],[Kode BARANG Win2]],Table43[[#This Row],[No. Urut
Item Sama]])</f>
        <v>A10201020018201</v>
      </c>
      <c r="B93" s="79">
        <v>1</v>
      </c>
      <c r="C93" s="4">
        <v>80</v>
      </c>
      <c r="D93" s="80">
        <v>120045</v>
      </c>
      <c r="E93" s="27" t="s">
        <v>291</v>
      </c>
      <c r="F93" s="80" t="s">
        <v>1038</v>
      </c>
      <c r="G93" s="80">
        <v>12</v>
      </c>
      <c r="H93" s="81" t="s">
        <v>2899</v>
      </c>
      <c r="I93" s="80" t="str">
        <f>Table43[[#This Row],[Nama Jenis Kemasan]]</f>
        <v>PCSX10</v>
      </c>
      <c r="J93" s="78" t="str">
        <f>TRIM(CONCATENATE(Table43[[#This Row],[Nama            KLP]]," ",Table43[[#This Row],[Nama            Sub KLP]]))</f>
        <v>SAUCE</v>
      </c>
      <c r="K93" s="78" t="str">
        <f>CONCATENATE(Table43[[#This Row],[kode  2 Digit                (hrf+No)]],Table43[[#This Row],[kode  2 Digit                (Nomor)]],Table43[[#This Row],[kode  1 Digit                (Nomor)]])</f>
        <v>A1020</v>
      </c>
      <c r="L93" s="78" t="str">
        <f>IF(AG93="",CONCATENATE(Q93,S93,U93,W93,Y93,AA93,AC93,AE93,Table43[[#This Row],[Tanda Kode Revisi]]),CONCATENATE(Q93,S93,U93,W93,Y93,AA93,AC93,AG93))</f>
        <v>A1020102001820</v>
      </c>
      <c r="M93" s="82">
        <f t="shared" si="3"/>
        <v>14</v>
      </c>
      <c r="N93" s="83" t="str">
        <f>IF(AF93&lt;&gt;"",TRIM(UPPER(CONCATENATE(P93," ",R93," ",T93," ",V93," ",X93," ",Z93," ","X"," ",Table43[[#This Row],[ISI/CTN]]," ",AF93," ",AB93," ",AD93," ",AH93))),TRIM(UPPER(CONCATENATE(P93," ",R93," ",T93," ",V93," ",X93," ",Z93," ","X"," ",Table43[[#This Row],[ISI/CTN]]," ",AB93," ",AD93," ",AH93))))</f>
        <v>ABC SAUCE SACHET TIRAM 18GR X 12 PCSX10</v>
      </c>
      <c r="O93" s="82">
        <f t="shared" si="4"/>
        <v>39</v>
      </c>
      <c r="P93" s="78" t="s">
        <v>28</v>
      </c>
      <c r="Q93" s="79" t="s">
        <v>85</v>
      </c>
      <c r="R93" s="78" t="s">
        <v>533</v>
      </c>
      <c r="S93" s="84" t="s">
        <v>31</v>
      </c>
      <c r="T93" s="85"/>
      <c r="U93" s="79">
        <v>0</v>
      </c>
      <c r="V93" s="85" t="s">
        <v>151</v>
      </c>
      <c r="W93" s="84" t="s">
        <v>480</v>
      </c>
      <c r="X93" s="78" t="s">
        <v>537</v>
      </c>
      <c r="Y93" s="86" t="s">
        <v>31</v>
      </c>
      <c r="Z93" s="78" t="s">
        <v>639</v>
      </c>
      <c r="AA93" s="86" t="s">
        <v>631</v>
      </c>
      <c r="AB93" s="78" t="s">
        <v>605</v>
      </c>
      <c r="AC93" s="79">
        <v>2</v>
      </c>
      <c r="AD93" s="78"/>
      <c r="AE93" s="79">
        <v>0</v>
      </c>
      <c r="AF93" s="79"/>
      <c r="AG93" s="79"/>
      <c r="AH93" s="79"/>
      <c r="AI93" s="79" t="s">
        <v>215</v>
      </c>
      <c r="AJ93" s="79">
        <v>1</v>
      </c>
      <c r="AK93" s="79"/>
      <c r="AL93" s="87">
        <f>Table43[[#This Row],[Harga Jual Pcs GT
(-PPN)]]-(Table43[[#This Row],[Harga Jual Pcs GT
(-PPN)]]*6%)</f>
        <v>10824.57</v>
      </c>
      <c r="AM93" s="88">
        <f>Table43[[#This Row],[Harga Beli Pcs
(-PPN)]]*Table43[[#This Row],[ISI/CTN]]</f>
        <v>129894.84</v>
      </c>
      <c r="AN93" s="88">
        <f>Table43[[#This Row],[Harga Beli Pcs
(-PPN)]]*1.11</f>
        <v>12015.272700000001</v>
      </c>
      <c r="AO93" s="88">
        <f>Table43[[#This Row],[Harga Beli Krt
(- PPN)]]*1.11</f>
        <v>144183.27240000002</v>
      </c>
      <c r="AP93" s="88">
        <v>11515.5</v>
      </c>
      <c r="AQ93" s="88">
        <f>Table43[[#This Row],[Harga Jual Pcs GT
(-PPN)]]*Table43[[#This Row],[ISI/CTN]]</f>
        <v>138186</v>
      </c>
      <c r="AR93" s="88">
        <f>Table43[[#This Row],[Harga Jual Pcs GT
(-PPN)]]*1.11</f>
        <v>12782.205000000002</v>
      </c>
      <c r="AS93" s="88">
        <f>Table43[[#This Row],[Harga Jual Krt GT
(- PPN)]]*1.11</f>
        <v>153386.46000000002</v>
      </c>
      <c r="AT93" s="88">
        <v>11515.5</v>
      </c>
      <c r="AU93" s="88">
        <f>(Table43[[#This Row],[Harga Jual Pcs MT
(-PPN)]]*Table43[[#This Row],[ISI/CTN]])</f>
        <v>138186</v>
      </c>
      <c r="AV93" s="88">
        <f>Table43[[#This Row],[Harga Jual Pcs MT
(-PPN)]]*1.11</f>
        <v>12782.205000000002</v>
      </c>
      <c r="AW93" s="88">
        <f>Table43[[#This Row],[Harga Jual Pcs MT
(+PPN)]]*Table43[[#This Row],[ISI/CTN]]</f>
        <v>153386.46000000002</v>
      </c>
      <c r="AX93" s="88"/>
      <c r="AY93" s="89">
        <v>45855</v>
      </c>
      <c r="AZ93" s="90"/>
      <c r="BA93" s="79" t="str">
        <f ca="1">IF(TODAY()-Table43[[#This Row],[Efektif
Pembuatan]]&gt;60,"Lama","Baru")</f>
        <v>Lama</v>
      </c>
      <c r="BB93" s="79" t="str">
        <f ca="1">IF(TODAY()-Table43[[#This Row],[Efektif Naik Harga]]&lt;30,"Naik","Sama")</f>
        <v>Sama</v>
      </c>
      <c r="BC93" s="79" t="s">
        <v>235</v>
      </c>
      <c r="BD93" s="79" t="str">
        <f>IF(Table43[[#This Row],[Kode BARANG Win2]]&lt;&gt;"","IDR","")</f>
        <v>IDR</v>
      </c>
      <c r="BE93" s="79" t="str">
        <f>CONCATENATE(Table43[[#This Row],[kode  1 Digit
(Nomor)]],Table43[[#This Row],[kode  4 Digit                (Nomor)]])</f>
        <v>10018</v>
      </c>
      <c r="BF93" s="79" t="str">
        <f>Table43[[#This Row],[Nama            Gramasi atau Jumlah Pack per CTN]]</f>
        <v>18GR</v>
      </c>
      <c r="BG93" s="79"/>
      <c r="BH93" s="91"/>
      <c r="BI93" s="78" t="str">
        <f>IF(Table43[[#This Row],[SATUAN Fix Win]]&lt;&gt;"","KRT")</f>
        <v>KRT</v>
      </c>
      <c r="BJ93" s="78" t="str">
        <f>IF(Table43[[#This Row],[SATUAN Fix Win]]&lt;&gt;"","GD01")</f>
        <v>GD01</v>
      </c>
      <c r="BK93" s="78">
        <f>IF(Table43[[#This Row],[SATUAN Fix Win]]&lt;&gt;"",11611)</f>
        <v>11611</v>
      </c>
      <c r="BL93" s="78">
        <f>IF(Table43[[#This Row],[SATUAN Fix Win]]&lt;&gt;"",11612)</f>
        <v>11612</v>
      </c>
      <c r="BM93" s="92"/>
      <c r="BN93" s="78">
        <f>IF(Table43[[#This Row],[SATUAN Fix Win]]&lt;&gt;"",1)</f>
        <v>1</v>
      </c>
      <c r="BO93" s="78"/>
      <c r="BP93" s="78">
        <f>IFERROR(VLOOKUP(Table43[[#This Row],[Kode Pcpl]],'[1]HEINZ ABC'!$A$4:$E$112,8,0),0)</f>
        <v>0</v>
      </c>
      <c r="BQ93" s="93">
        <f>Table43[[#This Row],[Harga Jual Pcs GT
(-PPN)]]-Table43[[#This Row],[HARGA NAIK GT]]</f>
        <v>11515.5</v>
      </c>
      <c r="BR93" s="78">
        <f>IF(Table43[[#This Row],[HARGA NAIK GT]]=0,Table43[[#This Row],[Harga Jual Pcs GT
(-PPN)]],Table43[[#This Row],[HARGA NAIK GT]])</f>
        <v>11515.5</v>
      </c>
      <c r="BS93">
        <f>IFERROR(VLOOKUP(Table43[[#This Row],[Kode Pcpl]],'[1]HEINZ ABC'!$A$4:$E$112,8,0),0)</f>
        <v>0</v>
      </c>
      <c r="BT93" s="58">
        <f>Table43[[#This Row],[Harga Jual Pcs GT
(-PPN)]]-BS93</f>
        <v>11515.5</v>
      </c>
      <c r="BU93">
        <f>IF(BS93=0,Table43[[#This Row],[Harga Jual Pcs MT
(-PPN)]])</f>
        <v>11515.5</v>
      </c>
      <c r="BV93">
        <f>IFERROR(VLOOKUP(Table43[[#This Row],[Kode Pcpl]],[2]Pricelist!$A$4:$K$112,11,0),0)</f>
        <v>0</v>
      </c>
      <c r="BW93">
        <f>IFERROR(VLOOKUP(Table43[[#This Row],[Kode BARANG Win2]],[3]!RECKITT211216[[KDBRG]:[HRG_JL_PCS-PPN]],11,0),0)</f>
        <v>0</v>
      </c>
      <c r="BX93">
        <f t="shared" si="5"/>
        <v>0</v>
      </c>
    </row>
    <row r="94" spans="1:76" x14ac:dyDescent="0.25">
      <c r="A94" s="96" t="str">
        <f>CONCATENATE(Table43[[#This Row],[Kode BARANG Win2]],Table43[[#This Row],[No. Urut
Item Sama]])</f>
        <v>A10221000062211</v>
      </c>
      <c r="B94" s="97">
        <v>1</v>
      </c>
      <c r="C94" s="4">
        <v>81</v>
      </c>
      <c r="D94" s="98">
        <v>101001</v>
      </c>
      <c r="E94" s="98" t="s">
        <v>280</v>
      </c>
      <c r="F94" s="98" t="s">
        <v>1029</v>
      </c>
      <c r="G94" s="98">
        <v>60</v>
      </c>
      <c r="H94" s="99" t="s">
        <v>2665</v>
      </c>
      <c r="I94" s="98" t="str">
        <f>Table43[[#This Row],[Nama Jenis Kemasan]]</f>
        <v>PCH</v>
      </c>
      <c r="J94" s="96" t="str">
        <f>TRIM(CONCATENATE(Table43[[#This Row],[Nama            KLP]]," ",Table43[[#This Row],[Nama            Sub KLP]]))</f>
        <v>KECAP MANIS</v>
      </c>
      <c r="K94" s="96" t="str">
        <f>CONCATENATE(Table43[[#This Row],[kode  2 Digit                (hrf+No)]],Table43[[#This Row],[kode  2 Digit                (Nomor)]],Table43[[#This Row],[kode  1 Digit                (Nomor)]])</f>
        <v>A1022</v>
      </c>
      <c r="L94" s="96" t="str">
        <f>IF(AG94="",CONCATENATE(Q94,S94,U94,W94,Y94,AA94,AC94,AE94,Table43[[#This Row],[Tanda Kode Revisi]]),CONCATENATE(Q94,S94,U94,W94,Y94,AA94,AC94,AG94))</f>
        <v>A1022100006221</v>
      </c>
      <c r="M94" s="100">
        <f t="shared" si="3"/>
        <v>14</v>
      </c>
      <c r="N94" s="101" t="str">
        <f>IF(AF94&lt;&gt;"",TRIM(UPPER(CONCATENATE(P94," ",R94," ",T94," ",V94," ",X94," ",Z94," ","X"," ",Table43[[#This Row],[ISI/CTN]]," ",AF94," ",AB94," ",AD94," ",AH94))),TRIM(UPPER(CONCATENATE(P94," ",R94," ",T94," ",V94," ",X94," ",Z94," ","X"," ",Table43[[#This Row],[ISI/CTN]]," ",AB94," ",AD94," ",AH94))))</f>
        <v>ABC KECAP MANIS SACHET 62 GR X 60 RCG PCH PROMO</v>
      </c>
      <c r="O94" s="100">
        <f t="shared" si="4"/>
        <v>47</v>
      </c>
      <c r="P94" s="96" t="s">
        <v>28</v>
      </c>
      <c r="Q94" s="97" t="s">
        <v>85</v>
      </c>
      <c r="R94" s="96" t="s">
        <v>474</v>
      </c>
      <c r="S94" s="102" t="s">
        <v>31</v>
      </c>
      <c r="T94" s="103" t="s">
        <v>475</v>
      </c>
      <c r="U94" s="97">
        <v>2</v>
      </c>
      <c r="V94" s="103" t="s">
        <v>151</v>
      </c>
      <c r="W94" s="102" t="s">
        <v>480</v>
      </c>
      <c r="X94" s="96"/>
      <c r="Y94" s="104" t="s">
        <v>476</v>
      </c>
      <c r="Z94" s="96" t="s">
        <v>477</v>
      </c>
      <c r="AA94" s="104" t="s">
        <v>478</v>
      </c>
      <c r="AB94" s="96" t="s">
        <v>479</v>
      </c>
      <c r="AC94" s="97">
        <v>2</v>
      </c>
      <c r="AD94" s="96" t="s">
        <v>233</v>
      </c>
      <c r="AE94" s="97">
        <v>1</v>
      </c>
      <c r="AF94" s="97" t="s">
        <v>525</v>
      </c>
      <c r="AG94" s="97"/>
      <c r="AH94" s="97"/>
      <c r="AI94" s="97" t="s">
        <v>215</v>
      </c>
      <c r="AJ94" s="97">
        <v>1</v>
      </c>
      <c r="AK94" s="97"/>
      <c r="AL94" s="105">
        <f>Table43[[#This Row],[Harga Jual Pcs GT
(-PPN)]]-(Table43[[#This Row],[Harga Jual Pcs GT
(-PPN)]]*6%)</f>
        <v>0</v>
      </c>
      <c r="AM94" s="106">
        <f>Table43[[#This Row],[Harga Beli Pcs
(-PPN)]]*Table43[[#This Row],[ISI/CTN]]</f>
        <v>0</v>
      </c>
      <c r="AN94" s="106">
        <f>Table43[[#This Row],[Harga Beli Pcs
(-PPN)]]*1.11</f>
        <v>0</v>
      </c>
      <c r="AO94" s="106">
        <f>Table43[[#This Row],[Harga Beli Krt
(- PPN)]]*1.11</f>
        <v>0</v>
      </c>
      <c r="AP94" s="106"/>
      <c r="AQ94" s="106">
        <f>Table43[[#This Row],[Harga Jual Pcs GT
(-PPN)]]*Table43[[#This Row],[ISI/CTN]]</f>
        <v>0</v>
      </c>
      <c r="AR94" s="106">
        <f>Table43[[#This Row],[Harga Jual Pcs GT
(-PPN)]]*1.11</f>
        <v>0</v>
      </c>
      <c r="AS94" s="106">
        <f>Table43[[#This Row],[Harga Jual Krt GT
(- PPN)]]*1.11</f>
        <v>0</v>
      </c>
      <c r="AT94" s="106"/>
      <c r="AU94" s="106">
        <f>(Table43[[#This Row],[Harga Jual Pcs MT
(-PPN)]]*Table43[[#This Row],[ISI/CTN]])</f>
        <v>0</v>
      </c>
      <c r="AV94" s="106">
        <f>Table43[[#This Row],[Harga Jual Pcs MT
(-PPN)]]*1.11</f>
        <v>0</v>
      </c>
      <c r="AW94" s="106">
        <f>Table43[[#This Row],[Harga Jual Pcs MT
(+PPN)]]*Table43[[#This Row],[ISI/CTN]]</f>
        <v>0</v>
      </c>
      <c r="AX94" s="106"/>
      <c r="AY94" s="107"/>
      <c r="AZ94" s="108"/>
      <c r="BA94" s="97" t="str">
        <f ca="1">IF(TODAY()-Table43[[#This Row],[Efektif
Pembuatan]]&gt;60,"Lama","Baru")</f>
        <v>Lama</v>
      </c>
      <c r="BB94" s="97" t="str">
        <f ca="1">IF(TODAY()-Table43[[#This Row],[Efektif Naik Harga]]&lt;30,"Naik","Sama")</f>
        <v>Sama</v>
      </c>
      <c r="BC94" s="97"/>
      <c r="BD94" s="97" t="str">
        <f>IF(Table43[[#This Row],[Kode BARANG Win2]]&lt;&gt;"","IDR","")</f>
        <v>IDR</v>
      </c>
      <c r="BE94" s="97" t="str">
        <f>CONCATENATE(Table43[[#This Row],[kode  1 Digit
(Nomor)]],Table43[[#This Row],[kode  4 Digit                (Nomor)]])</f>
        <v>10062</v>
      </c>
      <c r="BF94" s="97" t="str">
        <f>Table43[[#This Row],[Nama            Gramasi atau Jumlah Pack per CTN]]</f>
        <v>62 GR</v>
      </c>
      <c r="BG94" s="97"/>
      <c r="BH94" s="109"/>
      <c r="BI94" s="96" t="str">
        <f>IF(Table43[[#This Row],[SATUAN Fix Win]]&lt;&gt;"","KRT")</f>
        <v>KRT</v>
      </c>
      <c r="BJ94" s="96" t="str">
        <f>IF(Table43[[#This Row],[SATUAN Fix Win]]&lt;&gt;"","GD01")</f>
        <v>GD01</v>
      </c>
      <c r="BK94" s="96">
        <f>IF(Table43[[#This Row],[SATUAN Fix Win]]&lt;&gt;"",11611)</f>
        <v>11611</v>
      </c>
      <c r="BL94" s="96">
        <f>IF(Table43[[#This Row],[SATUAN Fix Win]]&lt;&gt;"",11612)</f>
        <v>11612</v>
      </c>
      <c r="BM94" s="110"/>
      <c r="BN94" s="96">
        <f>IF(Table43[[#This Row],[SATUAN Fix Win]]&lt;&gt;"",1)</f>
        <v>1</v>
      </c>
      <c r="BO94" s="96"/>
      <c r="BP94" s="96">
        <f>IFERROR(VLOOKUP(Table43[[#This Row],[Kode Pcpl]],'[1]HEINZ ABC'!$A$4:$E$112,8,0),0)</f>
        <v>0</v>
      </c>
      <c r="BQ94" s="111">
        <f>Table43[[#This Row],[Harga Jual Pcs GT
(-PPN)]]-Table43[[#This Row],[HARGA NAIK GT]]</f>
        <v>0</v>
      </c>
      <c r="BR94" s="96">
        <f>IF(Table43[[#This Row],[HARGA NAIK GT]]=0,Table43[[#This Row],[Harga Jual Pcs GT
(-PPN)]],Table43[[#This Row],[HARGA NAIK GT]])</f>
        <v>0</v>
      </c>
      <c r="BS94">
        <f>IFERROR(VLOOKUP(Table43[[#This Row],[Kode Pcpl]],'[1]HEINZ ABC'!$A$4:$E$112,8,0),0)</f>
        <v>0</v>
      </c>
      <c r="BT94" s="58">
        <f>Table43[[#This Row],[Harga Jual Pcs GT
(-PPN)]]-BS94</f>
        <v>0</v>
      </c>
      <c r="BU94">
        <f>IF(BS94=0,Table43[[#This Row],[Harga Jual Pcs MT
(-PPN)]])</f>
        <v>0</v>
      </c>
      <c r="BV94">
        <f>IFERROR(VLOOKUP(Table43[[#This Row],[Kode Pcpl]],[2]Pricelist!$A$4:$K$112,11,0),0)</f>
        <v>0</v>
      </c>
      <c r="BW94">
        <f>IFERROR(VLOOKUP(Table43[[#This Row],[Kode BARANG Win2]],[3]!RECKITT211216[[KDBRG]:[HRG_JL_PCS-PPN]],11,0),0)</f>
        <v>0</v>
      </c>
      <c r="BX94">
        <f t="shared" si="5"/>
        <v>0</v>
      </c>
    </row>
    <row r="95" spans="1:76" x14ac:dyDescent="0.25">
      <c r="A95" s="4" t="str">
        <f>CONCATENATE(Table43[[#This Row],[Kode BARANG Win2]],Table43[[#This Row],[No. Urut
Item Sama]])</f>
        <v>A10301000003101</v>
      </c>
      <c r="B95" s="7">
        <v>1</v>
      </c>
      <c r="C95" s="4">
        <v>82</v>
      </c>
      <c r="D95" s="27">
        <v>612087</v>
      </c>
      <c r="E95" s="27" t="s">
        <v>301</v>
      </c>
      <c r="F95" s="27" t="s">
        <v>302</v>
      </c>
      <c r="G95" s="27">
        <v>36</v>
      </c>
      <c r="H95" s="42" t="s">
        <v>2988</v>
      </c>
      <c r="I95" s="27" t="str">
        <f>Table43[[#This Row],[Nama Jenis Kemasan]]</f>
        <v>PCSX20</v>
      </c>
      <c r="J95" s="4" t="str">
        <f>TRIM(CONCATENATE(Table43[[#This Row],[Nama            KLP]]," ",Table43[[#This Row],[Nama            Sub KLP]]))</f>
        <v>TERASI</v>
      </c>
      <c r="K95" s="4" t="str">
        <f>CONCATENATE(Table43[[#This Row],[kode  2 Digit                (hrf+No)]],Table43[[#This Row],[kode  2 Digit                (Nomor)]],Table43[[#This Row],[kode  1 Digit                (Nomor)]])</f>
        <v>A1030</v>
      </c>
      <c r="L95" s="4" t="str">
        <f>IF(AG95="",CONCATENATE(Q95,S95,U95,W95,Y95,AA95,AC95,AE95,Table43[[#This Row],[Tanda Kode Revisi]]),CONCATENATE(Q95,S95,U95,W95,Y95,AA95,AC95,AG95))</f>
        <v>A1030100000310</v>
      </c>
      <c r="M95" s="11">
        <f t="shared" si="3"/>
        <v>14</v>
      </c>
      <c r="N95" s="14" t="str">
        <f>IF(AF95&lt;&gt;"",TRIM(UPPER(CONCATENATE(P95," ",R95," ",T95," ",V95," ",X95," ",Z95," ","X"," ",Table43[[#This Row],[ISI/CTN]]," ",AF95," ",AB95," ",AD95," ",AH95))),TRIM(UPPER(CONCATENATE(P95," ",R95," ",T95," ",V95," ",X95," ",Z95," ","X"," ",Table43[[#This Row],[ISI/CTN]]," ",AB95," ",AD95," ",AH95))))</f>
        <v>ABC TERASI SACHET 3,8 GR X 36 PACK PCSX20</v>
      </c>
      <c r="O95" s="11">
        <f t="shared" si="4"/>
        <v>41</v>
      </c>
      <c r="P95" s="4" t="s">
        <v>28</v>
      </c>
      <c r="Q95" s="7" t="s">
        <v>85</v>
      </c>
      <c r="R95" s="4" t="s">
        <v>542</v>
      </c>
      <c r="S95" s="43" t="s">
        <v>219</v>
      </c>
      <c r="T95" s="44"/>
      <c r="U95" s="7" t="s">
        <v>1</v>
      </c>
      <c r="V95" s="44" t="s">
        <v>151</v>
      </c>
      <c r="W95" s="43">
        <v>1</v>
      </c>
      <c r="Y95" s="45" t="s">
        <v>476</v>
      </c>
      <c r="Z95" s="4" t="s">
        <v>543</v>
      </c>
      <c r="AA95" s="45" t="s">
        <v>544</v>
      </c>
      <c r="AB95" s="4" t="s">
        <v>545</v>
      </c>
      <c r="AC95" s="7" t="s">
        <v>480</v>
      </c>
      <c r="AE95" s="7" t="s">
        <v>1</v>
      </c>
      <c r="AF95" s="7" t="s">
        <v>546</v>
      </c>
      <c r="AI95" s="7" t="s">
        <v>215</v>
      </c>
      <c r="AJ95" s="7">
        <v>1</v>
      </c>
      <c r="AL95" s="40">
        <f>Table43[[#This Row],[Harga Jual Pcs GT
(-PPN)]]-(Table43[[#This Row],[Harga Jual Pcs GT
(-PPN)]]*6%)</f>
        <v>5922.5927927927914</v>
      </c>
      <c r="AM95" s="41">
        <f>Table43[[#This Row],[Harga Beli Pcs
(-PPN)]]*Table43[[#This Row],[ISI/CTN]]</f>
        <v>213213.34054054049</v>
      </c>
      <c r="AN95" s="41">
        <f>Table43[[#This Row],[Harga Beli Pcs
(-PPN)]]*1.11</f>
        <v>6574.0779999999995</v>
      </c>
      <c r="AO95" s="41">
        <f>Table43[[#This Row],[Harga Beli Krt
(- PPN)]]*1.11</f>
        <v>236666.80799999996</v>
      </c>
      <c r="AP95" s="41">
        <v>6300.6306306306296</v>
      </c>
      <c r="AQ95" s="41">
        <f>Table43[[#This Row],[Harga Jual Pcs GT
(-PPN)]]*Table43[[#This Row],[ISI/CTN]]</f>
        <v>226822.70270270266</v>
      </c>
      <c r="AR95" s="41">
        <f>Table43[[#This Row],[Harga Jual Pcs GT
(-PPN)]]*1.11</f>
        <v>6993.7</v>
      </c>
      <c r="AS95" s="41">
        <f>Table43[[#This Row],[Harga Jual Krt GT
(- PPN)]]*1.11</f>
        <v>251773.19999999998</v>
      </c>
      <c r="AT95" s="41">
        <v>6615.6621621621616</v>
      </c>
      <c r="AU95" s="41">
        <f>(Table43[[#This Row],[Harga Jual Pcs MT
(-PPN)]]*Table43[[#This Row],[ISI/CTN]])</f>
        <v>238163.83783783781</v>
      </c>
      <c r="AV95" s="41">
        <f>Table43[[#This Row],[Harga Jual Pcs MT
(-PPN)]]*1.11</f>
        <v>7343.3850000000002</v>
      </c>
      <c r="AW95" s="41">
        <f>Table43[[#This Row],[Harga Jual Pcs MT
(+PPN)]]*Table43[[#This Row],[ISI/CTN]]</f>
        <v>264361.86</v>
      </c>
      <c r="AX95" s="41"/>
      <c r="AY95" s="46">
        <v>45553</v>
      </c>
      <c r="AZ95" s="54">
        <v>45839</v>
      </c>
      <c r="BA95" s="7" t="str">
        <f ca="1">IF(TODAY()-Table43[[#This Row],[Efektif
Pembuatan]]&gt;60,"Lama","Baru")</f>
        <v>Lama</v>
      </c>
      <c r="BB95" s="7" t="str">
        <f ca="1">IF(TODAY()-Table43[[#This Row],[Efektif Naik Harga]]&lt;30,"Naik","Sama")</f>
        <v>Sama</v>
      </c>
      <c r="BC95" s="7" t="s">
        <v>235</v>
      </c>
      <c r="BD95" s="7" t="str">
        <f>IF(Table43[[#This Row],[Kode BARANG Win2]]&lt;&gt;"","IDR","")</f>
        <v>IDR</v>
      </c>
      <c r="BE95" s="7" t="str">
        <f>CONCATENATE(Table43[[#This Row],[kode  1 Digit
(Nomor)]],Table43[[#This Row],[kode  4 Digit                (Nomor)]])</f>
        <v>10003</v>
      </c>
      <c r="BF95" s="7" t="str">
        <f>Table43[[#This Row],[Nama            Gramasi atau Jumlah Pack per CTN]]</f>
        <v>3,8 GR</v>
      </c>
      <c r="BG95" s="7" t="s">
        <v>653</v>
      </c>
      <c r="BH95" s="51" t="s">
        <v>654</v>
      </c>
      <c r="BI95" s="4" t="str">
        <f>IF(Table43[[#This Row],[SATUAN Fix Win]]&lt;&gt;"","KRT")</f>
        <v>KRT</v>
      </c>
      <c r="BJ95" s="4" t="str">
        <f>IF(Table43[[#This Row],[SATUAN Fix Win]]&lt;&gt;"","GD01")</f>
        <v>GD01</v>
      </c>
      <c r="BK95" s="4">
        <f>IF(Table43[[#This Row],[SATUAN Fix Win]]&lt;&gt;"",11611)</f>
        <v>11611</v>
      </c>
      <c r="BL95" s="4">
        <f>IF(Table43[[#This Row],[SATUAN Fix Win]]&lt;&gt;"",11612)</f>
        <v>11612</v>
      </c>
      <c r="BM95" s="47" t="s">
        <v>655</v>
      </c>
      <c r="BN95" s="4">
        <f>IF(Table43[[#This Row],[SATUAN Fix Win]]&lt;&gt;"",1)</f>
        <v>1</v>
      </c>
      <c r="BO95" s="4" t="s">
        <v>656</v>
      </c>
      <c r="BP95" s="4">
        <f>IFERROR(VLOOKUP(Table43[[#This Row],[Kode Pcpl]],'[1]HEINZ ABC'!$A$4:$E$112,8,0),0)</f>
        <v>0</v>
      </c>
      <c r="BQ95" s="55">
        <f>Table43[[#This Row],[Harga Jual Pcs GT
(-PPN)]]-Table43[[#This Row],[HARGA NAIK GT]]</f>
        <v>6300.6306306306296</v>
      </c>
      <c r="BR95" s="4">
        <f>IF(Table43[[#This Row],[HARGA NAIK GT]]=0,Table43[[#This Row],[Harga Jual Pcs GT
(-PPN)]],Table43[[#This Row],[HARGA NAIK GT]])</f>
        <v>6300.6306306306296</v>
      </c>
      <c r="BS95">
        <f>IFERROR(VLOOKUP(Table43[[#This Row],[Kode Pcpl]],'[1]HEINZ ABC'!$A$4:$E$112,8,0),0)</f>
        <v>0</v>
      </c>
      <c r="BT95" s="58">
        <f>Table43[[#This Row],[Harga Jual Pcs GT
(-PPN)]]-BS95</f>
        <v>6300.6306306306296</v>
      </c>
      <c r="BU95">
        <f>IF(BS95=0,Table43[[#This Row],[Harga Jual Pcs MT
(-PPN)]])</f>
        <v>6615.6621621621616</v>
      </c>
      <c r="BV95">
        <f>IFERROR(VLOOKUP(Table43[[#This Row],[Kode Pcpl]],[2]Pricelist!$A$4:$K$112,11,0),0)</f>
        <v>7343.3850000000002</v>
      </c>
      <c r="BW95">
        <f>IFERROR(VLOOKUP(Table43[[#This Row],[Kode BARANG Win2]],[3]!RECKITT211216[[KDBRG]:[HRG_JL_PCS-PPN]],11,0),0)</f>
        <v>0</v>
      </c>
      <c r="BX95">
        <f t="shared" si="5"/>
        <v>6615.6621621621616</v>
      </c>
    </row>
    <row r="96" spans="1:76" x14ac:dyDescent="0.25">
      <c r="A96" s="4" t="str">
        <f>CONCATENATE(Table43[[#This Row],[Kode BARANG Win2]],Table43[[#This Row],[No. Urut
Item Sama]])</f>
        <v>A10301000003102</v>
      </c>
      <c r="B96" s="7">
        <v>2</v>
      </c>
      <c r="C96" s="4">
        <v>83</v>
      </c>
      <c r="D96" s="27">
        <v>612137</v>
      </c>
      <c r="E96" s="27" t="s">
        <v>301</v>
      </c>
      <c r="F96" s="27" t="s">
        <v>303</v>
      </c>
      <c r="G96" s="27">
        <v>36</v>
      </c>
      <c r="H96" s="42" t="s">
        <v>2987</v>
      </c>
      <c r="I96" s="27" t="str">
        <f>Table43[[#This Row],[Nama Jenis Kemasan]]</f>
        <v>PCSX20</v>
      </c>
      <c r="J96" s="4" t="str">
        <f>TRIM(CONCATENATE(Table43[[#This Row],[Nama            KLP]]," ",Table43[[#This Row],[Nama            Sub KLP]]))</f>
        <v>TERASI</v>
      </c>
      <c r="K96" s="4" t="str">
        <f>CONCATENATE(Table43[[#This Row],[kode  2 Digit                (hrf+No)]],Table43[[#This Row],[kode  2 Digit                (Nomor)]],Table43[[#This Row],[kode  1 Digit                (Nomor)]])</f>
        <v>A1030</v>
      </c>
      <c r="L96" s="4" t="str">
        <f>IF(AG96="",CONCATENATE(Q96,S96,U96,W96,Y96,AA96,AC96,AE96,Table43[[#This Row],[Tanda Kode Revisi]]),CONCATENATE(Q96,S96,U96,W96,Y96,AA96,AC96,AG96))</f>
        <v>A1030100000310</v>
      </c>
      <c r="M96" s="11">
        <f t="shared" si="3"/>
        <v>14</v>
      </c>
      <c r="N96" s="14" t="str">
        <f>IF(AF96&lt;&gt;"",TRIM(UPPER(CONCATENATE(P96," ",R96," ",T96," ",V96," ",X96," ",Z96," ","X"," ",Table43[[#This Row],[ISI/CTN]]," ",AF96," ",AB96," ",AD96," ",AH96))),TRIM(UPPER(CONCATENATE(P96," ",R96," ",T96," ",V96," ",X96," ",Z96," ","X"," ",Table43[[#This Row],[ISI/CTN]]," ",AB96," ",AD96," ",AH96))))</f>
        <v>ABC TERASI SACHET 3,8 GR X 36 PACK PCSX20</v>
      </c>
      <c r="O96" s="11">
        <f t="shared" si="4"/>
        <v>41</v>
      </c>
      <c r="P96" s="4" t="s">
        <v>28</v>
      </c>
      <c r="Q96" s="7" t="s">
        <v>85</v>
      </c>
      <c r="R96" s="4" t="s">
        <v>542</v>
      </c>
      <c r="S96" s="43" t="s">
        <v>219</v>
      </c>
      <c r="T96" s="44"/>
      <c r="U96" s="7" t="s">
        <v>1</v>
      </c>
      <c r="V96" s="44" t="s">
        <v>151</v>
      </c>
      <c r="W96" s="43">
        <v>1</v>
      </c>
      <c r="Y96" s="45" t="s">
        <v>476</v>
      </c>
      <c r="Z96" s="4" t="s">
        <v>543</v>
      </c>
      <c r="AA96" s="45" t="s">
        <v>544</v>
      </c>
      <c r="AB96" s="4" t="s">
        <v>545</v>
      </c>
      <c r="AC96" s="7" t="s">
        <v>480</v>
      </c>
      <c r="AE96" s="7" t="s">
        <v>1</v>
      </c>
      <c r="AF96" s="7" t="s">
        <v>546</v>
      </c>
      <c r="AI96" s="7" t="s">
        <v>215</v>
      </c>
      <c r="AJ96" s="7">
        <v>1</v>
      </c>
      <c r="AL96" s="40">
        <f>Table43[[#This Row],[Harga Jual Pcs GT
(-PPN)]]-(Table43[[#This Row],[Harga Jual Pcs GT
(-PPN)]]*6%)</f>
        <v>5922.5927927927914</v>
      </c>
      <c r="AM96" s="41">
        <f>Table43[[#This Row],[Harga Beli Pcs
(-PPN)]]*Table43[[#This Row],[ISI/CTN]]</f>
        <v>213213.34054054049</v>
      </c>
      <c r="AN96" s="41">
        <f>Table43[[#This Row],[Harga Beli Pcs
(-PPN)]]*1.11</f>
        <v>6574.0779999999995</v>
      </c>
      <c r="AO96" s="41">
        <f>Table43[[#This Row],[Harga Beli Krt
(- PPN)]]*1.11</f>
        <v>236666.80799999996</v>
      </c>
      <c r="AP96" s="41">
        <v>6300.6306306306296</v>
      </c>
      <c r="AQ96" s="41">
        <f>Table43[[#This Row],[Harga Jual Pcs GT
(-PPN)]]*Table43[[#This Row],[ISI/CTN]]</f>
        <v>226822.70270270266</v>
      </c>
      <c r="AR96" s="41">
        <f>Table43[[#This Row],[Harga Jual Pcs GT
(-PPN)]]*1.11</f>
        <v>6993.7</v>
      </c>
      <c r="AS96" s="41">
        <f>Table43[[#This Row],[Harga Jual Krt GT
(- PPN)]]*1.11</f>
        <v>251773.19999999998</v>
      </c>
      <c r="AT96" s="41">
        <v>6615.6621621621616</v>
      </c>
      <c r="AU96" s="41">
        <f>(Table43[[#This Row],[Harga Jual Pcs MT
(-PPN)]]*Table43[[#This Row],[ISI/CTN]])</f>
        <v>238163.83783783781</v>
      </c>
      <c r="AV96" s="41">
        <f>Table43[[#This Row],[Harga Jual Pcs MT
(-PPN)]]*1.11</f>
        <v>7343.3850000000002</v>
      </c>
      <c r="AW96" s="41">
        <f>Table43[[#This Row],[Harga Jual Pcs MT
(+PPN)]]*Table43[[#This Row],[ISI/CTN]]</f>
        <v>264361.86</v>
      </c>
      <c r="AX96" s="41"/>
      <c r="AY96" s="46">
        <v>45553</v>
      </c>
      <c r="AZ96" s="54">
        <v>45839</v>
      </c>
      <c r="BA96" s="7" t="str">
        <f ca="1">IF(TODAY()-Table43[[#This Row],[Efektif
Pembuatan]]&gt;60,"Lama","Baru")</f>
        <v>Lama</v>
      </c>
      <c r="BB96" s="7" t="str">
        <f ca="1">IF(TODAY()-Table43[[#This Row],[Efektif Naik Harga]]&lt;30,"Naik","Sama")</f>
        <v>Sama</v>
      </c>
      <c r="BC96" s="7" t="s">
        <v>235</v>
      </c>
      <c r="BD96" s="7" t="str">
        <f>IF(Table43[[#This Row],[Kode BARANG Win2]]&lt;&gt;"","IDR","")</f>
        <v>IDR</v>
      </c>
      <c r="BE96" s="7" t="str">
        <f>CONCATENATE(Table43[[#This Row],[kode  1 Digit
(Nomor)]],Table43[[#This Row],[kode  4 Digit                (Nomor)]])</f>
        <v>10003</v>
      </c>
      <c r="BF96" s="7" t="str">
        <f>Table43[[#This Row],[Nama            Gramasi atau Jumlah Pack per CTN]]</f>
        <v>3,8 GR</v>
      </c>
      <c r="BG96" s="7" t="s">
        <v>653</v>
      </c>
      <c r="BH96" s="51" t="s">
        <v>654</v>
      </c>
      <c r="BI96" s="4" t="str">
        <f>IF(Table43[[#This Row],[SATUAN Fix Win]]&lt;&gt;"","KRT")</f>
        <v>KRT</v>
      </c>
      <c r="BJ96" s="4" t="str">
        <f>IF(Table43[[#This Row],[SATUAN Fix Win]]&lt;&gt;"","GD01")</f>
        <v>GD01</v>
      </c>
      <c r="BK96" s="4">
        <f>IF(Table43[[#This Row],[SATUAN Fix Win]]&lt;&gt;"",11611)</f>
        <v>11611</v>
      </c>
      <c r="BL96" s="4">
        <f>IF(Table43[[#This Row],[SATUAN Fix Win]]&lt;&gt;"",11612)</f>
        <v>11612</v>
      </c>
      <c r="BM96" s="47" t="s">
        <v>655</v>
      </c>
      <c r="BN96" s="4">
        <f>IF(Table43[[#This Row],[SATUAN Fix Win]]&lt;&gt;"",1)</f>
        <v>1</v>
      </c>
      <c r="BO96" s="4" t="s">
        <v>656</v>
      </c>
      <c r="BP96" s="4">
        <f>IFERROR(VLOOKUP(Table43[[#This Row],[Kode Pcpl]],'[1]HEINZ ABC'!$A$4:$E$112,8,0),0)</f>
        <v>0</v>
      </c>
      <c r="BQ96" s="55">
        <f>Table43[[#This Row],[Harga Jual Pcs GT
(-PPN)]]-Table43[[#This Row],[HARGA NAIK GT]]</f>
        <v>6300.6306306306296</v>
      </c>
      <c r="BR96" s="4">
        <f>IF(Table43[[#This Row],[HARGA NAIK GT]]=0,Table43[[#This Row],[Harga Jual Pcs GT
(-PPN)]],Table43[[#This Row],[HARGA NAIK GT]])</f>
        <v>6300.6306306306296</v>
      </c>
      <c r="BS96">
        <f>IFERROR(VLOOKUP(Table43[[#This Row],[Kode Pcpl]],'[1]HEINZ ABC'!$A$4:$E$112,8,0),0)</f>
        <v>0</v>
      </c>
      <c r="BT96" s="58">
        <f>Table43[[#This Row],[Harga Jual Pcs GT
(-PPN)]]-BS96</f>
        <v>6300.6306306306296</v>
      </c>
      <c r="BU96">
        <f>IF(BS96=0,Table43[[#This Row],[Harga Jual Pcs MT
(-PPN)]])</f>
        <v>6615.6621621621616</v>
      </c>
      <c r="BV96">
        <f>IFERROR(VLOOKUP(Table43[[#This Row],[Kode Pcpl]],[2]Pricelist!$A$4:$K$112,11,0),0)</f>
        <v>7343.3850000000002</v>
      </c>
      <c r="BW96">
        <f>IFERROR(VLOOKUP(Table43[[#This Row],[Kode BARANG Win2]],[3]!RECKITT211216[[KDBRG]:[HRG_JL_PCS-PPN]],11,0),0)</f>
        <v>0</v>
      </c>
      <c r="BX96">
        <f t="shared" si="5"/>
        <v>6615.6621621621616</v>
      </c>
    </row>
    <row r="97" spans="1:76" x14ac:dyDescent="0.25">
      <c r="A97" s="4" t="str">
        <f>CONCATENATE(Table43[[#This Row],[Kode BARANG Win2]],Table43[[#This Row],[No. Urut
Item Sama]])</f>
        <v>A10301000003103</v>
      </c>
      <c r="B97" s="7">
        <v>3</v>
      </c>
      <c r="C97" s="4">
        <v>84</v>
      </c>
      <c r="D97" s="27">
        <v>612147</v>
      </c>
      <c r="E97" s="27" t="s">
        <v>301</v>
      </c>
      <c r="F97" s="27" t="s">
        <v>1022</v>
      </c>
      <c r="G97" s="27">
        <v>36</v>
      </c>
      <c r="H97" s="42" t="s">
        <v>2982</v>
      </c>
      <c r="I97" s="27" t="str">
        <f>Table43[[#This Row],[Nama Jenis Kemasan]]</f>
        <v>PCSX20</v>
      </c>
      <c r="J97" s="4" t="str">
        <f>TRIM(CONCATENATE(Table43[[#This Row],[Nama            KLP]]," ",Table43[[#This Row],[Nama            Sub KLP]]))</f>
        <v>TERASI</v>
      </c>
      <c r="K97" s="4" t="str">
        <f>CONCATENATE(Table43[[#This Row],[kode  2 Digit                (hrf+No)]],Table43[[#This Row],[kode  2 Digit                (Nomor)]],Table43[[#This Row],[kode  1 Digit                (Nomor)]])</f>
        <v>A1030</v>
      </c>
      <c r="L97" s="4" t="str">
        <f>IF(AG97="",CONCATENATE(Q97,S97,U97,W97,Y97,AA97,AC97,AE97,Table43[[#This Row],[Tanda Kode Revisi]]),CONCATENATE(Q97,S97,U97,W97,Y97,AA97,AC97,AG97))</f>
        <v>A1030100000310</v>
      </c>
      <c r="M97" s="11">
        <f t="shared" si="3"/>
        <v>14</v>
      </c>
      <c r="N97" s="14" t="str">
        <f>IF(AF97&lt;&gt;"",TRIM(UPPER(CONCATENATE(P97," ",R97," ",T97," ",V97," ",X97," ",Z97," ","X"," ",Table43[[#This Row],[ISI/CTN]]," ",AF97," ",AB97," ",AD97," ",AH97))),TRIM(UPPER(CONCATENATE(P97," ",R97," ",T97," ",V97," ",X97," ",Z97," ","X"," ",Table43[[#This Row],[ISI/CTN]]," ",AB97," ",AD97," ",AH97))))</f>
        <v>ABC TERASI SACHET 3,8 GR X 36 PACK PCSX20</v>
      </c>
      <c r="O97" s="11">
        <f t="shared" si="4"/>
        <v>41</v>
      </c>
      <c r="P97" s="4" t="s">
        <v>28</v>
      </c>
      <c r="Q97" s="7" t="s">
        <v>85</v>
      </c>
      <c r="R97" s="4" t="s">
        <v>542</v>
      </c>
      <c r="S97" s="43" t="s">
        <v>219</v>
      </c>
      <c r="T97" s="44"/>
      <c r="U97" s="7" t="s">
        <v>1</v>
      </c>
      <c r="V97" s="44" t="s">
        <v>151</v>
      </c>
      <c r="W97" s="43">
        <v>1</v>
      </c>
      <c r="Y97" s="45" t="s">
        <v>476</v>
      </c>
      <c r="Z97" s="4" t="s">
        <v>543</v>
      </c>
      <c r="AA97" s="45" t="s">
        <v>544</v>
      </c>
      <c r="AB97" s="4" t="s">
        <v>545</v>
      </c>
      <c r="AC97" s="7" t="s">
        <v>480</v>
      </c>
      <c r="AE97" s="7" t="s">
        <v>1</v>
      </c>
      <c r="AF97" s="7" t="s">
        <v>546</v>
      </c>
      <c r="AI97" s="7" t="s">
        <v>215</v>
      </c>
      <c r="AJ97" s="7">
        <v>1</v>
      </c>
      <c r="AL97" s="40">
        <f>Table43[[#This Row],[Harga Jual Pcs GT
(-PPN)]]-(Table43[[#This Row],[Harga Jual Pcs GT
(-PPN)]]*6%)</f>
        <v>5922.5927927927914</v>
      </c>
      <c r="AM97" s="41">
        <f>Table43[[#This Row],[Harga Beli Pcs
(-PPN)]]*Table43[[#This Row],[ISI/CTN]]</f>
        <v>213213.34054054049</v>
      </c>
      <c r="AN97" s="41">
        <f>Table43[[#This Row],[Harga Beli Pcs
(-PPN)]]*1.11</f>
        <v>6574.0779999999995</v>
      </c>
      <c r="AO97" s="41">
        <f>Table43[[#This Row],[Harga Beli Krt
(- PPN)]]*1.11</f>
        <v>236666.80799999996</v>
      </c>
      <c r="AP97" s="41">
        <v>6300.6306306306296</v>
      </c>
      <c r="AQ97" s="41">
        <f>Table43[[#This Row],[Harga Jual Pcs GT
(-PPN)]]*Table43[[#This Row],[ISI/CTN]]</f>
        <v>226822.70270270266</v>
      </c>
      <c r="AR97" s="41">
        <f>Table43[[#This Row],[Harga Jual Pcs GT
(-PPN)]]*1.11</f>
        <v>6993.7</v>
      </c>
      <c r="AS97" s="41">
        <f>Table43[[#This Row],[Harga Jual Krt GT
(- PPN)]]*1.11</f>
        <v>251773.19999999998</v>
      </c>
      <c r="AT97" s="41">
        <v>6615.6621621621616</v>
      </c>
      <c r="AU97" s="41">
        <f>(Table43[[#This Row],[Harga Jual Pcs MT
(-PPN)]]*Table43[[#This Row],[ISI/CTN]])</f>
        <v>238163.83783783781</v>
      </c>
      <c r="AV97" s="41">
        <f>Table43[[#This Row],[Harga Jual Pcs MT
(-PPN)]]*1.11</f>
        <v>7343.3850000000002</v>
      </c>
      <c r="AW97" s="41">
        <f>Table43[[#This Row],[Harga Jual Pcs MT
(+PPN)]]*Table43[[#This Row],[ISI/CTN]]</f>
        <v>264361.86</v>
      </c>
      <c r="AX97" s="41"/>
      <c r="AY97" s="46"/>
      <c r="AZ97" s="54">
        <v>45839</v>
      </c>
      <c r="BA97" s="7" t="str">
        <f ca="1">IF(TODAY()-Table43[[#This Row],[Efektif
Pembuatan]]&gt;60,"Lama","Baru")</f>
        <v>Lama</v>
      </c>
      <c r="BB97" s="7" t="str">
        <f ca="1">IF(TODAY()-Table43[[#This Row],[Efektif Naik Harga]]&lt;30,"Naik","Sama")</f>
        <v>Sama</v>
      </c>
      <c r="BC97" s="7"/>
      <c r="BD97" s="7" t="str">
        <f>IF(Table43[[#This Row],[Kode BARANG Win2]]&lt;&gt;"","IDR","")</f>
        <v>IDR</v>
      </c>
      <c r="BE97" s="7" t="str">
        <f>CONCATENATE(Table43[[#This Row],[kode  1 Digit
(Nomor)]],Table43[[#This Row],[kode  4 Digit                (Nomor)]])</f>
        <v>10003</v>
      </c>
      <c r="BF97" s="7" t="str">
        <f>Table43[[#This Row],[Nama            Gramasi atau Jumlah Pack per CTN]]</f>
        <v>3,8 GR</v>
      </c>
      <c r="BG97" s="7"/>
      <c r="BH97" s="51"/>
      <c r="BI97" s="4" t="str">
        <f>IF(Table43[[#This Row],[SATUAN Fix Win]]&lt;&gt;"","KRT")</f>
        <v>KRT</v>
      </c>
      <c r="BJ97" s="4" t="str">
        <f>IF(Table43[[#This Row],[SATUAN Fix Win]]&lt;&gt;"","GD01")</f>
        <v>GD01</v>
      </c>
      <c r="BK97" s="4">
        <f>IF(Table43[[#This Row],[SATUAN Fix Win]]&lt;&gt;"",11611)</f>
        <v>11611</v>
      </c>
      <c r="BL97" s="4">
        <f>IF(Table43[[#This Row],[SATUAN Fix Win]]&lt;&gt;"",11612)</f>
        <v>11612</v>
      </c>
      <c r="BM97" s="47" t="s">
        <v>655</v>
      </c>
      <c r="BN97" s="4">
        <f>IF(Table43[[#This Row],[SATUAN Fix Win]]&lt;&gt;"",1)</f>
        <v>1</v>
      </c>
      <c r="BO97" s="4" t="s">
        <v>656</v>
      </c>
      <c r="BP97" s="4">
        <f>IFERROR(VLOOKUP(Table43[[#This Row],[Kode Pcpl]],'[1]HEINZ ABC'!$A$4:$E$112,8,0),0)</f>
        <v>0</v>
      </c>
      <c r="BQ97" s="55">
        <f>Table43[[#This Row],[Harga Jual Pcs GT
(-PPN)]]-Table43[[#This Row],[HARGA NAIK GT]]</f>
        <v>6300.6306306306296</v>
      </c>
      <c r="BR97" s="4">
        <f>IF(Table43[[#This Row],[HARGA NAIK GT]]=0,Table43[[#This Row],[Harga Jual Pcs GT
(-PPN)]],Table43[[#This Row],[HARGA NAIK GT]])</f>
        <v>6300.6306306306296</v>
      </c>
      <c r="BS97">
        <f>IFERROR(VLOOKUP(Table43[[#This Row],[Kode Pcpl]],'[1]HEINZ ABC'!$A$4:$E$112,8,0),0)</f>
        <v>0</v>
      </c>
      <c r="BT97" s="58">
        <f>Table43[[#This Row],[Harga Jual Pcs GT
(-PPN)]]-BS97</f>
        <v>6300.6306306306296</v>
      </c>
      <c r="BU97">
        <f>IF(BS97=0,Table43[[#This Row],[Harga Jual Pcs MT
(-PPN)]])</f>
        <v>6615.6621621621616</v>
      </c>
      <c r="BV97">
        <f>IFERROR(VLOOKUP(Table43[[#This Row],[Kode Pcpl]],[2]Pricelist!$A$4:$K$112,11,0),0)</f>
        <v>7343.3850000000002</v>
      </c>
      <c r="BW97">
        <f>IFERROR(VLOOKUP(Table43[[#This Row],[Kode BARANG Win2]],[3]!RECKITT211216[[KDBRG]:[HRG_JL_PCS-PPN]],11,0),0)</f>
        <v>0</v>
      </c>
      <c r="BX97">
        <f t="shared" si="5"/>
        <v>6615.6621621621616</v>
      </c>
    </row>
    <row r="98" spans="1:76" x14ac:dyDescent="0.25">
      <c r="A98" s="4" t="str">
        <f>CONCATENATE(Table43[[#This Row],[Kode BARANG Win2]],Table43[[#This Row],[No. Urut
Item Sama]])</f>
        <v>A10410010090101</v>
      </c>
      <c r="B98" s="7">
        <v>1</v>
      </c>
      <c r="C98" s="4">
        <v>85</v>
      </c>
      <c r="D98" s="27">
        <v>460166</v>
      </c>
      <c r="E98" s="27" t="s">
        <v>304</v>
      </c>
      <c r="F98" s="27" t="s">
        <v>305</v>
      </c>
      <c r="G98" s="27">
        <v>48</v>
      </c>
      <c r="H98" s="42" t="s">
        <v>2880</v>
      </c>
      <c r="I98" s="27" t="str">
        <f>Table43[[#This Row],[Nama Jenis Kemasan]]</f>
        <v>PCS</v>
      </c>
      <c r="J98" s="4" t="str">
        <f>TRIM(CONCATENATE(Table43[[#This Row],[Nama            KLP]]," ",Table43[[#This Row],[Nama            Sub KLP]]))</f>
        <v>MR JUSSIE MILKY</v>
      </c>
      <c r="K98" s="4" t="str">
        <f>CONCATENATE(Table43[[#This Row],[kode  2 Digit                (hrf+No)]],Table43[[#This Row],[kode  2 Digit                (Nomor)]],Table43[[#This Row],[kode  1 Digit                (Nomor)]])</f>
        <v>A1041</v>
      </c>
      <c r="L98" s="4" t="str">
        <f>IF(AG98="",CONCATENATE(Q98,S98,U98,W98,Y98,AA98,AC98,AE98,Table43[[#This Row],[Tanda Kode Revisi]]),CONCATENATE(Q98,S98,U98,W98,Y98,AA98,AC98,AG98))</f>
        <v>A1041001009010</v>
      </c>
      <c r="M98" s="11">
        <f t="shared" si="3"/>
        <v>14</v>
      </c>
      <c r="N98" s="14" t="str">
        <f>IF(AF98&lt;&gt;"",TRIM(UPPER(CONCATENATE(P98," ",R98," ",T98," ",V98," ",X98," ",Z98," ","X"," ",Table43[[#This Row],[ISI/CTN]]," ",AF98," ",AB98," ",AD98," ",AH98))),TRIM(UPPER(CONCATENATE(P98," ",R98," ",T98," ",V98," ",X98," ",Z98," ","X"," ",Table43[[#This Row],[ISI/CTN]]," ",AB98," ",AD98," ",AH98))))</f>
        <v>ABC MR JUSSIE MILKY GRAPE 90 ML X 48 PCS</v>
      </c>
      <c r="O98" s="11">
        <f t="shared" si="4"/>
        <v>40</v>
      </c>
      <c r="P98" s="4" t="s">
        <v>28</v>
      </c>
      <c r="Q98" s="7" t="s">
        <v>85</v>
      </c>
      <c r="R98" s="4" t="s">
        <v>547</v>
      </c>
      <c r="S98" s="43" t="s">
        <v>220</v>
      </c>
      <c r="T98" s="44" t="s">
        <v>548</v>
      </c>
      <c r="U98" s="7">
        <v>1</v>
      </c>
      <c r="V98" s="44"/>
      <c r="W98" s="43" t="s">
        <v>1</v>
      </c>
      <c r="X98" s="4" t="s">
        <v>549</v>
      </c>
      <c r="Y98" s="45" t="s">
        <v>0</v>
      </c>
      <c r="Z98" s="4" t="s">
        <v>550</v>
      </c>
      <c r="AA98" s="45" t="s">
        <v>551</v>
      </c>
      <c r="AB98" s="4" t="s">
        <v>552</v>
      </c>
      <c r="AC98" s="7" t="s">
        <v>480</v>
      </c>
      <c r="AE98" s="7" t="s">
        <v>1</v>
      </c>
      <c r="AI98" s="7" t="s">
        <v>214</v>
      </c>
      <c r="AJ98" s="7">
        <v>2</v>
      </c>
      <c r="AL98" s="40">
        <f>Table43[[#This Row],[Harga Jual Pcs GT
(-PPN)]]-(Table43[[#This Row],[Harga Jual Pcs GT
(-PPN)]]*6%)</f>
        <v>1351.9926</v>
      </c>
      <c r="AM98" s="41">
        <f>Table43[[#This Row],[Harga Beli Pcs
(-PPN)]]*Table43[[#This Row],[ISI/CTN]]</f>
        <v>64895.644800000002</v>
      </c>
      <c r="AN98" s="41">
        <f>Table43[[#This Row],[Harga Beli Pcs
(-PPN)]]*1.11</f>
        <v>1500.7117860000001</v>
      </c>
      <c r="AO98" s="41">
        <f>Table43[[#This Row],[Harga Beli Krt
(- PPN)]]*1.11</f>
        <v>72034.165728000007</v>
      </c>
      <c r="AP98" s="132">
        <v>1438.29</v>
      </c>
      <c r="AQ98" s="41">
        <f>Table43[[#This Row],[Harga Jual Pcs GT
(-PPN)]]*Table43[[#This Row],[ISI/CTN]]</f>
        <v>69037.919999999998</v>
      </c>
      <c r="AR98" s="41">
        <f>Table43[[#This Row],[Harga Jual Pcs GT
(-PPN)]]*1.11</f>
        <v>1596.5019000000002</v>
      </c>
      <c r="AS98" s="41">
        <f>Table43[[#This Row],[Harga Jual Krt GT
(- PPN)]]*1.11</f>
        <v>76632.09120000001</v>
      </c>
      <c r="AT98" s="132">
        <v>1510.2</v>
      </c>
      <c r="AU98" s="41">
        <f>(Table43[[#This Row],[Harga Jual Pcs MT
(-PPN)]]*Table43[[#This Row],[ISI/CTN]])</f>
        <v>72489.600000000006</v>
      </c>
      <c r="AV98" s="41">
        <f>Table43[[#This Row],[Harga Jual Pcs MT
(-PPN)]]*1.11</f>
        <v>1676.3220000000001</v>
      </c>
      <c r="AW98" s="41">
        <f>Table43[[#This Row],[Harga Jual Pcs MT
(+PPN)]]*Table43[[#This Row],[ISI/CTN]]</f>
        <v>80463.456000000006</v>
      </c>
      <c r="AX98" s="41"/>
      <c r="AY98" s="46">
        <v>45553</v>
      </c>
      <c r="AZ98" s="54">
        <v>45945</v>
      </c>
      <c r="BA98" s="7" t="str">
        <f ca="1">IF(TODAY()-Table43[[#This Row],[Efektif
Pembuatan]]&gt;60,"Lama","Baru")</f>
        <v>Lama</v>
      </c>
      <c r="BB98" s="7" t="str">
        <f ca="1">IF(TODAY()-Table43[[#This Row],[Efektif Naik Harga]]&lt;30,"Naik","Sama")</f>
        <v>Sama</v>
      </c>
      <c r="BC98" s="7" t="s">
        <v>235</v>
      </c>
      <c r="BD98" s="7" t="str">
        <f>IF(Table43[[#This Row],[Kode BARANG Win2]]&lt;&gt;"","IDR","")</f>
        <v>IDR</v>
      </c>
      <c r="BE98" s="7" t="str">
        <f>CONCATENATE(Table43[[#This Row],[kode  1 Digit
(Nomor)]],Table43[[#This Row],[kode  4 Digit                (Nomor)]])</f>
        <v>20090</v>
      </c>
      <c r="BF98" s="7" t="str">
        <f>Table43[[#This Row],[Nama            Gramasi atau Jumlah Pack per CTN]]</f>
        <v>90 ML</v>
      </c>
      <c r="BG98" s="7" t="s">
        <v>653</v>
      </c>
      <c r="BH98" s="51" t="s">
        <v>654</v>
      </c>
      <c r="BI98" s="4" t="str">
        <f>IF(Table43[[#This Row],[SATUAN Fix Win]]&lt;&gt;"","KRT")</f>
        <v>KRT</v>
      </c>
      <c r="BJ98" s="4" t="str">
        <f>IF(Table43[[#This Row],[SATUAN Fix Win]]&lt;&gt;"","GD01")</f>
        <v>GD01</v>
      </c>
      <c r="BK98" s="4">
        <f>IF(Table43[[#This Row],[SATUAN Fix Win]]&lt;&gt;"",11611)</f>
        <v>11611</v>
      </c>
      <c r="BL98" s="4">
        <f>IF(Table43[[#This Row],[SATUAN Fix Win]]&lt;&gt;"",11612)</f>
        <v>11612</v>
      </c>
      <c r="BM98" s="47" t="s">
        <v>655</v>
      </c>
      <c r="BN98" s="4">
        <f>IF(Table43[[#This Row],[SATUAN Fix Win]]&lt;&gt;"",1)</f>
        <v>1</v>
      </c>
      <c r="BO98" s="4" t="s">
        <v>656</v>
      </c>
      <c r="BP98" s="4">
        <f>IFERROR(VLOOKUP(Table43[[#This Row],[Kode Pcpl]],'[1]HEINZ ABC'!$A$4:$E$112,8,0),0)</f>
        <v>0</v>
      </c>
      <c r="BQ98" s="55">
        <f>Table43[[#This Row],[Harga Jual Pcs GT
(-PPN)]]-Table43[[#This Row],[HARGA NAIK GT]]</f>
        <v>1438.29</v>
      </c>
      <c r="BR98" s="4">
        <f>IF(Table43[[#This Row],[HARGA NAIK GT]]=0,Table43[[#This Row],[Harga Jual Pcs GT
(-PPN)]],Table43[[#This Row],[HARGA NAIK GT]])</f>
        <v>1438.29</v>
      </c>
      <c r="BS98">
        <f>IFERROR(VLOOKUP(Table43[[#This Row],[Kode Pcpl]],'[1]HEINZ ABC'!$A$4:$E$112,8,0),0)</f>
        <v>0</v>
      </c>
      <c r="BT98" s="58">
        <f>Table43[[#This Row],[Harga Jual Pcs GT
(-PPN)]]-BS98</f>
        <v>1438.29</v>
      </c>
      <c r="BU98">
        <f>IF(BS98=0,Table43[[#This Row],[Harga Jual Pcs MT
(-PPN)]])</f>
        <v>1510.2</v>
      </c>
      <c r="BV98">
        <f>IFERROR(VLOOKUP(Table43[[#This Row],[Kode Pcpl]],[2]Pricelist!$A$4:$K$112,11,0),0)</f>
        <v>0</v>
      </c>
      <c r="BW98">
        <f>IFERROR(VLOOKUP(Table43[[#This Row],[Kode BARANG Win2]],[3]!RECKITT211216[[KDBRG]:[HRG_JL_PCS-PPN]],11,0),0)</f>
        <v>0</v>
      </c>
      <c r="BX98">
        <f t="shared" si="5"/>
        <v>0</v>
      </c>
    </row>
    <row r="99" spans="1:76" x14ac:dyDescent="0.25">
      <c r="A99" s="4" t="str">
        <f>CONCATENATE(Table43[[#This Row],[Kode BARANG Win2]],Table43[[#This Row],[No. Urut
Item Sama]])</f>
        <v>A10410020090101</v>
      </c>
      <c r="B99" s="7">
        <v>1</v>
      </c>
      <c r="C99" s="4">
        <v>86</v>
      </c>
      <c r="D99" s="27">
        <v>460167</v>
      </c>
      <c r="E99" s="27" t="s">
        <v>304</v>
      </c>
      <c r="F99" s="27" t="s">
        <v>306</v>
      </c>
      <c r="G99" s="27">
        <v>48</v>
      </c>
      <c r="H99" s="42" t="s">
        <v>2883</v>
      </c>
      <c r="I99" s="27" t="str">
        <f>Table43[[#This Row],[Nama Jenis Kemasan]]</f>
        <v>PCS</v>
      </c>
      <c r="J99" s="4" t="str">
        <f>TRIM(CONCATENATE(Table43[[#This Row],[Nama            KLP]]," ",Table43[[#This Row],[Nama            Sub KLP]]))</f>
        <v>MR JUSSIE MILKY</v>
      </c>
      <c r="K99" s="4" t="str">
        <f>CONCATENATE(Table43[[#This Row],[kode  2 Digit                (hrf+No)]],Table43[[#This Row],[kode  2 Digit                (Nomor)]],Table43[[#This Row],[kode  1 Digit                (Nomor)]])</f>
        <v>A1041</v>
      </c>
      <c r="L99" s="4" t="str">
        <f>IF(AG99="",CONCATENATE(Q99,S99,U99,W99,Y99,AA99,AC99,AE99,Table43[[#This Row],[Tanda Kode Revisi]]),CONCATENATE(Q99,S99,U99,W99,Y99,AA99,AC99,AG99))</f>
        <v>A1041002009010</v>
      </c>
      <c r="M99" s="11">
        <f t="shared" si="3"/>
        <v>14</v>
      </c>
      <c r="N99" s="14" t="str">
        <f>IF(AF99&lt;&gt;"",TRIM(UPPER(CONCATENATE(P99," ",R99," ",T99," ",V99," ",X99," ",Z99," ","X"," ",Table43[[#This Row],[ISI/CTN]]," ",AF99," ",AB99," ",AD99," ",AH99))),TRIM(UPPER(CONCATENATE(P99," ",R99," ",T99," ",V99," ",X99," ",Z99," ","X"," ",Table43[[#This Row],[ISI/CTN]]," ",AB99," ",AD99," ",AH99))))</f>
        <v>ABC MR JUSSIE MILKY STRAWBERRY 90 ML X 48 PCS</v>
      </c>
      <c r="O99" s="11">
        <f t="shared" si="4"/>
        <v>45</v>
      </c>
      <c r="P99" s="4" t="s">
        <v>28</v>
      </c>
      <c r="Q99" s="7" t="s">
        <v>85</v>
      </c>
      <c r="R99" s="4" t="s">
        <v>547</v>
      </c>
      <c r="S99" s="43" t="s">
        <v>220</v>
      </c>
      <c r="T99" s="44" t="s">
        <v>548</v>
      </c>
      <c r="U99" s="7">
        <v>1</v>
      </c>
      <c r="V99" s="44"/>
      <c r="W99" s="43" t="s">
        <v>1</v>
      </c>
      <c r="X99" s="4" t="s">
        <v>210</v>
      </c>
      <c r="Y99" s="45" t="s">
        <v>31</v>
      </c>
      <c r="Z99" s="4" t="s">
        <v>550</v>
      </c>
      <c r="AA99" s="45" t="s">
        <v>551</v>
      </c>
      <c r="AB99" s="4" t="s">
        <v>552</v>
      </c>
      <c r="AC99" s="7" t="s">
        <v>480</v>
      </c>
      <c r="AE99" s="7" t="s">
        <v>1</v>
      </c>
      <c r="AI99" s="7" t="s">
        <v>214</v>
      </c>
      <c r="AJ99" s="7">
        <v>2</v>
      </c>
      <c r="AL99" s="40">
        <f>Table43[[#This Row],[Harga Jual Pcs GT
(-PPN)]]-(Table43[[#This Row],[Harga Jual Pcs GT
(-PPN)]]*6%)</f>
        <v>1351.9926</v>
      </c>
      <c r="AM99" s="41">
        <f>Table43[[#This Row],[Harga Beli Pcs
(-PPN)]]*Table43[[#This Row],[ISI/CTN]]</f>
        <v>64895.644800000002</v>
      </c>
      <c r="AN99" s="41">
        <f>Table43[[#This Row],[Harga Beli Pcs
(-PPN)]]*1.11</f>
        <v>1500.7117860000001</v>
      </c>
      <c r="AO99" s="41">
        <f>Table43[[#This Row],[Harga Beli Krt
(- PPN)]]*1.11</f>
        <v>72034.165728000007</v>
      </c>
      <c r="AP99" s="132">
        <v>1438.29</v>
      </c>
      <c r="AQ99" s="41">
        <f>Table43[[#This Row],[Harga Jual Pcs GT
(-PPN)]]*Table43[[#This Row],[ISI/CTN]]</f>
        <v>69037.919999999998</v>
      </c>
      <c r="AR99" s="41">
        <f>Table43[[#This Row],[Harga Jual Pcs GT
(-PPN)]]*1.11</f>
        <v>1596.5019000000002</v>
      </c>
      <c r="AS99" s="41">
        <f>Table43[[#This Row],[Harga Jual Krt GT
(- PPN)]]*1.11</f>
        <v>76632.09120000001</v>
      </c>
      <c r="AT99" s="41">
        <v>1510.2</v>
      </c>
      <c r="AU99" s="41">
        <f>(Table43[[#This Row],[Harga Jual Pcs MT
(-PPN)]]*Table43[[#This Row],[ISI/CTN]])</f>
        <v>72489.600000000006</v>
      </c>
      <c r="AV99" s="41">
        <f>Table43[[#This Row],[Harga Jual Pcs MT
(-PPN)]]*1.11</f>
        <v>1676.3220000000001</v>
      </c>
      <c r="AW99" s="41">
        <f>Table43[[#This Row],[Harga Jual Pcs MT
(+PPN)]]*Table43[[#This Row],[ISI/CTN]]</f>
        <v>80463.456000000006</v>
      </c>
      <c r="AX99" s="41"/>
      <c r="AY99" s="46">
        <v>45553</v>
      </c>
      <c r="AZ99" s="54">
        <v>45553</v>
      </c>
      <c r="BA99" s="7" t="str">
        <f ca="1">IF(TODAY()-Table43[[#This Row],[Efektif
Pembuatan]]&gt;60,"Lama","Baru")</f>
        <v>Lama</v>
      </c>
      <c r="BB99" s="7" t="str">
        <f ca="1">IF(TODAY()-Table43[[#This Row],[Efektif Naik Harga]]&lt;30,"Naik","Sama")</f>
        <v>Sama</v>
      </c>
      <c r="BC99" s="7" t="s">
        <v>235</v>
      </c>
      <c r="BD99" s="7" t="str">
        <f>IF(Table43[[#This Row],[Kode BARANG Win2]]&lt;&gt;"","IDR","")</f>
        <v>IDR</v>
      </c>
      <c r="BE99" s="7" t="str">
        <f>CONCATENATE(Table43[[#This Row],[kode  1 Digit
(Nomor)]],Table43[[#This Row],[kode  4 Digit                (Nomor)]])</f>
        <v>20090</v>
      </c>
      <c r="BF99" s="7" t="str">
        <f>Table43[[#This Row],[Nama            Gramasi atau Jumlah Pack per CTN]]</f>
        <v>90 ML</v>
      </c>
      <c r="BG99" s="7" t="s">
        <v>653</v>
      </c>
      <c r="BH99" s="51" t="s">
        <v>654</v>
      </c>
      <c r="BI99" s="4" t="str">
        <f>IF(Table43[[#This Row],[SATUAN Fix Win]]&lt;&gt;"","KRT")</f>
        <v>KRT</v>
      </c>
      <c r="BJ99" s="4" t="str">
        <f>IF(Table43[[#This Row],[SATUAN Fix Win]]&lt;&gt;"","GD01")</f>
        <v>GD01</v>
      </c>
      <c r="BK99" s="4">
        <f>IF(Table43[[#This Row],[SATUAN Fix Win]]&lt;&gt;"",11611)</f>
        <v>11611</v>
      </c>
      <c r="BL99" s="4">
        <f>IF(Table43[[#This Row],[SATUAN Fix Win]]&lt;&gt;"",11612)</f>
        <v>11612</v>
      </c>
      <c r="BM99" s="47" t="s">
        <v>655</v>
      </c>
      <c r="BN99" s="4">
        <f>IF(Table43[[#This Row],[SATUAN Fix Win]]&lt;&gt;"",1)</f>
        <v>1</v>
      </c>
      <c r="BO99" s="4" t="s">
        <v>656</v>
      </c>
      <c r="BP99" s="4">
        <f>IFERROR(VLOOKUP(Table43[[#This Row],[Kode Pcpl]],'[1]HEINZ ABC'!$A$4:$E$112,8,0),0)</f>
        <v>0</v>
      </c>
      <c r="BQ99" s="55">
        <f>Table43[[#This Row],[Harga Jual Pcs GT
(-PPN)]]-Table43[[#This Row],[HARGA NAIK GT]]</f>
        <v>1438.29</v>
      </c>
      <c r="BR99" s="4">
        <f>IF(Table43[[#This Row],[HARGA NAIK GT]]=0,Table43[[#This Row],[Harga Jual Pcs GT
(-PPN)]],Table43[[#This Row],[HARGA NAIK GT]])</f>
        <v>1438.29</v>
      </c>
      <c r="BS99">
        <f>IFERROR(VLOOKUP(Table43[[#This Row],[Kode Pcpl]],'[1]HEINZ ABC'!$A$4:$E$112,8,0),0)</f>
        <v>0</v>
      </c>
      <c r="BT99" s="58">
        <f>Table43[[#This Row],[Harga Jual Pcs GT
(-PPN)]]-BS99</f>
        <v>1438.29</v>
      </c>
      <c r="BU99">
        <f>IF(BS99=0,Table43[[#This Row],[Harga Jual Pcs MT
(-PPN)]])</f>
        <v>1510.2</v>
      </c>
      <c r="BV99">
        <f>IFERROR(VLOOKUP(Table43[[#This Row],[Kode Pcpl]],[2]Pricelist!$A$4:$K$112,11,0),0)</f>
        <v>0</v>
      </c>
      <c r="BW99">
        <f>IFERROR(VLOOKUP(Table43[[#This Row],[Kode BARANG Win2]],[3]!RECKITT211216[[KDBRG]:[HRG_JL_PCS-PPN]],11,0),0)</f>
        <v>0</v>
      </c>
      <c r="BX99">
        <f t="shared" si="5"/>
        <v>0</v>
      </c>
    </row>
    <row r="100" spans="1:76" x14ac:dyDescent="0.25">
      <c r="A100" s="4" t="str">
        <f>CONCATENATE(Table43[[#This Row],[Kode BARANG Win2]],Table43[[#This Row],[No. Urut
Item Sama]])</f>
        <v>A10410030090101</v>
      </c>
      <c r="B100" s="7">
        <v>1</v>
      </c>
      <c r="C100" s="4">
        <v>87</v>
      </c>
      <c r="D100" s="27">
        <v>460168</v>
      </c>
      <c r="E100" s="27" t="s">
        <v>304</v>
      </c>
      <c r="F100" s="27" t="s">
        <v>307</v>
      </c>
      <c r="G100" s="27">
        <v>48</v>
      </c>
      <c r="H100" s="42" t="s">
        <v>2881</v>
      </c>
      <c r="I100" s="27" t="str">
        <f>Table43[[#This Row],[Nama Jenis Kemasan]]</f>
        <v>PCS</v>
      </c>
      <c r="J100" s="4" t="str">
        <f>TRIM(CONCATENATE(Table43[[#This Row],[Nama            KLP]]," ",Table43[[#This Row],[Nama            Sub KLP]]))</f>
        <v>MR JUSSIE MILKY</v>
      </c>
      <c r="K100" s="4" t="str">
        <f>CONCATENATE(Table43[[#This Row],[kode  2 Digit                (hrf+No)]],Table43[[#This Row],[kode  2 Digit                (Nomor)]],Table43[[#This Row],[kode  1 Digit                (Nomor)]])</f>
        <v>A1041</v>
      </c>
      <c r="L100" s="4" t="str">
        <f>IF(AG100="",CONCATENATE(Q100,S100,U100,W100,Y100,AA100,AC100,AE100,Table43[[#This Row],[Tanda Kode Revisi]]),CONCATENATE(Q100,S100,U100,W100,Y100,AA100,AC100,AG100))</f>
        <v>A1041003009010</v>
      </c>
      <c r="M100" s="11">
        <f t="shared" si="3"/>
        <v>14</v>
      </c>
      <c r="N100" s="14" t="str">
        <f>IF(AF100&lt;&gt;"",TRIM(UPPER(CONCATENATE(P100," ",R100," ",T100," ",V100," ",X100," ",Z100," ","X"," ",Table43[[#This Row],[ISI/CTN]]," ",AF100," ",AB100," ",AD100," ",AH100))),TRIM(UPPER(CONCATENATE(P100," ",R100," ",T100," ",V100," ",X100," ",Z100," ","X"," ",Table43[[#This Row],[ISI/CTN]]," ",AB100," ",AD100," ",AH100))))</f>
        <v>ABC MR JUSSIE MILKY MANGO 90 ML X 48 PCS</v>
      </c>
      <c r="O100" s="11">
        <f t="shared" si="4"/>
        <v>40</v>
      </c>
      <c r="P100" s="4" t="s">
        <v>28</v>
      </c>
      <c r="Q100" s="7" t="s">
        <v>85</v>
      </c>
      <c r="R100" s="4" t="s">
        <v>547</v>
      </c>
      <c r="S100" s="43" t="s">
        <v>220</v>
      </c>
      <c r="T100" s="44" t="s">
        <v>548</v>
      </c>
      <c r="U100" s="7">
        <v>1</v>
      </c>
      <c r="V100" s="44"/>
      <c r="W100" s="43" t="s">
        <v>1</v>
      </c>
      <c r="X100" s="4" t="s">
        <v>553</v>
      </c>
      <c r="Y100" s="45" t="s">
        <v>219</v>
      </c>
      <c r="Z100" s="4" t="s">
        <v>550</v>
      </c>
      <c r="AA100" s="45" t="s">
        <v>551</v>
      </c>
      <c r="AB100" s="4" t="s">
        <v>552</v>
      </c>
      <c r="AC100" s="7" t="s">
        <v>480</v>
      </c>
      <c r="AE100" s="7" t="s">
        <v>1</v>
      </c>
      <c r="AI100" s="7" t="s">
        <v>214</v>
      </c>
      <c r="AJ100" s="7">
        <v>2</v>
      </c>
      <c r="AL100" s="40">
        <f>Table43[[#This Row],[Harga Jual Pcs GT
(-PPN)]]-(Table43[[#This Row],[Harga Jual Pcs GT
(-PPN)]]*6%)</f>
        <v>1351.9926</v>
      </c>
      <c r="AM100" s="41">
        <f>Table43[[#This Row],[Harga Beli Pcs
(-PPN)]]*Table43[[#This Row],[ISI/CTN]]</f>
        <v>64895.644800000002</v>
      </c>
      <c r="AN100" s="41">
        <f>Table43[[#This Row],[Harga Beli Pcs
(-PPN)]]*1.11</f>
        <v>1500.7117860000001</v>
      </c>
      <c r="AO100" s="41">
        <f>Table43[[#This Row],[Harga Beli Krt
(- PPN)]]*1.11</f>
        <v>72034.165728000007</v>
      </c>
      <c r="AP100" s="41">
        <v>1438.29</v>
      </c>
      <c r="AQ100" s="41">
        <f>Table43[[#This Row],[Harga Jual Pcs GT
(-PPN)]]*Table43[[#This Row],[ISI/CTN]]</f>
        <v>69037.919999999998</v>
      </c>
      <c r="AR100" s="41">
        <f>Table43[[#This Row],[Harga Jual Pcs GT
(-PPN)]]*1.11</f>
        <v>1596.5019000000002</v>
      </c>
      <c r="AS100" s="41">
        <f>Table43[[#This Row],[Harga Jual Krt GT
(- PPN)]]*1.11</f>
        <v>76632.09120000001</v>
      </c>
      <c r="AT100" s="41">
        <v>1510.2</v>
      </c>
      <c r="AU100" s="41">
        <f>(Table43[[#This Row],[Harga Jual Pcs MT
(-PPN)]]*Table43[[#This Row],[ISI/CTN]])</f>
        <v>72489.600000000006</v>
      </c>
      <c r="AV100" s="41">
        <f>Table43[[#This Row],[Harga Jual Pcs MT
(-PPN)]]*1.11</f>
        <v>1676.3220000000001</v>
      </c>
      <c r="AW100" s="41">
        <f>Table43[[#This Row],[Harga Jual Pcs MT
(+PPN)]]*Table43[[#This Row],[ISI/CTN]]</f>
        <v>80463.456000000006</v>
      </c>
      <c r="AX100" s="41"/>
      <c r="AY100" s="46">
        <v>45553</v>
      </c>
      <c r="AZ100" s="54">
        <v>45945</v>
      </c>
      <c r="BA100" s="7" t="str">
        <f ca="1">IF(TODAY()-Table43[[#This Row],[Efektif
Pembuatan]]&gt;60,"Lama","Baru")</f>
        <v>Lama</v>
      </c>
      <c r="BB100" s="7" t="str">
        <f ca="1">IF(TODAY()-Table43[[#This Row],[Efektif Naik Harga]]&lt;30,"Naik","Sama")</f>
        <v>Sama</v>
      </c>
      <c r="BC100" s="7" t="s">
        <v>235</v>
      </c>
      <c r="BD100" s="7" t="str">
        <f>IF(Table43[[#This Row],[Kode BARANG Win2]]&lt;&gt;"","IDR","")</f>
        <v>IDR</v>
      </c>
      <c r="BE100" s="7" t="str">
        <f>CONCATENATE(Table43[[#This Row],[kode  1 Digit
(Nomor)]],Table43[[#This Row],[kode  4 Digit                (Nomor)]])</f>
        <v>20090</v>
      </c>
      <c r="BF100" s="7" t="str">
        <f>Table43[[#This Row],[Nama            Gramasi atau Jumlah Pack per CTN]]</f>
        <v>90 ML</v>
      </c>
      <c r="BG100" s="7" t="s">
        <v>653</v>
      </c>
      <c r="BH100" s="51" t="s">
        <v>654</v>
      </c>
      <c r="BI100" s="4" t="str">
        <f>IF(Table43[[#This Row],[SATUAN Fix Win]]&lt;&gt;"","KRT")</f>
        <v>KRT</v>
      </c>
      <c r="BJ100" s="4" t="str">
        <f>IF(Table43[[#This Row],[SATUAN Fix Win]]&lt;&gt;"","GD01")</f>
        <v>GD01</v>
      </c>
      <c r="BK100" s="4">
        <f>IF(Table43[[#This Row],[SATUAN Fix Win]]&lt;&gt;"",11611)</f>
        <v>11611</v>
      </c>
      <c r="BL100" s="4">
        <f>IF(Table43[[#This Row],[SATUAN Fix Win]]&lt;&gt;"",11612)</f>
        <v>11612</v>
      </c>
      <c r="BM100" s="47" t="s">
        <v>655</v>
      </c>
      <c r="BN100" s="4">
        <f>IF(Table43[[#This Row],[SATUAN Fix Win]]&lt;&gt;"",1)</f>
        <v>1</v>
      </c>
      <c r="BO100" s="4" t="s">
        <v>656</v>
      </c>
      <c r="BP100" s="4">
        <f>IFERROR(VLOOKUP(Table43[[#This Row],[Kode Pcpl]],'[1]HEINZ ABC'!$A$4:$E$112,8,0),0)</f>
        <v>0</v>
      </c>
      <c r="BQ100" s="55">
        <f>Table43[[#This Row],[Harga Jual Pcs GT
(-PPN)]]-Table43[[#This Row],[HARGA NAIK GT]]</f>
        <v>1438.29</v>
      </c>
      <c r="BR100" s="4">
        <f>IF(Table43[[#This Row],[HARGA NAIK GT]]=0,Table43[[#This Row],[Harga Jual Pcs GT
(-PPN)]],Table43[[#This Row],[HARGA NAIK GT]])</f>
        <v>1438.29</v>
      </c>
      <c r="BS100">
        <f>IFERROR(VLOOKUP(Table43[[#This Row],[Kode Pcpl]],'[1]HEINZ ABC'!$A$4:$E$112,8,0),0)</f>
        <v>0</v>
      </c>
      <c r="BT100" s="58">
        <f>Table43[[#This Row],[Harga Jual Pcs GT
(-PPN)]]-BS100</f>
        <v>1438.29</v>
      </c>
      <c r="BU100">
        <f>IF(BS100=0,Table43[[#This Row],[Harga Jual Pcs MT
(-PPN)]])</f>
        <v>1510.2</v>
      </c>
      <c r="BV100">
        <f>IFERROR(VLOOKUP(Table43[[#This Row],[Kode Pcpl]],[2]Pricelist!$A$4:$K$112,11,0),0)</f>
        <v>0</v>
      </c>
      <c r="BW100">
        <f>IFERROR(VLOOKUP(Table43[[#This Row],[Kode BARANG Win2]],[3]!RECKITT211216[[KDBRG]:[HRG_JL_PCS-PPN]],11,0),0)</f>
        <v>0</v>
      </c>
      <c r="BX100">
        <f t="shared" si="5"/>
        <v>0</v>
      </c>
    </row>
    <row r="101" spans="1:76" x14ac:dyDescent="0.25">
      <c r="A101" s="4" t="str">
        <f>CONCATENATE(Table43[[#This Row],[Kode BARANG Win2]],Table43[[#This Row],[No. Urut
Item Sama]])</f>
        <v>A10410040090101</v>
      </c>
      <c r="B101" s="7">
        <v>1</v>
      </c>
      <c r="C101" s="4">
        <v>88</v>
      </c>
      <c r="D101" s="27">
        <v>460169</v>
      </c>
      <c r="E101" s="27" t="s">
        <v>304</v>
      </c>
      <c r="F101" s="27" t="s">
        <v>308</v>
      </c>
      <c r="G101" s="27">
        <v>48</v>
      </c>
      <c r="H101" s="42" t="s">
        <v>2882</v>
      </c>
      <c r="I101" s="27" t="str">
        <f>Table43[[#This Row],[Nama Jenis Kemasan]]</f>
        <v>PCS</v>
      </c>
      <c r="J101" s="4" t="str">
        <f>TRIM(CONCATENATE(Table43[[#This Row],[Nama            KLP]]," ",Table43[[#This Row],[Nama            Sub KLP]]))</f>
        <v>MR JUSSIE MILKY</v>
      </c>
      <c r="K101" s="4" t="str">
        <f>CONCATENATE(Table43[[#This Row],[kode  2 Digit                (hrf+No)]],Table43[[#This Row],[kode  2 Digit                (Nomor)]],Table43[[#This Row],[kode  1 Digit                (Nomor)]])</f>
        <v>A1041</v>
      </c>
      <c r="L101" s="4" t="str">
        <f>IF(AG101="",CONCATENATE(Q101,S101,U101,W101,Y101,AA101,AC101,AE101,Table43[[#This Row],[Tanda Kode Revisi]]),CONCATENATE(Q101,S101,U101,W101,Y101,AA101,AC101,AG101))</f>
        <v>A1041004009010</v>
      </c>
      <c r="M101" s="11">
        <f t="shared" si="3"/>
        <v>14</v>
      </c>
      <c r="N101" s="14" t="str">
        <f>IF(AF101&lt;&gt;"",TRIM(UPPER(CONCATENATE(P101," ",R101," ",T101," ",V101," ",X101," ",Z101," ","X"," ",Table43[[#This Row],[ISI/CTN]]," ",AF101," ",AB101," ",AD101," ",AH101))),TRIM(UPPER(CONCATENATE(P101," ",R101," ",T101," ",V101," ",X101," ",Z101," ","X"," ",Table43[[#This Row],[ISI/CTN]]," ",AB101," ",AD101," ",AH101))))</f>
        <v>ABC MR JUSSIE MILKY ORANGE 90 ML X 48 PCS</v>
      </c>
      <c r="O101" s="11">
        <f t="shared" si="4"/>
        <v>41</v>
      </c>
      <c r="P101" s="4" t="s">
        <v>28</v>
      </c>
      <c r="Q101" s="7" t="s">
        <v>85</v>
      </c>
      <c r="R101" s="4" t="s">
        <v>547</v>
      </c>
      <c r="S101" s="43" t="s">
        <v>220</v>
      </c>
      <c r="T101" s="44" t="s">
        <v>548</v>
      </c>
      <c r="U101" s="7">
        <v>1</v>
      </c>
      <c r="V101" s="44"/>
      <c r="W101" s="43" t="s">
        <v>1</v>
      </c>
      <c r="X101" s="4" t="s">
        <v>554</v>
      </c>
      <c r="Y101" s="45" t="s">
        <v>220</v>
      </c>
      <c r="Z101" s="4" t="s">
        <v>550</v>
      </c>
      <c r="AA101" s="45" t="s">
        <v>551</v>
      </c>
      <c r="AB101" s="4" t="s">
        <v>552</v>
      </c>
      <c r="AC101" s="7" t="s">
        <v>480</v>
      </c>
      <c r="AE101" s="7" t="s">
        <v>1</v>
      </c>
      <c r="AI101" s="7" t="s">
        <v>214</v>
      </c>
      <c r="AJ101" s="7">
        <v>2</v>
      </c>
      <c r="AL101" s="40">
        <f>Table43[[#This Row],[Harga Jual Pcs GT
(-PPN)]]-(Table43[[#This Row],[Harga Jual Pcs GT
(-PPN)]]*6%)</f>
        <v>1351.9926</v>
      </c>
      <c r="AM101" s="41">
        <f>Table43[[#This Row],[Harga Beli Pcs
(-PPN)]]*Table43[[#This Row],[ISI/CTN]]</f>
        <v>64895.644800000002</v>
      </c>
      <c r="AN101" s="41">
        <f>Table43[[#This Row],[Harga Beli Pcs
(-PPN)]]*1.11</f>
        <v>1500.7117860000001</v>
      </c>
      <c r="AO101" s="41">
        <f>Table43[[#This Row],[Harga Beli Krt
(- PPN)]]*1.11</f>
        <v>72034.165728000007</v>
      </c>
      <c r="AP101" s="41">
        <v>1438.29</v>
      </c>
      <c r="AQ101" s="41">
        <f>Table43[[#This Row],[Harga Jual Pcs GT
(-PPN)]]*Table43[[#This Row],[ISI/CTN]]</f>
        <v>69037.919999999998</v>
      </c>
      <c r="AR101" s="41">
        <f>Table43[[#This Row],[Harga Jual Pcs GT
(-PPN)]]*1.11</f>
        <v>1596.5019000000002</v>
      </c>
      <c r="AS101" s="41">
        <f>Table43[[#This Row],[Harga Jual Krt GT
(- PPN)]]*1.11</f>
        <v>76632.09120000001</v>
      </c>
      <c r="AT101" s="41">
        <v>1510.2</v>
      </c>
      <c r="AU101" s="41">
        <f>(Table43[[#This Row],[Harga Jual Pcs MT
(-PPN)]]*Table43[[#This Row],[ISI/CTN]])</f>
        <v>72489.600000000006</v>
      </c>
      <c r="AV101" s="41">
        <f>Table43[[#This Row],[Harga Jual Pcs MT
(-PPN)]]*1.11</f>
        <v>1676.3220000000001</v>
      </c>
      <c r="AW101" s="41">
        <f>Table43[[#This Row],[Harga Jual Pcs MT
(+PPN)]]*Table43[[#This Row],[ISI/CTN]]</f>
        <v>80463.456000000006</v>
      </c>
      <c r="AX101" s="41"/>
      <c r="AY101" s="46">
        <v>45553</v>
      </c>
      <c r="AZ101" s="54">
        <v>45945</v>
      </c>
      <c r="BA101" s="7" t="str">
        <f ca="1">IF(TODAY()-Table43[[#This Row],[Efektif
Pembuatan]]&gt;60,"Lama","Baru")</f>
        <v>Lama</v>
      </c>
      <c r="BB101" s="7" t="str">
        <f ca="1">IF(TODAY()-Table43[[#This Row],[Efektif Naik Harga]]&lt;30,"Naik","Sama")</f>
        <v>Sama</v>
      </c>
      <c r="BC101" s="7" t="s">
        <v>235</v>
      </c>
      <c r="BD101" s="7" t="str">
        <f>IF(Table43[[#This Row],[Kode BARANG Win2]]&lt;&gt;"","IDR","")</f>
        <v>IDR</v>
      </c>
      <c r="BE101" s="7" t="str">
        <f>CONCATENATE(Table43[[#This Row],[kode  1 Digit
(Nomor)]],Table43[[#This Row],[kode  4 Digit                (Nomor)]])</f>
        <v>20090</v>
      </c>
      <c r="BF101" s="7" t="str">
        <f>Table43[[#This Row],[Nama            Gramasi atau Jumlah Pack per CTN]]</f>
        <v>90 ML</v>
      </c>
      <c r="BG101" s="7" t="s">
        <v>653</v>
      </c>
      <c r="BH101" s="51" t="s">
        <v>654</v>
      </c>
      <c r="BI101" s="4" t="str">
        <f>IF(Table43[[#This Row],[SATUAN Fix Win]]&lt;&gt;"","KRT")</f>
        <v>KRT</v>
      </c>
      <c r="BJ101" s="4" t="str">
        <f>IF(Table43[[#This Row],[SATUAN Fix Win]]&lt;&gt;"","GD01")</f>
        <v>GD01</v>
      </c>
      <c r="BK101" s="4">
        <f>IF(Table43[[#This Row],[SATUAN Fix Win]]&lt;&gt;"",11611)</f>
        <v>11611</v>
      </c>
      <c r="BL101" s="4">
        <f>IF(Table43[[#This Row],[SATUAN Fix Win]]&lt;&gt;"",11612)</f>
        <v>11612</v>
      </c>
      <c r="BM101" s="47" t="s">
        <v>655</v>
      </c>
      <c r="BN101" s="4">
        <f>IF(Table43[[#This Row],[SATUAN Fix Win]]&lt;&gt;"",1)</f>
        <v>1</v>
      </c>
      <c r="BO101" s="4" t="s">
        <v>656</v>
      </c>
      <c r="BP101" s="4">
        <f>IFERROR(VLOOKUP(Table43[[#This Row],[Kode Pcpl]],'[1]HEINZ ABC'!$A$4:$E$112,8,0),0)</f>
        <v>0</v>
      </c>
      <c r="BQ101" s="55">
        <f>Table43[[#This Row],[Harga Jual Pcs GT
(-PPN)]]-Table43[[#This Row],[HARGA NAIK GT]]</f>
        <v>1438.29</v>
      </c>
      <c r="BR101" s="4">
        <f>IF(Table43[[#This Row],[HARGA NAIK GT]]=0,Table43[[#This Row],[Harga Jual Pcs GT
(-PPN)]],Table43[[#This Row],[HARGA NAIK GT]])</f>
        <v>1438.29</v>
      </c>
      <c r="BS101">
        <f>IFERROR(VLOOKUP(Table43[[#This Row],[Kode Pcpl]],'[1]HEINZ ABC'!$A$4:$E$112,8,0),0)</f>
        <v>0</v>
      </c>
      <c r="BT101" s="58">
        <f>Table43[[#This Row],[Harga Jual Pcs GT
(-PPN)]]-BS101</f>
        <v>1438.29</v>
      </c>
      <c r="BU101">
        <f>IF(BS101=0,Table43[[#This Row],[Harga Jual Pcs MT
(-PPN)]])</f>
        <v>1510.2</v>
      </c>
      <c r="BV101">
        <f>IFERROR(VLOOKUP(Table43[[#This Row],[Kode Pcpl]],[2]Pricelist!$A$4:$K$112,11,0),0)</f>
        <v>0</v>
      </c>
      <c r="BW101">
        <f>IFERROR(VLOOKUP(Table43[[#This Row],[Kode BARANG Win2]],[3]!RECKITT211216[[KDBRG]:[HRG_JL_PCS-PPN]],11,0),0)</f>
        <v>0</v>
      </c>
      <c r="BX101">
        <f t="shared" si="5"/>
        <v>0</v>
      </c>
    </row>
    <row r="102" spans="1:76" x14ac:dyDescent="0.25">
      <c r="A102" s="4" t="str">
        <f>CONCATENATE(Table43[[#This Row],[Kode BARANG Win2]],Table43[[#This Row],[No. Urut
Item Sama]])</f>
        <v>A10410050090101</v>
      </c>
      <c r="B102" s="7">
        <v>1</v>
      </c>
      <c r="C102" s="4">
        <v>89</v>
      </c>
      <c r="D102" s="27">
        <v>460172</v>
      </c>
      <c r="E102" s="27" t="s">
        <v>304</v>
      </c>
      <c r="F102" s="27" t="s">
        <v>309</v>
      </c>
      <c r="G102" s="27">
        <v>48</v>
      </c>
      <c r="H102" s="42" t="s">
        <v>2877</v>
      </c>
      <c r="I102" s="27" t="str">
        <f>Table43[[#This Row],[Nama Jenis Kemasan]]</f>
        <v>PCS</v>
      </c>
      <c r="J102" s="4" t="str">
        <f>TRIM(CONCATENATE(Table43[[#This Row],[Nama            KLP]]," ",Table43[[#This Row],[Nama            Sub KLP]]))</f>
        <v>MR JUSSIE MILKY</v>
      </c>
      <c r="K102" s="4" t="str">
        <f>CONCATENATE(Table43[[#This Row],[kode  2 Digit                (hrf+No)]],Table43[[#This Row],[kode  2 Digit                (Nomor)]],Table43[[#This Row],[kode  1 Digit                (Nomor)]])</f>
        <v>A1041</v>
      </c>
      <c r="L102" s="4" t="str">
        <f>IF(AG102="",CONCATENATE(Q102,S102,U102,W102,Y102,AA102,AC102,AE102,Table43[[#This Row],[Tanda Kode Revisi]]),CONCATENATE(Q102,S102,U102,W102,Y102,AA102,AC102,AG102))</f>
        <v>A1041005009010</v>
      </c>
      <c r="M102" s="11">
        <f t="shared" si="3"/>
        <v>14</v>
      </c>
      <c r="N102" s="14" t="str">
        <f>IF(AF102&lt;&gt;"",TRIM(UPPER(CONCATENATE(P102," ",R102," ",T102," ",V102," ",X102," ",Z102," ","X"," ",Table43[[#This Row],[ISI/CTN]]," ",AF102," ",AB102," ",AD102," ",AH102))),TRIM(UPPER(CONCATENATE(P102," ",R102," ",T102," ",V102," ",X102," ",Z102," ","X"," ",Table43[[#This Row],[ISI/CTN]]," ",AB102," ",AD102," ",AH102))))</f>
        <v>ABC MR JUSSIE MILKY COKLAT 90 ML X 48 PCS</v>
      </c>
      <c r="O102" s="11">
        <f t="shared" si="4"/>
        <v>41</v>
      </c>
      <c r="P102" s="4" t="s">
        <v>28</v>
      </c>
      <c r="Q102" s="7" t="s">
        <v>85</v>
      </c>
      <c r="R102" s="4" t="s">
        <v>547</v>
      </c>
      <c r="S102" s="43" t="s">
        <v>220</v>
      </c>
      <c r="T102" s="44" t="s">
        <v>548</v>
      </c>
      <c r="U102" s="7">
        <v>1</v>
      </c>
      <c r="V102" s="44"/>
      <c r="W102" s="43" t="s">
        <v>1</v>
      </c>
      <c r="X102" s="4" t="s">
        <v>231</v>
      </c>
      <c r="Y102" s="45" t="s">
        <v>223</v>
      </c>
      <c r="Z102" s="4" t="s">
        <v>550</v>
      </c>
      <c r="AA102" s="45" t="s">
        <v>551</v>
      </c>
      <c r="AB102" s="4" t="s">
        <v>552</v>
      </c>
      <c r="AC102" s="7" t="s">
        <v>480</v>
      </c>
      <c r="AE102" s="7" t="s">
        <v>1</v>
      </c>
      <c r="AI102" s="7" t="s">
        <v>214</v>
      </c>
      <c r="AJ102" s="7">
        <v>2</v>
      </c>
      <c r="AL102" s="40">
        <f>Table43[[#This Row],[Harga Jual Pcs GT
(-PPN)]]-(Table43[[#This Row],[Harga Jual Pcs GT
(-PPN)]]*6%)</f>
        <v>1351.9926</v>
      </c>
      <c r="AM102" s="41">
        <f>Table43[[#This Row],[Harga Beli Pcs
(-PPN)]]*Table43[[#This Row],[ISI/CTN]]</f>
        <v>64895.644800000002</v>
      </c>
      <c r="AN102" s="41">
        <f>Table43[[#This Row],[Harga Beli Pcs
(-PPN)]]*1.11</f>
        <v>1500.7117860000001</v>
      </c>
      <c r="AO102" s="41">
        <f>Table43[[#This Row],[Harga Beli Krt
(- PPN)]]*1.11</f>
        <v>72034.165728000007</v>
      </c>
      <c r="AP102" s="41">
        <v>1438.29</v>
      </c>
      <c r="AQ102" s="41">
        <f>Table43[[#This Row],[Harga Jual Pcs GT
(-PPN)]]*Table43[[#This Row],[ISI/CTN]]</f>
        <v>69037.919999999998</v>
      </c>
      <c r="AR102" s="41">
        <f>Table43[[#This Row],[Harga Jual Pcs GT
(-PPN)]]*1.11</f>
        <v>1596.5019000000002</v>
      </c>
      <c r="AS102" s="41">
        <f>Table43[[#This Row],[Harga Jual Krt GT
(- PPN)]]*1.11</f>
        <v>76632.09120000001</v>
      </c>
      <c r="AT102" s="41">
        <v>1510.2</v>
      </c>
      <c r="AU102" s="41">
        <f>(Table43[[#This Row],[Harga Jual Pcs MT
(-PPN)]]*Table43[[#This Row],[ISI/CTN]])</f>
        <v>72489.600000000006</v>
      </c>
      <c r="AV102" s="41">
        <f>Table43[[#This Row],[Harga Jual Pcs MT
(-PPN)]]*1.11</f>
        <v>1676.3220000000001</v>
      </c>
      <c r="AW102" s="41">
        <f>Table43[[#This Row],[Harga Jual Pcs MT
(+PPN)]]*Table43[[#This Row],[ISI/CTN]]</f>
        <v>80463.456000000006</v>
      </c>
      <c r="AX102" s="41"/>
      <c r="AY102" s="46">
        <v>45553</v>
      </c>
      <c r="AZ102" s="54">
        <v>45945</v>
      </c>
      <c r="BA102" s="7" t="str">
        <f ca="1">IF(TODAY()-Table43[[#This Row],[Efektif
Pembuatan]]&gt;60,"Lama","Baru")</f>
        <v>Lama</v>
      </c>
      <c r="BB102" s="7" t="str">
        <f ca="1">IF(TODAY()-Table43[[#This Row],[Efektif Naik Harga]]&lt;30,"Naik","Sama")</f>
        <v>Sama</v>
      </c>
      <c r="BC102" s="7" t="s">
        <v>235</v>
      </c>
      <c r="BD102" s="7" t="str">
        <f>IF(Table43[[#This Row],[Kode BARANG Win2]]&lt;&gt;"","IDR","")</f>
        <v>IDR</v>
      </c>
      <c r="BE102" s="7" t="str">
        <f>CONCATENATE(Table43[[#This Row],[kode  1 Digit
(Nomor)]],Table43[[#This Row],[kode  4 Digit                (Nomor)]])</f>
        <v>20090</v>
      </c>
      <c r="BF102" s="7" t="str">
        <f>Table43[[#This Row],[Nama            Gramasi atau Jumlah Pack per CTN]]</f>
        <v>90 ML</v>
      </c>
      <c r="BG102" s="7" t="s">
        <v>653</v>
      </c>
      <c r="BH102" s="51" t="s">
        <v>654</v>
      </c>
      <c r="BI102" s="4" t="str">
        <f>IF(Table43[[#This Row],[SATUAN Fix Win]]&lt;&gt;"","KRT")</f>
        <v>KRT</v>
      </c>
      <c r="BJ102" s="4" t="str">
        <f>IF(Table43[[#This Row],[SATUAN Fix Win]]&lt;&gt;"","GD01")</f>
        <v>GD01</v>
      </c>
      <c r="BK102" s="4">
        <f>IF(Table43[[#This Row],[SATUAN Fix Win]]&lt;&gt;"",11611)</f>
        <v>11611</v>
      </c>
      <c r="BL102" s="4">
        <f>IF(Table43[[#This Row],[SATUAN Fix Win]]&lt;&gt;"",11612)</f>
        <v>11612</v>
      </c>
      <c r="BM102" s="47" t="s">
        <v>655</v>
      </c>
      <c r="BN102" s="4">
        <f>IF(Table43[[#This Row],[SATUAN Fix Win]]&lt;&gt;"",1)</f>
        <v>1</v>
      </c>
      <c r="BO102" s="4" t="s">
        <v>656</v>
      </c>
      <c r="BP102" s="4">
        <f>IFERROR(VLOOKUP(Table43[[#This Row],[Kode Pcpl]],'[1]HEINZ ABC'!$A$4:$E$112,8,0),0)</f>
        <v>0</v>
      </c>
      <c r="BQ102" s="55">
        <f>Table43[[#This Row],[Harga Jual Pcs GT
(-PPN)]]-Table43[[#This Row],[HARGA NAIK GT]]</f>
        <v>1438.29</v>
      </c>
      <c r="BR102" s="4">
        <f>IF(Table43[[#This Row],[HARGA NAIK GT]]=0,Table43[[#This Row],[Harga Jual Pcs GT
(-PPN)]],Table43[[#This Row],[HARGA NAIK GT]])</f>
        <v>1438.29</v>
      </c>
      <c r="BS102">
        <f>IFERROR(VLOOKUP(Table43[[#This Row],[Kode Pcpl]],'[1]HEINZ ABC'!$A$4:$E$112,8,0),0)</f>
        <v>0</v>
      </c>
      <c r="BT102" s="58">
        <f>Table43[[#This Row],[Harga Jual Pcs GT
(-PPN)]]-BS102</f>
        <v>1438.29</v>
      </c>
      <c r="BU102">
        <f>IF(BS102=0,Table43[[#This Row],[Harga Jual Pcs MT
(-PPN)]])</f>
        <v>1510.2</v>
      </c>
      <c r="BV102">
        <f>IFERROR(VLOOKUP(Table43[[#This Row],[Kode Pcpl]],[2]Pricelist!$A$4:$K$112,11,0),0)</f>
        <v>0</v>
      </c>
      <c r="BW102">
        <f>IFERROR(VLOOKUP(Table43[[#This Row],[Kode BARANG Win2]],[3]!RECKITT211216[[KDBRG]:[HRG_JL_PCS-PPN]],11,0),0)</f>
        <v>0</v>
      </c>
      <c r="BX102">
        <f t="shared" si="5"/>
        <v>0</v>
      </c>
    </row>
    <row r="103" spans="1:76" x14ac:dyDescent="0.25">
      <c r="A103" s="4" t="str">
        <f>CONCATENATE(Table43[[#This Row],[Kode BARANG Win2]],Table43[[#This Row],[No. Urut
Item Sama]])</f>
        <v>A10420010090101</v>
      </c>
      <c r="B103" s="7">
        <v>1</v>
      </c>
      <c r="C103" s="4">
        <v>90</v>
      </c>
      <c r="D103" s="27">
        <v>460170</v>
      </c>
      <c r="E103" s="27" t="s">
        <v>304</v>
      </c>
      <c r="F103" s="27" t="s">
        <v>310</v>
      </c>
      <c r="G103" s="27">
        <v>48</v>
      </c>
      <c r="H103" s="42" t="s">
        <v>2878</v>
      </c>
      <c r="I103" s="27" t="str">
        <f>Table43[[#This Row],[Nama Jenis Kemasan]]</f>
        <v>PCS</v>
      </c>
      <c r="J103" s="4" t="str">
        <f>TRIM(CONCATENATE(Table43[[#This Row],[Nama            KLP]]," ",Table43[[#This Row],[Nama            Sub KLP]]))</f>
        <v>MR JUSSIE FRUITY</v>
      </c>
      <c r="K103" s="4" t="str">
        <f>CONCATENATE(Table43[[#This Row],[kode  2 Digit                (hrf+No)]],Table43[[#This Row],[kode  2 Digit                (Nomor)]],Table43[[#This Row],[kode  1 Digit                (Nomor)]])</f>
        <v>A1042</v>
      </c>
      <c r="L103" s="4" t="str">
        <f>IF(AG103="",CONCATENATE(Q103,S103,U103,W103,Y103,AA103,AC103,AE103,Table43[[#This Row],[Tanda Kode Revisi]]),CONCATENATE(Q103,S103,U103,W103,Y103,AA103,AC103,AG103))</f>
        <v>A1042001009010</v>
      </c>
      <c r="M103" s="11">
        <f t="shared" si="3"/>
        <v>14</v>
      </c>
      <c r="N103" s="14" t="str">
        <f>IF(AF103&lt;&gt;"",TRIM(UPPER(CONCATENATE(P103," ",R103," ",T103," ",V103," ",X103," ",Z103," ","X"," ",Table43[[#This Row],[ISI/CTN]]," ",AF103," ",AB103," ",AD103," ",AH103))),TRIM(UPPER(CONCATENATE(P103," ",R103," ",T103," ",V103," ",X103," ",Z103," ","X"," ",Table43[[#This Row],[ISI/CTN]]," ",AB103," ",AD103," ",AH103))))</f>
        <v>ABC MR JUSSIE FRUITY GUAVA 90 ML X 48 PCS</v>
      </c>
      <c r="O103" s="11">
        <f t="shared" si="4"/>
        <v>41</v>
      </c>
      <c r="P103" s="4" t="s">
        <v>28</v>
      </c>
      <c r="Q103" s="7" t="s">
        <v>85</v>
      </c>
      <c r="R103" s="4" t="s">
        <v>547</v>
      </c>
      <c r="S103" s="43" t="s">
        <v>220</v>
      </c>
      <c r="T103" s="44" t="s">
        <v>555</v>
      </c>
      <c r="U103" s="7">
        <v>2</v>
      </c>
      <c r="V103" s="44"/>
      <c r="W103" s="43" t="s">
        <v>1</v>
      </c>
      <c r="X103" s="4" t="s">
        <v>556</v>
      </c>
      <c r="Y103" s="45" t="s">
        <v>0</v>
      </c>
      <c r="Z103" s="4" t="s">
        <v>550</v>
      </c>
      <c r="AA103" s="45" t="s">
        <v>551</v>
      </c>
      <c r="AB103" s="4" t="s">
        <v>552</v>
      </c>
      <c r="AC103" s="7" t="s">
        <v>480</v>
      </c>
      <c r="AE103" s="7" t="s">
        <v>1</v>
      </c>
      <c r="AI103" s="7" t="s">
        <v>214</v>
      </c>
      <c r="AJ103" s="7">
        <v>2</v>
      </c>
      <c r="AL103" s="40">
        <f>Table43[[#This Row],[Harga Jual Pcs GT
(-PPN)]]-(Table43[[#This Row],[Harga Jual Pcs GT
(-PPN)]]*6%)</f>
        <v>1351.9926</v>
      </c>
      <c r="AM103" s="41">
        <f>Table43[[#This Row],[Harga Beli Pcs
(-PPN)]]*Table43[[#This Row],[ISI/CTN]]</f>
        <v>64895.644800000002</v>
      </c>
      <c r="AN103" s="41">
        <f>Table43[[#This Row],[Harga Beli Pcs
(-PPN)]]*1.11</f>
        <v>1500.7117860000001</v>
      </c>
      <c r="AO103" s="41">
        <f>Table43[[#This Row],[Harga Beli Krt
(- PPN)]]*1.11</f>
        <v>72034.165728000007</v>
      </c>
      <c r="AP103" s="41">
        <v>1438.29</v>
      </c>
      <c r="AQ103" s="41">
        <f>Table43[[#This Row],[Harga Jual Pcs GT
(-PPN)]]*Table43[[#This Row],[ISI/CTN]]</f>
        <v>69037.919999999998</v>
      </c>
      <c r="AR103" s="41">
        <f>Table43[[#This Row],[Harga Jual Pcs GT
(-PPN)]]*1.11</f>
        <v>1596.5019000000002</v>
      </c>
      <c r="AS103" s="41">
        <f>Table43[[#This Row],[Harga Jual Krt GT
(- PPN)]]*1.11</f>
        <v>76632.09120000001</v>
      </c>
      <c r="AT103" s="41">
        <v>1510.2</v>
      </c>
      <c r="AU103" s="41">
        <f>(Table43[[#This Row],[Harga Jual Pcs MT
(-PPN)]]*Table43[[#This Row],[ISI/CTN]])</f>
        <v>72489.600000000006</v>
      </c>
      <c r="AV103" s="41">
        <f>Table43[[#This Row],[Harga Jual Pcs MT
(-PPN)]]*1.11</f>
        <v>1676.3220000000001</v>
      </c>
      <c r="AW103" s="41">
        <f>Table43[[#This Row],[Harga Jual Pcs MT
(+PPN)]]*Table43[[#This Row],[ISI/CTN]]</f>
        <v>80463.456000000006</v>
      </c>
      <c r="AX103" s="41"/>
      <c r="AY103" s="46">
        <v>45553</v>
      </c>
      <c r="AZ103" s="54">
        <v>45945</v>
      </c>
      <c r="BA103" s="7" t="str">
        <f ca="1">IF(TODAY()-Table43[[#This Row],[Efektif
Pembuatan]]&gt;60,"Lama","Baru")</f>
        <v>Lama</v>
      </c>
      <c r="BB103" s="7" t="str">
        <f ca="1">IF(TODAY()-Table43[[#This Row],[Efektif Naik Harga]]&lt;30,"Naik","Sama")</f>
        <v>Sama</v>
      </c>
      <c r="BC103" s="7" t="s">
        <v>235</v>
      </c>
      <c r="BD103" s="7" t="str">
        <f>IF(Table43[[#This Row],[Kode BARANG Win2]]&lt;&gt;"","IDR","")</f>
        <v>IDR</v>
      </c>
      <c r="BE103" s="7" t="str">
        <f>CONCATENATE(Table43[[#This Row],[kode  1 Digit
(Nomor)]],Table43[[#This Row],[kode  4 Digit                (Nomor)]])</f>
        <v>20090</v>
      </c>
      <c r="BF103" s="7" t="str">
        <f>Table43[[#This Row],[Nama            Gramasi atau Jumlah Pack per CTN]]</f>
        <v>90 ML</v>
      </c>
      <c r="BG103" s="7" t="s">
        <v>653</v>
      </c>
      <c r="BH103" s="51" t="s">
        <v>654</v>
      </c>
      <c r="BI103" s="4" t="str">
        <f>IF(Table43[[#This Row],[SATUAN Fix Win]]&lt;&gt;"","KRT")</f>
        <v>KRT</v>
      </c>
      <c r="BJ103" s="4" t="str">
        <f>IF(Table43[[#This Row],[SATUAN Fix Win]]&lt;&gt;"","GD01")</f>
        <v>GD01</v>
      </c>
      <c r="BK103" s="4">
        <f>IF(Table43[[#This Row],[SATUAN Fix Win]]&lt;&gt;"",11611)</f>
        <v>11611</v>
      </c>
      <c r="BL103" s="4">
        <f>IF(Table43[[#This Row],[SATUAN Fix Win]]&lt;&gt;"",11612)</f>
        <v>11612</v>
      </c>
      <c r="BM103" s="47" t="s">
        <v>655</v>
      </c>
      <c r="BN103" s="4">
        <f>IF(Table43[[#This Row],[SATUAN Fix Win]]&lt;&gt;"",1)</f>
        <v>1</v>
      </c>
      <c r="BO103" s="4" t="s">
        <v>656</v>
      </c>
      <c r="BP103" s="4">
        <f>IFERROR(VLOOKUP(Table43[[#This Row],[Kode Pcpl]],'[1]HEINZ ABC'!$A$4:$E$112,8,0),0)</f>
        <v>0</v>
      </c>
      <c r="BQ103" s="55">
        <f>Table43[[#This Row],[Harga Jual Pcs GT
(-PPN)]]-Table43[[#This Row],[HARGA NAIK GT]]</f>
        <v>1438.29</v>
      </c>
      <c r="BR103" s="4">
        <f>IF(Table43[[#This Row],[HARGA NAIK GT]]=0,Table43[[#This Row],[Harga Jual Pcs GT
(-PPN)]],Table43[[#This Row],[HARGA NAIK GT]])</f>
        <v>1438.29</v>
      </c>
      <c r="BS103">
        <f>IFERROR(VLOOKUP(Table43[[#This Row],[Kode Pcpl]],'[1]HEINZ ABC'!$A$4:$E$112,8,0),0)</f>
        <v>0</v>
      </c>
      <c r="BT103" s="58">
        <f>Table43[[#This Row],[Harga Jual Pcs GT
(-PPN)]]-BS103</f>
        <v>1438.29</v>
      </c>
      <c r="BU103">
        <f>IF(BS103=0,Table43[[#This Row],[Harga Jual Pcs MT
(-PPN)]])</f>
        <v>1510.2</v>
      </c>
      <c r="BV103">
        <f>IFERROR(VLOOKUP(Table43[[#This Row],[Kode Pcpl]],[2]Pricelist!$A$4:$K$112,11,0),0)</f>
        <v>0</v>
      </c>
      <c r="BW103">
        <f>IFERROR(VLOOKUP(Table43[[#This Row],[Kode BARANG Win2]],[3]!RECKITT211216[[KDBRG]:[HRG_JL_PCS-PPN]],11,0),0)</f>
        <v>0</v>
      </c>
      <c r="BX103">
        <f t="shared" si="5"/>
        <v>0</v>
      </c>
    </row>
    <row r="104" spans="1:76" x14ac:dyDescent="0.25">
      <c r="A104" s="4" t="str">
        <f>CONCATENATE(Table43[[#This Row],[Kode BARANG Win2]],Table43[[#This Row],[No. Urut
Item Sama]])</f>
        <v>A10420040090101</v>
      </c>
      <c r="B104" s="7">
        <v>1</v>
      </c>
      <c r="C104" s="4">
        <v>91</v>
      </c>
      <c r="D104" s="27">
        <v>460171</v>
      </c>
      <c r="E104" s="27" t="s">
        <v>304</v>
      </c>
      <c r="F104" s="27" t="s">
        <v>311</v>
      </c>
      <c r="G104" s="27">
        <v>48</v>
      </c>
      <c r="H104" s="42" t="s">
        <v>2879</v>
      </c>
      <c r="I104" s="27" t="str">
        <f>Table43[[#This Row],[Nama Jenis Kemasan]]</f>
        <v>PCS</v>
      </c>
      <c r="J104" s="4" t="str">
        <f>TRIM(CONCATENATE(Table43[[#This Row],[Nama            KLP]]," ",Table43[[#This Row],[Nama            Sub KLP]]))</f>
        <v>MR JUSSIE FRUITY</v>
      </c>
      <c r="K104" s="4" t="str">
        <f>CONCATENATE(Table43[[#This Row],[kode  2 Digit                (hrf+No)]],Table43[[#This Row],[kode  2 Digit                (Nomor)]],Table43[[#This Row],[kode  1 Digit                (Nomor)]])</f>
        <v>A1042</v>
      </c>
      <c r="L104" s="4" t="str">
        <f>IF(AG104="",CONCATENATE(Q104,S104,U104,W104,Y104,AA104,AC104,AE104,Table43[[#This Row],[Tanda Kode Revisi]]),CONCATENATE(Q104,S104,U104,W104,Y104,AA104,AC104,AG104))</f>
        <v>A1042004009010</v>
      </c>
      <c r="M104" s="11">
        <f t="shared" si="3"/>
        <v>14</v>
      </c>
      <c r="N104" s="14" t="str">
        <f>IF(AF104&lt;&gt;"",TRIM(UPPER(CONCATENATE(P104," ",R104," ",T104," ",V104," ",X104," ",Z104," ","X"," ",Table43[[#This Row],[ISI/CTN]]," ",AF104," ",AB104," ",AD104," ",AH104))),TRIM(UPPER(CONCATENATE(P104," ",R104," ",T104," ",V104," ",X104," ",Z104," ","X"," ",Table43[[#This Row],[ISI/CTN]]," ",AB104," ",AD104," ",AH104))))</f>
        <v>ABC MR JUSSIE FRUITY ORANGE 90 ML X 48 PCS</v>
      </c>
      <c r="O104" s="11">
        <f t="shared" si="4"/>
        <v>42</v>
      </c>
      <c r="P104" s="4" t="s">
        <v>28</v>
      </c>
      <c r="Q104" s="7" t="s">
        <v>85</v>
      </c>
      <c r="R104" s="4" t="s">
        <v>547</v>
      </c>
      <c r="S104" s="43" t="s">
        <v>220</v>
      </c>
      <c r="T104" s="44" t="s">
        <v>555</v>
      </c>
      <c r="U104" s="7">
        <v>2</v>
      </c>
      <c r="V104" s="44"/>
      <c r="W104" s="43" t="s">
        <v>1</v>
      </c>
      <c r="X104" s="4" t="s">
        <v>554</v>
      </c>
      <c r="Y104" s="45" t="s">
        <v>220</v>
      </c>
      <c r="Z104" s="4" t="s">
        <v>550</v>
      </c>
      <c r="AA104" s="45" t="s">
        <v>551</v>
      </c>
      <c r="AB104" s="4" t="s">
        <v>552</v>
      </c>
      <c r="AC104" s="7" t="s">
        <v>480</v>
      </c>
      <c r="AE104" s="7" t="s">
        <v>1</v>
      </c>
      <c r="AI104" s="7" t="s">
        <v>214</v>
      </c>
      <c r="AJ104" s="7">
        <v>2</v>
      </c>
      <c r="AL104" s="40">
        <f>Table43[[#This Row],[Harga Jual Pcs GT
(-PPN)]]-(Table43[[#This Row],[Harga Jual Pcs GT
(-PPN)]]*6%)</f>
        <v>1351.9926</v>
      </c>
      <c r="AM104" s="41">
        <f>Table43[[#This Row],[Harga Beli Pcs
(-PPN)]]*Table43[[#This Row],[ISI/CTN]]</f>
        <v>64895.644800000002</v>
      </c>
      <c r="AN104" s="41">
        <f>Table43[[#This Row],[Harga Beli Pcs
(-PPN)]]*1.11</f>
        <v>1500.7117860000001</v>
      </c>
      <c r="AO104" s="41">
        <f>Table43[[#This Row],[Harga Beli Krt
(- PPN)]]*1.11</f>
        <v>72034.165728000007</v>
      </c>
      <c r="AP104" s="41">
        <v>1438.29</v>
      </c>
      <c r="AQ104" s="41">
        <f>Table43[[#This Row],[Harga Jual Pcs GT
(-PPN)]]*Table43[[#This Row],[ISI/CTN]]</f>
        <v>69037.919999999998</v>
      </c>
      <c r="AR104" s="41">
        <f>Table43[[#This Row],[Harga Jual Pcs GT
(-PPN)]]*1.11</f>
        <v>1596.5019000000002</v>
      </c>
      <c r="AS104" s="41">
        <f>Table43[[#This Row],[Harga Jual Krt GT
(- PPN)]]*1.11</f>
        <v>76632.09120000001</v>
      </c>
      <c r="AT104" s="41">
        <v>1510.2</v>
      </c>
      <c r="AU104" s="41">
        <f>(Table43[[#This Row],[Harga Jual Pcs MT
(-PPN)]]*Table43[[#This Row],[ISI/CTN]])</f>
        <v>72489.600000000006</v>
      </c>
      <c r="AV104" s="41">
        <f>Table43[[#This Row],[Harga Jual Pcs MT
(-PPN)]]*1.11</f>
        <v>1676.3220000000001</v>
      </c>
      <c r="AW104" s="41">
        <f>Table43[[#This Row],[Harga Jual Pcs MT
(+PPN)]]*Table43[[#This Row],[ISI/CTN]]</f>
        <v>80463.456000000006</v>
      </c>
      <c r="AX104" s="41"/>
      <c r="AY104" s="46">
        <v>45553</v>
      </c>
      <c r="AZ104" s="54">
        <v>45945</v>
      </c>
      <c r="BA104" s="7" t="str">
        <f ca="1">IF(TODAY()-Table43[[#This Row],[Efektif
Pembuatan]]&gt;60,"Lama","Baru")</f>
        <v>Lama</v>
      </c>
      <c r="BB104" s="7" t="str">
        <f ca="1">IF(TODAY()-Table43[[#This Row],[Efektif Naik Harga]]&lt;30,"Naik","Sama")</f>
        <v>Sama</v>
      </c>
      <c r="BC104" s="7" t="s">
        <v>235</v>
      </c>
      <c r="BD104" s="7" t="str">
        <f>IF(Table43[[#This Row],[Kode BARANG Win2]]&lt;&gt;"","IDR","")</f>
        <v>IDR</v>
      </c>
      <c r="BE104" s="7" t="str">
        <f>CONCATENATE(Table43[[#This Row],[kode  1 Digit
(Nomor)]],Table43[[#This Row],[kode  4 Digit                (Nomor)]])</f>
        <v>20090</v>
      </c>
      <c r="BF104" s="7" t="str">
        <f>Table43[[#This Row],[Nama            Gramasi atau Jumlah Pack per CTN]]</f>
        <v>90 ML</v>
      </c>
      <c r="BG104" s="7" t="s">
        <v>653</v>
      </c>
      <c r="BH104" s="51" t="s">
        <v>654</v>
      </c>
      <c r="BI104" s="4" t="str">
        <f>IF(Table43[[#This Row],[SATUAN Fix Win]]&lt;&gt;"","KRT")</f>
        <v>KRT</v>
      </c>
      <c r="BJ104" s="4" t="str">
        <f>IF(Table43[[#This Row],[SATUAN Fix Win]]&lt;&gt;"","GD01")</f>
        <v>GD01</v>
      </c>
      <c r="BK104" s="4">
        <f>IF(Table43[[#This Row],[SATUAN Fix Win]]&lt;&gt;"",11611)</f>
        <v>11611</v>
      </c>
      <c r="BL104" s="4">
        <f>IF(Table43[[#This Row],[SATUAN Fix Win]]&lt;&gt;"",11612)</f>
        <v>11612</v>
      </c>
      <c r="BM104" s="47" t="s">
        <v>655</v>
      </c>
      <c r="BN104" s="4">
        <f>IF(Table43[[#This Row],[SATUAN Fix Win]]&lt;&gt;"",1)</f>
        <v>1</v>
      </c>
      <c r="BO104" s="4" t="s">
        <v>656</v>
      </c>
      <c r="BP104" s="4">
        <f>IFERROR(VLOOKUP(Table43[[#This Row],[Kode Pcpl]],'[1]HEINZ ABC'!$A$4:$E$112,8,0),0)</f>
        <v>0</v>
      </c>
      <c r="BQ104" s="55">
        <f>Table43[[#This Row],[Harga Jual Pcs GT
(-PPN)]]-Table43[[#This Row],[HARGA NAIK GT]]</f>
        <v>1438.29</v>
      </c>
      <c r="BR104" s="4">
        <f>IF(Table43[[#This Row],[HARGA NAIK GT]]=0,Table43[[#This Row],[Harga Jual Pcs GT
(-PPN)]],Table43[[#This Row],[HARGA NAIK GT]])</f>
        <v>1438.29</v>
      </c>
      <c r="BS104">
        <f>IFERROR(VLOOKUP(Table43[[#This Row],[Kode Pcpl]],'[1]HEINZ ABC'!$A$4:$E$112,8,0),0)</f>
        <v>0</v>
      </c>
      <c r="BT104" s="58">
        <f>Table43[[#This Row],[Harga Jual Pcs GT
(-PPN)]]-BS104</f>
        <v>1438.29</v>
      </c>
      <c r="BU104">
        <f>IF(BS104=0,Table43[[#This Row],[Harga Jual Pcs MT
(-PPN)]])</f>
        <v>1510.2</v>
      </c>
      <c r="BV104">
        <f>IFERROR(VLOOKUP(Table43[[#This Row],[Kode Pcpl]],[2]Pricelist!$A$4:$K$112,11,0),0)</f>
        <v>0</v>
      </c>
      <c r="BW104">
        <f>IFERROR(VLOOKUP(Table43[[#This Row],[Kode BARANG Win2]],[3]!RECKITT211216[[KDBRG]:[HRG_JL_PCS-PPN]],11,0),0)</f>
        <v>0</v>
      </c>
      <c r="BX104">
        <f t="shared" si="5"/>
        <v>0</v>
      </c>
    </row>
    <row r="105" spans="1:76" x14ac:dyDescent="0.25">
      <c r="A105" s="78" t="str">
        <f>CONCATENATE(Table43[[#This Row],[Kode BARANG Win2]],Table43[[#This Row],[No. Urut
Item Sama]])</f>
        <v>A10500000100101</v>
      </c>
      <c r="B105" s="79">
        <v>1</v>
      </c>
      <c r="C105" s="4">
        <v>92</v>
      </c>
      <c r="D105" s="80">
        <v>460197</v>
      </c>
      <c r="E105" s="80" t="s">
        <v>312</v>
      </c>
      <c r="F105" s="80" t="s">
        <v>1039</v>
      </c>
      <c r="G105" s="80">
        <v>48</v>
      </c>
      <c r="H105" s="81" t="s">
        <v>2888</v>
      </c>
      <c r="I105" s="80" t="str">
        <f>Table43[[#This Row],[Nama Jenis Kemasan]]</f>
        <v>PCS</v>
      </c>
      <c r="J105" s="78" t="str">
        <f>TRIM(CONCATENATE(Table43[[#This Row],[Nama            KLP]]," ",Table43[[#This Row],[Nama            Sub KLP]]))</f>
        <v>KACANG HIJAU</v>
      </c>
      <c r="K105" s="78" t="str">
        <f>CONCATENATE(Table43[[#This Row],[kode  2 Digit                (hrf+No)]],Table43[[#This Row],[kode  2 Digit                (Nomor)]],Table43[[#This Row],[kode  1 Digit                (Nomor)]])</f>
        <v>A1050</v>
      </c>
      <c r="L105" s="78" t="str">
        <f>IF(AG105="",CONCATENATE(Q105,S105,U105,W105,Y105,AA105,AC105,AE105,Table43[[#This Row],[Tanda Kode Revisi]]),CONCATENATE(Q105,S105,U105,W105,Y105,AA105,AC105,AG105))</f>
        <v>A1050000010010</v>
      </c>
      <c r="M105" s="82">
        <f t="shared" si="3"/>
        <v>14</v>
      </c>
      <c r="N105" s="83" t="str">
        <f>IF(AF105&lt;&gt;"",TRIM(UPPER(CONCATENATE(P105," ",R105," ",T105," ",V105," ",X105," ",Z105," ","X"," ",Table43[[#This Row],[ISI/CTN]]," ",AF105," ",AB105," ",AD105," ",AH105))),TRIM(UPPER(CONCATENATE(P105," ",R105," ",T105," ",V105," ",X105," ",Z105," ","X"," ",Table43[[#This Row],[ISI/CTN]]," ",AB105," ",AD105," ",AH105))))</f>
        <v>ABC KACANG HIJAU 100 ML X 48 PCS</v>
      </c>
      <c r="O105" s="82">
        <f t="shared" si="4"/>
        <v>32</v>
      </c>
      <c r="P105" s="78" t="s">
        <v>28</v>
      </c>
      <c r="Q105" s="79" t="s">
        <v>85</v>
      </c>
      <c r="R105" s="78" t="s">
        <v>312</v>
      </c>
      <c r="S105" s="84" t="s">
        <v>223</v>
      </c>
      <c r="T105" s="85"/>
      <c r="U105" s="79" t="s">
        <v>1</v>
      </c>
      <c r="V105" s="85"/>
      <c r="W105" s="84" t="s">
        <v>1</v>
      </c>
      <c r="X105" s="78"/>
      <c r="Y105" s="86" t="s">
        <v>476</v>
      </c>
      <c r="Z105" s="78" t="s">
        <v>1041</v>
      </c>
      <c r="AA105" s="86" t="s">
        <v>1040</v>
      </c>
      <c r="AB105" s="78" t="s">
        <v>552</v>
      </c>
      <c r="AC105" s="79">
        <v>1</v>
      </c>
      <c r="AD105" s="78"/>
      <c r="AE105" s="79">
        <v>0</v>
      </c>
      <c r="AF105" s="79"/>
      <c r="AG105" s="79"/>
      <c r="AH105" s="79"/>
      <c r="AI105" s="79" t="s">
        <v>214</v>
      </c>
      <c r="AJ105" s="79">
        <v>2</v>
      </c>
      <c r="AK105" s="79"/>
      <c r="AL105" s="87">
        <f>Table43[[#This Row],[Harga Jual Pcs GT
(-PPN)]]-(Table43[[#This Row],[Harga Jual Pcs GT
(-PPN)]]*6%)</f>
        <v>1422.7027291666666</v>
      </c>
      <c r="AM105" s="88">
        <f>Table43[[#This Row],[Harga Beli Pcs
(-PPN)]]*Table43[[#This Row],[ISI/CTN]]</f>
        <v>68289.731</v>
      </c>
      <c r="AN105" s="88">
        <f>Table43[[#This Row],[Harga Beli Pcs
(-PPN)]]*1.11</f>
        <v>1579.200029375</v>
      </c>
      <c r="AO105" s="88">
        <f>Table43[[#This Row],[Harga Beli Krt
(- PPN)]]*1.11</f>
        <v>75801.601410000003</v>
      </c>
      <c r="AP105" s="88">
        <v>1513.5135416666665</v>
      </c>
      <c r="AQ105" s="88">
        <f>Table43[[#This Row],[Harga Jual Pcs GT
(-PPN)]]*Table43[[#This Row],[ISI/CTN]]</f>
        <v>72648.649999999994</v>
      </c>
      <c r="AR105" s="88">
        <f>Table43[[#This Row],[Harga Jual Pcs GT
(-PPN)]]*1.11</f>
        <v>1680.0000312499999</v>
      </c>
      <c r="AS105" s="88">
        <f>Table43[[#This Row],[Harga Jual Krt GT
(- PPN)]]*1.11</f>
        <v>80640.001499999998</v>
      </c>
      <c r="AT105" s="88">
        <v>72648.649999999994</v>
      </c>
      <c r="AU105" s="88">
        <f>(Table43[[#This Row],[Harga Jual Pcs MT
(-PPN)]]*Table43[[#This Row],[ISI/CTN]])</f>
        <v>3487135.1999999997</v>
      </c>
      <c r="AV105" s="88">
        <f>Table43[[#This Row],[Harga Jual Pcs MT
(-PPN)]]*1.11</f>
        <v>80640.001499999998</v>
      </c>
      <c r="AW105" s="88">
        <f>Table43[[#This Row],[Harga Jual Pcs MT
(+PPN)]]*Table43[[#This Row],[ISI/CTN]]</f>
        <v>3870720.0719999997</v>
      </c>
      <c r="AX105" s="88"/>
      <c r="AY105" s="89">
        <v>45855</v>
      </c>
      <c r="AZ105" s="90"/>
      <c r="BA105" s="79" t="str">
        <f ca="1">IF(TODAY()-Table43[[#This Row],[Efektif
Pembuatan]]&gt;60,"Lama","Baru")</f>
        <v>Lama</v>
      </c>
      <c r="BB105" s="79" t="str">
        <f ca="1">IF(TODAY()-Table43[[#This Row],[Efektif Naik Harga]]&lt;30,"Naik","Sama")</f>
        <v>Sama</v>
      </c>
      <c r="BC105" s="79" t="s">
        <v>235</v>
      </c>
      <c r="BD105" s="79" t="str">
        <f>IF(Table43[[#This Row],[Kode BARANG Win2]]&lt;&gt;"","IDR","")</f>
        <v>IDR</v>
      </c>
      <c r="BE105" s="79" t="str">
        <f>CONCATENATE(Table43[[#This Row],[kode  1 Digit
(Nomor)]],Table43[[#This Row],[kode  4 Digit                (Nomor)]])</f>
        <v>20100</v>
      </c>
      <c r="BF105" s="79" t="str">
        <f>Table43[[#This Row],[Nama            Gramasi atau Jumlah Pack per CTN]]</f>
        <v>100 ML</v>
      </c>
      <c r="BG105" s="79"/>
      <c r="BH105" s="91"/>
      <c r="BI105" s="78" t="str">
        <f>IF(Table43[[#This Row],[SATUAN Fix Win]]&lt;&gt;"","KRT")</f>
        <v>KRT</v>
      </c>
      <c r="BJ105" s="78" t="str">
        <f>IF(Table43[[#This Row],[SATUAN Fix Win]]&lt;&gt;"","GD01")</f>
        <v>GD01</v>
      </c>
      <c r="BK105" s="78">
        <f>IF(Table43[[#This Row],[SATUAN Fix Win]]&lt;&gt;"",11611)</f>
        <v>11611</v>
      </c>
      <c r="BL105" s="78">
        <f>IF(Table43[[#This Row],[SATUAN Fix Win]]&lt;&gt;"",11612)</f>
        <v>11612</v>
      </c>
      <c r="BM105" s="92"/>
      <c r="BN105" s="78">
        <f>IF(Table43[[#This Row],[SATUAN Fix Win]]&lt;&gt;"",1)</f>
        <v>1</v>
      </c>
      <c r="BO105" s="78"/>
      <c r="BP105" s="78">
        <f>IFERROR(VLOOKUP(Table43[[#This Row],[Kode Pcpl]],'[1]HEINZ ABC'!$A$4:$E$112,8,0),0)</f>
        <v>0</v>
      </c>
      <c r="BQ105" s="93">
        <f>Table43[[#This Row],[Harga Jual Pcs GT
(-PPN)]]-Table43[[#This Row],[HARGA NAIK GT]]</f>
        <v>1513.5135416666665</v>
      </c>
      <c r="BR105" s="78">
        <f>IF(Table43[[#This Row],[HARGA NAIK GT]]=0,Table43[[#This Row],[Harga Jual Pcs GT
(-PPN)]],Table43[[#This Row],[HARGA NAIK GT]])</f>
        <v>1513.5135416666665</v>
      </c>
      <c r="BS105">
        <f>IFERROR(VLOOKUP(Table43[[#This Row],[Kode Pcpl]],'[1]HEINZ ABC'!$A$4:$E$112,8,0),0)</f>
        <v>0</v>
      </c>
      <c r="BT105" s="58">
        <f>Table43[[#This Row],[Harga Jual Pcs GT
(-PPN)]]-BS105</f>
        <v>1513.5135416666665</v>
      </c>
      <c r="BU105">
        <f>IF(BS105=0,Table43[[#This Row],[Harga Jual Pcs MT
(-PPN)]])</f>
        <v>72648.649999999994</v>
      </c>
      <c r="BV105">
        <f>IFERROR(VLOOKUP(Table43[[#This Row],[Kode Pcpl]],[2]Pricelist!$A$4:$K$112,11,0),0)</f>
        <v>0</v>
      </c>
      <c r="BW105">
        <f>IFERROR(VLOOKUP(Table43[[#This Row],[Kode BARANG Win2]],[3]!RECKITT211216[[KDBRG]:[HRG_JL_PCS-PPN]],11,0),0)</f>
        <v>0</v>
      </c>
      <c r="BX105">
        <f t="shared" si="5"/>
        <v>0</v>
      </c>
    </row>
    <row r="106" spans="1:76" x14ac:dyDescent="0.25">
      <c r="A106" s="4" t="str">
        <f>CONCATENATE(Table43[[#This Row],[Kode BARANG Win2]],Table43[[#This Row],[No. Urut
Item Sama]])</f>
        <v>A10500000200101</v>
      </c>
      <c r="B106" s="7">
        <v>1</v>
      </c>
      <c r="C106" s="4">
        <v>93</v>
      </c>
      <c r="D106" s="27">
        <v>460056</v>
      </c>
      <c r="E106" s="27" t="s">
        <v>312</v>
      </c>
      <c r="F106" s="27" t="s">
        <v>313</v>
      </c>
      <c r="G106" s="27">
        <v>24</v>
      </c>
      <c r="H106" s="42">
        <v>0</v>
      </c>
      <c r="I106" s="27" t="str">
        <f>Table43[[#This Row],[Nama Jenis Kemasan]]</f>
        <v>PCS</v>
      </c>
      <c r="J106" s="4" t="str">
        <f>TRIM(CONCATENATE(Table43[[#This Row],[Nama            KLP]]," ",Table43[[#This Row],[Nama            Sub KLP]]))</f>
        <v>KACANG HIJAU</v>
      </c>
      <c r="K106" s="4" t="str">
        <f>CONCATENATE(Table43[[#This Row],[kode  2 Digit                (hrf+No)]],Table43[[#This Row],[kode  2 Digit                (Nomor)]],Table43[[#This Row],[kode  1 Digit                (Nomor)]])</f>
        <v>A1050</v>
      </c>
      <c r="L106" s="4" t="str">
        <f>IF(AG106="",CONCATENATE(Q106,S106,U106,W106,Y106,AA106,AC106,AE106,Table43[[#This Row],[Tanda Kode Revisi]]),CONCATENATE(Q106,S106,U106,W106,Y106,AA106,AC106,AG106))</f>
        <v>A1050000020010</v>
      </c>
      <c r="M106" s="11">
        <f t="shared" si="3"/>
        <v>14</v>
      </c>
      <c r="N106" s="14" t="str">
        <f>IF(AF106&lt;&gt;"",TRIM(UPPER(CONCATENATE(P106," ",R106," ",T106," ",V106," ",X106," ",Z106," ","X"," ",Table43[[#This Row],[ISI/CTN]]," ",AF106," ",AB106," ",AD106," ",AH106))),TRIM(UPPER(CONCATENATE(P106," ",R106," ",T106," ",V106," ",X106," ",Z106," ","X"," ",Table43[[#This Row],[ISI/CTN]]," ",AB106," ",AD106," ",AH106))))</f>
        <v>ABC KACANG HIJAU 200 ML X 24 PCS</v>
      </c>
      <c r="O106" s="11">
        <f t="shared" si="4"/>
        <v>32</v>
      </c>
      <c r="P106" s="4" t="s">
        <v>28</v>
      </c>
      <c r="Q106" s="7" t="s">
        <v>85</v>
      </c>
      <c r="R106" s="4" t="s">
        <v>312</v>
      </c>
      <c r="S106" s="43" t="s">
        <v>223</v>
      </c>
      <c r="T106" s="44"/>
      <c r="U106" s="7" t="s">
        <v>1</v>
      </c>
      <c r="V106" s="44"/>
      <c r="W106" s="43" t="s">
        <v>1</v>
      </c>
      <c r="Y106" s="45" t="s">
        <v>476</v>
      </c>
      <c r="Z106" s="4" t="s">
        <v>557</v>
      </c>
      <c r="AA106" s="45" t="s">
        <v>207</v>
      </c>
      <c r="AB106" s="4" t="s">
        <v>552</v>
      </c>
      <c r="AC106" s="7" t="s">
        <v>480</v>
      </c>
      <c r="AE106" s="7" t="s">
        <v>1</v>
      </c>
      <c r="AI106" s="7" t="s">
        <v>214</v>
      </c>
      <c r="AJ106" s="7">
        <v>2</v>
      </c>
      <c r="AL106" s="40">
        <f>Table43[[#This Row],[Harga Jual Pcs GT
(-PPN)]]-(Table43[[#This Row],[Harga Jual Pcs GT
(-PPN)]]*6%)</f>
        <v>2930.7696000000001</v>
      </c>
      <c r="AM106" s="41">
        <f>Table43[[#This Row],[Harga Beli Pcs
(-PPN)]]*Table43[[#This Row],[ISI/CTN]]</f>
        <v>70338.470400000006</v>
      </c>
      <c r="AN106" s="41">
        <f>Table43[[#This Row],[Harga Beli Pcs
(-PPN)]]*1.11</f>
        <v>3253.1542560000003</v>
      </c>
      <c r="AO106" s="41">
        <f>Table43[[#This Row],[Harga Beli Krt
(- PPN)]]*1.11</f>
        <v>78075.70214400001</v>
      </c>
      <c r="AP106" s="41">
        <v>3117.84</v>
      </c>
      <c r="AQ106" s="41">
        <f>Table43[[#This Row],[Harga Jual Pcs GT
(-PPN)]]*Table43[[#This Row],[ISI/CTN]]</f>
        <v>74828.160000000003</v>
      </c>
      <c r="AR106" s="41">
        <f>Table43[[#This Row],[Harga Jual Pcs GT
(-PPN)]]*1.11</f>
        <v>3460.8024000000005</v>
      </c>
      <c r="AS106" s="41">
        <f>Table43[[#This Row],[Harga Jual Krt GT
(- PPN)]]*1.11</f>
        <v>83059.257600000012</v>
      </c>
      <c r="AT106" s="41">
        <v>3273.7297297297323</v>
      </c>
      <c r="AU106" s="41">
        <f>(Table43[[#This Row],[Harga Jual Pcs MT
(-PPN)]]*Table43[[#This Row],[ISI/CTN]])</f>
        <v>78569.513513513579</v>
      </c>
      <c r="AV106" s="41">
        <f>Table43[[#This Row],[Harga Jual Pcs MT
(-PPN)]]*1.11</f>
        <v>3633.8400000000033</v>
      </c>
      <c r="AW106" s="41">
        <f>Table43[[#This Row],[Harga Jual Pcs MT
(+PPN)]]*Table43[[#This Row],[ISI/CTN]]</f>
        <v>87212.160000000076</v>
      </c>
      <c r="AX106" s="41"/>
      <c r="AY106" s="46">
        <v>45553</v>
      </c>
      <c r="AZ106" s="54">
        <v>45945</v>
      </c>
      <c r="BA106" s="7" t="str">
        <f ca="1">IF(TODAY()-Table43[[#This Row],[Efektif
Pembuatan]]&gt;60,"Lama","Baru")</f>
        <v>Lama</v>
      </c>
      <c r="BB106" s="7" t="str">
        <f ca="1">IF(TODAY()-Table43[[#This Row],[Efektif Naik Harga]]&lt;30,"Naik","Sama")</f>
        <v>Sama</v>
      </c>
      <c r="BC106" s="7" t="s">
        <v>235</v>
      </c>
      <c r="BD106" s="7" t="str">
        <f>IF(Table43[[#This Row],[Kode BARANG Win2]]&lt;&gt;"","IDR","")</f>
        <v>IDR</v>
      </c>
      <c r="BE106" s="7" t="str">
        <f>CONCATENATE(Table43[[#This Row],[kode  1 Digit
(Nomor)]],Table43[[#This Row],[kode  4 Digit                (Nomor)]])</f>
        <v>20200</v>
      </c>
      <c r="BF106" s="7" t="str">
        <f>Table43[[#This Row],[Nama            Gramasi atau Jumlah Pack per CTN]]</f>
        <v>200 ML</v>
      </c>
      <c r="BG106" s="7" t="s">
        <v>653</v>
      </c>
      <c r="BH106" s="51" t="s">
        <v>654</v>
      </c>
      <c r="BI106" s="4" t="str">
        <f>IF(Table43[[#This Row],[SATUAN Fix Win]]&lt;&gt;"","KRT")</f>
        <v>KRT</v>
      </c>
      <c r="BJ106" s="4" t="str">
        <f>IF(Table43[[#This Row],[SATUAN Fix Win]]&lt;&gt;"","GD01")</f>
        <v>GD01</v>
      </c>
      <c r="BK106" s="4">
        <f>IF(Table43[[#This Row],[SATUAN Fix Win]]&lt;&gt;"",11611)</f>
        <v>11611</v>
      </c>
      <c r="BL106" s="4">
        <f>IF(Table43[[#This Row],[SATUAN Fix Win]]&lt;&gt;"",11612)</f>
        <v>11612</v>
      </c>
      <c r="BM106" s="47" t="s">
        <v>655</v>
      </c>
      <c r="BN106" s="4">
        <f>IF(Table43[[#This Row],[SATUAN Fix Win]]&lt;&gt;"",1)</f>
        <v>1</v>
      </c>
      <c r="BO106" s="4" t="s">
        <v>656</v>
      </c>
      <c r="BP106" s="4">
        <f>IFERROR(VLOOKUP(Table43[[#This Row],[Kode Pcpl]],'[1]HEINZ ABC'!$A$4:$E$112,8,0),0)</f>
        <v>0</v>
      </c>
      <c r="BQ106" s="55">
        <f>Table43[[#This Row],[Harga Jual Pcs GT
(-PPN)]]-Table43[[#This Row],[HARGA NAIK GT]]</f>
        <v>3117.84</v>
      </c>
      <c r="BR106" s="4">
        <f>IF(Table43[[#This Row],[HARGA NAIK GT]]=0,Table43[[#This Row],[Harga Jual Pcs GT
(-PPN)]],Table43[[#This Row],[HARGA NAIK GT]])</f>
        <v>3117.84</v>
      </c>
      <c r="BS106">
        <f>IFERROR(VLOOKUP(Table43[[#This Row],[Kode Pcpl]],'[1]HEINZ ABC'!$A$4:$E$112,8,0),0)</f>
        <v>0</v>
      </c>
      <c r="BT106" s="58">
        <f>Table43[[#This Row],[Harga Jual Pcs GT
(-PPN)]]-BS106</f>
        <v>3117.84</v>
      </c>
      <c r="BU106">
        <f>IF(BS106=0,Table43[[#This Row],[Harga Jual Pcs MT
(-PPN)]])</f>
        <v>3273.7297297297323</v>
      </c>
      <c r="BV106">
        <f>IFERROR(VLOOKUP(Table43[[#This Row],[Kode Pcpl]],[2]Pricelist!$A$4:$K$112,11,0),0)</f>
        <v>0</v>
      </c>
      <c r="BW106">
        <f>IFERROR(VLOOKUP(Table43[[#This Row],[Kode BARANG Win2]],[3]!RECKITT211216[[KDBRG]:[HRG_JL_PCS-PPN]],11,0),0)</f>
        <v>0</v>
      </c>
      <c r="BX106">
        <f t="shared" si="5"/>
        <v>0</v>
      </c>
    </row>
    <row r="107" spans="1:76" s="112" customFormat="1" x14ac:dyDescent="0.25">
      <c r="A107" s="4" t="str">
        <f>CONCATENATE(Table43[[#This Row],[Kode BARANG Win2]],Table43[[#This Row],[No. Urut
Item Sama]])</f>
        <v>A10500000200102</v>
      </c>
      <c r="B107" s="7">
        <v>2</v>
      </c>
      <c r="C107" s="4">
        <v>94</v>
      </c>
      <c r="D107" s="27">
        <v>460178</v>
      </c>
      <c r="E107" s="27" t="s">
        <v>312</v>
      </c>
      <c r="F107" s="27" t="s">
        <v>314</v>
      </c>
      <c r="G107" s="27">
        <v>24</v>
      </c>
      <c r="H107" s="42" t="s">
        <v>2892</v>
      </c>
      <c r="I107" s="27" t="str">
        <f>Table43[[#This Row],[Nama Jenis Kemasan]]</f>
        <v>PCS</v>
      </c>
      <c r="J107" s="4" t="str">
        <f>TRIM(CONCATENATE(Table43[[#This Row],[Nama            KLP]]," ",Table43[[#This Row],[Nama            Sub KLP]]))</f>
        <v>KACANG HIJAU</v>
      </c>
      <c r="K107" s="4" t="str">
        <f>CONCATENATE(Table43[[#This Row],[kode  2 Digit                (hrf+No)]],Table43[[#This Row],[kode  2 Digit                (Nomor)]],Table43[[#This Row],[kode  1 Digit                (Nomor)]])</f>
        <v>A1050</v>
      </c>
      <c r="L107" s="4" t="str">
        <f>IF(AG107="",CONCATENATE(Q107,S107,U107,W107,Y107,AA107,AC107,AE107,Table43[[#This Row],[Tanda Kode Revisi]]),CONCATENATE(Q107,S107,U107,W107,Y107,AA107,AC107,AG107))</f>
        <v>A1050000020010</v>
      </c>
      <c r="M107" s="11">
        <f t="shared" si="3"/>
        <v>14</v>
      </c>
      <c r="N107" s="14" t="str">
        <f>IF(AF107&lt;&gt;"",TRIM(UPPER(CONCATENATE(P107," ",R107," ",T107," ",V107," ",X107," ",Z107," ","X"," ",Table43[[#This Row],[ISI/CTN]]," ",AF107," ",AB107," ",AD107," ",AH107))),TRIM(UPPER(CONCATENATE(P107," ",R107," ",T107," ",V107," ",X107," ",Z107," ","X"," ",Table43[[#This Row],[ISI/CTN]]," ",AB107," ",AD107," ",AH107))))</f>
        <v>ABC KACANG HIJAU 200 ML X 24 PCS</v>
      </c>
      <c r="O107" s="11">
        <f t="shared" si="4"/>
        <v>32</v>
      </c>
      <c r="P107" s="4" t="s">
        <v>28</v>
      </c>
      <c r="Q107" s="7" t="s">
        <v>85</v>
      </c>
      <c r="R107" s="4" t="s">
        <v>312</v>
      </c>
      <c r="S107" s="43" t="s">
        <v>223</v>
      </c>
      <c r="T107" s="44"/>
      <c r="U107" s="7" t="s">
        <v>1</v>
      </c>
      <c r="V107" s="44"/>
      <c r="W107" s="43" t="s">
        <v>1</v>
      </c>
      <c r="X107" s="4"/>
      <c r="Y107" s="45" t="s">
        <v>476</v>
      </c>
      <c r="Z107" s="4" t="s">
        <v>557</v>
      </c>
      <c r="AA107" s="45" t="s">
        <v>207</v>
      </c>
      <c r="AB107" s="4" t="s">
        <v>552</v>
      </c>
      <c r="AC107" s="7" t="s">
        <v>480</v>
      </c>
      <c r="AD107" s="4"/>
      <c r="AE107" s="7" t="s">
        <v>1</v>
      </c>
      <c r="AF107" s="7"/>
      <c r="AG107" s="7"/>
      <c r="AH107" s="7"/>
      <c r="AI107" s="7" t="s">
        <v>214</v>
      </c>
      <c r="AJ107" s="7">
        <v>2</v>
      </c>
      <c r="AK107" s="7"/>
      <c r="AL107" s="40">
        <f>Table43[[#This Row],[Harga Jual Pcs GT
(-PPN)]]-(Table43[[#This Row],[Harga Jual Pcs GT
(-PPN)]]*6%)</f>
        <v>2930.7696000000001</v>
      </c>
      <c r="AM107" s="41">
        <f>Table43[[#This Row],[Harga Beli Pcs
(-PPN)]]*Table43[[#This Row],[ISI/CTN]]</f>
        <v>70338.470400000006</v>
      </c>
      <c r="AN107" s="41">
        <f>Table43[[#This Row],[Harga Beli Pcs
(-PPN)]]*1.11</f>
        <v>3253.1542560000003</v>
      </c>
      <c r="AO107" s="41">
        <f>Table43[[#This Row],[Harga Beli Krt
(- PPN)]]*1.11</f>
        <v>78075.70214400001</v>
      </c>
      <c r="AP107" s="41">
        <v>3117.84</v>
      </c>
      <c r="AQ107" s="41">
        <f>Table43[[#This Row],[Harga Jual Pcs GT
(-PPN)]]*Table43[[#This Row],[ISI/CTN]]</f>
        <v>74828.160000000003</v>
      </c>
      <c r="AR107" s="41">
        <f>Table43[[#This Row],[Harga Jual Pcs GT
(-PPN)]]*1.11</f>
        <v>3460.8024000000005</v>
      </c>
      <c r="AS107" s="41">
        <f>Table43[[#This Row],[Harga Jual Krt GT
(- PPN)]]*1.11</f>
        <v>83059.257600000012</v>
      </c>
      <c r="AT107" s="41">
        <v>3273.7297297297323</v>
      </c>
      <c r="AU107" s="41">
        <f>(Table43[[#This Row],[Harga Jual Pcs MT
(-PPN)]]*Table43[[#This Row],[ISI/CTN]])</f>
        <v>78569.513513513579</v>
      </c>
      <c r="AV107" s="41">
        <f>Table43[[#This Row],[Harga Jual Pcs MT
(-PPN)]]*1.11</f>
        <v>3633.8400000000033</v>
      </c>
      <c r="AW107" s="41">
        <f>Table43[[#This Row],[Harga Jual Pcs MT
(+PPN)]]*Table43[[#This Row],[ISI/CTN]]</f>
        <v>87212.160000000076</v>
      </c>
      <c r="AX107" s="41"/>
      <c r="AY107" s="46">
        <v>45553</v>
      </c>
      <c r="AZ107" s="54">
        <v>45945</v>
      </c>
      <c r="BA107" s="7" t="str">
        <f ca="1">IF(TODAY()-Table43[[#This Row],[Efektif
Pembuatan]]&gt;60,"Lama","Baru")</f>
        <v>Lama</v>
      </c>
      <c r="BB107" s="7" t="str">
        <f ca="1">IF(TODAY()-Table43[[#This Row],[Efektif Naik Harga]]&lt;30,"Naik","Sama")</f>
        <v>Sama</v>
      </c>
      <c r="BC107" s="7" t="s">
        <v>235</v>
      </c>
      <c r="BD107" s="7" t="str">
        <f>IF(Table43[[#This Row],[Kode BARANG Win2]]&lt;&gt;"","IDR","")</f>
        <v>IDR</v>
      </c>
      <c r="BE107" s="7" t="str">
        <f>CONCATENATE(Table43[[#This Row],[kode  1 Digit
(Nomor)]],Table43[[#This Row],[kode  4 Digit                (Nomor)]])</f>
        <v>20200</v>
      </c>
      <c r="BF107" s="7" t="str">
        <f>Table43[[#This Row],[Nama            Gramasi atau Jumlah Pack per CTN]]</f>
        <v>200 ML</v>
      </c>
      <c r="BG107" s="7" t="s">
        <v>653</v>
      </c>
      <c r="BH107" s="51" t="s">
        <v>654</v>
      </c>
      <c r="BI107" s="4" t="str">
        <f>IF(Table43[[#This Row],[SATUAN Fix Win]]&lt;&gt;"","KRT")</f>
        <v>KRT</v>
      </c>
      <c r="BJ107" s="4" t="str">
        <f>IF(Table43[[#This Row],[SATUAN Fix Win]]&lt;&gt;"","GD01")</f>
        <v>GD01</v>
      </c>
      <c r="BK107" s="4">
        <f>IF(Table43[[#This Row],[SATUAN Fix Win]]&lt;&gt;"",11611)</f>
        <v>11611</v>
      </c>
      <c r="BL107" s="4">
        <f>IF(Table43[[#This Row],[SATUAN Fix Win]]&lt;&gt;"",11612)</f>
        <v>11612</v>
      </c>
      <c r="BM107" s="47" t="s">
        <v>655</v>
      </c>
      <c r="BN107" s="4">
        <f>IF(Table43[[#This Row],[SATUAN Fix Win]]&lt;&gt;"",1)</f>
        <v>1</v>
      </c>
      <c r="BO107" s="4" t="s">
        <v>656</v>
      </c>
      <c r="BP107" s="4">
        <f>IFERROR(VLOOKUP(Table43[[#This Row],[Kode Pcpl]],'[1]HEINZ ABC'!$A$4:$E$112,8,0),0)</f>
        <v>0</v>
      </c>
      <c r="BQ107" s="55">
        <f>Table43[[#This Row],[Harga Jual Pcs GT
(-PPN)]]-Table43[[#This Row],[HARGA NAIK GT]]</f>
        <v>3117.84</v>
      </c>
      <c r="BR107" s="4">
        <f>IF(Table43[[#This Row],[HARGA NAIK GT]]=0,Table43[[#This Row],[Harga Jual Pcs GT
(-PPN)]],Table43[[#This Row],[HARGA NAIK GT]])</f>
        <v>3117.84</v>
      </c>
      <c r="BT107" s="113"/>
    </row>
    <row r="108" spans="1:76" x14ac:dyDescent="0.25">
      <c r="A108" s="4" t="str">
        <f>CONCATENATE(Table43[[#This Row],[Kode BARANG Win2]],Table43[[#This Row],[No. Urut
Item Sama]])</f>
        <v>A10500000250101</v>
      </c>
      <c r="B108" s="7">
        <v>1</v>
      </c>
      <c r="C108" s="4">
        <v>95</v>
      </c>
      <c r="D108" s="27">
        <v>460179</v>
      </c>
      <c r="E108" s="27" t="s">
        <v>312</v>
      </c>
      <c r="F108" s="27" t="s">
        <v>316</v>
      </c>
      <c r="G108" s="27">
        <v>24</v>
      </c>
      <c r="H108" s="42" t="s">
        <v>2893</v>
      </c>
      <c r="I108" s="27" t="str">
        <f>Table43[[#This Row],[Nama Jenis Kemasan]]</f>
        <v>PCS</v>
      </c>
      <c r="J108" s="4" t="str">
        <f>TRIM(CONCATENATE(Table43[[#This Row],[Nama            KLP]]," ",Table43[[#This Row],[Nama            Sub KLP]]))</f>
        <v>KACANG HIJAU</v>
      </c>
      <c r="K108" s="4" t="str">
        <f>CONCATENATE(Table43[[#This Row],[kode  2 Digit                (hrf+No)]],Table43[[#This Row],[kode  2 Digit                (Nomor)]],Table43[[#This Row],[kode  1 Digit                (Nomor)]])</f>
        <v>A1050</v>
      </c>
      <c r="L108" s="4" t="str">
        <f>IF(AG108="",CONCATENATE(Q108,S108,U108,W108,Y108,AA108,AC108,AE108,Table43[[#This Row],[Tanda Kode Revisi]]),CONCATENATE(Q108,S108,U108,W108,Y108,AA108,AC108,AG108))</f>
        <v>A1050000025010</v>
      </c>
      <c r="M108" s="11">
        <f t="shared" si="3"/>
        <v>14</v>
      </c>
      <c r="N108" s="14" t="str">
        <f>IF(AF108&lt;&gt;"",TRIM(UPPER(CONCATENATE(P108," ",R108," ",T108," ",V108," ",X108," ",Z108," ","X"," ",Table43[[#This Row],[ISI/CTN]]," ",AF108," ",AB108," ",AD108," ",AH108))),TRIM(UPPER(CONCATENATE(P108," ",R108," ",T108," ",V108," ",X108," ",Z108," ","X"," ",Table43[[#This Row],[ISI/CTN]]," ",AB108," ",AD108," ",AH108))))</f>
        <v>ABC KACANG HIJAU 250 ML X 24 PCS</v>
      </c>
      <c r="O108" s="11">
        <f t="shared" si="4"/>
        <v>32</v>
      </c>
      <c r="P108" s="4" t="s">
        <v>28</v>
      </c>
      <c r="Q108" s="7" t="s">
        <v>85</v>
      </c>
      <c r="R108" s="4" t="s">
        <v>312</v>
      </c>
      <c r="S108" s="43" t="s">
        <v>223</v>
      </c>
      <c r="T108" s="44"/>
      <c r="U108" s="7" t="s">
        <v>1</v>
      </c>
      <c r="V108" s="44"/>
      <c r="W108" s="43" t="s">
        <v>1</v>
      </c>
      <c r="Y108" s="45" t="s">
        <v>476</v>
      </c>
      <c r="Z108" s="4" t="s">
        <v>559</v>
      </c>
      <c r="AA108" s="45" t="s">
        <v>489</v>
      </c>
      <c r="AB108" s="4" t="s">
        <v>552</v>
      </c>
      <c r="AC108" s="7" t="s">
        <v>480</v>
      </c>
      <c r="AE108" s="7" t="s">
        <v>1</v>
      </c>
      <c r="AI108" s="7" t="s">
        <v>214</v>
      </c>
      <c r="AJ108" s="7">
        <v>2</v>
      </c>
      <c r="AL108" s="40">
        <f>Table43[[#This Row],[Harga Jual Pcs GT
(-PPN)]]-(Table43[[#This Row],[Harga Jual Pcs GT
(-PPN)]]*6%)</f>
        <v>3446.6698000000001</v>
      </c>
      <c r="AM108" s="41">
        <f>Table43[[#This Row],[Harga Beli Pcs
(-PPN)]]*Table43[[#This Row],[ISI/CTN]]</f>
        <v>82720.075200000007</v>
      </c>
      <c r="AN108" s="41">
        <f>Table43[[#This Row],[Harga Beli Pcs
(-PPN)]]*1.11</f>
        <v>3825.8034780000003</v>
      </c>
      <c r="AO108" s="41">
        <f>Table43[[#This Row],[Harga Beli Krt
(- PPN)]]*1.11</f>
        <v>91819.28347200001</v>
      </c>
      <c r="AP108" s="41">
        <v>3666.67</v>
      </c>
      <c r="AQ108" s="41">
        <f>Table43[[#This Row],[Harga Jual Pcs GT
(-PPN)]]*Table43[[#This Row],[ISI/CTN]]</f>
        <v>88000.08</v>
      </c>
      <c r="AR108" s="41">
        <f>Table43[[#This Row],[Harga Jual Pcs GT
(-PPN)]]*1.11</f>
        <v>4070.0037000000007</v>
      </c>
      <c r="AS108" s="41">
        <f>Table43[[#This Row],[Harga Jual Krt GT
(- PPN)]]*1.11</f>
        <v>97680.088800000012</v>
      </c>
      <c r="AT108" s="41">
        <v>3850</v>
      </c>
      <c r="AU108" s="41">
        <f>(Table43[[#This Row],[Harga Jual Pcs MT
(-PPN)]]*Table43[[#This Row],[ISI/CTN]])</f>
        <v>92400</v>
      </c>
      <c r="AV108" s="41">
        <f>Table43[[#This Row],[Harga Jual Pcs MT
(-PPN)]]*1.11</f>
        <v>4273.5</v>
      </c>
      <c r="AW108" s="41">
        <f>Table43[[#This Row],[Harga Jual Pcs MT
(+PPN)]]*Table43[[#This Row],[ISI/CTN]]</f>
        <v>102564</v>
      </c>
      <c r="AX108" s="41"/>
      <c r="AY108" s="46">
        <v>45553</v>
      </c>
      <c r="AZ108" s="54">
        <v>45553</v>
      </c>
      <c r="BA108" s="7" t="str">
        <f ca="1">IF(TODAY()-Table43[[#This Row],[Efektif
Pembuatan]]&gt;60,"Lama","Baru")</f>
        <v>Lama</v>
      </c>
      <c r="BB108" s="7" t="str">
        <f ca="1">IF(TODAY()-Table43[[#This Row],[Efektif Naik Harga]]&lt;30,"Naik","Sama")</f>
        <v>Sama</v>
      </c>
      <c r="BC108" s="7" t="s">
        <v>235</v>
      </c>
      <c r="BD108" s="7" t="str">
        <f>IF(Table43[[#This Row],[Kode BARANG Win2]]&lt;&gt;"","IDR","")</f>
        <v>IDR</v>
      </c>
      <c r="BE108" s="7" t="str">
        <f>CONCATENATE(Table43[[#This Row],[kode  1 Digit
(Nomor)]],Table43[[#This Row],[kode  4 Digit                (Nomor)]])</f>
        <v>20250</v>
      </c>
      <c r="BF108" s="7" t="str">
        <f>Table43[[#This Row],[Nama            Gramasi atau Jumlah Pack per CTN]]</f>
        <v>250 ML</v>
      </c>
      <c r="BG108" s="7" t="s">
        <v>653</v>
      </c>
      <c r="BH108" s="51" t="s">
        <v>654</v>
      </c>
      <c r="BI108" s="4" t="str">
        <f>IF(Table43[[#This Row],[SATUAN Fix Win]]&lt;&gt;"","KRT")</f>
        <v>KRT</v>
      </c>
      <c r="BJ108" s="4" t="str">
        <f>IF(Table43[[#This Row],[SATUAN Fix Win]]&lt;&gt;"","GD01")</f>
        <v>GD01</v>
      </c>
      <c r="BK108" s="4">
        <f>IF(Table43[[#This Row],[SATUAN Fix Win]]&lt;&gt;"",11611)</f>
        <v>11611</v>
      </c>
      <c r="BL108" s="4">
        <f>IF(Table43[[#This Row],[SATUAN Fix Win]]&lt;&gt;"",11612)</f>
        <v>11612</v>
      </c>
      <c r="BM108" s="47" t="s">
        <v>655</v>
      </c>
      <c r="BN108" s="4">
        <f>IF(Table43[[#This Row],[SATUAN Fix Win]]&lt;&gt;"",1)</f>
        <v>1</v>
      </c>
      <c r="BO108" s="4" t="s">
        <v>656</v>
      </c>
      <c r="BP108" s="4">
        <f>IFERROR(VLOOKUP(Table43[[#This Row],[Kode Pcpl]],'[1]HEINZ ABC'!$A$4:$E$112,8,0),0)</f>
        <v>0</v>
      </c>
      <c r="BQ108" s="55">
        <f>Table43[[#This Row],[Harga Jual Pcs GT
(-PPN)]]-Table43[[#This Row],[HARGA NAIK GT]]</f>
        <v>3666.67</v>
      </c>
      <c r="BR108" s="4">
        <f>IF(Table43[[#This Row],[HARGA NAIK GT]]=0,Table43[[#This Row],[Harga Jual Pcs GT
(-PPN)]],Table43[[#This Row],[HARGA NAIK GT]])</f>
        <v>3666.67</v>
      </c>
      <c r="BS108">
        <f>IFERROR(VLOOKUP(Table43[[#This Row],[Kode Pcpl]],'[1]HEINZ ABC'!$A$4:$E$112,8,0),0)</f>
        <v>0</v>
      </c>
      <c r="BT108" s="58">
        <f>Table43[[#This Row],[Harga Jual Pcs GT
(-PPN)]]-BS108</f>
        <v>3666.67</v>
      </c>
      <c r="BU108">
        <f>IF(BS108=0,Table43[[#This Row],[Harga Jual Pcs MT
(-PPN)]])</f>
        <v>3850</v>
      </c>
      <c r="BV108">
        <f>IFERROR(VLOOKUP(Table43[[#This Row],[Kode Pcpl]],[2]Pricelist!$A$4:$K$112,11,0),0)</f>
        <v>0</v>
      </c>
      <c r="BW108">
        <f>IFERROR(VLOOKUP(Table43[[#This Row],[Kode BARANG Win2]],[3]!RECKITT211216[[KDBRG]:[HRG_JL_PCS-PPN]],11,0),0)</f>
        <v>0</v>
      </c>
      <c r="BX108">
        <f t="shared" si="5"/>
        <v>0</v>
      </c>
    </row>
    <row r="109" spans="1:76" x14ac:dyDescent="0.25">
      <c r="A109" s="4" t="str">
        <f>CONCATENATE(Table43[[#This Row],[Kode BARANG Win2]],Table43[[#This Row],[No. Urut
Item Sama]])</f>
        <v>A10500000250111</v>
      </c>
      <c r="B109" s="7">
        <v>1</v>
      </c>
      <c r="C109" s="4">
        <v>96</v>
      </c>
      <c r="D109" s="27">
        <v>460918</v>
      </c>
      <c r="E109" s="27" t="s">
        <v>312</v>
      </c>
      <c r="F109" s="27" t="s">
        <v>317</v>
      </c>
      <c r="G109" s="27">
        <v>24</v>
      </c>
      <c r="H109" s="42" t="s">
        <v>2889</v>
      </c>
      <c r="I109" s="27" t="str">
        <f>Table43[[#This Row],[Nama Jenis Kemasan]]</f>
        <v>PCS</v>
      </c>
      <c r="J109" s="4" t="str">
        <f>TRIM(CONCATENATE(Table43[[#This Row],[Nama            KLP]]," ",Table43[[#This Row],[Nama            Sub KLP]]))</f>
        <v>KACANG HIJAU</v>
      </c>
      <c r="K109" s="4" t="str">
        <f>CONCATENATE(Table43[[#This Row],[kode  2 Digit                (hrf+No)]],Table43[[#This Row],[kode  2 Digit                (Nomor)]],Table43[[#This Row],[kode  1 Digit                (Nomor)]])</f>
        <v>A1050</v>
      </c>
      <c r="L109" s="4" t="str">
        <f>IF(AG109="",CONCATENATE(Q109,S109,U109,W109,Y109,AA109,AC109,AE109,Table43[[#This Row],[Tanda Kode Revisi]]),CONCATENATE(Q109,S109,U109,W109,Y109,AA109,AC109,AG109))</f>
        <v>A1050000025011</v>
      </c>
      <c r="M109" s="11">
        <f t="shared" si="3"/>
        <v>14</v>
      </c>
      <c r="N109" s="14" t="str">
        <f>IF(AF109&lt;&gt;"",TRIM(UPPER(CONCATENATE(P109," ",R109," ",T109," ",V109," ",X109," ",Z109," ","X"," ",Table43[[#This Row],[ISI/CTN]]," ",AF109," ",AB109," ",AD109," ",AH109))),TRIM(UPPER(CONCATENATE(P109," ",R109," ",T109," ",V109," ",X109," ",Z109," ","X"," ",Table43[[#This Row],[ISI/CTN]]," ",AB109," ",AD109," ",AH109))))</f>
        <v>ABC KACANG HIJAU 250 ML X 24 PCS EXTRA 50 ML</v>
      </c>
      <c r="O109" s="11">
        <f t="shared" si="4"/>
        <v>44</v>
      </c>
      <c r="P109" s="4" t="s">
        <v>28</v>
      </c>
      <c r="Q109" s="7" t="s">
        <v>85</v>
      </c>
      <c r="R109" s="4" t="s">
        <v>312</v>
      </c>
      <c r="S109" s="43" t="s">
        <v>223</v>
      </c>
      <c r="T109" s="44"/>
      <c r="U109" s="7" t="s">
        <v>1</v>
      </c>
      <c r="V109" s="44"/>
      <c r="W109" s="43" t="s">
        <v>1</v>
      </c>
      <c r="Y109" s="45" t="s">
        <v>476</v>
      </c>
      <c r="Z109" s="4" t="s">
        <v>559</v>
      </c>
      <c r="AA109" s="45" t="s">
        <v>489</v>
      </c>
      <c r="AB109" s="4" t="s">
        <v>552</v>
      </c>
      <c r="AC109" s="7" t="s">
        <v>480</v>
      </c>
      <c r="AD109" s="4" t="s">
        <v>560</v>
      </c>
      <c r="AE109" s="7">
        <v>1</v>
      </c>
      <c r="AI109" s="7" t="s">
        <v>214</v>
      </c>
      <c r="AJ109" s="7">
        <v>2</v>
      </c>
      <c r="AL109" s="40">
        <f>Table43[[#This Row],[Harga Jual Pcs GT
(-PPN)]]-(Table43[[#This Row],[Harga Jual Pcs GT
(-PPN)]]*6%)</f>
        <v>2930.7696000000001</v>
      </c>
      <c r="AM109" s="41">
        <f>Table43[[#This Row],[Harga Beli Pcs
(-PPN)]]*Table43[[#This Row],[ISI/CTN]]</f>
        <v>70338.470400000006</v>
      </c>
      <c r="AN109" s="41">
        <f>Table43[[#This Row],[Harga Beli Pcs
(-PPN)]]*1.11</f>
        <v>3253.1542560000003</v>
      </c>
      <c r="AO109" s="41">
        <f>Table43[[#This Row],[Harga Beli Krt
(- PPN)]]*1.11</f>
        <v>78075.70214400001</v>
      </c>
      <c r="AP109" s="41">
        <v>3117.84</v>
      </c>
      <c r="AQ109" s="41">
        <f>Table43[[#This Row],[Harga Jual Pcs GT
(-PPN)]]*Table43[[#This Row],[ISI/CTN]]</f>
        <v>74828.160000000003</v>
      </c>
      <c r="AR109" s="41">
        <f>Table43[[#This Row],[Harga Jual Pcs GT
(-PPN)]]*1.11</f>
        <v>3460.8024000000005</v>
      </c>
      <c r="AS109" s="41">
        <f>Table43[[#This Row],[Harga Jual Krt GT
(- PPN)]]*1.11</f>
        <v>83059.257600000012</v>
      </c>
      <c r="AT109" s="41">
        <v>3117.84</v>
      </c>
      <c r="AU109" s="41">
        <f>(Table43[[#This Row],[Harga Jual Pcs MT
(-PPN)]]*Table43[[#This Row],[ISI/CTN]])</f>
        <v>74828.160000000003</v>
      </c>
      <c r="AV109" s="41">
        <f>Table43[[#This Row],[Harga Jual Pcs MT
(-PPN)]]*1.11</f>
        <v>3460.8024000000005</v>
      </c>
      <c r="AW109" s="41">
        <f>Table43[[#This Row],[Harga Jual Pcs MT
(+PPN)]]*Table43[[#This Row],[ISI/CTN]]</f>
        <v>83059.257600000012</v>
      </c>
      <c r="AX109" s="41"/>
      <c r="AY109" s="46">
        <v>45553</v>
      </c>
      <c r="AZ109" s="54">
        <v>45945</v>
      </c>
      <c r="BA109" s="7" t="str">
        <f ca="1">IF(TODAY()-Table43[[#This Row],[Efektif
Pembuatan]]&gt;60,"Lama","Baru")</f>
        <v>Lama</v>
      </c>
      <c r="BB109" s="7" t="str">
        <f ca="1">IF(TODAY()-Table43[[#This Row],[Efektif Naik Harga]]&lt;30,"Naik","Sama")</f>
        <v>Sama</v>
      </c>
      <c r="BC109" s="7" t="s">
        <v>235</v>
      </c>
      <c r="BD109" s="7" t="str">
        <f>IF(Table43[[#This Row],[Kode BARANG Win2]]&lt;&gt;"","IDR","")</f>
        <v>IDR</v>
      </c>
      <c r="BE109" s="7" t="str">
        <f>CONCATENATE(Table43[[#This Row],[kode  1 Digit
(Nomor)]],Table43[[#This Row],[kode  4 Digit                (Nomor)]])</f>
        <v>20250</v>
      </c>
      <c r="BF109" s="7" t="str">
        <f>Table43[[#This Row],[Nama            Gramasi atau Jumlah Pack per CTN]]</f>
        <v>250 ML</v>
      </c>
      <c r="BG109" s="7" t="s">
        <v>653</v>
      </c>
      <c r="BH109" s="51" t="s">
        <v>654</v>
      </c>
      <c r="BI109" s="4" t="str">
        <f>IF(Table43[[#This Row],[SATUAN Fix Win]]&lt;&gt;"","KRT")</f>
        <v>KRT</v>
      </c>
      <c r="BJ109" s="4" t="str">
        <f>IF(Table43[[#This Row],[SATUAN Fix Win]]&lt;&gt;"","GD01")</f>
        <v>GD01</v>
      </c>
      <c r="BK109" s="4">
        <f>IF(Table43[[#This Row],[SATUAN Fix Win]]&lt;&gt;"",11611)</f>
        <v>11611</v>
      </c>
      <c r="BL109" s="4">
        <f>IF(Table43[[#This Row],[SATUAN Fix Win]]&lt;&gt;"",11612)</f>
        <v>11612</v>
      </c>
      <c r="BM109" s="47" t="s">
        <v>655</v>
      </c>
      <c r="BN109" s="4">
        <f>IF(Table43[[#This Row],[SATUAN Fix Win]]&lt;&gt;"",1)</f>
        <v>1</v>
      </c>
      <c r="BO109" s="4" t="s">
        <v>656</v>
      </c>
      <c r="BP109" s="4">
        <f>IFERROR(VLOOKUP(Table43[[#This Row],[Kode Pcpl]],'[1]HEINZ ABC'!$A$4:$E$112,8,0),0)</f>
        <v>0</v>
      </c>
      <c r="BQ109" s="55">
        <f>Table43[[#This Row],[Harga Jual Pcs GT
(-PPN)]]-Table43[[#This Row],[HARGA NAIK GT]]</f>
        <v>3117.84</v>
      </c>
      <c r="BR109" s="4">
        <f>IF(Table43[[#This Row],[HARGA NAIK GT]]=0,Table43[[#This Row],[Harga Jual Pcs GT
(-PPN)]],Table43[[#This Row],[HARGA NAIK GT]])</f>
        <v>3117.84</v>
      </c>
      <c r="BS109">
        <f>IFERROR(VLOOKUP(Table43[[#This Row],[Kode Pcpl]],'[1]HEINZ ABC'!$A$4:$E$112,8,0),0)</f>
        <v>0</v>
      </c>
      <c r="BT109" s="58">
        <f>Table43[[#This Row],[Harga Jual Pcs GT
(-PPN)]]-BS109</f>
        <v>3117.84</v>
      </c>
      <c r="BU109">
        <f>IF(BS109=0,Table43[[#This Row],[Harga Jual Pcs MT
(-PPN)]])</f>
        <v>3117.84</v>
      </c>
      <c r="BV109">
        <f>IFERROR(VLOOKUP(Table43[[#This Row],[Kode Pcpl]],[2]Pricelist!$A$4:$K$112,11,0),0)</f>
        <v>0</v>
      </c>
      <c r="BW109">
        <f>IFERROR(VLOOKUP(Table43[[#This Row],[Kode BARANG Win2]],[3]!RECKITT211216[[KDBRG]:[HRG_JL_PCS-PPN]],11,0),0)</f>
        <v>0</v>
      </c>
      <c r="BX109">
        <f t="shared" si="5"/>
        <v>0</v>
      </c>
    </row>
    <row r="110" spans="1:76" x14ac:dyDescent="0.25">
      <c r="A110" s="4" t="str">
        <f>CONCATENATE(Table43[[#This Row],[Kode BARANG Win2]],Table43[[#This Row],[No. Urut
Item Sama]])</f>
        <v>A10500000250201</v>
      </c>
      <c r="B110" s="7">
        <v>1</v>
      </c>
      <c r="C110" s="4">
        <v>97</v>
      </c>
      <c r="D110" s="27">
        <v>460917</v>
      </c>
      <c r="E110" s="27" t="s">
        <v>312</v>
      </c>
      <c r="F110" s="27" t="s">
        <v>318</v>
      </c>
      <c r="G110" s="27">
        <v>8</v>
      </c>
      <c r="H110" s="42">
        <v>0</v>
      </c>
      <c r="I110" s="27" t="str">
        <f>Table43[[#This Row],[Nama Jenis Kemasan]]</f>
        <v>PCSX3</v>
      </c>
      <c r="J110" s="4" t="str">
        <f>TRIM(CONCATENATE(Table43[[#This Row],[Nama            KLP]]," ",Table43[[#This Row],[Nama            Sub KLP]]))</f>
        <v>KACANG HIJAU</v>
      </c>
      <c r="K110" s="4" t="str">
        <f>CONCATENATE(Table43[[#This Row],[kode  2 Digit                (hrf+No)]],Table43[[#This Row],[kode  2 Digit                (Nomor)]],Table43[[#This Row],[kode  1 Digit                (Nomor)]])</f>
        <v>A1050</v>
      </c>
      <c r="L110" s="4" t="str">
        <f>IF(AG110="",CONCATENATE(Q110,S110,U110,W110,Y110,AA110,AC110,AE110,Table43[[#This Row],[Tanda Kode Revisi]]),CONCATENATE(Q110,S110,U110,W110,Y110,AA110,AC110,AG110))</f>
        <v>A1050000025020</v>
      </c>
      <c r="M110" s="11">
        <f t="shared" si="3"/>
        <v>14</v>
      </c>
      <c r="N110" s="14" t="str">
        <f>IF(AF110&lt;&gt;"",TRIM(UPPER(CONCATENATE(P110," ",R110," ",T110," ",V110," ",X110," ",Z110," ","X"," ",Table43[[#This Row],[ISI/CTN]]," ",AF110," ",AB110," ",AD110," ",AH110))),TRIM(UPPER(CONCATENATE(P110," ",R110," ",T110," ",V110," ",X110," ",Z110," ","X"," ",Table43[[#This Row],[ISI/CTN]]," ",AB110," ",AD110," ",AH110))))</f>
        <v>ABC KACANG HIJAU 250 ML X 8 PACK PCSX3</v>
      </c>
      <c r="O110" s="11">
        <f t="shared" si="4"/>
        <v>38</v>
      </c>
      <c r="P110" s="4" t="s">
        <v>28</v>
      </c>
      <c r="Q110" s="7" t="s">
        <v>85</v>
      </c>
      <c r="R110" s="4" t="s">
        <v>312</v>
      </c>
      <c r="S110" s="43" t="s">
        <v>223</v>
      </c>
      <c r="T110" s="44"/>
      <c r="U110" s="7" t="s">
        <v>1</v>
      </c>
      <c r="V110" s="44"/>
      <c r="W110" s="43" t="s">
        <v>1</v>
      </c>
      <c r="Y110" s="45" t="s">
        <v>476</v>
      </c>
      <c r="Z110" s="4" t="s">
        <v>559</v>
      </c>
      <c r="AA110" s="45" t="s">
        <v>489</v>
      </c>
      <c r="AB110" s="4" t="s">
        <v>561</v>
      </c>
      <c r="AC110" s="7" t="s">
        <v>492</v>
      </c>
      <c r="AE110" s="7" t="s">
        <v>1</v>
      </c>
      <c r="AF110" s="7" t="s">
        <v>546</v>
      </c>
      <c r="AI110" s="7" t="s">
        <v>214</v>
      </c>
      <c r="AJ110" s="7">
        <v>2</v>
      </c>
      <c r="AL110" s="40">
        <f>Table43[[#This Row],[Harga Jual Pcs GT
(-PPN)]]-(Table43[[#This Row],[Harga Jual Pcs GT
(-PPN)]]*6%)</f>
        <v>6893.3302000000003</v>
      </c>
      <c r="AM110" s="41">
        <f>Table43[[#This Row],[Harga Beli Pcs
(-PPN)]]*Table43[[#This Row],[ISI/CTN]]</f>
        <v>55146.641600000003</v>
      </c>
      <c r="AN110" s="41">
        <f>Table43[[#This Row],[Harga Beli Pcs
(-PPN)]]*1.11</f>
        <v>7651.5965220000007</v>
      </c>
      <c r="AO110" s="41">
        <f>Table43[[#This Row],[Harga Beli Krt
(- PPN)]]*1.11</f>
        <v>61212.772176000006</v>
      </c>
      <c r="AP110" s="41">
        <v>7333.33</v>
      </c>
      <c r="AQ110" s="41">
        <f>Table43[[#This Row],[Harga Jual Pcs GT
(-PPN)]]*Table43[[#This Row],[ISI/CTN]]</f>
        <v>58666.64</v>
      </c>
      <c r="AR110" s="41">
        <f>Table43[[#This Row],[Harga Jual Pcs GT
(-PPN)]]*1.11</f>
        <v>8139.9963000000007</v>
      </c>
      <c r="AS110" s="41">
        <f>Table43[[#This Row],[Harga Jual Krt GT
(- PPN)]]*1.11</f>
        <v>65119.970400000006</v>
      </c>
      <c r="AT110" s="41">
        <v>7700</v>
      </c>
      <c r="AU110" s="41">
        <f>(Table43[[#This Row],[Harga Jual Pcs MT
(-PPN)]]*Table43[[#This Row],[ISI/CTN]])</f>
        <v>61600</v>
      </c>
      <c r="AV110" s="41">
        <f>Table43[[#This Row],[Harga Jual Pcs MT
(-PPN)]]*1.11</f>
        <v>8547</v>
      </c>
      <c r="AW110" s="41">
        <f>Table43[[#This Row],[Harga Jual Pcs MT
(+PPN)]]*Table43[[#This Row],[ISI/CTN]]</f>
        <v>68376</v>
      </c>
      <c r="AX110" s="41"/>
      <c r="AY110" s="46">
        <v>45553</v>
      </c>
      <c r="AZ110" s="54">
        <v>45553</v>
      </c>
      <c r="BA110" s="7" t="str">
        <f ca="1">IF(TODAY()-Table43[[#This Row],[Efektif
Pembuatan]]&gt;60,"Lama","Baru")</f>
        <v>Lama</v>
      </c>
      <c r="BB110" s="7" t="str">
        <f ca="1">IF(TODAY()-Table43[[#This Row],[Efektif Naik Harga]]&lt;30,"Naik","Sama")</f>
        <v>Sama</v>
      </c>
      <c r="BC110" s="7" t="s">
        <v>235</v>
      </c>
      <c r="BD110" s="7" t="str">
        <f>IF(Table43[[#This Row],[Kode BARANG Win2]]&lt;&gt;"","IDR","")</f>
        <v>IDR</v>
      </c>
      <c r="BE110" s="7" t="str">
        <f>CONCATENATE(Table43[[#This Row],[kode  1 Digit
(Nomor)]],Table43[[#This Row],[kode  4 Digit                (Nomor)]])</f>
        <v>20250</v>
      </c>
      <c r="BF110" s="7" t="str">
        <f>Table43[[#This Row],[Nama            Gramasi atau Jumlah Pack per CTN]]</f>
        <v>250 ML</v>
      </c>
      <c r="BG110" s="7" t="s">
        <v>653</v>
      </c>
      <c r="BH110" s="51" t="s">
        <v>654</v>
      </c>
      <c r="BI110" s="4" t="str">
        <f>IF(Table43[[#This Row],[SATUAN Fix Win]]&lt;&gt;"","KRT")</f>
        <v>KRT</v>
      </c>
      <c r="BJ110" s="4" t="str">
        <f>IF(Table43[[#This Row],[SATUAN Fix Win]]&lt;&gt;"","GD01")</f>
        <v>GD01</v>
      </c>
      <c r="BK110" s="4">
        <f>IF(Table43[[#This Row],[SATUAN Fix Win]]&lt;&gt;"",11611)</f>
        <v>11611</v>
      </c>
      <c r="BL110" s="4">
        <f>IF(Table43[[#This Row],[SATUAN Fix Win]]&lt;&gt;"",11612)</f>
        <v>11612</v>
      </c>
      <c r="BM110" s="47" t="s">
        <v>655</v>
      </c>
      <c r="BN110" s="4">
        <f>IF(Table43[[#This Row],[SATUAN Fix Win]]&lt;&gt;"",1)</f>
        <v>1</v>
      </c>
      <c r="BO110" s="4" t="s">
        <v>656</v>
      </c>
      <c r="BP110" s="4">
        <f>IFERROR(VLOOKUP(Table43[[#This Row],[Kode Pcpl]],'[1]HEINZ ABC'!$A$4:$E$112,8,0),0)</f>
        <v>0</v>
      </c>
      <c r="BQ110" s="55">
        <f>Table43[[#This Row],[Harga Jual Pcs GT
(-PPN)]]-Table43[[#This Row],[HARGA NAIK GT]]</f>
        <v>7333.33</v>
      </c>
      <c r="BR110" s="4">
        <f>IF(Table43[[#This Row],[HARGA NAIK GT]]=0,Table43[[#This Row],[Harga Jual Pcs GT
(-PPN)]],Table43[[#This Row],[HARGA NAIK GT]])</f>
        <v>7333.33</v>
      </c>
      <c r="BS110">
        <f>IFERROR(VLOOKUP(Table43[[#This Row],[Kode Pcpl]],'[1]HEINZ ABC'!$A$4:$E$112,8,0),0)</f>
        <v>0</v>
      </c>
      <c r="BT110" s="58">
        <f>Table43[[#This Row],[Harga Jual Pcs GT
(-PPN)]]-BS110</f>
        <v>7333.33</v>
      </c>
      <c r="BU110">
        <f>IF(BS110=0,Table43[[#This Row],[Harga Jual Pcs MT
(-PPN)]])</f>
        <v>7700</v>
      </c>
      <c r="BV110">
        <f>IFERROR(VLOOKUP(Table43[[#This Row],[Kode Pcpl]],[2]Pricelist!$A$4:$K$112,11,0),0)</f>
        <v>0</v>
      </c>
      <c r="BW110">
        <f>IFERROR(VLOOKUP(Table43[[#This Row],[Kode BARANG Win2]],[3]!RECKITT211216[[KDBRG]:[HRG_JL_PCS-PPN]],11,0),0)</f>
        <v>0</v>
      </c>
      <c r="BX110">
        <f t="shared" si="5"/>
        <v>0</v>
      </c>
    </row>
    <row r="111" spans="1:76" x14ac:dyDescent="0.25">
      <c r="A111" s="4" t="str">
        <f>CONCATENATE(Table43[[#This Row],[Kode BARANG Win2]],Table43[[#This Row],[No. Urut
Item Sama]])</f>
        <v>A10500000250202</v>
      </c>
      <c r="B111" s="7">
        <v>2</v>
      </c>
      <c r="C111" s="4">
        <v>98</v>
      </c>
      <c r="D111" s="27">
        <v>460921</v>
      </c>
      <c r="E111" s="27" t="s">
        <v>312</v>
      </c>
      <c r="F111" s="27" t="s">
        <v>319</v>
      </c>
      <c r="G111" s="27">
        <v>8</v>
      </c>
      <c r="H111" s="42" t="s">
        <v>2891</v>
      </c>
      <c r="I111" s="27" t="str">
        <f>Table43[[#This Row],[Nama Jenis Kemasan]]</f>
        <v>PCSX3</v>
      </c>
      <c r="J111" s="4" t="str">
        <f>TRIM(CONCATENATE(Table43[[#This Row],[Nama            KLP]]," ",Table43[[#This Row],[Nama            Sub KLP]]))</f>
        <v>KACANG HIJAU</v>
      </c>
      <c r="K111" s="4" t="str">
        <f>CONCATENATE(Table43[[#This Row],[kode  2 Digit                (hrf+No)]],Table43[[#This Row],[kode  2 Digit                (Nomor)]],Table43[[#This Row],[kode  1 Digit                (Nomor)]])</f>
        <v>A1050</v>
      </c>
      <c r="L111" s="4" t="str">
        <f>IF(AG111="",CONCATENATE(Q111,S111,U111,W111,Y111,AA111,AC111,AE111,Table43[[#This Row],[Tanda Kode Revisi]]),CONCATENATE(Q111,S111,U111,W111,Y111,AA111,AC111,AG111))</f>
        <v>A1050000025020</v>
      </c>
      <c r="M111" s="11">
        <f t="shared" si="3"/>
        <v>14</v>
      </c>
      <c r="N111" s="14" t="str">
        <f>IF(AF111&lt;&gt;"",TRIM(UPPER(CONCATENATE(P111," ",R111," ",T111," ",V111," ",X111," ",Z111," ","X"," ",Table43[[#This Row],[ISI/CTN]]," ",AF111," ",AB111," ",AD111," ",AH111))),TRIM(UPPER(CONCATENATE(P111," ",R111," ",T111," ",V111," ",X111," ",Z111," ","X"," ",Table43[[#This Row],[ISI/CTN]]," ",AB111," ",AD111," ",AH111))))</f>
        <v>ABC KACANG HIJAU 250 ML X 8 PACK PCSX3</v>
      </c>
      <c r="O111" s="11">
        <f t="shared" si="4"/>
        <v>38</v>
      </c>
      <c r="P111" s="4" t="s">
        <v>28</v>
      </c>
      <c r="Q111" s="7" t="s">
        <v>85</v>
      </c>
      <c r="R111" s="4" t="s">
        <v>312</v>
      </c>
      <c r="S111" s="43" t="s">
        <v>223</v>
      </c>
      <c r="T111" s="44"/>
      <c r="U111" s="7" t="s">
        <v>1</v>
      </c>
      <c r="V111" s="44"/>
      <c r="W111" s="43" t="s">
        <v>1</v>
      </c>
      <c r="Y111" s="45" t="s">
        <v>476</v>
      </c>
      <c r="Z111" s="4" t="s">
        <v>559</v>
      </c>
      <c r="AA111" s="45" t="s">
        <v>489</v>
      </c>
      <c r="AB111" s="4" t="s">
        <v>561</v>
      </c>
      <c r="AC111" s="7" t="s">
        <v>492</v>
      </c>
      <c r="AE111" s="7" t="s">
        <v>1</v>
      </c>
      <c r="AF111" s="7" t="s">
        <v>546</v>
      </c>
      <c r="AI111" s="7" t="s">
        <v>214</v>
      </c>
      <c r="AJ111" s="7">
        <v>2</v>
      </c>
      <c r="AL111" s="40">
        <f>Table43[[#This Row],[Harga Jual Pcs GT
(-PPN)]]-(Table43[[#This Row],[Harga Jual Pcs GT
(-PPN)]]*6%)</f>
        <v>6893.3302000000003</v>
      </c>
      <c r="AM111" s="41">
        <f>Table43[[#This Row],[Harga Beli Pcs
(-PPN)]]*Table43[[#This Row],[ISI/CTN]]</f>
        <v>55146.641600000003</v>
      </c>
      <c r="AN111" s="41">
        <f>Table43[[#This Row],[Harga Beli Pcs
(-PPN)]]*1.11</f>
        <v>7651.5965220000007</v>
      </c>
      <c r="AO111" s="41">
        <f>Table43[[#This Row],[Harga Beli Krt
(- PPN)]]*1.11</f>
        <v>61212.772176000006</v>
      </c>
      <c r="AP111" s="41">
        <v>7333.33</v>
      </c>
      <c r="AQ111" s="41">
        <f>Table43[[#This Row],[Harga Jual Pcs GT
(-PPN)]]*Table43[[#This Row],[ISI/CTN]]</f>
        <v>58666.64</v>
      </c>
      <c r="AR111" s="41">
        <f>Table43[[#This Row],[Harga Jual Pcs GT
(-PPN)]]*1.11</f>
        <v>8139.9963000000007</v>
      </c>
      <c r="AS111" s="41">
        <f>Table43[[#This Row],[Harga Jual Krt GT
(- PPN)]]*1.11</f>
        <v>65119.970400000006</v>
      </c>
      <c r="AT111" s="41">
        <v>7700</v>
      </c>
      <c r="AU111" s="41">
        <f>(Table43[[#This Row],[Harga Jual Pcs MT
(-PPN)]]*Table43[[#This Row],[ISI/CTN]])</f>
        <v>61600</v>
      </c>
      <c r="AV111" s="41">
        <f>Table43[[#This Row],[Harga Jual Pcs MT
(-PPN)]]*1.11</f>
        <v>8547</v>
      </c>
      <c r="AW111" s="41">
        <f>Table43[[#This Row],[Harga Jual Pcs MT
(+PPN)]]*Table43[[#This Row],[ISI/CTN]]</f>
        <v>68376</v>
      </c>
      <c r="AX111" s="41"/>
      <c r="AY111" s="46">
        <v>45553</v>
      </c>
      <c r="AZ111" s="54">
        <v>45553</v>
      </c>
      <c r="BA111" s="7" t="str">
        <f ca="1">IF(TODAY()-Table43[[#This Row],[Efektif
Pembuatan]]&gt;60,"Lama","Baru")</f>
        <v>Lama</v>
      </c>
      <c r="BB111" s="7" t="str">
        <f ca="1">IF(TODAY()-Table43[[#This Row],[Efektif Naik Harga]]&lt;30,"Naik","Sama")</f>
        <v>Sama</v>
      </c>
      <c r="BC111" s="7" t="s">
        <v>235</v>
      </c>
      <c r="BD111" s="7" t="str">
        <f>IF(Table43[[#This Row],[Kode BARANG Win2]]&lt;&gt;"","IDR","")</f>
        <v>IDR</v>
      </c>
      <c r="BE111" s="7" t="str">
        <f>CONCATENATE(Table43[[#This Row],[kode  1 Digit
(Nomor)]],Table43[[#This Row],[kode  4 Digit                (Nomor)]])</f>
        <v>20250</v>
      </c>
      <c r="BF111" s="7" t="str">
        <f>Table43[[#This Row],[Nama            Gramasi atau Jumlah Pack per CTN]]</f>
        <v>250 ML</v>
      </c>
      <c r="BG111" s="7" t="s">
        <v>653</v>
      </c>
      <c r="BH111" s="51" t="s">
        <v>654</v>
      </c>
      <c r="BI111" s="4" t="str">
        <f>IF(Table43[[#This Row],[SATUAN Fix Win]]&lt;&gt;"","KRT")</f>
        <v>KRT</v>
      </c>
      <c r="BJ111" s="4" t="str">
        <f>IF(Table43[[#This Row],[SATUAN Fix Win]]&lt;&gt;"","GD01")</f>
        <v>GD01</v>
      </c>
      <c r="BK111" s="4">
        <f>IF(Table43[[#This Row],[SATUAN Fix Win]]&lt;&gt;"",11611)</f>
        <v>11611</v>
      </c>
      <c r="BL111" s="4">
        <f>IF(Table43[[#This Row],[SATUAN Fix Win]]&lt;&gt;"",11612)</f>
        <v>11612</v>
      </c>
      <c r="BM111" s="47" t="s">
        <v>655</v>
      </c>
      <c r="BN111" s="4">
        <f>IF(Table43[[#This Row],[SATUAN Fix Win]]&lt;&gt;"",1)</f>
        <v>1</v>
      </c>
      <c r="BO111" s="4" t="s">
        <v>656</v>
      </c>
      <c r="BP111" s="4">
        <f>IFERROR(VLOOKUP(Table43[[#This Row],[Kode Pcpl]],'[1]HEINZ ABC'!$A$4:$E$112,8,0),0)</f>
        <v>0</v>
      </c>
      <c r="BQ111" s="55">
        <f>Table43[[#This Row],[Harga Jual Pcs GT
(-PPN)]]-Table43[[#This Row],[HARGA NAIK GT]]</f>
        <v>7333.33</v>
      </c>
      <c r="BR111" s="4">
        <f>IF(Table43[[#This Row],[HARGA NAIK GT]]=0,Table43[[#This Row],[Harga Jual Pcs GT
(-PPN)]],Table43[[#This Row],[HARGA NAIK GT]])</f>
        <v>7333.33</v>
      </c>
      <c r="BS111">
        <f>IFERROR(VLOOKUP(Table43[[#This Row],[Kode Pcpl]],'[1]HEINZ ABC'!$A$4:$E$112,8,0),0)</f>
        <v>0</v>
      </c>
      <c r="BT111" s="58">
        <f>Table43[[#This Row],[Harga Jual Pcs GT
(-PPN)]]-BS111</f>
        <v>7333.33</v>
      </c>
      <c r="BU111">
        <f>IF(BS111=0,Table43[[#This Row],[Harga Jual Pcs MT
(-PPN)]])</f>
        <v>7700</v>
      </c>
      <c r="BV111">
        <f>IFERROR(VLOOKUP(Table43[[#This Row],[Kode Pcpl]],[2]Pricelist!$A$4:$K$112,11,0),0)</f>
        <v>0</v>
      </c>
      <c r="BW111">
        <f>IFERROR(VLOOKUP(Table43[[#This Row],[Kode BARANG Win2]],[3]!RECKITT211216[[KDBRG]:[HRG_JL_PCS-PPN]],11,0),0)</f>
        <v>0</v>
      </c>
      <c r="BX111">
        <f t="shared" si="5"/>
        <v>0</v>
      </c>
    </row>
    <row r="112" spans="1:76" x14ac:dyDescent="0.25">
      <c r="A112" s="4" t="str">
        <f>CONCATENATE(Table43[[#This Row],[Kode BARANG Win2]],Table43[[#This Row],[No. Urut
Item Sama]])</f>
        <v>A10610000200102</v>
      </c>
      <c r="B112" s="7">
        <v>2</v>
      </c>
      <c r="C112" s="4">
        <v>99</v>
      </c>
      <c r="D112" s="27">
        <v>460174</v>
      </c>
      <c r="E112" s="27" t="s">
        <v>312</v>
      </c>
      <c r="F112" s="27" t="s">
        <v>315</v>
      </c>
      <c r="G112" s="27">
        <v>24</v>
      </c>
      <c r="H112" s="42">
        <v>0</v>
      </c>
      <c r="I112" s="27" t="str">
        <f>Table43[[#This Row],[Nama Jenis Kemasan]]</f>
        <v>PCS</v>
      </c>
      <c r="J112" s="4" t="str">
        <f>TRIM(CONCATENATE(Table43[[#This Row],[Nama            KLP]]," ",Table43[[#This Row],[Nama            Sub KLP]]))</f>
        <v>SARI KEDELAI MILK</v>
      </c>
      <c r="K112" s="4" t="str">
        <f>CONCATENATE(Table43[[#This Row],[kode  2 Digit                (hrf+No)]],Table43[[#This Row],[kode  2 Digit                (Nomor)]],Table43[[#This Row],[kode  1 Digit                (Nomor)]])</f>
        <v>A1061</v>
      </c>
      <c r="L112" s="4" t="str">
        <f>IF(AG112="",CONCATENATE(Q112,S112,U112,W112,Y112,AA112,AC112,AE112,Table43[[#This Row],[Tanda Kode Revisi]]),CONCATENATE(Q112,S112,U112,W112,Y112,AA112,AC112,AG112))</f>
        <v>A1061000020010</v>
      </c>
      <c r="M112" s="11">
        <f t="shared" si="3"/>
        <v>14</v>
      </c>
      <c r="N112" s="14" t="str">
        <f>IF(AF112&lt;&gt;"",TRIM(UPPER(CONCATENATE(P112," ",R112," ",T112," ",V112," ",X112," ",Z112," ","X"," ",Table43[[#This Row],[ISI/CTN]]," ",AF112," ",AB112," ",AD112," ",AH112))),TRIM(UPPER(CONCATENATE(P112," ",R112," ",T112," ",V112," ",X112," ",Z112," ","X"," ",Table43[[#This Row],[ISI/CTN]]," ",AB112," ",AD112," ",AH112))))</f>
        <v>ABC SARI KEDELAI MILK 200 ML X 24 PCS</v>
      </c>
      <c r="O112" s="11">
        <f t="shared" si="4"/>
        <v>37</v>
      </c>
      <c r="P112" s="4" t="s">
        <v>28</v>
      </c>
      <c r="Q112" s="7" t="s">
        <v>85</v>
      </c>
      <c r="R112" s="4" t="s">
        <v>320</v>
      </c>
      <c r="S112" s="43" t="s">
        <v>221</v>
      </c>
      <c r="T112" s="44" t="s">
        <v>558</v>
      </c>
      <c r="U112" s="7">
        <v>1</v>
      </c>
      <c r="V112" s="44"/>
      <c r="W112" s="43" t="s">
        <v>1</v>
      </c>
      <c r="Y112" s="45" t="s">
        <v>476</v>
      </c>
      <c r="Z112" s="4" t="s">
        <v>557</v>
      </c>
      <c r="AA112" s="45" t="s">
        <v>207</v>
      </c>
      <c r="AB112" s="4" t="s">
        <v>552</v>
      </c>
      <c r="AC112" s="7" t="s">
        <v>480</v>
      </c>
      <c r="AE112" s="7" t="s">
        <v>1</v>
      </c>
      <c r="AI112" s="7" t="s">
        <v>214</v>
      </c>
      <c r="AJ112" s="7">
        <v>2</v>
      </c>
      <c r="AL112" s="40">
        <f>Table43[[#This Row],[Harga Jual Pcs GT
(-PPN)]]-(Table43[[#This Row],[Harga Jual Pcs GT
(-PPN)]]*6%)</f>
        <v>2752.2541999999999</v>
      </c>
      <c r="AM112" s="41">
        <f>Table43[[#This Row],[Harga Beli Pcs
(-PPN)]]*Table43[[#This Row],[ISI/CTN]]</f>
        <v>66054.1008</v>
      </c>
      <c r="AN112" s="41">
        <f>Table43[[#This Row],[Harga Beli Pcs
(-PPN)]]*1.11</f>
        <v>3055.0021620000002</v>
      </c>
      <c r="AO112" s="41">
        <f>Table43[[#This Row],[Harga Beli Krt
(- PPN)]]*1.11</f>
        <v>73320.051888000002</v>
      </c>
      <c r="AP112" s="41">
        <v>2927.93</v>
      </c>
      <c r="AQ112" s="41">
        <f>Table43[[#This Row],[Harga Jual Pcs GT
(-PPN)]]*Table43[[#This Row],[ISI/CTN]]</f>
        <v>70270.319999999992</v>
      </c>
      <c r="AR112" s="41">
        <f>Table43[[#This Row],[Harga Jual Pcs GT
(-PPN)]]*1.11</f>
        <v>3250.0023000000001</v>
      </c>
      <c r="AS112" s="41">
        <f>Table43[[#This Row],[Harga Jual Krt GT
(- PPN)]]*1.11</f>
        <v>78000.055200000003</v>
      </c>
      <c r="AT112" s="41">
        <v>1859.1173054999997</v>
      </c>
      <c r="AU112" s="41">
        <f>(Table43[[#This Row],[Harga Jual Pcs MT
(-PPN)]]*Table43[[#This Row],[ISI/CTN]])</f>
        <v>44618.815331999991</v>
      </c>
      <c r="AV112" s="41">
        <f>Table43[[#This Row],[Harga Jual Pcs MT
(-PPN)]]*1.11</f>
        <v>2063.620209105</v>
      </c>
      <c r="AW112" s="41">
        <f>Table43[[#This Row],[Harga Jual Pcs MT
(+PPN)]]*Table43[[#This Row],[ISI/CTN]]</f>
        <v>49526.885018519999</v>
      </c>
      <c r="AX112" s="41"/>
      <c r="AY112" s="46">
        <v>45553</v>
      </c>
      <c r="AZ112" s="54">
        <v>45553</v>
      </c>
      <c r="BA112" s="7" t="str">
        <f ca="1">IF(TODAY()-Table43[[#This Row],[Efektif
Pembuatan]]&gt;60,"Lama","Baru")</f>
        <v>Lama</v>
      </c>
      <c r="BB112" s="7" t="str">
        <f ca="1">IF(TODAY()-Table43[[#This Row],[Efektif Naik Harga]]&lt;30,"Naik","Sama")</f>
        <v>Sama</v>
      </c>
      <c r="BC112" s="7" t="s">
        <v>235</v>
      </c>
      <c r="BD112" s="7" t="str">
        <f>IF(Table43[[#This Row],[Kode BARANG Win2]]&lt;&gt;"","IDR","")</f>
        <v>IDR</v>
      </c>
      <c r="BE112" s="7" t="str">
        <f>CONCATENATE(Table43[[#This Row],[kode  1 Digit
(Nomor)]],Table43[[#This Row],[kode  4 Digit                (Nomor)]])</f>
        <v>20200</v>
      </c>
      <c r="BF112" s="7" t="str">
        <f>Table43[[#This Row],[Nama            Gramasi atau Jumlah Pack per CTN]]</f>
        <v>200 ML</v>
      </c>
      <c r="BG112" s="7" t="s">
        <v>653</v>
      </c>
      <c r="BH112" s="51" t="s">
        <v>654</v>
      </c>
      <c r="BI112" s="4" t="str">
        <f>IF(Table43[[#This Row],[SATUAN Fix Win]]&lt;&gt;"","KRT")</f>
        <v>KRT</v>
      </c>
      <c r="BJ112" s="4" t="str">
        <f>IF(Table43[[#This Row],[SATUAN Fix Win]]&lt;&gt;"","GD01")</f>
        <v>GD01</v>
      </c>
      <c r="BK112" s="4">
        <f>IF(Table43[[#This Row],[SATUAN Fix Win]]&lt;&gt;"",11611)</f>
        <v>11611</v>
      </c>
      <c r="BL112" s="4">
        <f>IF(Table43[[#This Row],[SATUAN Fix Win]]&lt;&gt;"",11612)</f>
        <v>11612</v>
      </c>
      <c r="BM112" s="47" t="s">
        <v>655</v>
      </c>
      <c r="BN112" s="4">
        <f>IF(Table43[[#This Row],[SATUAN Fix Win]]&lt;&gt;"",1)</f>
        <v>1</v>
      </c>
      <c r="BO112" s="4" t="s">
        <v>656</v>
      </c>
      <c r="BP112" s="4">
        <f>IFERROR(VLOOKUP(Table43[[#This Row],[Kode Pcpl]],'[1]HEINZ ABC'!$A$4:$E$112,8,0),0)</f>
        <v>0</v>
      </c>
      <c r="BQ112" s="55">
        <f>Table43[[#This Row],[Harga Jual Pcs GT
(-PPN)]]-Table43[[#This Row],[HARGA NAIK GT]]</f>
        <v>2927.93</v>
      </c>
      <c r="BR112" s="4">
        <f>IF(Table43[[#This Row],[HARGA NAIK GT]]=0,Table43[[#This Row],[Harga Jual Pcs GT
(-PPN)]],Table43[[#This Row],[HARGA NAIK GT]])</f>
        <v>2927.93</v>
      </c>
      <c r="BS112">
        <f>IFERROR(VLOOKUP(Table43[[#This Row],[Kode Pcpl]],'[1]HEINZ ABC'!$A$4:$E$112,8,0),0)</f>
        <v>0</v>
      </c>
      <c r="BT112" s="58">
        <f>Table43[[#This Row],[Harga Jual Pcs GT
(-PPN)]]-BS112</f>
        <v>2927.93</v>
      </c>
      <c r="BU112">
        <f>IF(BS112=0,Table43[[#This Row],[Harga Jual Pcs MT
(-PPN)]])</f>
        <v>1859.1173054999997</v>
      </c>
      <c r="BV112">
        <f>IFERROR(VLOOKUP(Table43[[#This Row],[Kode Pcpl]],[2]Pricelist!$A$4:$K$112,11,0),0)</f>
        <v>0</v>
      </c>
      <c r="BW112">
        <f>IFERROR(VLOOKUP(Table43[[#This Row],[Kode BARANG Win2]],[3]!RECKITT211216[[KDBRG]:[HRG_JL_PCS-PPN]],11,0),0)</f>
        <v>0</v>
      </c>
      <c r="BX112">
        <f t="shared" si="5"/>
        <v>0</v>
      </c>
    </row>
    <row r="113" spans="1:76" x14ac:dyDescent="0.25">
      <c r="A113" s="4" t="str">
        <f>CONCATENATE(Table43[[#This Row],[Kode BARANG Win2]],Table43[[#This Row],[No. Urut
Item Sama]])</f>
        <v>A10610000200101</v>
      </c>
      <c r="B113" s="7">
        <v>1</v>
      </c>
      <c r="C113" s="4">
        <v>100</v>
      </c>
      <c r="D113" s="27">
        <v>460183</v>
      </c>
      <c r="E113" s="27" t="s">
        <v>320</v>
      </c>
      <c r="F113" s="27" t="s">
        <v>321</v>
      </c>
      <c r="G113" s="27">
        <v>24</v>
      </c>
      <c r="H113" s="42" t="s">
        <v>2827</v>
      </c>
      <c r="I113" s="27" t="str">
        <f>Table43[[#This Row],[Nama Jenis Kemasan]]</f>
        <v>PCS</v>
      </c>
      <c r="J113" s="4" t="str">
        <f>TRIM(CONCATENATE(Table43[[#This Row],[Nama            KLP]]," ",Table43[[#This Row],[Nama            Sub KLP]]))</f>
        <v>SARI KEDELAI MILK</v>
      </c>
      <c r="K113" s="4" t="str">
        <f>CONCATENATE(Table43[[#This Row],[kode  2 Digit                (hrf+No)]],Table43[[#This Row],[kode  2 Digit                (Nomor)]],Table43[[#This Row],[kode  1 Digit                (Nomor)]])</f>
        <v>A1061</v>
      </c>
      <c r="L113" s="4" t="str">
        <f>IF(AG113="",CONCATENATE(Q113,S113,U113,W113,Y113,AA113,AC113,AE113,Table43[[#This Row],[Tanda Kode Revisi]]),CONCATENATE(Q113,S113,U113,W113,Y113,AA113,AC113,AG113))</f>
        <v>A1061000020010</v>
      </c>
      <c r="M113" s="11">
        <f t="shared" si="3"/>
        <v>14</v>
      </c>
      <c r="N113" s="14" t="str">
        <f>IF(AF113&lt;&gt;"",TRIM(UPPER(CONCATENATE(P113," ",R113," ",T113," ",V113," ",X113," ",Z113," ","X"," ",Table43[[#This Row],[ISI/CTN]]," ",AF113," ",AB113," ",AD113," ",AH113))),TRIM(UPPER(CONCATENATE(P113," ",R113," ",T113," ",V113," ",X113," ",Z113," ","X"," ",Table43[[#This Row],[ISI/CTN]]," ",AB113," ",AD113," ",AH113))))</f>
        <v>ABC SARI KEDELAI MILK 200 ML X 24 PCS</v>
      </c>
      <c r="O113" s="11">
        <f t="shared" si="4"/>
        <v>37</v>
      </c>
      <c r="P113" s="4" t="s">
        <v>28</v>
      </c>
      <c r="Q113" s="7" t="s">
        <v>85</v>
      </c>
      <c r="R113" s="4" t="s">
        <v>320</v>
      </c>
      <c r="S113" s="43" t="s">
        <v>221</v>
      </c>
      <c r="T113" s="44" t="s">
        <v>558</v>
      </c>
      <c r="U113" s="7">
        <v>1</v>
      </c>
      <c r="V113" s="44"/>
      <c r="W113" s="43" t="s">
        <v>1</v>
      </c>
      <c r="Y113" s="45" t="s">
        <v>476</v>
      </c>
      <c r="Z113" s="4" t="s">
        <v>557</v>
      </c>
      <c r="AA113" s="45" t="s">
        <v>207</v>
      </c>
      <c r="AB113" s="4" t="s">
        <v>552</v>
      </c>
      <c r="AC113" s="7" t="s">
        <v>480</v>
      </c>
      <c r="AE113" s="7" t="s">
        <v>1</v>
      </c>
      <c r="AI113" s="7" t="s">
        <v>214</v>
      </c>
      <c r="AJ113" s="7">
        <v>2</v>
      </c>
      <c r="AL113" s="40">
        <f>Table43[[#This Row],[Harga Jual Pcs GT
(-PPN)]]-(Table43[[#This Row],[Harga Jual Pcs GT
(-PPN)]]*6%)</f>
        <v>2834.8238000000001</v>
      </c>
      <c r="AM113" s="41">
        <f>Table43[[#This Row],[Harga Beli Pcs
(-PPN)]]*Table43[[#This Row],[ISI/CTN]]</f>
        <v>68035.771200000003</v>
      </c>
      <c r="AN113" s="41">
        <f>Table43[[#This Row],[Harga Beli Pcs
(-PPN)]]*1.11</f>
        <v>3146.6544180000005</v>
      </c>
      <c r="AO113" s="41">
        <f>Table43[[#This Row],[Harga Beli Krt
(- PPN)]]*1.11</f>
        <v>75519.706032000016</v>
      </c>
      <c r="AP113" s="41">
        <v>3015.77</v>
      </c>
      <c r="AQ113" s="41">
        <f>Table43[[#This Row],[Harga Jual Pcs GT
(-PPN)]]*Table43[[#This Row],[ISI/CTN]]</f>
        <v>72378.48</v>
      </c>
      <c r="AR113" s="41">
        <f>Table43[[#This Row],[Harga Jual Pcs GT
(-PPN)]]*1.11</f>
        <v>3347.5047000000004</v>
      </c>
      <c r="AS113" s="41">
        <f>Table43[[#This Row],[Harga Jual Krt GT
(- PPN)]]*1.11</f>
        <v>80340.112800000003</v>
      </c>
      <c r="AT113" s="41">
        <v>3257.0270270270321</v>
      </c>
      <c r="AU113" s="41">
        <f>(Table43[[#This Row],[Harga Jual Pcs MT
(-PPN)]]*Table43[[#This Row],[ISI/CTN]])</f>
        <v>78168.64864864877</v>
      </c>
      <c r="AV113" s="41">
        <f>Table43[[#This Row],[Harga Jual Pcs MT
(-PPN)]]*1.11</f>
        <v>3615.3000000000061</v>
      </c>
      <c r="AW113" s="41">
        <f>Table43[[#This Row],[Harga Jual Pcs MT
(+PPN)]]*Table43[[#This Row],[ISI/CTN]]</f>
        <v>86767.200000000143</v>
      </c>
      <c r="AX113" s="41"/>
      <c r="AY113" s="46">
        <v>45553</v>
      </c>
      <c r="AZ113" s="54">
        <v>45945</v>
      </c>
      <c r="BA113" s="7" t="str">
        <f ca="1">IF(TODAY()-Table43[[#This Row],[Efektif
Pembuatan]]&gt;60,"Lama","Baru")</f>
        <v>Lama</v>
      </c>
      <c r="BB113" s="7" t="str">
        <f ca="1">IF(TODAY()-Table43[[#This Row],[Efektif Naik Harga]]&lt;30,"Naik","Sama")</f>
        <v>Sama</v>
      </c>
      <c r="BC113" s="7" t="s">
        <v>235</v>
      </c>
      <c r="BD113" s="7" t="str">
        <f>IF(Table43[[#This Row],[Kode BARANG Win2]]&lt;&gt;"","IDR","")</f>
        <v>IDR</v>
      </c>
      <c r="BE113" s="7" t="str">
        <f>CONCATENATE(Table43[[#This Row],[kode  1 Digit
(Nomor)]],Table43[[#This Row],[kode  4 Digit                (Nomor)]])</f>
        <v>20200</v>
      </c>
      <c r="BF113" s="7" t="str">
        <f>Table43[[#This Row],[Nama            Gramasi atau Jumlah Pack per CTN]]</f>
        <v>200 ML</v>
      </c>
      <c r="BG113" s="7" t="s">
        <v>653</v>
      </c>
      <c r="BH113" s="51" t="s">
        <v>654</v>
      </c>
      <c r="BI113" s="4" t="str">
        <f>IF(Table43[[#This Row],[SATUAN Fix Win]]&lt;&gt;"","KRT")</f>
        <v>KRT</v>
      </c>
      <c r="BJ113" s="4" t="str">
        <f>IF(Table43[[#This Row],[SATUAN Fix Win]]&lt;&gt;"","GD01")</f>
        <v>GD01</v>
      </c>
      <c r="BK113" s="4">
        <f>IF(Table43[[#This Row],[SATUAN Fix Win]]&lt;&gt;"",11611)</f>
        <v>11611</v>
      </c>
      <c r="BL113" s="4">
        <f>IF(Table43[[#This Row],[SATUAN Fix Win]]&lt;&gt;"",11612)</f>
        <v>11612</v>
      </c>
      <c r="BM113" s="47" t="s">
        <v>655</v>
      </c>
      <c r="BN113" s="4">
        <f>IF(Table43[[#This Row],[SATUAN Fix Win]]&lt;&gt;"",1)</f>
        <v>1</v>
      </c>
      <c r="BO113" s="4" t="s">
        <v>656</v>
      </c>
      <c r="BP113" s="4">
        <f>IFERROR(VLOOKUP(Table43[[#This Row],[Kode Pcpl]],'[1]HEINZ ABC'!$A$4:$E$112,8,0),0)</f>
        <v>0</v>
      </c>
      <c r="BQ113" s="55">
        <f>Table43[[#This Row],[Harga Jual Pcs GT
(-PPN)]]-Table43[[#This Row],[HARGA NAIK GT]]</f>
        <v>3015.77</v>
      </c>
      <c r="BR113" s="4">
        <f>IF(Table43[[#This Row],[HARGA NAIK GT]]=0,Table43[[#This Row],[Harga Jual Pcs GT
(-PPN)]],Table43[[#This Row],[HARGA NAIK GT]])</f>
        <v>3015.77</v>
      </c>
      <c r="BS113">
        <f>IFERROR(VLOOKUP(Table43[[#This Row],[Kode Pcpl]],'[1]HEINZ ABC'!$A$4:$E$112,8,0),0)</f>
        <v>0</v>
      </c>
      <c r="BT113" s="58">
        <f>Table43[[#This Row],[Harga Jual Pcs GT
(-PPN)]]-BS113</f>
        <v>3015.77</v>
      </c>
      <c r="BU113">
        <f>IF(BS113=0,Table43[[#This Row],[Harga Jual Pcs MT
(-PPN)]])</f>
        <v>3257.0270270270321</v>
      </c>
      <c r="BV113">
        <f>IFERROR(VLOOKUP(Table43[[#This Row],[Kode Pcpl]],[2]Pricelist!$A$4:$K$112,11,0),0)</f>
        <v>0</v>
      </c>
      <c r="BW113">
        <f>IFERROR(VLOOKUP(Table43[[#This Row],[Kode BARANG Win2]],[3]!RECKITT211216[[KDBRG]:[HRG_JL_PCS-PPN]],11,0),0)</f>
        <v>0</v>
      </c>
      <c r="BX113">
        <f t="shared" si="5"/>
        <v>0</v>
      </c>
    </row>
    <row r="114" spans="1:76" s="112" customFormat="1" x14ac:dyDescent="0.25">
      <c r="A114" s="4" t="str">
        <f>CONCATENATE(Table43[[#This Row],[Kode BARANG Win2]],Table43[[#This Row],[No. Urut
Item Sama]])</f>
        <v>A10610010200101</v>
      </c>
      <c r="B114" s="7">
        <v>1</v>
      </c>
      <c r="C114" s="4">
        <v>101</v>
      </c>
      <c r="D114" s="27">
        <v>460194</v>
      </c>
      <c r="E114" s="27" t="s">
        <v>320</v>
      </c>
      <c r="F114" s="27" t="s">
        <v>322</v>
      </c>
      <c r="G114" s="27">
        <v>24</v>
      </c>
      <c r="H114" s="42">
        <v>0</v>
      </c>
      <c r="I114" s="27" t="str">
        <f>Table43[[#This Row],[Nama Jenis Kemasan]]</f>
        <v>PCS</v>
      </c>
      <c r="J114" s="4" t="str">
        <f>TRIM(CONCATENATE(Table43[[#This Row],[Nama            KLP]]," ",Table43[[#This Row],[Nama            Sub KLP]]))</f>
        <v>SARI KEDELAI MILK</v>
      </c>
      <c r="K114" s="4" t="str">
        <f>CONCATENATE(Table43[[#This Row],[kode  2 Digit                (hrf+No)]],Table43[[#This Row],[kode  2 Digit                (Nomor)]],Table43[[#This Row],[kode  1 Digit                (Nomor)]])</f>
        <v>A1061</v>
      </c>
      <c r="L114" s="4" t="str">
        <f>IF(AG114="",CONCATENATE(Q114,S114,U114,W114,Y114,AA114,AC114,AE114,Table43[[#This Row],[Tanda Kode Revisi]]),CONCATENATE(Q114,S114,U114,W114,Y114,AA114,AC114,AG114))</f>
        <v>A1061001020010</v>
      </c>
      <c r="M114" s="11">
        <f t="shared" si="3"/>
        <v>14</v>
      </c>
      <c r="N114" s="14" t="str">
        <f>IF(AF114&lt;&gt;"",TRIM(UPPER(CONCATENATE(P114," ",R114," ",T114," ",V114," ",X114," ",Z114," ","X"," ",Table43[[#This Row],[ISI/CTN]]," ",AF114," ",AB114," ",AD114," ",AH114))),TRIM(UPPER(CONCATENATE(P114," ",R114," ",T114," ",V114," ",X114," ",Z114," ","X"," ",Table43[[#This Row],[ISI/CTN]]," ",AB114," ",AD114," ",AH114))))</f>
        <v>ABC SARI KEDELAI MILK COKLAT 200 ML X 24 PCS</v>
      </c>
      <c r="O114" s="11">
        <f t="shared" si="4"/>
        <v>44</v>
      </c>
      <c r="P114" s="4" t="s">
        <v>28</v>
      </c>
      <c r="Q114" s="7" t="s">
        <v>85</v>
      </c>
      <c r="R114" s="4" t="s">
        <v>320</v>
      </c>
      <c r="S114" s="43" t="s">
        <v>221</v>
      </c>
      <c r="T114" s="44" t="s">
        <v>558</v>
      </c>
      <c r="U114" s="7">
        <v>1</v>
      </c>
      <c r="V114" s="44"/>
      <c r="W114" s="43" t="s">
        <v>1</v>
      </c>
      <c r="X114" s="4" t="s">
        <v>231</v>
      </c>
      <c r="Y114" s="45" t="s">
        <v>0</v>
      </c>
      <c r="Z114" s="4" t="s">
        <v>557</v>
      </c>
      <c r="AA114" s="45" t="s">
        <v>207</v>
      </c>
      <c r="AB114" s="4" t="s">
        <v>552</v>
      </c>
      <c r="AC114" s="7" t="s">
        <v>480</v>
      </c>
      <c r="AD114" s="4"/>
      <c r="AE114" s="7" t="s">
        <v>1</v>
      </c>
      <c r="AF114" s="7"/>
      <c r="AG114" s="7"/>
      <c r="AH114" s="7"/>
      <c r="AI114" s="7" t="s">
        <v>214</v>
      </c>
      <c r="AJ114" s="7">
        <v>2</v>
      </c>
      <c r="AK114" s="7"/>
      <c r="AL114" s="40">
        <f>Table43[[#This Row],[Harga Jual Pcs GT
(-PPN)]]-(Table43[[#This Row],[Harga Jual Pcs GT
(-PPN)]]*6%)</f>
        <v>3556.7720000000004</v>
      </c>
      <c r="AM114" s="41">
        <f>Table43[[#This Row],[Harga Beli Pcs
(-PPN)]]*Table43[[#This Row],[ISI/CTN]]</f>
        <v>85362.528000000006</v>
      </c>
      <c r="AN114" s="41">
        <f>Table43[[#This Row],[Harga Beli Pcs
(-PPN)]]*1.11</f>
        <v>3948.0169200000009</v>
      </c>
      <c r="AO114" s="41">
        <f>Table43[[#This Row],[Harga Beli Krt
(- PPN)]]*1.11</f>
        <v>94752.406080000015</v>
      </c>
      <c r="AP114" s="41">
        <v>3783.8</v>
      </c>
      <c r="AQ114" s="41">
        <f>Table43[[#This Row],[Harga Jual Pcs GT
(-PPN)]]*Table43[[#This Row],[ISI/CTN]]</f>
        <v>90811.200000000012</v>
      </c>
      <c r="AR114" s="41">
        <f>Table43[[#This Row],[Harga Jual Pcs GT
(-PPN)]]*1.11</f>
        <v>4200.0180000000009</v>
      </c>
      <c r="AS114" s="41">
        <f>Table43[[#This Row],[Harga Jual Krt GT
(- PPN)]]*1.11</f>
        <v>100800.43200000002</v>
      </c>
      <c r="AT114" s="41">
        <v>4086.5</v>
      </c>
      <c r="AU114" s="41">
        <f>(Table43[[#This Row],[Harga Jual Pcs MT
(-PPN)]]*Table43[[#This Row],[ISI/CTN]])</f>
        <v>98076</v>
      </c>
      <c r="AV114" s="41">
        <f>Table43[[#This Row],[Harga Jual Pcs MT
(-PPN)]]*1.11</f>
        <v>4536.0150000000003</v>
      </c>
      <c r="AW114" s="41">
        <f>Table43[[#This Row],[Harga Jual Pcs MT
(+PPN)]]*Table43[[#This Row],[ISI/CTN]]</f>
        <v>108864.36000000002</v>
      </c>
      <c r="AX114" s="41"/>
      <c r="AY114" s="46">
        <v>45553</v>
      </c>
      <c r="AZ114" s="54">
        <v>45553</v>
      </c>
      <c r="BA114" s="7" t="str">
        <f ca="1">IF(TODAY()-Table43[[#This Row],[Efektif
Pembuatan]]&gt;60,"Lama","Baru")</f>
        <v>Lama</v>
      </c>
      <c r="BB114" s="7" t="str">
        <f ca="1">IF(TODAY()-Table43[[#This Row],[Efektif Naik Harga]]&lt;30,"Naik","Sama")</f>
        <v>Sama</v>
      </c>
      <c r="BC114" s="7" t="s">
        <v>235</v>
      </c>
      <c r="BD114" s="7" t="str">
        <f>IF(Table43[[#This Row],[Kode BARANG Win2]]&lt;&gt;"","IDR","")</f>
        <v>IDR</v>
      </c>
      <c r="BE114" s="7" t="str">
        <f>CONCATENATE(Table43[[#This Row],[kode  1 Digit
(Nomor)]],Table43[[#This Row],[kode  4 Digit                (Nomor)]])</f>
        <v>20200</v>
      </c>
      <c r="BF114" s="7" t="str">
        <f>Table43[[#This Row],[Nama            Gramasi atau Jumlah Pack per CTN]]</f>
        <v>200 ML</v>
      </c>
      <c r="BG114" s="7" t="s">
        <v>653</v>
      </c>
      <c r="BH114" s="51" t="s">
        <v>654</v>
      </c>
      <c r="BI114" s="4" t="str">
        <f>IF(Table43[[#This Row],[SATUAN Fix Win]]&lt;&gt;"","KRT")</f>
        <v>KRT</v>
      </c>
      <c r="BJ114" s="4" t="str">
        <f>IF(Table43[[#This Row],[SATUAN Fix Win]]&lt;&gt;"","GD01")</f>
        <v>GD01</v>
      </c>
      <c r="BK114" s="4">
        <f>IF(Table43[[#This Row],[SATUAN Fix Win]]&lt;&gt;"",11611)</f>
        <v>11611</v>
      </c>
      <c r="BL114" s="4">
        <f>IF(Table43[[#This Row],[SATUAN Fix Win]]&lt;&gt;"",11612)</f>
        <v>11612</v>
      </c>
      <c r="BM114" s="47" t="s">
        <v>655</v>
      </c>
      <c r="BN114" s="4">
        <f>IF(Table43[[#This Row],[SATUAN Fix Win]]&lt;&gt;"",1)</f>
        <v>1</v>
      </c>
      <c r="BO114" s="4" t="s">
        <v>656</v>
      </c>
      <c r="BP114" s="4">
        <f>IFERROR(VLOOKUP(Table43[[#This Row],[Kode Pcpl]],'[1]HEINZ ABC'!$A$4:$E$112,8,0),0)</f>
        <v>0</v>
      </c>
      <c r="BQ114" s="55">
        <f>Table43[[#This Row],[Harga Jual Pcs GT
(-PPN)]]-Table43[[#This Row],[HARGA NAIK GT]]</f>
        <v>3783.8</v>
      </c>
      <c r="BR114" s="4">
        <f>IF(Table43[[#This Row],[HARGA NAIK GT]]=0,Table43[[#This Row],[Harga Jual Pcs GT
(-PPN)]],Table43[[#This Row],[HARGA NAIK GT]])</f>
        <v>3783.8</v>
      </c>
      <c r="BT114" s="113"/>
    </row>
    <row r="115" spans="1:76" x14ac:dyDescent="0.25">
      <c r="A115" s="4" t="str">
        <f>CONCATENATE(Table43[[#This Row],[Kode BARANG Win2]],Table43[[#This Row],[No. Urut
Item Sama]])</f>
        <v>A10610020200101</v>
      </c>
      <c r="B115" s="7">
        <v>1</v>
      </c>
      <c r="C115" s="4">
        <v>102</v>
      </c>
      <c r="D115" s="27">
        <v>460195</v>
      </c>
      <c r="E115" s="27" t="s">
        <v>320</v>
      </c>
      <c r="F115" s="27" t="s">
        <v>323</v>
      </c>
      <c r="G115" s="27">
        <v>24</v>
      </c>
      <c r="H115" s="42">
        <v>0</v>
      </c>
      <c r="I115" s="27" t="str">
        <f>Table43[[#This Row],[Nama Jenis Kemasan]]</f>
        <v>PCS</v>
      </c>
      <c r="J115" s="4" t="str">
        <f>TRIM(CONCATENATE(Table43[[#This Row],[Nama            KLP]]," ",Table43[[#This Row],[Nama            Sub KLP]]))</f>
        <v>SARI KEDELAI MILK</v>
      </c>
      <c r="K115" s="4" t="str">
        <f>CONCATENATE(Table43[[#This Row],[kode  2 Digit                (hrf+No)]],Table43[[#This Row],[kode  2 Digit                (Nomor)]],Table43[[#This Row],[kode  1 Digit                (Nomor)]])</f>
        <v>A1061</v>
      </c>
      <c r="L115" s="4" t="str">
        <f>IF(AG115="",CONCATENATE(Q115,S115,U115,W115,Y115,AA115,AC115,AE115,Table43[[#This Row],[Tanda Kode Revisi]]),CONCATENATE(Q115,S115,U115,W115,Y115,AA115,AC115,AG115))</f>
        <v>A1061002020010</v>
      </c>
      <c r="M115" s="11">
        <f t="shared" si="3"/>
        <v>14</v>
      </c>
      <c r="N115" s="14" t="str">
        <f>IF(AF115&lt;&gt;"",TRIM(UPPER(CONCATENATE(P115," ",R115," ",T115," ",V115," ",X115," ",Z115," ","X"," ",Table43[[#This Row],[ISI/CTN]]," ",AF115," ",AB115," ",AD115," ",AH115))),TRIM(UPPER(CONCATENATE(P115," ",R115," ",T115," ",V115," ",X115," ",Z115," ","X"," ",Table43[[#This Row],[ISI/CTN]]," ",AB115," ",AD115," ",AH115))))</f>
        <v>ABC SARI KEDELAI MILK STRAWBERRY 200 ML X 24 PCS</v>
      </c>
      <c r="O115" s="11">
        <f t="shared" si="4"/>
        <v>48</v>
      </c>
      <c r="P115" s="4" t="s">
        <v>28</v>
      </c>
      <c r="Q115" s="7" t="s">
        <v>85</v>
      </c>
      <c r="R115" s="4" t="s">
        <v>320</v>
      </c>
      <c r="S115" s="43" t="s">
        <v>221</v>
      </c>
      <c r="T115" s="44" t="s">
        <v>558</v>
      </c>
      <c r="U115" s="7">
        <v>1</v>
      </c>
      <c r="V115" s="44"/>
      <c r="W115" s="43" t="s">
        <v>1</v>
      </c>
      <c r="X115" s="4" t="s">
        <v>210</v>
      </c>
      <c r="Y115" s="45" t="s">
        <v>31</v>
      </c>
      <c r="Z115" s="4" t="s">
        <v>557</v>
      </c>
      <c r="AA115" s="45" t="s">
        <v>207</v>
      </c>
      <c r="AB115" s="4" t="s">
        <v>552</v>
      </c>
      <c r="AC115" s="7" t="s">
        <v>480</v>
      </c>
      <c r="AE115" s="7" t="s">
        <v>1</v>
      </c>
      <c r="AI115" s="7" t="s">
        <v>214</v>
      </c>
      <c r="AJ115" s="7">
        <v>2</v>
      </c>
      <c r="AL115" s="40">
        <f>Table43[[#This Row],[Harga Jual Pcs GT
(-PPN)]]-(Table43[[#This Row],[Harga Jual Pcs GT
(-PPN)]]*6%)</f>
        <v>3556.7720000000004</v>
      </c>
      <c r="AM115" s="41">
        <f>Table43[[#This Row],[Harga Beli Pcs
(-PPN)]]*Table43[[#This Row],[ISI/CTN]]</f>
        <v>85362.528000000006</v>
      </c>
      <c r="AN115" s="41">
        <f>Table43[[#This Row],[Harga Beli Pcs
(-PPN)]]*1.11</f>
        <v>3948.0169200000009</v>
      </c>
      <c r="AO115" s="41">
        <f>Table43[[#This Row],[Harga Beli Krt
(- PPN)]]*1.11</f>
        <v>94752.406080000015</v>
      </c>
      <c r="AP115" s="41">
        <v>3783.8</v>
      </c>
      <c r="AQ115" s="41">
        <f>Table43[[#This Row],[Harga Jual Pcs GT
(-PPN)]]*Table43[[#This Row],[ISI/CTN]]</f>
        <v>90811.200000000012</v>
      </c>
      <c r="AR115" s="41">
        <f>Table43[[#This Row],[Harga Jual Pcs GT
(-PPN)]]*1.11</f>
        <v>4200.0180000000009</v>
      </c>
      <c r="AS115" s="41">
        <f>Table43[[#This Row],[Harga Jual Krt GT
(- PPN)]]*1.11</f>
        <v>100800.43200000002</v>
      </c>
      <c r="AT115" s="41">
        <v>4086.5</v>
      </c>
      <c r="AU115" s="41">
        <f>(Table43[[#This Row],[Harga Jual Pcs MT
(-PPN)]]*Table43[[#This Row],[ISI/CTN]])</f>
        <v>98076</v>
      </c>
      <c r="AV115" s="41">
        <f>Table43[[#This Row],[Harga Jual Pcs MT
(-PPN)]]*1.11</f>
        <v>4536.0150000000003</v>
      </c>
      <c r="AW115" s="41">
        <f>Table43[[#This Row],[Harga Jual Pcs MT
(+PPN)]]*Table43[[#This Row],[ISI/CTN]]</f>
        <v>108864.36000000002</v>
      </c>
      <c r="AX115" s="41"/>
      <c r="AY115" s="46">
        <v>45553</v>
      </c>
      <c r="AZ115" s="54">
        <v>45553</v>
      </c>
      <c r="BA115" s="7" t="str">
        <f ca="1">IF(TODAY()-Table43[[#This Row],[Efektif
Pembuatan]]&gt;60,"Lama","Baru")</f>
        <v>Lama</v>
      </c>
      <c r="BB115" s="7" t="str">
        <f ca="1">IF(TODAY()-Table43[[#This Row],[Efektif Naik Harga]]&lt;30,"Naik","Sama")</f>
        <v>Sama</v>
      </c>
      <c r="BC115" s="7" t="s">
        <v>235</v>
      </c>
      <c r="BD115" s="7" t="str">
        <f>IF(Table43[[#This Row],[Kode BARANG Win2]]&lt;&gt;"","IDR","")</f>
        <v>IDR</v>
      </c>
      <c r="BE115" s="7" t="str">
        <f>CONCATENATE(Table43[[#This Row],[kode  1 Digit
(Nomor)]],Table43[[#This Row],[kode  4 Digit                (Nomor)]])</f>
        <v>20200</v>
      </c>
      <c r="BF115" s="7" t="str">
        <f>Table43[[#This Row],[Nama            Gramasi atau Jumlah Pack per CTN]]</f>
        <v>200 ML</v>
      </c>
      <c r="BG115" s="7" t="s">
        <v>653</v>
      </c>
      <c r="BH115" s="51" t="s">
        <v>654</v>
      </c>
      <c r="BI115" s="4" t="str">
        <f>IF(Table43[[#This Row],[SATUAN Fix Win]]&lt;&gt;"","KRT")</f>
        <v>KRT</v>
      </c>
      <c r="BJ115" s="4" t="str">
        <f>IF(Table43[[#This Row],[SATUAN Fix Win]]&lt;&gt;"","GD01")</f>
        <v>GD01</v>
      </c>
      <c r="BK115" s="4">
        <f>IF(Table43[[#This Row],[SATUAN Fix Win]]&lt;&gt;"",11611)</f>
        <v>11611</v>
      </c>
      <c r="BL115" s="4">
        <f>IF(Table43[[#This Row],[SATUAN Fix Win]]&lt;&gt;"",11612)</f>
        <v>11612</v>
      </c>
      <c r="BM115" s="47" t="s">
        <v>655</v>
      </c>
      <c r="BN115" s="4">
        <f>IF(Table43[[#This Row],[SATUAN Fix Win]]&lt;&gt;"",1)</f>
        <v>1</v>
      </c>
      <c r="BO115" s="4" t="s">
        <v>656</v>
      </c>
      <c r="BP115" s="4">
        <f>IFERROR(VLOOKUP(Table43[[#This Row],[Kode Pcpl]],'[1]HEINZ ABC'!$A$4:$E$112,8,0),0)</f>
        <v>0</v>
      </c>
      <c r="BQ115" s="55">
        <f>Table43[[#This Row],[Harga Jual Pcs GT
(-PPN)]]-Table43[[#This Row],[HARGA NAIK GT]]</f>
        <v>3783.8</v>
      </c>
      <c r="BR115" s="4">
        <f>IF(Table43[[#This Row],[HARGA NAIK GT]]=0,Table43[[#This Row],[Harga Jual Pcs GT
(-PPN)]],Table43[[#This Row],[HARGA NAIK GT]])</f>
        <v>3783.8</v>
      </c>
      <c r="BS115">
        <f>IFERROR(VLOOKUP(Table43[[#This Row],[Kode Pcpl]],'[1]HEINZ ABC'!$A$4:$E$112,8,0),0)</f>
        <v>0</v>
      </c>
      <c r="BT115" s="58">
        <f>Table43[[#This Row],[Harga Jual Pcs GT
(-PPN)]]-BS115</f>
        <v>3783.8</v>
      </c>
      <c r="BU115">
        <f>IF(BS115=0,Table43[[#This Row],[Harga Jual Pcs MT
(-PPN)]])</f>
        <v>4086.5</v>
      </c>
      <c r="BV115">
        <f>IFERROR(VLOOKUP(Table43[[#This Row],[Kode Pcpl]],[2]Pricelist!$A$4:$K$112,11,0),0)</f>
        <v>0</v>
      </c>
      <c r="BW115">
        <f>IFERROR(VLOOKUP(Table43[[#This Row],[Kode BARANG Win2]],[3]!RECKITT211216[[KDBRG]:[HRG_JL_PCS-PPN]],11,0),0)</f>
        <v>0</v>
      </c>
      <c r="BX115">
        <f t="shared" si="5"/>
        <v>0</v>
      </c>
    </row>
    <row r="116" spans="1:76" x14ac:dyDescent="0.25">
      <c r="A116" s="4" t="str">
        <f>CONCATENATE(Table43[[#This Row],[Kode BARANG Win2]],Table43[[#This Row],[No. Urut
Item Sama]])</f>
        <v>A10700010250101</v>
      </c>
      <c r="B116" s="7">
        <v>1</v>
      </c>
      <c r="C116" s="4">
        <v>103</v>
      </c>
      <c r="D116" s="27">
        <v>460164</v>
      </c>
      <c r="E116" s="27" t="s">
        <v>324</v>
      </c>
      <c r="F116" s="27" t="s">
        <v>325</v>
      </c>
      <c r="G116" s="27">
        <v>24</v>
      </c>
      <c r="H116" s="42">
        <v>0</v>
      </c>
      <c r="I116" s="27" t="str">
        <f>Table43[[#This Row],[Nama Jenis Kemasan]]</f>
        <v>PCS</v>
      </c>
      <c r="J116" s="4" t="str">
        <f>TRIM(CONCATENATE(Table43[[#This Row],[Nama            KLP]]," ",Table43[[#This Row],[Nama            Sub KLP]]))</f>
        <v>JUICE</v>
      </c>
      <c r="K116" s="4" t="str">
        <f>CONCATENATE(Table43[[#This Row],[kode  2 Digit                (hrf+No)]],Table43[[#This Row],[kode  2 Digit                (Nomor)]],Table43[[#This Row],[kode  1 Digit                (Nomor)]])</f>
        <v>A1070</v>
      </c>
      <c r="L116" s="4" t="str">
        <f>IF(AG116="",CONCATENATE(Q116,S116,U116,W116,Y116,AA116,AC116,AE116,Table43[[#This Row],[Tanda Kode Revisi]]),CONCATENATE(Q116,S116,U116,W116,Y116,AA116,AC116,AG116))</f>
        <v>A1070001025010</v>
      </c>
      <c r="M116" s="11">
        <f t="shared" si="3"/>
        <v>14</v>
      </c>
      <c r="N116" s="14" t="str">
        <f>IF(AF116&lt;&gt;"",TRIM(UPPER(CONCATENATE(P116," ",R116," ",T116," ",V116," ",X116," ",Z116," ","X"," ",Table43[[#This Row],[ISI/CTN]]," ",AF116," ",AB116," ",AD116," ",AH116))),TRIM(UPPER(CONCATENATE(P116," ",R116," ",T116," ",V116," ",X116," ",Z116," ","X"," ",Table43[[#This Row],[ISI/CTN]]," ",AB116," ",AD116," ",AH116))))</f>
        <v>ABC JUICE GUAVA 250 ML X 24 PCS</v>
      </c>
      <c r="O116" s="11">
        <f t="shared" si="4"/>
        <v>31</v>
      </c>
      <c r="P116" s="4" t="s">
        <v>28</v>
      </c>
      <c r="Q116" s="7" t="s">
        <v>85</v>
      </c>
      <c r="R116" s="4" t="s">
        <v>562</v>
      </c>
      <c r="S116" s="43" t="s">
        <v>222</v>
      </c>
      <c r="T116" s="44"/>
      <c r="U116" s="7" t="s">
        <v>1</v>
      </c>
      <c r="V116" s="44"/>
      <c r="W116" s="43" t="s">
        <v>1</v>
      </c>
      <c r="X116" s="4" t="s">
        <v>556</v>
      </c>
      <c r="Y116" s="45" t="s">
        <v>0</v>
      </c>
      <c r="Z116" s="4" t="s">
        <v>559</v>
      </c>
      <c r="AA116" s="45" t="s">
        <v>489</v>
      </c>
      <c r="AB116" s="4" t="s">
        <v>552</v>
      </c>
      <c r="AC116" s="7" t="s">
        <v>480</v>
      </c>
      <c r="AE116" s="7" t="s">
        <v>1</v>
      </c>
      <c r="AI116" s="7" t="s">
        <v>214</v>
      </c>
      <c r="AJ116" s="7">
        <v>2</v>
      </c>
      <c r="AL116" s="40">
        <f>Table43[[#This Row],[Harga Jual Pcs GT
(-PPN)]]-(Table43[[#This Row],[Harga Jual Pcs GT
(-PPN)]]*6%)</f>
        <v>6140.6533999999992</v>
      </c>
      <c r="AM116" s="41">
        <f>Table43[[#This Row],[Harga Beli Pcs
(-PPN)]]*Table43[[#This Row],[ISI/CTN]]</f>
        <v>147375.68159999998</v>
      </c>
      <c r="AN116" s="41">
        <f>Table43[[#This Row],[Harga Beli Pcs
(-PPN)]]*1.11</f>
        <v>6816.125274</v>
      </c>
      <c r="AO116" s="41">
        <f>Table43[[#This Row],[Harga Beli Krt
(- PPN)]]*1.11</f>
        <v>163587.00657599999</v>
      </c>
      <c r="AP116" s="41">
        <v>6532.61</v>
      </c>
      <c r="AQ116" s="41">
        <f>Table43[[#This Row],[Harga Jual Pcs GT
(-PPN)]]*Table43[[#This Row],[ISI/CTN]]</f>
        <v>156782.63999999998</v>
      </c>
      <c r="AR116" s="41">
        <f>Table43[[#This Row],[Harga Jual Pcs GT
(-PPN)]]*1.11</f>
        <v>7251.1971000000003</v>
      </c>
      <c r="AS116" s="41">
        <f>Table43[[#This Row],[Harga Jual Krt GT
(- PPN)]]*1.11</f>
        <v>174028.7304</v>
      </c>
      <c r="AT116" s="41">
        <v>7055.2216216216193</v>
      </c>
      <c r="AU116" s="41">
        <f>(Table43[[#This Row],[Harga Jual Pcs MT
(-PPN)]]*Table43[[#This Row],[ISI/CTN]])</f>
        <v>169325.31891891887</v>
      </c>
      <c r="AV116" s="41">
        <f>Table43[[#This Row],[Harga Jual Pcs MT
(-PPN)]]*1.11</f>
        <v>7831.2959999999985</v>
      </c>
      <c r="AW116" s="41">
        <f>Table43[[#This Row],[Harga Jual Pcs MT
(+PPN)]]*Table43[[#This Row],[ISI/CTN]]</f>
        <v>187951.10399999996</v>
      </c>
      <c r="AX116" s="41"/>
      <c r="AY116" s="46">
        <v>45553</v>
      </c>
      <c r="AZ116" s="54">
        <v>45945</v>
      </c>
      <c r="BA116" s="7" t="str">
        <f ca="1">IF(TODAY()-Table43[[#This Row],[Efektif
Pembuatan]]&gt;60,"Lama","Baru")</f>
        <v>Lama</v>
      </c>
      <c r="BB116" s="7" t="str">
        <f ca="1">IF(TODAY()-Table43[[#This Row],[Efektif Naik Harga]]&lt;30,"Naik","Sama")</f>
        <v>Sama</v>
      </c>
      <c r="BC116" s="7" t="s">
        <v>235</v>
      </c>
      <c r="BD116" s="7" t="str">
        <f>IF(Table43[[#This Row],[Kode BARANG Win2]]&lt;&gt;"","IDR","")</f>
        <v>IDR</v>
      </c>
      <c r="BE116" s="7" t="str">
        <f>CONCATENATE(Table43[[#This Row],[kode  1 Digit
(Nomor)]],Table43[[#This Row],[kode  4 Digit                (Nomor)]])</f>
        <v>20250</v>
      </c>
      <c r="BF116" s="7" t="str">
        <f>Table43[[#This Row],[Nama            Gramasi atau Jumlah Pack per CTN]]</f>
        <v>250 ML</v>
      </c>
      <c r="BG116" s="7" t="s">
        <v>653</v>
      </c>
      <c r="BH116" s="51" t="s">
        <v>654</v>
      </c>
      <c r="BI116" s="4" t="str">
        <f>IF(Table43[[#This Row],[SATUAN Fix Win]]&lt;&gt;"","KRT")</f>
        <v>KRT</v>
      </c>
      <c r="BJ116" s="4" t="str">
        <f>IF(Table43[[#This Row],[SATUAN Fix Win]]&lt;&gt;"","GD01")</f>
        <v>GD01</v>
      </c>
      <c r="BK116" s="4">
        <f>IF(Table43[[#This Row],[SATUAN Fix Win]]&lt;&gt;"",11611)</f>
        <v>11611</v>
      </c>
      <c r="BL116" s="4">
        <f>IF(Table43[[#This Row],[SATUAN Fix Win]]&lt;&gt;"",11612)</f>
        <v>11612</v>
      </c>
      <c r="BM116" s="47" t="s">
        <v>655</v>
      </c>
      <c r="BN116" s="4">
        <f>IF(Table43[[#This Row],[SATUAN Fix Win]]&lt;&gt;"",1)</f>
        <v>1</v>
      </c>
      <c r="BO116" s="4" t="s">
        <v>656</v>
      </c>
      <c r="BP116" s="4">
        <f>IFERROR(VLOOKUP(Table43[[#This Row],[Kode Pcpl]],'[1]HEINZ ABC'!$A$4:$E$112,8,0),0)</f>
        <v>0</v>
      </c>
      <c r="BQ116" s="55">
        <f>Table43[[#This Row],[Harga Jual Pcs GT
(-PPN)]]-Table43[[#This Row],[HARGA NAIK GT]]</f>
        <v>6532.61</v>
      </c>
      <c r="BR116" s="4">
        <f>IF(Table43[[#This Row],[HARGA NAIK GT]]=0,Table43[[#This Row],[Harga Jual Pcs GT
(-PPN)]],Table43[[#This Row],[HARGA NAIK GT]])</f>
        <v>6532.61</v>
      </c>
      <c r="BS116">
        <f>IFERROR(VLOOKUP(Table43[[#This Row],[Kode Pcpl]],'[1]HEINZ ABC'!$A$4:$E$112,8,0),0)</f>
        <v>0</v>
      </c>
      <c r="BT116" s="58">
        <f>Table43[[#This Row],[Harga Jual Pcs GT
(-PPN)]]-BS116</f>
        <v>6532.61</v>
      </c>
      <c r="BU116">
        <f>IF(BS116=0,Table43[[#This Row],[Harga Jual Pcs MT
(-PPN)]])</f>
        <v>7055.2216216216193</v>
      </c>
      <c r="BV116">
        <f>IFERROR(VLOOKUP(Table43[[#This Row],[Kode Pcpl]],[2]Pricelist!$A$4:$K$112,11,0),0)</f>
        <v>0</v>
      </c>
      <c r="BW116">
        <f>IFERROR(VLOOKUP(Table43[[#This Row],[Kode BARANG Win2]],[3]!RECKITT211216[[KDBRG]:[HRG_JL_PCS-PPN]],11,0),0)</f>
        <v>0</v>
      </c>
      <c r="BX116">
        <f t="shared" si="5"/>
        <v>0</v>
      </c>
    </row>
    <row r="117" spans="1:76" x14ac:dyDescent="0.25">
      <c r="A117" s="4" t="str">
        <f>CONCATENATE(Table43[[#This Row],[Kode BARANG Win2]],Table43[[#This Row],[No. Urut
Item Sama]])</f>
        <v>A10700010250102</v>
      </c>
      <c r="B117" s="7">
        <v>2</v>
      </c>
      <c r="C117" s="4">
        <v>104</v>
      </c>
      <c r="D117" s="27">
        <v>460190</v>
      </c>
      <c r="E117" s="27" t="s">
        <v>324</v>
      </c>
      <c r="F117" s="27" t="s">
        <v>326</v>
      </c>
      <c r="G117" s="27">
        <v>24</v>
      </c>
      <c r="H117" s="42" t="s">
        <v>2869</v>
      </c>
      <c r="I117" s="27" t="str">
        <f>Table43[[#This Row],[Nama Jenis Kemasan]]</f>
        <v>PCS</v>
      </c>
      <c r="J117" s="4" t="str">
        <f>TRIM(CONCATENATE(Table43[[#This Row],[Nama            KLP]]," ",Table43[[#This Row],[Nama            Sub KLP]]))</f>
        <v>JUICE</v>
      </c>
      <c r="K117" s="4" t="str">
        <f>CONCATENATE(Table43[[#This Row],[kode  2 Digit                (hrf+No)]],Table43[[#This Row],[kode  2 Digit                (Nomor)]],Table43[[#This Row],[kode  1 Digit                (Nomor)]])</f>
        <v>A1070</v>
      </c>
      <c r="L117" s="4" t="str">
        <f>IF(AG117="",CONCATENATE(Q117,S117,U117,W117,Y117,AA117,AC117,AE117,Table43[[#This Row],[Tanda Kode Revisi]]),CONCATENATE(Q117,S117,U117,W117,Y117,AA117,AC117,AG117))</f>
        <v>A1070001025010</v>
      </c>
      <c r="M117" s="11">
        <f t="shared" si="3"/>
        <v>14</v>
      </c>
      <c r="N117" s="14" t="str">
        <f>IF(AF117&lt;&gt;"",TRIM(UPPER(CONCATENATE(P117," ",R117," ",T117," ",V117," ",X117," ",Z117," ","X"," ",Table43[[#This Row],[ISI/CTN]]," ",AF117," ",AB117," ",AD117," ",AH117))),TRIM(UPPER(CONCATENATE(P117," ",R117," ",T117," ",V117," ",X117," ",Z117," ","X"," ",Table43[[#This Row],[ISI/CTN]]," ",AB117," ",AD117," ",AH117))))</f>
        <v>ABC JUICE GUAVA 250 ML X 24 PCS</v>
      </c>
      <c r="O117" s="11">
        <f t="shared" si="4"/>
        <v>31</v>
      </c>
      <c r="P117" s="4" t="s">
        <v>28</v>
      </c>
      <c r="Q117" s="7" t="s">
        <v>85</v>
      </c>
      <c r="R117" s="4" t="s">
        <v>562</v>
      </c>
      <c r="S117" s="43" t="s">
        <v>222</v>
      </c>
      <c r="T117" s="44"/>
      <c r="U117" s="7" t="s">
        <v>1</v>
      </c>
      <c r="V117" s="44"/>
      <c r="W117" s="43" t="s">
        <v>1</v>
      </c>
      <c r="X117" s="4" t="s">
        <v>556</v>
      </c>
      <c r="Y117" s="45" t="s">
        <v>0</v>
      </c>
      <c r="Z117" s="4" t="s">
        <v>559</v>
      </c>
      <c r="AA117" s="45" t="s">
        <v>489</v>
      </c>
      <c r="AB117" s="4" t="s">
        <v>552</v>
      </c>
      <c r="AC117" s="7" t="s">
        <v>480</v>
      </c>
      <c r="AE117" s="7" t="s">
        <v>1</v>
      </c>
      <c r="AI117" s="7" t="s">
        <v>214</v>
      </c>
      <c r="AJ117" s="7">
        <v>2</v>
      </c>
      <c r="AL117" s="40">
        <f>Table43[[#This Row],[Harga Jual Pcs GT
(-PPN)]]-(Table43[[#This Row],[Harga Jual Pcs GT
(-PPN)]]*6%)</f>
        <v>6140.6533999999992</v>
      </c>
      <c r="AM117" s="41">
        <f>Table43[[#This Row],[Harga Beli Pcs
(-PPN)]]*Table43[[#This Row],[ISI/CTN]]</f>
        <v>147375.68159999998</v>
      </c>
      <c r="AN117" s="41">
        <f>Table43[[#This Row],[Harga Beli Pcs
(-PPN)]]*1.11</f>
        <v>6816.125274</v>
      </c>
      <c r="AO117" s="41">
        <f>Table43[[#This Row],[Harga Beli Krt
(- PPN)]]*1.11</f>
        <v>163587.00657599999</v>
      </c>
      <c r="AP117" s="41">
        <v>6532.61</v>
      </c>
      <c r="AQ117" s="41">
        <f>Table43[[#This Row],[Harga Jual Pcs GT
(-PPN)]]*Table43[[#This Row],[ISI/CTN]]</f>
        <v>156782.63999999998</v>
      </c>
      <c r="AR117" s="41">
        <f>Table43[[#This Row],[Harga Jual Pcs GT
(-PPN)]]*1.11</f>
        <v>7251.1971000000003</v>
      </c>
      <c r="AS117" s="41">
        <f>Table43[[#This Row],[Harga Jual Krt GT
(- PPN)]]*1.11</f>
        <v>174028.7304</v>
      </c>
      <c r="AT117" s="41">
        <v>7055.2216216216193</v>
      </c>
      <c r="AU117" s="41">
        <f>(Table43[[#This Row],[Harga Jual Pcs MT
(-PPN)]]*Table43[[#This Row],[ISI/CTN]])</f>
        <v>169325.31891891887</v>
      </c>
      <c r="AV117" s="41">
        <f>Table43[[#This Row],[Harga Jual Pcs MT
(-PPN)]]*1.11</f>
        <v>7831.2959999999985</v>
      </c>
      <c r="AW117" s="41">
        <f>Table43[[#This Row],[Harga Jual Pcs MT
(+PPN)]]*Table43[[#This Row],[ISI/CTN]]</f>
        <v>187951.10399999996</v>
      </c>
      <c r="AX117" s="41"/>
      <c r="AY117" s="46">
        <v>45553</v>
      </c>
      <c r="AZ117" s="54">
        <v>45945</v>
      </c>
      <c r="BA117" s="7" t="str">
        <f ca="1">IF(TODAY()-Table43[[#This Row],[Efektif
Pembuatan]]&gt;60,"Lama","Baru")</f>
        <v>Lama</v>
      </c>
      <c r="BB117" s="7" t="str">
        <f ca="1">IF(TODAY()-Table43[[#This Row],[Efektif Naik Harga]]&lt;30,"Naik","Sama")</f>
        <v>Sama</v>
      </c>
      <c r="BC117" s="7" t="s">
        <v>235</v>
      </c>
      <c r="BD117" s="7" t="str">
        <f>IF(Table43[[#This Row],[Kode BARANG Win2]]&lt;&gt;"","IDR","")</f>
        <v>IDR</v>
      </c>
      <c r="BE117" s="7" t="str">
        <f>CONCATENATE(Table43[[#This Row],[kode  1 Digit
(Nomor)]],Table43[[#This Row],[kode  4 Digit                (Nomor)]])</f>
        <v>20250</v>
      </c>
      <c r="BF117" s="7" t="str">
        <f>Table43[[#This Row],[Nama            Gramasi atau Jumlah Pack per CTN]]</f>
        <v>250 ML</v>
      </c>
      <c r="BG117" s="7" t="s">
        <v>653</v>
      </c>
      <c r="BH117" s="51" t="s">
        <v>654</v>
      </c>
      <c r="BI117" s="4" t="str">
        <f>IF(Table43[[#This Row],[SATUAN Fix Win]]&lt;&gt;"","KRT")</f>
        <v>KRT</v>
      </c>
      <c r="BJ117" s="4" t="str">
        <f>IF(Table43[[#This Row],[SATUAN Fix Win]]&lt;&gt;"","GD01")</f>
        <v>GD01</v>
      </c>
      <c r="BK117" s="4">
        <f>IF(Table43[[#This Row],[SATUAN Fix Win]]&lt;&gt;"",11611)</f>
        <v>11611</v>
      </c>
      <c r="BL117" s="4">
        <f>IF(Table43[[#This Row],[SATUAN Fix Win]]&lt;&gt;"",11612)</f>
        <v>11612</v>
      </c>
      <c r="BM117" s="47" t="s">
        <v>655</v>
      </c>
      <c r="BN117" s="4">
        <f>IF(Table43[[#This Row],[SATUAN Fix Win]]&lt;&gt;"",1)</f>
        <v>1</v>
      </c>
      <c r="BO117" s="4" t="s">
        <v>656</v>
      </c>
      <c r="BP117" s="4">
        <f>IFERROR(VLOOKUP(Table43[[#This Row],[Kode Pcpl]],'[1]HEINZ ABC'!$A$4:$E$112,8,0),0)</f>
        <v>0</v>
      </c>
      <c r="BQ117" s="55">
        <f>Table43[[#This Row],[Harga Jual Pcs GT
(-PPN)]]-Table43[[#This Row],[HARGA NAIK GT]]</f>
        <v>6532.61</v>
      </c>
      <c r="BR117" s="4">
        <f>IF(Table43[[#This Row],[HARGA NAIK GT]]=0,Table43[[#This Row],[Harga Jual Pcs GT
(-PPN)]],Table43[[#This Row],[HARGA NAIK GT]])</f>
        <v>6532.61</v>
      </c>
      <c r="BS117">
        <f>IFERROR(VLOOKUP(Table43[[#This Row],[Kode Pcpl]],'[1]HEINZ ABC'!$A$4:$E$112,8,0),0)</f>
        <v>0</v>
      </c>
      <c r="BT117" s="58">
        <f>Table43[[#This Row],[Harga Jual Pcs GT
(-PPN)]]-BS117</f>
        <v>6532.61</v>
      </c>
      <c r="BU117">
        <f>IF(BS117=0,Table43[[#This Row],[Harga Jual Pcs MT
(-PPN)]])</f>
        <v>7055.2216216216193</v>
      </c>
      <c r="BV117">
        <f>IFERROR(VLOOKUP(Table43[[#This Row],[Kode Pcpl]],[2]Pricelist!$A$4:$K$112,11,0),0)</f>
        <v>0</v>
      </c>
      <c r="BW117">
        <f>IFERROR(VLOOKUP(Table43[[#This Row],[Kode BARANG Win2]],[3]!RECKITT211216[[KDBRG]:[HRG_JL_PCS-PPN]],11,0),0)</f>
        <v>0</v>
      </c>
      <c r="BX117">
        <f t="shared" si="5"/>
        <v>0</v>
      </c>
    </row>
    <row r="118" spans="1:76" s="112" customFormat="1" x14ac:dyDescent="0.25">
      <c r="A118" s="4" t="str">
        <f>CONCATENATE(Table43[[#This Row],[Kode BARANG Win2]],Table43[[#This Row],[No. Urut
Item Sama]])</f>
        <v>A10700011001101</v>
      </c>
      <c r="B118" s="7">
        <v>1</v>
      </c>
      <c r="C118" s="4">
        <v>105</v>
      </c>
      <c r="D118" s="27">
        <v>460165</v>
      </c>
      <c r="E118" s="27" t="s">
        <v>324</v>
      </c>
      <c r="F118" s="27" t="s">
        <v>327</v>
      </c>
      <c r="G118" s="27">
        <v>12</v>
      </c>
      <c r="H118" s="42">
        <v>0</v>
      </c>
      <c r="I118" s="27" t="str">
        <f>Table43[[#This Row],[Nama Jenis Kemasan]]</f>
        <v>PCS</v>
      </c>
      <c r="J118" s="4" t="str">
        <f>TRIM(CONCATENATE(Table43[[#This Row],[Nama            KLP]]," ",Table43[[#This Row],[Nama            Sub KLP]]))</f>
        <v>JUICE</v>
      </c>
      <c r="K118" s="4" t="str">
        <f>CONCATENATE(Table43[[#This Row],[kode  2 Digit                (hrf+No)]],Table43[[#This Row],[kode  2 Digit                (Nomor)]],Table43[[#This Row],[kode  1 Digit                (Nomor)]])</f>
        <v>A1070</v>
      </c>
      <c r="L118" s="4" t="str">
        <f>IF(AG118="",CONCATENATE(Q118,S118,U118,W118,Y118,AA118,AC118,AE118,Table43[[#This Row],[Tanda Kode Revisi]]),CONCATENATE(Q118,S118,U118,W118,Y118,AA118,AC118,AG118))</f>
        <v>A1070001100110</v>
      </c>
      <c r="M118" s="11">
        <f t="shared" si="3"/>
        <v>14</v>
      </c>
      <c r="N118" s="14" t="str">
        <f>IF(AF118&lt;&gt;"",TRIM(UPPER(CONCATENATE(P118," ",R118," ",T118," ",V118," ",X118," ",Z118," ","X"," ",Table43[[#This Row],[ISI/CTN]]," ",AF118," ",AB118," ",AD118," ",AH118))),TRIM(UPPER(CONCATENATE(P118," ",R118," ",T118," ",V118," ",X118," ",Z118," ","X"," ",Table43[[#This Row],[ISI/CTN]]," ",AB118," ",AD118," ",AH118))))</f>
        <v>ABC JUICE GUAVA 1 L X 12 PCS</v>
      </c>
      <c r="O118" s="11">
        <f t="shared" si="4"/>
        <v>28</v>
      </c>
      <c r="P118" s="4" t="s">
        <v>28</v>
      </c>
      <c r="Q118" s="7" t="s">
        <v>85</v>
      </c>
      <c r="R118" s="4" t="s">
        <v>562</v>
      </c>
      <c r="S118" s="43" t="s">
        <v>222</v>
      </c>
      <c r="T118" s="44"/>
      <c r="U118" s="7" t="s">
        <v>1</v>
      </c>
      <c r="V118" s="44"/>
      <c r="W118" s="43" t="s">
        <v>1</v>
      </c>
      <c r="X118" s="4" t="s">
        <v>556</v>
      </c>
      <c r="Y118" s="45" t="s">
        <v>0</v>
      </c>
      <c r="Z118" s="4" t="s">
        <v>563</v>
      </c>
      <c r="AA118" s="45">
        <v>1001</v>
      </c>
      <c r="AB118" s="4" t="s">
        <v>552</v>
      </c>
      <c r="AC118" s="7" t="s">
        <v>480</v>
      </c>
      <c r="AD118" s="4"/>
      <c r="AE118" s="7" t="s">
        <v>1</v>
      </c>
      <c r="AF118" s="7"/>
      <c r="AG118" s="7"/>
      <c r="AH118" s="7"/>
      <c r="AI118" s="7" t="s">
        <v>214</v>
      </c>
      <c r="AJ118" s="7">
        <v>2</v>
      </c>
      <c r="AK118" s="7"/>
      <c r="AL118" s="40">
        <f>Table43[[#This Row],[Harga Jual Pcs GT
(-PPN)]]-(Table43[[#This Row],[Harga Jual Pcs GT
(-PPN)]]*6%)</f>
        <v>20629.192999999999</v>
      </c>
      <c r="AM118" s="41">
        <f>Table43[[#This Row],[Harga Beli Pcs
(-PPN)]]*Table43[[#This Row],[ISI/CTN]]</f>
        <v>247550.31599999999</v>
      </c>
      <c r="AN118" s="41">
        <f>Table43[[#This Row],[Harga Beli Pcs
(-PPN)]]*1.11</f>
        <v>22898.40423</v>
      </c>
      <c r="AO118" s="41">
        <f>Table43[[#This Row],[Harga Beli Krt
(- PPN)]]*1.11</f>
        <v>274780.85076</v>
      </c>
      <c r="AP118" s="41">
        <v>21945.95</v>
      </c>
      <c r="AQ118" s="41">
        <f>Table43[[#This Row],[Harga Jual Pcs GT
(-PPN)]]*Table43[[#This Row],[ISI/CTN]]</f>
        <v>263351.40000000002</v>
      </c>
      <c r="AR118" s="41">
        <f>Table43[[#This Row],[Harga Jual Pcs GT
(-PPN)]]*1.11</f>
        <v>24360.004500000003</v>
      </c>
      <c r="AS118" s="41">
        <f>Table43[[#This Row],[Harga Jual Krt GT
(- PPN)]]*1.11</f>
        <v>292320.05400000006</v>
      </c>
      <c r="AT118" s="41">
        <v>23701.63</v>
      </c>
      <c r="AU118" s="41">
        <f>(Table43[[#This Row],[Harga Jual Pcs MT
(-PPN)]]*Table43[[#This Row],[ISI/CTN]])</f>
        <v>284419.56</v>
      </c>
      <c r="AV118" s="41">
        <f>Table43[[#This Row],[Harga Jual Pcs MT
(-PPN)]]*1.11</f>
        <v>26308.809300000004</v>
      </c>
      <c r="AW118" s="41">
        <f>Table43[[#This Row],[Harga Jual Pcs MT
(+PPN)]]*Table43[[#This Row],[ISI/CTN]]</f>
        <v>315705.71160000004</v>
      </c>
      <c r="AX118" s="41"/>
      <c r="AY118" s="46">
        <v>45553</v>
      </c>
      <c r="AZ118" s="54">
        <v>45553</v>
      </c>
      <c r="BA118" s="7" t="str">
        <f ca="1">IF(TODAY()-Table43[[#This Row],[Efektif
Pembuatan]]&gt;60,"Lama","Baru")</f>
        <v>Lama</v>
      </c>
      <c r="BB118" s="7" t="str">
        <f ca="1">IF(TODAY()-Table43[[#This Row],[Efektif Naik Harga]]&lt;30,"Naik","Sama")</f>
        <v>Sama</v>
      </c>
      <c r="BC118" s="7" t="s">
        <v>235</v>
      </c>
      <c r="BD118" s="7" t="str">
        <f>IF(Table43[[#This Row],[Kode BARANG Win2]]&lt;&gt;"","IDR","")</f>
        <v>IDR</v>
      </c>
      <c r="BE118" s="7" t="str">
        <f>CONCATENATE(Table43[[#This Row],[kode  1 Digit
(Nomor)]],Table43[[#This Row],[kode  4 Digit                (Nomor)]])</f>
        <v>21001</v>
      </c>
      <c r="BF118" s="7" t="str">
        <f>Table43[[#This Row],[Nama            Gramasi atau Jumlah Pack per CTN]]</f>
        <v>1 L</v>
      </c>
      <c r="BG118" s="7" t="s">
        <v>653</v>
      </c>
      <c r="BH118" s="51" t="s">
        <v>654</v>
      </c>
      <c r="BI118" s="4" t="str">
        <f>IF(Table43[[#This Row],[SATUAN Fix Win]]&lt;&gt;"","KRT")</f>
        <v>KRT</v>
      </c>
      <c r="BJ118" s="4" t="str">
        <f>IF(Table43[[#This Row],[SATUAN Fix Win]]&lt;&gt;"","GD01")</f>
        <v>GD01</v>
      </c>
      <c r="BK118" s="4">
        <f>IF(Table43[[#This Row],[SATUAN Fix Win]]&lt;&gt;"",11611)</f>
        <v>11611</v>
      </c>
      <c r="BL118" s="4">
        <f>IF(Table43[[#This Row],[SATUAN Fix Win]]&lt;&gt;"",11612)</f>
        <v>11612</v>
      </c>
      <c r="BM118" s="47" t="s">
        <v>655</v>
      </c>
      <c r="BN118" s="4">
        <f>IF(Table43[[#This Row],[SATUAN Fix Win]]&lt;&gt;"",1)</f>
        <v>1</v>
      </c>
      <c r="BO118" s="4" t="s">
        <v>656</v>
      </c>
      <c r="BP118" s="4">
        <f>IFERROR(VLOOKUP(Table43[[#This Row],[Kode Pcpl]],'[1]HEINZ ABC'!$A$4:$E$112,8,0),0)</f>
        <v>0</v>
      </c>
      <c r="BQ118" s="55">
        <f>Table43[[#This Row],[Harga Jual Pcs GT
(-PPN)]]-Table43[[#This Row],[HARGA NAIK GT]]</f>
        <v>21945.95</v>
      </c>
      <c r="BR118" s="4">
        <f>IF(Table43[[#This Row],[HARGA NAIK GT]]=0,Table43[[#This Row],[Harga Jual Pcs GT
(-PPN)]],Table43[[#This Row],[HARGA NAIK GT]])</f>
        <v>21945.95</v>
      </c>
      <c r="BT118" s="113"/>
      <c r="BV118" s="112">
        <f>IFERROR(VLOOKUP(Table43[[#This Row],[Kode Pcpl]],[2]Pricelist!$A$4:$K$112,11,0),0)</f>
        <v>0</v>
      </c>
      <c r="BX118" s="112">
        <f t="shared" si="5"/>
        <v>0</v>
      </c>
    </row>
    <row r="119" spans="1:76" x14ac:dyDescent="0.25">
      <c r="A119" s="4" t="str">
        <f>CONCATENATE(Table43[[#This Row],[Kode BARANG Win2]],Table43[[#This Row],[No. Urut
Item Sama]])</f>
        <v>A10700011001102</v>
      </c>
      <c r="B119" s="7">
        <v>2</v>
      </c>
      <c r="C119" s="4">
        <v>106</v>
      </c>
      <c r="D119" s="27">
        <v>460191</v>
      </c>
      <c r="E119" s="27" t="s">
        <v>324</v>
      </c>
      <c r="F119" s="27" t="s">
        <v>328</v>
      </c>
      <c r="G119" s="27">
        <v>12</v>
      </c>
      <c r="H119" s="42">
        <v>0</v>
      </c>
      <c r="I119" s="27" t="str">
        <f>Table43[[#This Row],[Nama Jenis Kemasan]]</f>
        <v>PCS</v>
      </c>
      <c r="J119" s="4" t="str">
        <f>TRIM(CONCATENATE(Table43[[#This Row],[Nama            KLP]]," ",Table43[[#This Row],[Nama            Sub KLP]]))</f>
        <v>JUICE</v>
      </c>
      <c r="K119" s="4" t="str">
        <f>CONCATENATE(Table43[[#This Row],[kode  2 Digit                (hrf+No)]],Table43[[#This Row],[kode  2 Digit                (Nomor)]],Table43[[#This Row],[kode  1 Digit                (Nomor)]])</f>
        <v>A1070</v>
      </c>
      <c r="L119" s="4" t="str">
        <f>IF(AG119="",CONCATENATE(Q119,S119,U119,W119,Y119,AA119,AC119,AE119,Table43[[#This Row],[Tanda Kode Revisi]]),CONCATENATE(Q119,S119,U119,W119,Y119,AA119,AC119,AG119))</f>
        <v>A1070001100110</v>
      </c>
      <c r="M119" s="11">
        <f t="shared" si="3"/>
        <v>14</v>
      </c>
      <c r="N119" s="14" t="str">
        <f>IF(AF119&lt;&gt;"",TRIM(UPPER(CONCATENATE(P119," ",R119," ",T119," ",V119," ",X119," ",Z119," ","X"," ",Table43[[#This Row],[ISI/CTN]]," ",AF119," ",AB119," ",AD119," ",AH119))),TRIM(UPPER(CONCATENATE(P119," ",R119," ",T119," ",V119," ",X119," ",Z119," ","X"," ",Table43[[#This Row],[ISI/CTN]]," ",AB119," ",AD119," ",AH119))))</f>
        <v>ABC JUICE GUAVA 1 L X 12 PCS</v>
      </c>
      <c r="O119" s="11">
        <f t="shared" si="4"/>
        <v>28</v>
      </c>
      <c r="P119" s="4" t="s">
        <v>28</v>
      </c>
      <c r="Q119" s="7" t="s">
        <v>85</v>
      </c>
      <c r="R119" s="4" t="s">
        <v>562</v>
      </c>
      <c r="S119" s="43" t="s">
        <v>222</v>
      </c>
      <c r="T119" s="44"/>
      <c r="U119" s="7" t="s">
        <v>1</v>
      </c>
      <c r="V119" s="44"/>
      <c r="W119" s="43" t="s">
        <v>1</v>
      </c>
      <c r="X119" s="4" t="s">
        <v>556</v>
      </c>
      <c r="Y119" s="45" t="s">
        <v>0</v>
      </c>
      <c r="Z119" s="4" t="s">
        <v>563</v>
      </c>
      <c r="AA119" s="45">
        <v>1001</v>
      </c>
      <c r="AB119" s="4" t="s">
        <v>552</v>
      </c>
      <c r="AC119" s="7" t="s">
        <v>480</v>
      </c>
      <c r="AE119" s="7" t="s">
        <v>1</v>
      </c>
      <c r="AI119" s="7" t="s">
        <v>214</v>
      </c>
      <c r="AJ119" s="7">
        <v>2</v>
      </c>
      <c r="AL119" s="40">
        <f>Table43[[#This Row],[Harga Jual Pcs GT
(-PPN)]]-(Table43[[#This Row],[Harga Jual Pcs GT
(-PPN)]]*6%)</f>
        <v>20629.192999999999</v>
      </c>
      <c r="AM119" s="41">
        <f>Table43[[#This Row],[Harga Beli Pcs
(-PPN)]]*Table43[[#This Row],[ISI/CTN]]</f>
        <v>247550.31599999999</v>
      </c>
      <c r="AN119" s="41">
        <f>Table43[[#This Row],[Harga Beli Pcs
(-PPN)]]*1.11</f>
        <v>22898.40423</v>
      </c>
      <c r="AO119" s="41">
        <f>Table43[[#This Row],[Harga Beli Krt
(- PPN)]]*1.11</f>
        <v>274780.85076</v>
      </c>
      <c r="AP119" s="41">
        <v>21945.95</v>
      </c>
      <c r="AQ119" s="41">
        <f>Table43[[#This Row],[Harga Jual Pcs GT
(-PPN)]]*Table43[[#This Row],[ISI/CTN]]</f>
        <v>263351.40000000002</v>
      </c>
      <c r="AR119" s="41">
        <f>Table43[[#This Row],[Harga Jual Pcs GT
(-PPN)]]*1.11</f>
        <v>24360.004500000003</v>
      </c>
      <c r="AS119" s="41">
        <f>Table43[[#This Row],[Harga Jual Krt GT
(- PPN)]]*1.11</f>
        <v>292320.05400000006</v>
      </c>
      <c r="AT119" s="41">
        <v>23701.63</v>
      </c>
      <c r="AU119" s="41">
        <f>(Table43[[#This Row],[Harga Jual Pcs MT
(-PPN)]]*Table43[[#This Row],[ISI/CTN]])</f>
        <v>284419.56</v>
      </c>
      <c r="AV119" s="41">
        <f>Table43[[#This Row],[Harga Jual Pcs MT
(-PPN)]]*1.11</f>
        <v>26308.809300000004</v>
      </c>
      <c r="AW119" s="41">
        <f>Table43[[#This Row],[Harga Jual Pcs MT
(+PPN)]]*Table43[[#This Row],[ISI/CTN]]</f>
        <v>315705.71160000004</v>
      </c>
      <c r="AX119" s="41"/>
      <c r="AY119" s="46">
        <v>45553</v>
      </c>
      <c r="AZ119" s="54">
        <v>45553</v>
      </c>
      <c r="BA119" s="7" t="str">
        <f ca="1">IF(TODAY()-Table43[[#This Row],[Efektif
Pembuatan]]&gt;60,"Lama","Baru")</f>
        <v>Lama</v>
      </c>
      <c r="BB119" s="7" t="str">
        <f ca="1">IF(TODAY()-Table43[[#This Row],[Efektif Naik Harga]]&lt;30,"Naik","Sama")</f>
        <v>Sama</v>
      </c>
      <c r="BC119" s="7" t="s">
        <v>235</v>
      </c>
      <c r="BD119" s="7" t="str">
        <f>IF(Table43[[#This Row],[Kode BARANG Win2]]&lt;&gt;"","IDR","")</f>
        <v>IDR</v>
      </c>
      <c r="BE119" s="7" t="str">
        <f>CONCATENATE(Table43[[#This Row],[kode  1 Digit
(Nomor)]],Table43[[#This Row],[kode  4 Digit                (Nomor)]])</f>
        <v>21001</v>
      </c>
      <c r="BF119" s="7" t="str">
        <f>Table43[[#This Row],[Nama            Gramasi atau Jumlah Pack per CTN]]</f>
        <v>1 L</v>
      </c>
      <c r="BG119" s="7" t="s">
        <v>653</v>
      </c>
      <c r="BH119" s="51" t="s">
        <v>654</v>
      </c>
      <c r="BI119" s="4" t="str">
        <f>IF(Table43[[#This Row],[SATUAN Fix Win]]&lt;&gt;"","KRT")</f>
        <v>KRT</v>
      </c>
      <c r="BJ119" s="4" t="str">
        <f>IF(Table43[[#This Row],[SATUAN Fix Win]]&lt;&gt;"","GD01")</f>
        <v>GD01</v>
      </c>
      <c r="BK119" s="4">
        <f>IF(Table43[[#This Row],[SATUAN Fix Win]]&lt;&gt;"",11611)</f>
        <v>11611</v>
      </c>
      <c r="BL119" s="4">
        <f>IF(Table43[[#This Row],[SATUAN Fix Win]]&lt;&gt;"",11612)</f>
        <v>11612</v>
      </c>
      <c r="BM119" s="47" t="s">
        <v>655</v>
      </c>
      <c r="BN119" s="4">
        <f>IF(Table43[[#This Row],[SATUAN Fix Win]]&lt;&gt;"",1)</f>
        <v>1</v>
      </c>
      <c r="BO119" s="4" t="s">
        <v>656</v>
      </c>
      <c r="BP119" s="4">
        <f>IFERROR(VLOOKUP(Table43[[#This Row],[Kode Pcpl]],'[1]HEINZ ABC'!$A$4:$E$112,8,0),0)</f>
        <v>0</v>
      </c>
      <c r="BQ119" s="55">
        <f>Table43[[#This Row],[Harga Jual Pcs GT
(-PPN)]]-Table43[[#This Row],[HARGA NAIK GT]]</f>
        <v>21945.95</v>
      </c>
      <c r="BR119" s="4">
        <f>IF(Table43[[#This Row],[HARGA NAIK GT]]=0,Table43[[#This Row],[Harga Jual Pcs GT
(-PPN)]],Table43[[#This Row],[HARGA NAIK GT]])</f>
        <v>21945.95</v>
      </c>
      <c r="BS119">
        <f>IFERROR(VLOOKUP(Table43[[#This Row],[Kode Pcpl]],'[1]HEINZ ABC'!$A$4:$E$112,8,0),0)</f>
        <v>0</v>
      </c>
      <c r="BT119" s="58">
        <f>Table43[[#This Row],[Harga Jual Pcs GT
(-PPN)]]-BS119</f>
        <v>21945.95</v>
      </c>
      <c r="BU119">
        <f>IF(BS119=0,Table43[[#This Row],[Harga Jual Pcs MT
(-PPN)]])</f>
        <v>23701.63</v>
      </c>
      <c r="BV119">
        <f>IFERROR(VLOOKUP(Table43[[#This Row],[Kode Pcpl]],[2]Pricelist!$A$4:$K$112,11,0),0)</f>
        <v>0</v>
      </c>
      <c r="BW119">
        <f>IFERROR(VLOOKUP(Table43[[#This Row],[Kode BARANG Win2]],[3]!RECKITT211216[[KDBRG]:[HRG_JL_PCS-PPN]],11,0),0)</f>
        <v>0</v>
      </c>
      <c r="BX119">
        <f t="shared" si="5"/>
        <v>0</v>
      </c>
    </row>
    <row r="120" spans="1:76" x14ac:dyDescent="0.25">
      <c r="A120" s="4" t="str">
        <f>CONCATENATE(Table43[[#This Row],[Kode BARANG Win2]],Table43[[#This Row],[No. Urut
Item Sama]])</f>
        <v>A10700020250101</v>
      </c>
      <c r="B120" s="7">
        <v>1</v>
      </c>
      <c r="C120" s="4">
        <v>107</v>
      </c>
      <c r="D120" s="27">
        <v>460061</v>
      </c>
      <c r="E120" s="27" t="s">
        <v>324</v>
      </c>
      <c r="F120" s="27" t="s">
        <v>329</v>
      </c>
      <c r="G120" s="27">
        <v>24</v>
      </c>
      <c r="H120" s="42">
        <v>0</v>
      </c>
      <c r="I120" s="27" t="str">
        <f>Table43[[#This Row],[Nama Jenis Kemasan]]</f>
        <v>PCS</v>
      </c>
      <c r="J120" s="4" t="str">
        <f>TRIM(CONCATENATE(Table43[[#This Row],[Nama            KLP]]," ",Table43[[#This Row],[Nama            Sub KLP]]))</f>
        <v>JUICE</v>
      </c>
      <c r="K120" s="4" t="str">
        <f>CONCATENATE(Table43[[#This Row],[kode  2 Digit                (hrf+No)]],Table43[[#This Row],[kode  2 Digit                (Nomor)]],Table43[[#This Row],[kode  1 Digit                (Nomor)]])</f>
        <v>A1070</v>
      </c>
      <c r="L120" s="4" t="str">
        <f>IF(AG120="",CONCATENATE(Q120,S120,U120,W120,Y120,AA120,AC120,AE120,Table43[[#This Row],[Tanda Kode Revisi]]),CONCATENATE(Q120,S120,U120,W120,Y120,AA120,AC120,AG120))</f>
        <v>A1070002025010</v>
      </c>
      <c r="M120" s="11">
        <f t="shared" si="3"/>
        <v>14</v>
      </c>
      <c r="N120" s="14" t="str">
        <f>IF(AF120&lt;&gt;"",TRIM(UPPER(CONCATENATE(P120," ",R120," ",T120," ",V120," ",X120," ",Z120," ","X"," ",Table43[[#This Row],[ISI/CTN]]," ",AF120," ",AB120," ",AD120," ",AH120))),TRIM(UPPER(CONCATENATE(P120," ",R120," ",T120," ",V120," ",X120," ",Z120," ","X"," ",Table43[[#This Row],[ISI/CTN]]," ",AB120," ",AD120," ",AH120))))</f>
        <v>ABC JUICE ORANGE 250 ML X 24 PCS</v>
      </c>
      <c r="O120" s="11">
        <f t="shared" si="4"/>
        <v>32</v>
      </c>
      <c r="P120" s="4" t="s">
        <v>28</v>
      </c>
      <c r="Q120" s="7" t="s">
        <v>85</v>
      </c>
      <c r="R120" s="4" t="s">
        <v>562</v>
      </c>
      <c r="S120" s="43" t="s">
        <v>222</v>
      </c>
      <c r="T120" s="44"/>
      <c r="U120" s="7" t="s">
        <v>1</v>
      </c>
      <c r="V120" s="44"/>
      <c r="W120" s="43" t="s">
        <v>1</v>
      </c>
      <c r="X120" s="4" t="s">
        <v>554</v>
      </c>
      <c r="Y120" s="45" t="s">
        <v>31</v>
      </c>
      <c r="Z120" s="4" t="s">
        <v>559</v>
      </c>
      <c r="AA120" s="45" t="s">
        <v>489</v>
      </c>
      <c r="AB120" s="4" t="s">
        <v>552</v>
      </c>
      <c r="AC120" s="7" t="s">
        <v>480</v>
      </c>
      <c r="AE120" s="7" t="s">
        <v>1</v>
      </c>
      <c r="AI120" s="7" t="s">
        <v>214</v>
      </c>
      <c r="AJ120" s="7">
        <v>2</v>
      </c>
      <c r="AL120" s="40">
        <f>Table43[[#This Row],[Harga Jual Pcs GT
(-PPN)]]-(Table43[[#This Row],[Harga Jual Pcs GT
(-PPN)]]*6%)</f>
        <v>6140.6533999999992</v>
      </c>
      <c r="AM120" s="41">
        <f>Table43[[#This Row],[Harga Beli Pcs
(-PPN)]]*Table43[[#This Row],[ISI/CTN]]</f>
        <v>147375.68159999998</v>
      </c>
      <c r="AN120" s="41">
        <f>Table43[[#This Row],[Harga Beli Pcs
(-PPN)]]*1.11</f>
        <v>6816.125274</v>
      </c>
      <c r="AO120" s="41">
        <f>Table43[[#This Row],[Harga Beli Krt
(- PPN)]]*1.11</f>
        <v>163587.00657599999</v>
      </c>
      <c r="AP120" s="41">
        <v>6532.61</v>
      </c>
      <c r="AQ120" s="41">
        <f>Table43[[#This Row],[Harga Jual Pcs GT
(-PPN)]]*Table43[[#This Row],[ISI/CTN]]</f>
        <v>156782.63999999998</v>
      </c>
      <c r="AR120" s="41">
        <f>Table43[[#This Row],[Harga Jual Pcs GT
(-PPN)]]*1.11</f>
        <v>7251.1971000000003</v>
      </c>
      <c r="AS120" s="41">
        <f>Table43[[#This Row],[Harga Jual Krt GT
(- PPN)]]*1.11</f>
        <v>174028.7304</v>
      </c>
      <c r="AT120" s="41">
        <v>7055.2216216216193</v>
      </c>
      <c r="AU120" s="41">
        <f>(Table43[[#This Row],[Harga Jual Pcs MT
(-PPN)]]*Table43[[#This Row],[ISI/CTN]])</f>
        <v>169325.31891891887</v>
      </c>
      <c r="AV120" s="41">
        <f>Table43[[#This Row],[Harga Jual Pcs MT
(-PPN)]]*1.11</f>
        <v>7831.2959999999985</v>
      </c>
      <c r="AW120" s="41">
        <f>Table43[[#This Row],[Harga Jual Pcs MT
(+PPN)]]*Table43[[#This Row],[ISI/CTN]]</f>
        <v>187951.10399999996</v>
      </c>
      <c r="AX120" s="41"/>
      <c r="AY120" s="46">
        <v>45553</v>
      </c>
      <c r="AZ120" s="54">
        <v>45945</v>
      </c>
      <c r="BA120" s="7" t="str">
        <f ca="1">IF(TODAY()-Table43[[#This Row],[Efektif
Pembuatan]]&gt;60,"Lama","Baru")</f>
        <v>Lama</v>
      </c>
      <c r="BB120" s="7" t="str">
        <f ca="1">IF(TODAY()-Table43[[#This Row],[Efektif Naik Harga]]&lt;30,"Naik","Sama")</f>
        <v>Sama</v>
      </c>
      <c r="BC120" s="7" t="s">
        <v>235</v>
      </c>
      <c r="BD120" s="7" t="str">
        <f>IF(Table43[[#This Row],[Kode BARANG Win2]]&lt;&gt;"","IDR","")</f>
        <v>IDR</v>
      </c>
      <c r="BE120" s="7" t="str">
        <f>CONCATENATE(Table43[[#This Row],[kode  1 Digit
(Nomor)]],Table43[[#This Row],[kode  4 Digit                (Nomor)]])</f>
        <v>20250</v>
      </c>
      <c r="BF120" s="7" t="str">
        <f>Table43[[#This Row],[Nama            Gramasi atau Jumlah Pack per CTN]]</f>
        <v>250 ML</v>
      </c>
      <c r="BG120" s="7" t="s">
        <v>653</v>
      </c>
      <c r="BH120" s="51" t="s">
        <v>654</v>
      </c>
      <c r="BI120" s="4" t="str">
        <f>IF(Table43[[#This Row],[SATUAN Fix Win]]&lt;&gt;"","KRT")</f>
        <v>KRT</v>
      </c>
      <c r="BJ120" s="4" t="str">
        <f>IF(Table43[[#This Row],[SATUAN Fix Win]]&lt;&gt;"","GD01")</f>
        <v>GD01</v>
      </c>
      <c r="BK120" s="4">
        <f>IF(Table43[[#This Row],[SATUAN Fix Win]]&lt;&gt;"",11611)</f>
        <v>11611</v>
      </c>
      <c r="BL120" s="4">
        <f>IF(Table43[[#This Row],[SATUAN Fix Win]]&lt;&gt;"",11612)</f>
        <v>11612</v>
      </c>
      <c r="BM120" s="47" t="s">
        <v>655</v>
      </c>
      <c r="BN120" s="4">
        <f>IF(Table43[[#This Row],[SATUAN Fix Win]]&lt;&gt;"",1)</f>
        <v>1</v>
      </c>
      <c r="BO120" s="4" t="s">
        <v>656</v>
      </c>
      <c r="BP120" s="4">
        <f>IFERROR(VLOOKUP(Table43[[#This Row],[Kode Pcpl]],'[1]HEINZ ABC'!$A$4:$E$112,8,0),0)</f>
        <v>0</v>
      </c>
      <c r="BQ120" s="55">
        <f>Table43[[#This Row],[Harga Jual Pcs GT
(-PPN)]]-Table43[[#This Row],[HARGA NAIK GT]]</f>
        <v>6532.61</v>
      </c>
      <c r="BR120" s="4">
        <f>IF(Table43[[#This Row],[HARGA NAIK GT]]=0,Table43[[#This Row],[Harga Jual Pcs GT
(-PPN)]],Table43[[#This Row],[HARGA NAIK GT]])</f>
        <v>6532.61</v>
      </c>
      <c r="BS120">
        <f>IFERROR(VLOOKUP(Table43[[#This Row],[Kode Pcpl]],'[1]HEINZ ABC'!$A$4:$E$112,8,0),0)</f>
        <v>0</v>
      </c>
      <c r="BT120" s="58">
        <f>Table43[[#This Row],[Harga Jual Pcs GT
(-PPN)]]-BS120</f>
        <v>6532.61</v>
      </c>
      <c r="BU120">
        <f>IF(BS120=0,Table43[[#This Row],[Harga Jual Pcs MT
(-PPN)]])</f>
        <v>7055.2216216216193</v>
      </c>
      <c r="BV120">
        <f>IFERROR(VLOOKUP(Table43[[#This Row],[Kode Pcpl]],[2]Pricelist!$A$4:$K$112,11,0),0)</f>
        <v>0</v>
      </c>
      <c r="BW120">
        <f>IFERROR(VLOOKUP(Table43[[#This Row],[Kode BARANG Win2]],[3]!RECKITT211216[[KDBRG]:[HRG_JL_PCS-PPN]],11,0),0)</f>
        <v>0</v>
      </c>
      <c r="BX120">
        <f t="shared" si="5"/>
        <v>0</v>
      </c>
    </row>
    <row r="121" spans="1:76" x14ac:dyDescent="0.25">
      <c r="A121" s="4" t="str">
        <f>CONCATENATE(Table43[[#This Row],[Kode BARANG Win2]],Table43[[#This Row],[No. Urut
Item Sama]])</f>
        <v>A10700020250102</v>
      </c>
      <c r="B121" s="7">
        <v>2</v>
      </c>
      <c r="C121" s="4">
        <v>108</v>
      </c>
      <c r="D121" s="27">
        <v>460188</v>
      </c>
      <c r="E121" s="27" t="s">
        <v>324</v>
      </c>
      <c r="F121" s="27" t="s">
        <v>330</v>
      </c>
      <c r="G121" s="27">
        <v>24</v>
      </c>
      <c r="H121" s="42" t="s">
        <v>2871</v>
      </c>
      <c r="I121" s="27" t="str">
        <f>Table43[[#This Row],[Nama Jenis Kemasan]]</f>
        <v>PCS</v>
      </c>
      <c r="J121" s="4" t="str">
        <f>TRIM(CONCATENATE(Table43[[#This Row],[Nama            KLP]]," ",Table43[[#This Row],[Nama            Sub KLP]]))</f>
        <v>JUICE</v>
      </c>
      <c r="K121" s="4" t="str">
        <f>CONCATENATE(Table43[[#This Row],[kode  2 Digit                (hrf+No)]],Table43[[#This Row],[kode  2 Digit                (Nomor)]],Table43[[#This Row],[kode  1 Digit                (Nomor)]])</f>
        <v>A1070</v>
      </c>
      <c r="L121" s="4" t="str">
        <f>IF(AG121="",CONCATENATE(Q121,S121,U121,W121,Y121,AA121,AC121,AE121,Table43[[#This Row],[Tanda Kode Revisi]]),CONCATENATE(Q121,S121,U121,W121,Y121,AA121,AC121,AG121))</f>
        <v>A1070002025010</v>
      </c>
      <c r="M121" s="11">
        <f t="shared" si="3"/>
        <v>14</v>
      </c>
      <c r="N121" s="14" t="str">
        <f>IF(AF121&lt;&gt;"",TRIM(UPPER(CONCATENATE(P121," ",R121," ",T121," ",V121," ",X121," ",Z121," ","X"," ",Table43[[#This Row],[ISI/CTN]]," ",AF121," ",AB121," ",AD121," ",AH121))),TRIM(UPPER(CONCATENATE(P121," ",R121," ",T121," ",V121," ",X121," ",Z121," ","X"," ",Table43[[#This Row],[ISI/CTN]]," ",AB121," ",AD121," ",AH121))))</f>
        <v>ABC JUICE ORANGE 250 ML X 24 PCS</v>
      </c>
      <c r="O121" s="11">
        <f t="shared" si="4"/>
        <v>32</v>
      </c>
      <c r="P121" s="4" t="s">
        <v>28</v>
      </c>
      <c r="Q121" s="7" t="s">
        <v>85</v>
      </c>
      <c r="R121" s="4" t="s">
        <v>562</v>
      </c>
      <c r="S121" s="43" t="s">
        <v>222</v>
      </c>
      <c r="T121" s="44"/>
      <c r="U121" s="7" t="s">
        <v>1</v>
      </c>
      <c r="V121" s="44"/>
      <c r="W121" s="43" t="s">
        <v>1</v>
      </c>
      <c r="X121" s="4" t="s">
        <v>554</v>
      </c>
      <c r="Y121" s="45" t="s">
        <v>31</v>
      </c>
      <c r="Z121" s="4" t="s">
        <v>559</v>
      </c>
      <c r="AA121" s="45" t="s">
        <v>489</v>
      </c>
      <c r="AB121" s="4" t="s">
        <v>552</v>
      </c>
      <c r="AC121" s="7" t="s">
        <v>480</v>
      </c>
      <c r="AE121" s="7" t="s">
        <v>1</v>
      </c>
      <c r="AI121" s="7" t="s">
        <v>214</v>
      </c>
      <c r="AJ121" s="7">
        <v>2</v>
      </c>
      <c r="AL121" s="40">
        <f>Table43[[#This Row],[Harga Jual Pcs GT
(-PPN)]]-(Table43[[#This Row],[Harga Jual Pcs GT
(-PPN)]]*6%)</f>
        <v>6140.6533999999992</v>
      </c>
      <c r="AM121" s="41">
        <f>Table43[[#This Row],[Harga Beli Pcs
(-PPN)]]*Table43[[#This Row],[ISI/CTN]]</f>
        <v>147375.68159999998</v>
      </c>
      <c r="AN121" s="41">
        <f>Table43[[#This Row],[Harga Beli Pcs
(-PPN)]]*1.11</f>
        <v>6816.125274</v>
      </c>
      <c r="AO121" s="41">
        <f>Table43[[#This Row],[Harga Beli Krt
(- PPN)]]*1.11</f>
        <v>163587.00657599999</v>
      </c>
      <c r="AP121" s="41">
        <v>6532.61</v>
      </c>
      <c r="AQ121" s="41">
        <f>Table43[[#This Row],[Harga Jual Pcs GT
(-PPN)]]*Table43[[#This Row],[ISI/CTN]]</f>
        <v>156782.63999999998</v>
      </c>
      <c r="AR121" s="41">
        <f>Table43[[#This Row],[Harga Jual Pcs GT
(-PPN)]]*1.11</f>
        <v>7251.1971000000003</v>
      </c>
      <c r="AS121" s="41">
        <f>Table43[[#This Row],[Harga Jual Krt GT
(- PPN)]]*1.11</f>
        <v>174028.7304</v>
      </c>
      <c r="AT121" s="41">
        <v>7055.2216216216193</v>
      </c>
      <c r="AU121" s="41">
        <f>(Table43[[#This Row],[Harga Jual Pcs MT
(-PPN)]]*Table43[[#This Row],[ISI/CTN]])</f>
        <v>169325.31891891887</v>
      </c>
      <c r="AV121" s="41">
        <f>Table43[[#This Row],[Harga Jual Pcs MT
(-PPN)]]*1.11</f>
        <v>7831.2959999999985</v>
      </c>
      <c r="AW121" s="41">
        <f>Table43[[#This Row],[Harga Jual Pcs MT
(+PPN)]]*Table43[[#This Row],[ISI/CTN]]</f>
        <v>187951.10399999996</v>
      </c>
      <c r="AX121" s="41"/>
      <c r="AY121" s="46">
        <v>45553</v>
      </c>
      <c r="AZ121" s="54">
        <v>45945</v>
      </c>
      <c r="BA121" s="7" t="str">
        <f ca="1">IF(TODAY()-Table43[[#This Row],[Efektif
Pembuatan]]&gt;60,"Lama","Baru")</f>
        <v>Lama</v>
      </c>
      <c r="BB121" s="7" t="str">
        <f ca="1">IF(TODAY()-Table43[[#This Row],[Efektif Naik Harga]]&lt;30,"Naik","Sama")</f>
        <v>Sama</v>
      </c>
      <c r="BC121" s="7" t="s">
        <v>235</v>
      </c>
      <c r="BD121" s="7" t="str">
        <f>IF(Table43[[#This Row],[Kode BARANG Win2]]&lt;&gt;"","IDR","")</f>
        <v>IDR</v>
      </c>
      <c r="BE121" s="7" t="str">
        <f>CONCATENATE(Table43[[#This Row],[kode  1 Digit
(Nomor)]],Table43[[#This Row],[kode  4 Digit                (Nomor)]])</f>
        <v>20250</v>
      </c>
      <c r="BF121" s="7" t="str">
        <f>Table43[[#This Row],[Nama            Gramasi atau Jumlah Pack per CTN]]</f>
        <v>250 ML</v>
      </c>
      <c r="BG121" s="7" t="s">
        <v>653</v>
      </c>
      <c r="BH121" s="51" t="s">
        <v>654</v>
      </c>
      <c r="BI121" s="4" t="str">
        <f>IF(Table43[[#This Row],[SATUAN Fix Win]]&lt;&gt;"","KRT")</f>
        <v>KRT</v>
      </c>
      <c r="BJ121" s="4" t="str">
        <f>IF(Table43[[#This Row],[SATUAN Fix Win]]&lt;&gt;"","GD01")</f>
        <v>GD01</v>
      </c>
      <c r="BK121" s="4">
        <f>IF(Table43[[#This Row],[SATUAN Fix Win]]&lt;&gt;"",11611)</f>
        <v>11611</v>
      </c>
      <c r="BL121" s="4">
        <f>IF(Table43[[#This Row],[SATUAN Fix Win]]&lt;&gt;"",11612)</f>
        <v>11612</v>
      </c>
      <c r="BM121" s="47" t="s">
        <v>655</v>
      </c>
      <c r="BN121" s="4">
        <f>IF(Table43[[#This Row],[SATUAN Fix Win]]&lt;&gt;"",1)</f>
        <v>1</v>
      </c>
      <c r="BO121" s="4" t="s">
        <v>656</v>
      </c>
      <c r="BP121" s="4">
        <f>IFERROR(VLOOKUP(Table43[[#This Row],[Kode Pcpl]],'[1]HEINZ ABC'!$A$4:$E$112,8,0),0)</f>
        <v>0</v>
      </c>
      <c r="BQ121" s="55">
        <f>Table43[[#This Row],[Harga Jual Pcs GT
(-PPN)]]-Table43[[#This Row],[HARGA NAIK GT]]</f>
        <v>6532.61</v>
      </c>
      <c r="BR121" s="4">
        <f>IF(Table43[[#This Row],[HARGA NAIK GT]]=0,Table43[[#This Row],[Harga Jual Pcs GT
(-PPN)]],Table43[[#This Row],[HARGA NAIK GT]])</f>
        <v>6532.61</v>
      </c>
      <c r="BS121">
        <f>IFERROR(VLOOKUP(Table43[[#This Row],[Kode Pcpl]],'[1]HEINZ ABC'!$A$4:$E$112,8,0),0)</f>
        <v>0</v>
      </c>
      <c r="BT121" s="58">
        <f>Table43[[#This Row],[Harga Jual Pcs GT
(-PPN)]]-BS121</f>
        <v>6532.61</v>
      </c>
      <c r="BU121">
        <f>IF(BS121=0,Table43[[#This Row],[Harga Jual Pcs MT
(-PPN)]])</f>
        <v>7055.2216216216193</v>
      </c>
      <c r="BV121">
        <f>IFERROR(VLOOKUP(Table43[[#This Row],[Kode Pcpl]],[2]Pricelist!$A$4:$K$112,11,0),0)</f>
        <v>0</v>
      </c>
      <c r="BW121">
        <f>IFERROR(VLOOKUP(Table43[[#This Row],[Kode BARANG Win2]],[3]!RECKITT211216[[KDBRG]:[HRG_JL_PCS-PPN]],11,0),0)</f>
        <v>0</v>
      </c>
      <c r="BX121">
        <f t="shared" si="5"/>
        <v>0</v>
      </c>
    </row>
    <row r="122" spans="1:76" x14ac:dyDescent="0.25">
      <c r="A122" s="4" t="str">
        <f>CONCATENATE(Table43[[#This Row],[Kode BARANG Win2]],Table43[[#This Row],[No. Urut
Item Sama]])</f>
        <v>A10700021001101</v>
      </c>
      <c r="B122" s="7">
        <v>1</v>
      </c>
      <c r="C122" s="4">
        <v>109</v>
      </c>
      <c r="D122" s="27">
        <v>460189</v>
      </c>
      <c r="E122" s="27" t="s">
        <v>324</v>
      </c>
      <c r="F122" s="27" t="s">
        <v>331</v>
      </c>
      <c r="G122" s="27">
        <v>12</v>
      </c>
      <c r="H122" s="42">
        <v>0</v>
      </c>
      <c r="I122" s="27" t="str">
        <f>Table43[[#This Row],[Nama Jenis Kemasan]]</f>
        <v>PCS</v>
      </c>
      <c r="J122" s="4" t="str">
        <f>TRIM(CONCATENATE(Table43[[#This Row],[Nama            KLP]]," ",Table43[[#This Row],[Nama            Sub KLP]]))</f>
        <v>JUICE</v>
      </c>
      <c r="K122" s="4" t="str">
        <f>CONCATENATE(Table43[[#This Row],[kode  2 Digit                (hrf+No)]],Table43[[#This Row],[kode  2 Digit                (Nomor)]],Table43[[#This Row],[kode  1 Digit                (Nomor)]])</f>
        <v>A1070</v>
      </c>
      <c r="L122" s="4" t="str">
        <f>IF(AG122="",CONCATENATE(Q122,S122,U122,W122,Y122,AA122,AC122,AE122,Table43[[#This Row],[Tanda Kode Revisi]]),CONCATENATE(Q122,S122,U122,W122,Y122,AA122,AC122,AG122))</f>
        <v>A1070002100110</v>
      </c>
      <c r="M122" s="11">
        <f t="shared" si="3"/>
        <v>14</v>
      </c>
      <c r="N122" s="14" t="str">
        <f>IF(AF122&lt;&gt;"",TRIM(UPPER(CONCATENATE(P122," ",R122," ",T122," ",V122," ",X122," ",Z122," ","X"," ",Table43[[#This Row],[ISI/CTN]]," ",AF122," ",AB122," ",AD122," ",AH122))),TRIM(UPPER(CONCATENATE(P122," ",R122," ",T122," ",V122," ",X122," ",Z122," ","X"," ",Table43[[#This Row],[ISI/CTN]]," ",AB122," ",AD122," ",AH122))))</f>
        <v>ABC JUICE ORANGE 1 L X 12 PCS</v>
      </c>
      <c r="O122" s="11">
        <f t="shared" si="4"/>
        <v>29</v>
      </c>
      <c r="P122" s="4" t="s">
        <v>28</v>
      </c>
      <c r="Q122" s="7" t="s">
        <v>85</v>
      </c>
      <c r="R122" s="4" t="s">
        <v>562</v>
      </c>
      <c r="S122" s="43" t="s">
        <v>222</v>
      </c>
      <c r="T122" s="44"/>
      <c r="U122" s="7" t="s">
        <v>1</v>
      </c>
      <c r="V122" s="44"/>
      <c r="W122" s="43" t="s">
        <v>1</v>
      </c>
      <c r="X122" s="4" t="s">
        <v>554</v>
      </c>
      <c r="Y122" s="45" t="s">
        <v>31</v>
      </c>
      <c r="Z122" s="4" t="s">
        <v>563</v>
      </c>
      <c r="AA122" s="45">
        <v>1001</v>
      </c>
      <c r="AB122" s="4" t="s">
        <v>552</v>
      </c>
      <c r="AC122" s="7" t="s">
        <v>480</v>
      </c>
      <c r="AE122" s="7" t="s">
        <v>1</v>
      </c>
      <c r="AI122" s="7" t="s">
        <v>214</v>
      </c>
      <c r="AJ122" s="7">
        <v>2</v>
      </c>
      <c r="AL122" s="40">
        <f>Table43[[#This Row],[Harga Jual Pcs GT
(-PPN)]]-(Table43[[#This Row],[Harga Jual Pcs GT
(-PPN)]]*6%)</f>
        <v>20629.192999999999</v>
      </c>
      <c r="AM122" s="41">
        <f>Table43[[#This Row],[Harga Beli Pcs
(-PPN)]]*Table43[[#This Row],[ISI/CTN]]</f>
        <v>247550.31599999999</v>
      </c>
      <c r="AN122" s="41">
        <f>Table43[[#This Row],[Harga Beli Pcs
(-PPN)]]*1.11</f>
        <v>22898.40423</v>
      </c>
      <c r="AO122" s="41">
        <f>Table43[[#This Row],[Harga Beli Krt
(- PPN)]]*1.11</f>
        <v>274780.85076</v>
      </c>
      <c r="AP122" s="41">
        <v>21945.95</v>
      </c>
      <c r="AQ122" s="41">
        <f>Table43[[#This Row],[Harga Jual Pcs GT
(-PPN)]]*Table43[[#This Row],[ISI/CTN]]</f>
        <v>263351.40000000002</v>
      </c>
      <c r="AR122" s="41">
        <f>Table43[[#This Row],[Harga Jual Pcs GT
(-PPN)]]*1.11</f>
        <v>24360.004500000003</v>
      </c>
      <c r="AS122" s="41">
        <f>Table43[[#This Row],[Harga Jual Krt GT
(- PPN)]]*1.11</f>
        <v>292320.05400000006</v>
      </c>
      <c r="AT122" s="41">
        <v>23701.63</v>
      </c>
      <c r="AU122" s="41">
        <f>(Table43[[#This Row],[Harga Jual Pcs MT
(-PPN)]]*Table43[[#This Row],[ISI/CTN]])</f>
        <v>284419.56</v>
      </c>
      <c r="AV122" s="41">
        <f>Table43[[#This Row],[Harga Jual Pcs MT
(-PPN)]]*1.11</f>
        <v>26308.809300000004</v>
      </c>
      <c r="AW122" s="41">
        <f>Table43[[#This Row],[Harga Jual Pcs MT
(+PPN)]]*Table43[[#This Row],[ISI/CTN]]</f>
        <v>315705.71160000004</v>
      </c>
      <c r="AX122" s="41"/>
      <c r="AY122" s="46">
        <v>45553</v>
      </c>
      <c r="AZ122" s="54">
        <v>45553</v>
      </c>
      <c r="BA122" s="7" t="str">
        <f ca="1">IF(TODAY()-Table43[[#This Row],[Efektif
Pembuatan]]&gt;60,"Lama","Baru")</f>
        <v>Lama</v>
      </c>
      <c r="BB122" s="7" t="str">
        <f ca="1">IF(TODAY()-Table43[[#This Row],[Efektif Naik Harga]]&lt;30,"Naik","Sama")</f>
        <v>Sama</v>
      </c>
      <c r="BC122" s="7" t="s">
        <v>235</v>
      </c>
      <c r="BD122" s="7" t="str">
        <f>IF(Table43[[#This Row],[Kode BARANG Win2]]&lt;&gt;"","IDR","")</f>
        <v>IDR</v>
      </c>
      <c r="BE122" s="7" t="str">
        <f>CONCATENATE(Table43[[#This Row],[kode  1 Digit
(Nomor)]],Table43[[#This Row],[kode  4 Digit                (Nomor)]])</f>
        <v>21001</v>
      </c>
      <c r="BF122" s="7" t="str">
        <f>Table43[[#This Row],[Nama            Gramasi atau Jumlah Pack per CTN]]</f>
        <v>1 L</v>
      </c>
      <c r="BG122" s="7" t="s">
        <v>653</v>
      </c>
      <c r="BH122" s="51" t="s">
        <v>654</v>
      </c>
      <c r="BI122" s="4" t="str">
        <f>IF(Table43[[#This Row],[SATUAN Fix Win]]&lt;&gt;"","KRT")</f>
        <v>KRT</v>
      </c>
      <c r="BJ122" s="4" t="str">
        <f>IF(Table43[[#This Row],[SATUAN Fix Win]]&lt;&gt;"","GD01")</f>
        <v>GD01</v>
      </c>
      <c r="BK122" s="4">
        <f>IF(Table43[[#This Row],[SATUAN Fix Win]]&lt;&gt;"",11611)</f>
        <v>11611</v>
      </c>
      <c r="BL122" s="4">
        <f>IF(Table43[[#This Row],[SATUAN Fix Win]]&lt;&gt;"",11612)</f>
        <v>11612</v>
      </c>
      <c r="BM122" s="47" t="s">
        <v>655</v>
      </c>
      <c r="BN122" s="4">
        <f>IF(Table43[[#This Row],[SATUAN Fix Win]]&lt;&gt;"",1)</f>
        <v>1</v>
      </c>
      <c r="BO122" s="4" t="s">
        <v>656</v>
      </c>
      <c r="BP122" s="4">
        <f>IFERROR(VLOOKUP(Table43[[#This Row],[Kode Pcpl]],'[1]HEINZ ABC'!$A$4:$E$112,8,0),0)</f>
        <v>0</v>
      </c>
      <c r="BQ122" s="55">
        <f>Table43[[#This Row],[Harga Jual Pcs GT
(-PPN)]]-Table43[[#This Row],[HARGA NAIK GT]]</f>
        <v>21945.95</v>
      </c>
      <c r="BR122" s="4">
        <f>IF(Table43[[#This Row],[HARGA NAIK GT]]=0,Table43[[#This Row],[Harga Jual Pcs GT
(-PPN)]],Table43[[#This Row],[HARGA NAIK GT]])</f>
        <v>21945.95</v>
      </c>
      <c r="BS122">
        <f>IFERROR(VLOOKUP(Table43[[#This Row],[Kode Pcpl]],'[1]HEINZ ABC'!$A$4:$E$112,8,0),0)</f>
        <v>0</v>
      </c>
      <c r="BT122" s="58">
        <f>Table43[[#This Row],[Harga Jual Pcs GT
(-PPN)]]-BS122</f>
        <v>21945.95</v>
      </c>
      <c r="BU122">
        <f>IF(BS122=0,Table43[[#This Row],[Harga Jual Pcs MT
(-PPN)]])</f>
        <v>23701.63</v>
      </c>
      <c r="BV122">
        <f>IFERROR(VLOOKUP(Table43[[#This Row],[Kode Pcpl]],[2]Pricelist!$A$4:$K$112,11,0),0)</f>
        <v>0</v>
      </c>
      <c r="BW122">
        <f>IFERROR(VLOOKUP(Table43[[#This Row],[Kode BARANG Win2]],[3]!RECKITT211216[[KDBRG]:[HRG_JL_PCS-PPN]],11,0),0)</f>
        <v>0</v>
      </c>
      <c r="BX122">
        <f t="shared" si="5"/>
        <v>0</v>
      </c>
    </row>
    <row r="123" spans="1:76" x14ac:dyDescent="0.25">
      <c r="A123" s="4" t="str">
        <f>CONCATENATE(Table43[[#This Row],[Kode BARANG Win2]],Table43[[#This Row],[No. Urut
Item Sama]])</f>
        <v>A10700030250101</v>
      </c>
      <c r="B123" s="7">
        <v>1</v>
      </c>
      <c r="C123" s="4">
        <v>110</v>
      </c>
      <c r="D123" s="27">
        <v>460192</v>
      </c>
      <c r="E123" s="27" t="s">
        <v>324</v>
      </c>
      <c r="F123" s="27" t="s">
        <v>332</v>
      </c>
      <c r="G123" s="27">
        <v>24</v>
      </c>
      <c r="H123" s="42" t="s">
        <v>2868</v>
      </c>
      <c r="I123" s="27" t="str">
        <f>Table43[[#This Row],[Nama Jenis Kemasan]]</f>
        <v>PCS</v>
      </c>
      <c r="J123" s="4" t="str">
        <f>TRIM(CONCATENATE(Table43[[#This Row],[Nama            KLP]]," ",Table43[[#This Row],[Nama            Sub KLP]]))</f>
        <v>JUICE</v>
      </c>
      <c r="K123" s="4" t="str">
        <f>CONCATENATE(Table43[[#This Row],[kode  2 Digit                (hrf+No)]],Table43[[#This Row],[kode  2 Digit                (Nomor)]],Table43[[#This Row],[kode  1 Digit                (Nomor)]])</f>
        <v>A1070</v>
      </c>
      <c r="L123" s="4" t="str">
        <f>IF(AG123="",CONCATENATE(Q123,S123,U123,W123,Y123,AA123,AC123,AE123,Table43[[#This Row],[Tanda Kode Revisi]]),CONCATENATE(Q123,S123,U123,W123,Y123,AA123,AC123,AG123))</f>
        <v>A1070003025010</v>
      </c>
      <c r="M123" s="11">
        <f t="shared" si="3"/>
        <v>14</v>
      </c>
      <c r="N123" s="14" t="str">
        <f>IF(AF123&lt;&gt;"",TRIM(UPPER(CONCATENATE(P123," ",R123," ",T123," ",V123," ",X123," ",Z123," ","X"," ",Table43[[#This Row],[ISI/CTN]]," ",AF123," ",AB123," ",AD123," ",AH123))),TRIM(UPPER(CONCATENATE(P123," ",R123," ",T123," ",V123," ",X123," ",Z123," ","X"," ",Table43[[#This Row],[ISI/CTN]]," ",AB123," ",AD123," ",AH123))))</f>
        <v>ABC JUICE APPLE 250 ML X 24 PCS</v>
      </c>
      <c r="O123" s="11">
        <f t="shared" si="4"/>
        <v>31</v>
      </c>
      <c r="P123" s="4" t="s">
        <v>28</v>
      </c>
      <c r="Q123" s="7" t="s">
        <v>85</v>
      </c>
      <c r="R123" s="4" t="s">
        <v>562</v>
      </c>
      <c r="S123" s="43" t="s">
        <v>222</v>
      </c>
      <c r="T123" s="44"/>
      <c r="U123" s="7" t="s">
        <v>1</v>
      </c>
      <c r="V123" s="44"/>
      <c r="W123" s="43" t="s">
        <v>1</v>
      </c>
      <c r="X123" s="4" t="s">
        <v>564</v>
      </c>
      <c r="Y123" s="45" t="s">
        <v>219</v>
      </c>
      <c r="Z123" s="4" t="s">
        <v>559</v>
      </c>
      <c r="AA123" s="45" t="s">
        <v>489</v>
      </c>
      <c r="AB123" s="4" t="s">
        <v>552</v>
      </c>
      <c r="AC123" s="7" t="s">
        <v>480</v>
      </c>
      <c r="AE123" s="7" t="s">
        <v>1</v>
      </c>
      <c r="AI123" s="7" t="s">
        <v>214</v>
      </c>
      <c r="AJ123" s="7">
        <v>2</v>
      </c>
      <c r="AL123" s="40">
        <f>Table43[[#This Row],[Harga Jual Pcs GT
(-PPN)]]-(Table43[[#This Row],[Harga Jual Pcs GT
(-PPN)]]*6%)</f>
        <v>6140.6533999999992</v>
      </c>
      <c r="AM123" s="41">
        <f>Table43[[#This Row],[Harga Beli Pcs
(-PPN)]]*Table43[[#This Row],[ISI/CTN]]</f>
        <v>147375.68159999998</v>
      </c>
      <c r="AN123" s="41">
        <f>Table43[[#This Row],[Harga Beli Pcs
(-PPN)]]*1.11</f>
        <v>6816.125274</v>
      </c>
      <c r="AO123" s="41">
        <f>Table43[[#This Row],[Harga Beli Krt
(- PPN)]]*1.11</f>
        <v>163587.00657599999</v>
      </c>
      <c r="AP123" s="41">
        <v>6532.61</v>
      </c>
      <c r="AQ123" s="41">
        <f>Table43[[#This Row],[Harga Jual Pcs GT
(-PPN)]]*Table43[[#This Row],[ISI/CTN]]</f>
        <v>156782.63999999998</v>
      </c>
      <c r="AR123" s="41">
        <f>Table43[[#This Row],[Harga Jual Pcs GT
(-PPN)]]*1.11</f>
        <v>7251.1971000000003</v>
      </c>
      <c r="AS123" s="41">
        <f>Table43[[#This Row],[Harga Jual Krt GT
(- PPN)]]*1.11</f>
        <v>174028.7304</v>
      </c>
      <c r="AT123" s="41">
        <v>7055.2216216216193</v>
      </c>
      <c r="AU123" s="41">
        <f>(Table43[[#This Row],[Harga Jual Pcs MT
(-PPN)]]*Table43[[#This Row],[ISI/CTN]])</f>
        <v>169325.31891891887</v>
      </c>
      <c r="AV123" s="41">
        <f>Table43[[#This Row],[Harga Jual Pcs MT
(-PPN)]]*1.11</f>
        <v>7831.2959999999985</v>
      </c>
      <c r="AW123" s="41">
        <f>Table43[[#This Row],[Harga Jual Pcs MT
(+PPN)]]*Table43[[#This Row],[ISI/CTN]]</f>
        <v>187951.10399999996</v>
      </c>
      <c r="AX123" s="41"/>
      <c r="AY123" s="46">
        <v>45553</v>
      </c>
      <c r="AZ123" s="54">
        <v>45945</v>
      </c>
      <c r="BA123" s="7" t="str">
        <f ca="1">IF(TODAY()-Table43[[#This Row],[Efektif
Pembuatan]]&gt;60,"Lama","Baru")</f>
        <v>Lama</v>
      </c>
      <c r="BB123" s="7" t="str">
        <f ca="1">IF(TODAY()-Table43[[#This Row],[Efektif Naik Harga]]&lt;30,"Naik","Sama")</f>
        <v>Sama</v>
      </c>
      <c r="BC123" s="7" t="s">
        <v>235</v>
      </c>
      <c r="BD123" s="7" t="str">
        <f>IF(Table43[[#This Row],[Kode BARANG Win2]]&lt;&gt;"","IDR","")</f>
        <v>IDR</v>
      </c>
      <c r="BE123" s="7" t="str">
        <f>CONCATENATE(Table43[[#This Row],[kode  1 Digit
(Nomor)]],Table43[[#This Row],[kode  4 Digit                (Nomor)]])</f>
        <v>20250</v>
      </c>
      <c r="BF123" s="7" t="str">
        <f>Table43[[#This Row],[Nama            Gramasi atau Jumlah Pack per CTN]]</f>
        <v>250 ML</v>
      </c>
      <c r="BG123" s="7" t="s">
        <v>653</v>
      </c>
      <c r="BH123" s="51" t="s">
        <v>654</v>
      </c>
      <c r="BI123" s="4" t="str">
        <f>IF(Table43[[#This Row],[SATUAN Fix Win]]&lt;&gt;"","KRT")</f>
        <v>KRT</v>
      </c>
      <c r="BJ123" s="4" t="str">
        <f>IF(Table43[[#This Row],[SATUAN Fix Win]]&lt;&gt;"","GD01")</f>
        <v>GD01</v>
      </c>
      <c r="BK123" s="4">
        <f>IF(Table43[[#This Row],[SATUAN Fix Win]]&lt;&gt;"",11611)</f>
        <v>11611</v>
      </c>
      <c r="BL123" s="4">
        <f>IF(Table43[[#This Row],[SATUAN Fix Win]]&lt;&gt;"",11612)</f>
        <v>11612</v>
      </c>
      <c r="BM123" s="47" t="s">
        <v>655</v>
      </c>
      <c r="BN123" s="4">
        <f>IF(Table43[[#This Row],[SATUAN Fix Win]]&lt;&gt;"",1)</f>
        <v>1</v>
      </c>
      <c r="BO123" s="4" t="s">
        <v>656</v>
      </c>
      <c r="BP123" s="4">
        <f>IFERROR(VLOOKUP(Table43[[#This Row],[Kode Pcpl]],'[1]HEINZ ABC'!$A$4:$E$112,8,0),0)</f>
        <v>0</v>
      </c>
      <c r="BQ123" s="55">
        <f>Table43[[#This Row],[Harga Jual Pcs GT
(-PPN)]]-Table43[[#This Row],[HARGA NAIK GT]]</f>
        <v>6532.61</v>
      </c>
      <c r="BR123" s="4">
        <f>IF(Table43[[#This Row],[HARGA NAIK GT]]=0,Table43[[#This Row],[Harga Jual Pcs GT
(-PPN)]],Table43[[#This Row],[HARGA NAIK GT]])</f>
        <v>6532.61</v>
      </c>
      <c r="BS123">
        <f>IFERROR(VLOOKUP(Table43[[#This Row],[Kode Pcpl]],'[1]HEINZ ABC'!$A$4:$E$112,8,0),0)</f>
        <v>0</v>
      </c>
      <c r="BT123" s="58">
        <f>Table43[[#This Row],[Harga Jual Pcs GT
(-PPN)]]-BS123</f>
        <v>6532.61</v>
      </c>
      <c r="BU123">
        <f>IF(BS123=0,Table43[[#This Row],[Harga Jual Pcs MT
(-PPN)]])</f>
        <v>7055.2216216216193</v>
      </c>
      <c r="BV123">
        <f>IFERROR(VLOOKUP(Table43[[#This Row],[Kode Pcpl]],[2]Pricelist!$A$4:$K$112,11,0),0)</f>
        <v>0</v>
      </c>
      <c r="BW123">
        <f>IFERROR(VLOOKUP(Table43[[#This Row],[Kode BARANG Win2]],[3]!RECKITT211216[[KDBRG]:[HRG_JL_PCS-PPN]],11,0),0)</f>
        <v>0</v>
      </c>
      <c r="BX123">
        <f t="shared" si="5"/>
        <v>0</v>
      </c>
    </row>
    <row r="124" spans="1:76" x14ac:dyDescent="0.25">
      <c r="A124" s="4" t="str">
        <f>CONCATENATE(Table43[[#This Row],[Kode BARANG Win2]],Table43[[#This Row],[No. Urut
Item Sama]])</f>
        <v>A10700031001101</v>
      </c>
      <c r="B124" s="7">
        <v>1</v>
      </c>
      <c r="C124" s="4">
        <v>111</v>
      </c>
      <c r="D124" s="27">
        <v>460193</v>
      </c>
      <c r="E124" s="27" t="s">
        <v>324</v>
      </c>
      <c r="F124" s="27" t="s">
        <v>333</v>
      </c>
      <c r="G124" s="27">
        <v>12</v>
      </c>
      <c r="H124" s="42">
        <v>0</v>
      </c>
      <c r="I124" s="27" t="str">
        <f>Table43[[#This Row],[Nama Jenis Kemasan]]</f>
        <v>PCS</v>
      </c>
      <c r="J124" s="4" t="str">
        <f>TRIM(CONCATENATE(Table43[[#This Row],[Nama            KLP]]," ",Table43[[#This Row],[Nama            Sub KLP]]))</f>
        <v>JUICE</v>
      </c>
      <c r="K124" s="4" t="str">
        <f>CONCATENATE(Table43[[#This Row],[kode  2 Digit                (hrf+No)]],Table43[[#This Row],[kode  2 Digit                (Nomor)]],Table43[[#This Row],[kode  1 Digit                (Nomor)]])</f>
        <v>A1070</v>
      </c>
      <c r="L124" s="4" t="str">
        <f>IF(AG124="",CONCATENATE(Q124,S124,U124,W124,Y124,AA124,AC124,AE124,Table43[[#This Row],[Tanda Kode Revisi]]),CONCATENATE(Q124,S124,U124,W124,Y124,AA124,AC124,AG124))</f>
        <v>A1070003100110</v>
      </c>
      <c r="M124" s="11">
        <f t="shared" si="3"/>
        <v>14</v>
      </c>
      <c r="N124" s="14" t="str">
        <f>IF(AF124&lt;&gt;"",TRIM(UPPER(CONCATENATE(P124," ",R124," ",T124," ",V124," ",X124," ",Z124," ","X"," ",Table43[[#This Row],[ISI/CTN]]," ",AF124," ",AB124," ",AD124," ",AH124))),TRIM(UPPER(CONCATENATE(P124," ",R124," ",T124," ",V124," ",X124," ",Z124," ","X"," ",Table43[[#This Row],[ISI/CTN]]," ",AB124," ",AD124," ",AH124))))</f>
        <v>ABC JUICE APPLE 1 L X 12 PCS</v>
      </c>
      <c r="O124" s="11">
        <f t="shared" si="4"/>
        <v>28</v>
      </c>
      <c r="P124" s="4" t="s">
        <v>28</v>
      </c>
      <c r="Q124" s="7" t="s">
        <v>85</v>
      </c>
      <c r="R124" s="4" t="s">
        <v>562</v>
      </c>
      <c r="S124" s="43" t="s">
        <v>222</v>
      </c>
      <c r="T124" s="44"/>
      <c r="U124" s="7" t="s">
        <v>1</v>
      </c>
      <c r="V124" s="44"/>
      <c r="W124" s="43" t="s">
        <v>1</v>
      </c>
      <c r="X124" s="4" t="s">
        <v>564</v>
      </c>
      <c r="Y124" s="45" t="s">
        <v>219</v>
      </c>
      <c r="Z124" s="4" t="s">
        <v>563</v>
      </c>
      <c r="AA124" s="45">
        <v>1001</v>
      </c>
      <c r="AB124" s="4" t="s">
        <v>552</v>
      </c>
      <c r="AC124" s="7" t="s">
        <v>480</v>
      </c>
      <c r="AE124" s="7" t="s">
        <v>1</v>
      </c>
      <c r="AI124" s="7" t="s">
        <v>214</v>
      </c>
      <c r="AJ124" s="7">
        <v>2</v>
      </c>
      <c r="AL124" s="40">
        <f>Table43[[#This Row],[Harga Jual Pcs GT
(-PPN)]]-(Table43[[#This Row],[Harga Jual Pcs GT
(-PPN)]]*6%)</f>
        <v>20629.192999999999</v>
      </c>
      <c r="AM124" s="41">
        <f>Table43[[#This Row],[Harga Beli Pcs
(-PPN)]]*Table43[[#This Row],[ISI/CTN]]</f>
        <v>247550.31599999999</v>
      </c>
      <c r="AN124" s="41">
        <f>Table43[[#This Row],[Harga Beli Pcs
(-PPN)]]*1.11</f>
        <v>22898.40423</v>
      </c>
      <c r="AO124" s="41">
        <f>Table43[[#This Row],[Harga Beli Krt
(- PPN)]]*1.11</f>
        <v>274780.85076</v>
      </c>
      <c r="AP124" s="41">
        <v>21945.95</v>
      </c>
      <c r="AQ124" s="41">
        <f>Table43[[#This Row],[Harga Jual Pcs GT
(-PPN)]]*Table43[[#This Row],[ISI/CTN]]</f>
        <v>263351.40000000002</v>
      </c>
      <c r="AR124" s="41">
        <f>Table43[[#This Row],[Harga Jual Pcs GT
(-PPN)]]*1.11</f>
        <v>24360.004500000003</v>
      </c>
      <c r="AS124" s="41">
        <f>Table43[[#This Row],[Harga Jual Krt GT
(- PPN)]]*1.11</f>
        <v>292320.05400000006</v>
      </c>
      <c r="AT124" s="41">
        <v>23701.63</v>
      </c>
      <c r="AU124" s="41">
        <f>(Table43[[#This Row],[Harga Jual Pcs MT
(-PPN)]]*Table43[[#This Row],[ISI/CTN]])</f>
        <v>284419.56</v>
      </c>
      <c r="AV124" s="41">
        <f>Table43[[#This Row],[Harga Jual Pcs MT
(-PPN)]]*1.11</f>
        <v>26308.809300000004</v>
      </c>
      <c r="AW124" s="41">
        <f>Table43[[#This Row],[Harga Jual Pcs MT
(+PPN)]]*Table43[[#This Row],[ISI/CTN]]</f>
        <v>315705.71160000004</v>
      </c>
      <c r="AX124" s="41"/>
      <c r="AY124" s="46">
        <v>45553</v>
      </c>
      <c r="AZ124" s="54">
        <v>45553</v>
      </c>
      <c r="BA124" s="7" t="str">
        <f ca="1">IF(TODAY()-Table43[[#This Row],[Efektif
Pembuatan]]&gt;60,"Lama","Baru")</f>
        <v>Lama</v>
      </c>
      <c r="BB124" s="7" t="str">
        <f ca="1">IF(TODAY()-Table43[[#This Row],[Efektif Naik Harga]]&lt;30,"Naik","Sama")</f>
        <v>Sama</v>
      </c>
      <c r="BC124" s="7" t="s">
        <v>235</v>
      </c>
      <c r="BD124" s="7" t="str">
        <f>IF(Table43[[#This Row],[Kode BARANG Win2]]&lt;&gt;"","IDR","")</f>
        <v>IDR</v>
      </c>
      <c r="BE124" s="7" t="str">
        <f>CONCATENATE(Table43[[#This Row],[kode  1 Digit
(Nomor)]],Table43[[#This Row],[kode  4 Digit                (Nomor)]])</f>
        <v>21001</v>
      </c>
      <c r="BF124" s="7" t="str">
        <f>Table43[[#This Row],[Nama            Gramasi atau Jumlah Pack per CTN]]</f>
        <v>1 L</v>
      </c>
      <c r="BG124" s="7" t="s">
        <v>653</v>
      </c>
      <c r="BH124" s="51" t="s">
        <v>654</v>
      </c>
      <c r="BI124" s="4" t="str">
        <f>IF(Table43[[#This Row],[SATUAN Fix Win]]&lt;&gt;"","KRT")</f>
        <v>KRT</v>
      </c>
      <c r="BJ124" s="4" t="str">
        <f>IF(Table43[[#This Row],[SATUAN Fix Win]]&lt;&gt;"","GD01")</f>
        <v>GD01</v>
      </c>
      <c r="BK124" s="4">
        <f>IF(Table43[[#This Row],[SATUAN Fix Win]]&lt;&gt;"",11611)</f>
        <v>11611</v>
      </c>
      <c r="BL124" s="4">
        <f>IF(Table43[[#This Row],[SATUAN Fix Win]]&lt;&gt;"",11612)</f>
        <v>11612</v>
      </c>
      <c r="BM124" s="47" t="s">
        <v>655</v>
      </c>
      <c r="BN124" s="4">
        <f>IF(Table43[[#This Row],[SATUAN Fix Win]]&lt;&gt;"",1)</f>
        <v>1</v>
      </c>
      <c r="BO124" s="4" t="s">
        <v>656</v>
      </c>
      <c r="BP124" s="4">
        <f>IFERROR(VLOOKUP(Table43[[#This Row],[Kode Pcpl]],'[1]HEINZ ABC'!$A$4:$E$112,8,0),0)</f>
        <v>0</v>
      </c>
      <c r="BQ124" s="55">
        <f>Table43[[#This Row],[Harga Jual Pcs GT
(-PPN)]]-Table43[[#This Row],[HARGA NAIK GT]]</f>
        <v>21945.95</v>
      </c>
      <c r="BR124" s="4">
        <f>IF(Table43[[#This Row],[HARGA NAIK GT]]=0,Table43[[#This Row],[Harga Jual Pcs GT
(-PPN)]],Table43[[#This Row],[HARGA NAIK GT]])</f>
        <v>21945.95</v>
      </c>
      <c r="BS124">
        <f>IFERROR(VLOOKUP(Table43[[#This Row],[Kode Pcpl]],'[1]HEINZ ABC'!$A$4:$E$112,8,0),0)</f>
        <v>0</v>
      </c>
      <c r="BT124" s="58">
        <f>Table43[[#This Row],[Harga Jual Pcs GT
(-PPN)]]-BS124</f>
        <v>21945.95</v>
      </c>
      <c r="BU124">
        <f>IF(BS124=0,Table43[[#This Row],[Harga Jual Pcs MT
(-PPN)]])</f>
        <v>23701.63</v>
      </c>
      <c r="BV124">
        <f>IFERROR(VLOOKUP(Table43[[#This Row],[Kode Pcpl]],[2]Pricelist!$A$4:$K$112,11,0),0)</f>
        <v>0</v>
      </c>
      <c r="BW124">
        <f>IFERROR(VLOOKUP(Table43[[#This Row],[Kode BARANG Win2]],[3]!RECKITT211216[[KDBRG]:[HRG_JL_PCS-PPN]],11,0),0)</f>
        <v>0</v>
      </c>
      <c r="BX124">
        <f t="shared" si="5"/>
        <v>0</v>
      </c>
    </row>
    <row r="125" spans="1:76" x14ac:dyDescent="0.25">
      <c r="A125" s="4" t="str">
        <f>CONCATENATE(Table43[[#This Row],[Kode BARANG Win2]],Table43[[#This Row],[No. Urut
Item Sama]])</f>
        <v>A10700040250101</v>
      </c>
      <c r="B125" s="7">
        <v>1</v>
      </c>
      <c r="C125" s="4">
        <v>112</v>
      </c>
      <c r="D125" s="27">
        <v>460060</v>
      </c>
      <c r="E125" s="27" t="s">
        <v>324</v>
      </c>
      <c r="F125" s="27" t="s">
        <v>334</v>
      </c>
      <c r="G125" s="27">
        <v>24</v>
      </c>
      <c r="H125" s="42">
        <v>0</v>
      </c>
      <c r="I125" s="27" t="str">
        <f>Table43[[#This Row],[Nama Jenis Kemasan]]</f>
        <v>PCS</v>
      </c>
      <c r="J125" s="4" t="str">
        <f>TRIM(CONCATENATE(Table43[[#This Row],[Nama            KLP]]," ",Table43[[#This Row],[Nama            Sub KLP]]))</f>
        <v>JUICE</v>
      </c>
      <c r="K125" s="4" t="str">
        <f>CONCATENATE(Table43[[#This Row],[kode  2 Digit                (hrf+No)]],Table43[[#This Row],[kode  2 Digit                (Nomor)]],Table43[[#This Row],[kode  1 Digit                (Nomor)]])</f>
        <v>A1070</v>
      </c>
      <c r="L125" s="4" t="str">
        <f>IF(AG125="",CONCATENATE(Q125,S125,U125,W125,Y125,AA125,AC125,AE125,Table43[[#This Row],[Tanda Kode Revisi]]),CONCATENATE(Q125,S125,U125,W125,Y125,AA125,AC125,AG125))</f>
        <v>A1070004025010</v>
      </c>
      <c r="M125" s="11">
        <f t="shared" si="3"/>
        <v>14</v>
      </c>
      <c r="N125" s="14" t="str">
        <f>IF(AF125&lt;&gt;"",TRIM(UPPER(CONCATENATE(P125," ",R125," ",T125," ",V125," ",X125," ",Z125," ","X"," ",Table43[[#This Row],[ISI/CTN]]," ",AF125," ",AB125," ",AD125," ",AH125))),TRIM(UPPER(CONCATENATE(P125," ",R125," ",T125," ",V125," ",X125," ",Z125," ","X"," ",Table43[[#This Row],[ISI/CTN]]," ",AB125," ",AD125," ",AH125))))</f>
        <v>ABC JUICE MANGO 250 ML X 24 PCS</v>
      </c>
      <c r="O125" s="11">
        <f t="shared" si="4"/>
        <v>31</v>
      </c>
      <c r="P125" s="4" t="s">
        <v>28</v>
      </c>
      <c r="Q125" s="7" t="s">
        <v>85</v>
      </c>
      <c r="R125" s="4" t="s">
        <v>562</v>
      </c>
      <c r="S125" s="43" t="s">
        <v>222</v>
      </c>
      <c r="T125" s="44"/>
      <c r="U125" s="7" t="s">
        <v>1</v>
      </c>
      <c r="V125" s="44"/>
      <c r="W125" s="43" t="s">
        <v>1</v>
      </c>
      <c r="X125" s="4" t="s">
        <v>553</v>
      </c>
      <c r="Y125" s="45" t="s">
        <v>220</v>
      </c>
      <c r="Z125" s="4" t="s">
        <v>559</v>
      </c>
      <c r="AA125" s="45" t="s">
        <v>489</v>
      </c>
      <c r="AB125" s="4" t="s">
        <v>552</v>
      </c>
      <c r="AC125" s="7" t="s">
        <v>480</v>
      </c>
      <c r="AE125" s="7" t="s">
        <v>1</v>
      </c>
      <c r="AI125" s="7" t="s">
        <v>214</v>
      </c>
      <c r="AJ125" s="7">
        <v>2</v>
      </c>
      <c r="AL125" s="40">
        <f>Table43[[#This Row],[Harga Jual Pcs GT
(-PPN)]]-(Table43[[#This Row],[Harga Jual Pcs GT
(-PPN)]]*6%)</f>
        <v>6140.6533999999992</v>
      </c>
      <c r="AM125" s="41">
        <f>Table43[[#This Row],[Harga Beli Pcs
(-PPN)]]*Table43[[#This Row],[ISI/CTN]]</f>
        <v>147375.68159999998</v>
      </c>
      <c r="AN125" s="41">
        <f>Table43[[#This Row],[Harga Beli Pcs
(-PPN)]]*1.11</f>
        <v>6816.125274</v>
      </c>
      <c r="AO125" s="41">
        <f>Table43[[#This Row],[Harga Beli Krt
(- PPN)]]*1.11</f>
        <v>163587.00657599999</v>
      </c>
      <c r="AP125" s="41">
        <v>6532.61</v>
      </c>
      <c r="AQ125" s="41">
        <f>Table43[[#This Row],[Harga Jual Pcs GT
(-PPN)]]*Table43[[#This Row],[ISI/CTN]]</f>
        <v>156782.63999999998</v>
      </c>
      <c r="AR125" s="41">
        <f>Table43[[#This Row],[Harga Jual Pcs GT
(-PPN)]]*1.11</f>
        <v>7251.1971000000003</v>
      </c>
      <c r="AS125" s="41">
        <f>Table43[[#This Row],[Harga Jual Krt GT
(- PPN)]]*1.11</f>
        <v>174028.7304</v>
      </c>
      <c r="AT125" s="41">
        <v>7055.2216216216193</v>
      </c>
      <c r="AU125" s="41">
        <f>(Table43[[#This Row],[Harga Jual Pcs MT
(-PPN)]]*Table43[[#This Row],[ISI/CTN]])</f>
        <v>169325.31891891887</v>
      </c>
      <c r="AV125" s="41">
        <f>Table43[[#This Row],[Harga Jual Pcs MT
(-PPN)]]*1.11</f>
        <v>7831.2959999999985</v>
      </c>
      <c r="AW125" s="41">
        <f>Table43[[#This Row],[Harga Jual Pcs MT
(+PPN)]]*Table43[[#This Row],[ISI/CTN]]</f>
        <v>187951.10399999996</v>
      </c>
      <c r="AX125" s="41"/>
      <c r="AY125" s="46">
        <v>45553</v>
      </c>
      <c r="AZ125" s="54">
        <v>45945</v>
      </c>
      <c r="BA125" s="7" t="str">
        <f ca="1">IF(TODAY()-Table43[[#This Row],[Efektif
Pembuatan]]&gt;60,"Lama","Baru")</f>
        <v>Lama</v>
      </c>
      <c r="BB125" s="7" t="str">
        <f ca="1">IF(TODAY()-Table43[[#This Row],[Efektif Naik Harga]]&lt;30,"Naik","Sama")</f>
        <v>Sama</v>
      </c>
      <c r="BC125" s="7" t="s">
        <v>235</v>
      </c>
      <c r="BD125" s="7" t="str">
        <f>IF(Table43[[#This Row],[Kode BARANG Win2]]&lt;&gt;"","IDR","")</f>
        <v>IDR</v>
      </c>
      <c r="BE125" s="7" t="str">
        <f>CONCATENATE(Table43[[#This Row],[kode  1 Digit
(Nomor)]],Table43[[#This Row],[kode  4 Digit                (Nomor)]])</f>
        <v>20250</v>
      </c>
      <c r="BF125" s="7" t="str">
        <f>Table43[[#This Row],[Nama            Gramasi atau Jumlah Pack per CTN]]</f>
        <v>250 ML</v>
      </c>
      <c r="BG125" s="7" t="s">
        <v>653</v>
      </c>
      <c r="BH125" s="51" t="s">
        <v>654</v>
      </c>
      <c r="BI125" s="4" t="str">
        <f>IF(Table43[[#This Row],[SATUAN Fix Win]]&lt;&gt;"","KRT")</f>
        <v>KRT</v>
      </c>
      <c r="BJ125" s="4" t="str">
        <f>IF(Table43[[#This Row],[SATUAN Fix Win]]&lt;&gt;"","GD01")</f>
        <v>GD01</v>
      </c>
      <c r="BK125" s="4">
        <f>IF(Table43[[#This Row],[SATUAN Fix Win]]&lt;&gt;"",11611)</f>
        <v>11611</v>
      </c>
      <c r="BL125" s="4">
        <f>IF(Table43[[#This Row],[SATUAN Fix Win]]&lt;&gt;"",11612)</f>
        <v>11612</v>
      </c>
      <c r="BM125" s="47" t="s">
        <v>655</v>
      </c>
      <c r="BN125" s="4">
        <f>IF(Table43[[#This Row],[SATUAN Fix Win]]&lt;&gt;"",1)</f>
        <v>1</v>
      </c>
      <c r="BO125" s="4" t="s">
        <v>656</v>
      </c>
      <c r="BP125" s="4">
        <f>IFERROR(VLOOKUP(Table43[[#This Row],[Kode Pcpl]],'[1]HEINZ ABC'!$A$4:$E$112,8,0),0)</f>
        <v>0</v>
      </c>
      <c r="BQ125" s="55">
        <f>Table43[[#This Row],[Harga Jual Pcs GT
(-PPN)]]-Table43[[#This Row],[HARGA NAIK GT]]</f>
        <v>6532.61</v>
      </c>
      <c r="BR125" s="4">
        <f>IF(Table43[[#This Row],[HARGA NAIK GT]]=0,Table43[[#This Row],[Harga Jual Pcs GT
(-PPN)]],Table43[[#This Row],[HARGA NAIK GT]])</f>
        <v>6532.61</v>
      </c>
      <c r="BS125">
        <f>IFERROR(VLOOKUP(Table43[[#This Row],[Kode Pcpl]],'[1]HEINZ ABC'!$A$4:$E$112,8,0),0)</f>
        <v>0</v>
      </c>
      <c r="BT125" s="58">
        <f>Table43[[#This Row],[Harga Jual Pcs GT
(-PPN)]]-BS125</f>
        <v>6532.61</v>
      </c>
      <c r="BU125">
        <f>IF(BS125=0,Table43[[#This Row],[Harga Jual Pcs MT
(-PPN)]])</f>
        <v>7055.2216216216193</v>
      </c>
      <c r="BV125">
        <f>IFERROR(VLOOKUP(Table43[[#This Row],[Kode Pcpl]],[2]Pricelist!$A$4:$K$112,11,0),0)</f>
        <v>0</v>
      </c>
      <c r="BW125">
        <f>IFERROR(VLOOKUP(Table43[[#This Row],[Kode BARANG Win2]],[3]!RECKITT211216[[KDBRG]:[HRG_JL_PCS-PPN]],11,0),0)</f>
        <v>0</v>
      </c>
      <c r="BX125">
        <f t="shared" si="5"/>
        <v>0</v>
      </c>
    </row>
    <row r="126" spans="1:76" x14ac:dyDescent="0.25">
      <c r="A126" s="4" t="str">
        <f>CONCATENATE(Table43[[#This Row],[Kode BARANG Win2]],Table43[[#This Row],[No. Urut
Item Sama]])</f>
        <v>A10700040250102</v>
      </c>
      <c r="B126" s="7">
        <v>2</v>
      </c>
      <c r="C126" s="4">
        <v>113</v>
      </c>
      <c r="D126" s="27">
        <v>460187</v>
      </c>
      <c r="E126" s="27" t="s">
        <v>324</v>
      </c>
      <c r="F126" s="27" t="s">
        <v>335</v>
      </c>
      <c r="G126" s="27">
        <v>24</v>
      </c>
      <c r="H126" s="42" t="s">
        <v>2870</v>
      </c>
      <c r="I126" s="27" t="str">
        <f>Table43[[#This Row],[Nama Jenis Kemasan]]</f>
        <v>PCS</v>
      </c>
      <c r="J126" s="4" t="str">
        <f>TRIM(CONCATENATE(Table43[[#This Row],[Nama            KLP]]," ",Table43[[#This Row],[Nama            Sub KLP]]))</f>
        <v>JUICE</v>
      </c>
      <c r="K126" s="4" t="str">
        <f>CONCATENATE(Table43[[#This Row],[kode  2 Digit                (hrf+No)]],Table43[[#This Row],[kode  2 Digit                (Nomor)]],Table43[[#This Row],[kode  1 Digit                (Nomor)]])</f>
        <v>A1070</v>
      </c>
      <c r="L126" s="4" t="str">
        <f>IF(AG126="",CONCATENATE(Q126,S126,U126,W126,Y126,AA126,AC126,AE126,Table43[[#This Row],[Tanda Kode Revisi]]),CONCATENATE(Q126,S126,U126,W126,Y126,AA126,AC126,AG126))</f>
        <v>A1070004025010</v>
      </c>
      <c r="M126" s="11">
        <f t="shared" si="3"/>
        <v>14</v>
      </c>
      <c r="N126" s="14" t="str">
        <f>IF(AF126&lt;&gt;"",TRIM(UPPER(CONCATENATE(P126," ",R126," ",T126," ",V126," ",X126," ",Z126," ","X"," ",Table43[[#This Row],[ISI/CTN]]," ",AF126," ",AB126," ",AD126," ",AH126))),TRIM(UPPER(CONCATENATE(P126," ",R126," ",T126," ",V126," ",X126," ",Z126," ","X"," ",Table43[[#This Row],[ISI/CTN]]," ",AB126," ",AD126," ",AH126))))</f>
        <v>ABC JUICE MANGO 250 ML X 24 PCS</v>
      </c>
      <c r="O126" s="11">
        <f t="shared" si="4"/>
        <v>31</v>
      </c>
      <c r="P126" s="4" t="s">
        <v>28</v>
      </c>
      <c r="Q126" s="7" t="s">
        <v>85</v>
      </c>
      <c r="R126" s="4" t="s">
        <v>562</v>
      </c>
      <c r="S126" s="43" t="s">
        <v>222</v>
      </c>
      <c r="T126" s="44"/>
      <c r="U126" s="7" t="s">
        <v>1</v>
      </c>
      <c r="V126" s="44"/>
      <c r="W126" s="43" t="s">
        <v>1</v>
      </c>
      <c r="X126" s="4" t="s">
        <v>553</v>
      </c>
      <c r="Y126" s="45" t="s">
        <v>220</v>
      </c>
      <c r="Z126" s="4" t="s">
        <v>559</v>
      </c>
      <c r="AA126" s="45" t="s">
        <v>489</v>
      </c>
      <c r="AB126" s="4" t="s">
        <v>552</v>
      </c>
      <c r="AC126" s="7" t="s">
        <v>480</v>
      </c>
      <c r="AE126" s="7" t="s">
        <v>1</v>
      </c>
      <c r="AI126" s="7" t="s">
        <v>214</v>
      </c>
      <c r="AJ126" s="7">
        <v>2</v>
      </c>
      <c r="AL126" s="40">
        <f>Table43[[#This Row],[Harga Jual Pcs GT
(-PPN)]]-(Table43[[#This Row],[Harga Jual Pcs GT
(-PPN)]]*6%)</f>
        <v>6140.6533999999992</v>
      </c>
      <c r="AM126" s="41">
        <f>Table43[[#This Row],[Harga Beli Pcs
(-PPN)]]*Table43[[#This Row],[ISI/CTN]]</f>
        <v>147375.68159999998</v>
      </c>
      <c r="AN126" s="41">
        <f>Table43[[#This Row],[Harga Beli Pcs
(-PPN)]]*1.11</f>
        <v>6816.125274</v>
      </c>
      <c r="AO126" s="41">
        <f>Table43[[#This Row],[Harga Beli Krt
(- PPN)]]*1.11</f>
        <v>163587.00657599999</v>
      </c>
      <c r="AP126" s="41">
        <v>6532.61</v>
      </c>
      <c r="AQ126" s="41">
        <f>Table43[[#This Row],[Harga Jual Pcs GT
(-PPN)]]*Table43[[#This Row],[ISI/CTN]]</f>
        <v>156782.63999999998</v>
      </c>
      <c r="AR126" s="41">
        <f>Table43[[#This Row],[Harga Jual Pcs GT
(-PPN)]]*1.11</f>
        <v>7251.1971000000003</v>
      </c>
      <c r="AS126" s="41">
        <f>Table43[[#This Row],[Harga Jual Krt GT
(- PPN)]]*1.11</f>
        <v>174028.7304</v>
      </c>
      <c r="AT126" s="41">
        <v>7055.2216216216193</v>
      </c>
      <c r="AU126" s="41">
        <f>(Table43[[#This Row],[Harga Jual Pcs MT
(-PPN)]]*Table43[[#This Row],[ISI/CTN]])</f>
        <v>169325.31891891887</v>
      </c>
      <c r="AV126" s="41">
        <f>Table43[[#This Row],[Harga Jual Pcs MT
(-PPN)]]*1.11</f>
        <v>7831.2959999999985</v>
      </c>
      <c r="AW126" s="41">
        <f>Table43[[#This Row],[Harga Jual Pcs MT
(+PPN)]]*Table43[[#This Row],[ISI/CTN]]</f>
        <v>187951.10399999996</v>
      </c>
      <c r="AX126" s="41"/>
      <c r="AY126" s="46">
        <v>45553</v>
      </c>
      <c r="AZ126" s="54">
        <v>45945</v>
      </c>
      <c r="BA126" s="7" t="str">
        <f ca="1">IF(TODAY()-Table43[[#This Row],[Efektif
Pembuatan]]&gt;60,"Lama","Baru")</f>
        <v>Lama</v>
      </c>
      <c r="BB126" s="7" t="str">
        <f ca="1">IF(TODAY()-Table43[[#This Row],[Efektif Naik Harga]]&lt;30,"Naik","Sama")</f>
        <v>Sama</v>
      </c>
      <c r="BC126" s="7" t="s">
        <v>235</v>
      </c>
      <c r="BD126" s="7" t="str">
        <f>IF(Table43[[#This Row],[Kode BARANG Win2]]&lt;&gt;"","IDR","")</f>
        <v>IDR</v>
      </c>
      <c r="BE126" s="7" t="str">
        <f>CONCATENATE(Table43[[#This Row],[kode  1 Digit
(Nomor)]],Table43[[#This Row],[kode  4 Digit                (Nomor)]])</f>
        <v>20250</v>
      </c>
      <c r="BF126" s="7" t="str">
        <f>Table43[[#This Row],[Nama            Gramasi atau Jumlah Pack per CTN]]</f>
        <v>250 ML</v>
      </c>
      <c r="BG126" s="7" t="s">
        <v>653</v>
      </c>
      <c r="BH126" s="51" t="s">
        <v>654</v>
      </c>
      <c r="BI126" s="4" t="str">
        <f>IF(Table43[[#This Row],[SATUAN Fix Win]]&lt;&gt;"","KRT")</f>
        <v>KRT</v>
      </c>
      <c r="BJ126" s="4" t="str">
        <f>IF(Table43[[#This Row],[SATUAN Fix Win]]&lt;&gt;"","GD01")</f>
        <v>GD01</v>
      </c>
      <c r="BK126" s="4">
        <f>IF(Table43[[#This Row],[SATUAN Fix Win]]&lt;&gt;"",11611)</f>
        <v>11611</v>
      </c>
      <c r="BL126" s="4">
        <f>IF(Table43[[#This Row],[SATUAN Fix Win]]&lt;&gt;"",11612)</f>
        <v>11612</v>
      </c>
      <c r="BM126" s="47" t="s">
        <v>655</v>
      </c>
      <c r="BN126" s="4">
        <f>IF(Table43[[#This Row],[SATUAN Fix Win]]&lt;&gt;"",1)</f>
        <v>1</v>
      </c>
      <c r="BO126" s="4" t="s">
        <v>656</v>
      </c>
      <c r="BP126" s="4">
        <f>IFERROR(VLOOKUP(Table43[[#This Row],[Kode Pcpl]],'[1]HEINZ ABC'!$A$4:$E$112,8,0),0)</f>
        <v>0</v>
      </c>
      <c r="BQ126" s="55">
        <f>Table43[[#This Row],[Harga Jual Pcs GT
(-PPN)]]-Table43[[#This Row],[HARGA NAIK GT]]</f>
        <v>6532.61</v>
      </c>
      <c r="BR126" s="4">
        <f>IF(Table43[[#This Row],[HARGA NAIK GT]]=0,Table43[[#This Row],[Harga Jual Pcs GT
(-PPN)]],Table43[[#This Row],[HARGA NAIK GT]])</f>
        <v>6532.61</v>
      </c>
      <c r="BS126">
        <f>IFERROR(VLOOKUP(Table43[[#This Row],[Kode Pcpl]],'[1]HEINZ ABC'!$A$4:$E$112,8,0),0)</f>
        <v>0</v>
      </c>
      <c r="BT126" s="58">
        <f>Table43[[#This Row],[Harga Jual Pcs GT
(-PPN)]]-BS126</f>
        <v>6532.61</v>
      </c>
      <c r="BU126">
        <f>IF(BS126=0,Table43[[#This Row],[Harga Jual Pcs MT
(-PPN)]])</f>
        <v>7055.2216216216193</v>
      </c>
      <c r="BV126">
        <f>IFERROR(VLOOKUP(Table43[[#This Row],[Kode Pcpl]],[2]Pricelist!$A$4:$K$112,11,0),0)</f>
        <v>0</v>
      </c>
      <c r="BW126">
        <f>IFERROR(VLOOKUP(Table43[[#This Row],[Kode BARANG Win2]],[3]!RECKITT211216[[KDBRG]:[HRG_JL_PCS-PPN]],11,0),0)</f>
        <v>0</v>
      </c>
      <c r="BX126">
        <f t="shared" si="5"/>
        <v>0</v>
      </c>
    </row>
    <row r="127" spans="1:76" x14ac:dyDescent="0.25">
      <c r="A127" s="4" t="str">
        <f>CONCATENATE(Table43[[#This Row],[Kode BARANG Win2]],Table43[[#This Row],[No. Urut
Item Sama]])</f>
        <v>A10700050250101</v>
      </c>
      <c r="B127" s="7">
        <v>1</v>
      </c>
      <c r="C127" s="4">
        <v>114</v>
      </c>
      <c r="D127" s="27">
        <v>460054</v>
      </c>
      <c r="E127" s="27" t="s">
        <v>324</v>
      </c>
      <c r="F127" s="27" t="s">
        <v>336</v>
      </c>
      <c r="G127" s="27">
        <v>24</v>
      </c>
      <c r="H127" s="42">
        <v>0</v>
      </c>
      <c r="I127" s="27" t="str">
        <f>Table43[[#This Row],[Nama Jenis Kemasan]]</f>
        <v>PCS</v>
      </c>
      <c r="J127" s="4" t="str">
        <f>TRIM(CONCATENATE(Table43[[#This Row],[Nama            KLP]]," ",Table43[[#This Row],[Nama            Sub KLP]]))</f>
        <v>JUICE</v>
      </c>
      <c r="K127" s="4" t="str">
        <f>CONCATENATE(Table43[[#This Row],[kode  2 Digit                (hrf+No)]],Table43[[#This Row],[kode  2 Digit                (Nomor)]],Table43[[#This Row],[kode  1 Digit                (Nomor)]])</f>
        <v>A1070</v>
      </c>
      <c r="L127" s="4" t="str">
        <f>IF(AG127="",CONCATENATE(Q127,S127,U127,W127,Y127,AA127,AC127,AE127,Table43[[#This Row],[Tanda Kode Revisi]]),CONCATENATE(Q127,S127,U127,W127,Y127,AA127,AC127,AG127))</f>
        <v>A1070005025010</v>
      </c>
      <c r="M127" s="11">
        <f t="shared" si="3"/>
        <v>14</v>
      </c>
      <c r="N127" s="14" t="str">
        <f>IF(AF127&lt;&gt;"",TRIM(UPPER(CONCATENATE(P127," ",R127," ",T127," ",V127," ",X127," ",Z127," ","X"," ",Table43[[#This Row],[ISI/CTN]]," ",AF127," ",AB127," ",AD127," ",AH127))),TRIM(UPPER(CONCATENATE(P127," ",R127," ",T127," ",V127," ",X127," ",Z127," ","X"," ",Table43[[#This Row],[ISI/CTN]]," ",AB127," ",AD127," ",AH127))))</f>
        <v>ABC JUICE LECI 250 ML X 24 PCS</v>
      </c>
      <c r="O127" s="11">
        <f t="shared" si="4"/>
        <v>30</v>
      </c>
      <c r="P127" s="4" t="s">
        <v>28</v>
      </c>
      <c r="Q127" s="7" t="s">
        <v>85</v>
      </c>
      <c r="R127" s="4" t="s">
        <v>562</v>
      </c>
      <c r="S127" s="43" t="s">
        <v>222</v>
      </c>
      <c r="T127" s="44"/>
      <c r="U127" s="7" t="s">
        <v>1</v>
      </c>
      <c r="V127" s="44"/>
      <c r="W127" s="43" t="s">
        <v>1</v>
      </c>
      <c r="X127" s="4" t="s">
        <v>565</v>
      </c>
      <c r="Y127" s="45" t="s">
        <v>223</v>
      </c>
      <c r="Z127" s="4" t="s">
        <v>559</v>
      </c>
      <c r="AA127" s="45" t="s">
        <v>489</v>
      </c>
      <c r="AB127" s="4" t="s">
        <v>552</v>
      </c>
      <c r="AC127" s="7" t="s">
        <v>480</v>
      </c>
      <c r="AE127" s="7" t="s">
        <v>1</v>
      </c>
      <c r="AI127" s="7" t="s">
        <v>214</v>
      </c>
      <c r="AJ127" s="7">
        <v>2</v>
      </c>
      <c r="AL127" s="40">
        <f>Table43[[#This Row],[Harga Jual Pcs GT
(-PPN)]]-(Table43[[#This Row],[Harga Jual Pcs GT
(-PPN)]]*6%)</f>
        <v>6140.6533999999992</v>
      </c>
      <c r="AM127" s="41">
        <f>Table43[[#This Row],[Harga Beli Pcs
(-PPN)]]*Table43[[#This Row],[ISI/CTN]]</f>
        <v>147375.68159999998</v>
      </c>
      <c r="AN127" s="41">
        <f>Table43[[#This Row],[Harga Beli Pcs
(-PPN)]]*1.11</f>
        <v>6816.125274</v>
      </c>
      <c r="AO127" s="41">
        <f>Table43[[#This Row],[Harga Beli Krt
(- PPN)]]*1.11</f>
        <v>163587.00657599999</v>
      </c>
      <c r="AP127" s="41">
        <v>6532.61</v>
      </c>
      <c r="AQ127" s="41">
        <f>Table43[[#This Row],[Harga Jual Pcs GT
(-PPN)]]*Table43[[#This Row],[ISI/CTN]]</f>
        <v>156782.63999999998</v>
      </c>
      <c r="AR127" s="41">
        <f>Table43[[#This Row],[Harga Jual Pcs GT
(-PPN)]]*1.11</f>
        <v>7251.1971000000003</v>
      </c>
      <c r="AS127" s="41">
        <f>Table43[[#This Row],[Harga Jual Krt GT
(- PPN)]]*1.11</f>
        <v>174028.7304</v>
      </c>
      <c r="AT127" s="41">
        <v>7055.2216216216193</v>
      </c>
      <c r="AU127" s="41">
        <f>(Table43[[#This Row],[Harga Jual Pcs MT
(-PPN)]]*Table43[[#This Row],[ISI/CTN]])</f>
        <v>169325.31891891887</v>
      </c>
      <c r="AV127" s="41">
        <f>Table43[[#This Row],[Harga Jual Pcs MT
(-PPN)]]*1.11</f>
        <v>7831.2959999999985</v>
      </c>
      <c r="AW127" s="41">
        <f>Table43[[#This Row],[Harga Jual Pcs MT
(+PPN)]]*Table43[[#This Row],[ISI/CTN]]</f>
        <v>187951.10399999996</v>
      </c>
      <c r="AX127" s="41"/>
      <c r="AY127" s="46">
        <v>45553</v>
      </c>
      <c r="AZ127" s="54">
        <v>45945</v>
      </c>
      <c r="BA127" s="7" t="str">
        <f ca="1">IF(TODAY()-Table43[[#This Row],[Efektif
Pembuatan]]&gt;60,"Lama","Baru")</f>
        <v>Lama</v>
      </c>
      <c r="BB127" s="7" t="str">
        <f ca="1">IF(TODAY()-Table43[[#This Row],[Efektif Naik Harga]]&lt;30,"Naik","Sama")</f>
        <v>Sama</v>
      </c>
      <c r="BC127" s="7" t="s">
        <v>235</v>
      </c>
      <c r="BD127" s="7" t="str">
        <f>IF(Table43[[#This Row],[Kode BARANG Win2]]&lt;&gt;"","IDR","")</f>
        <v>IDR</v>
      </c>
      <c r="BE127" s="7" t="str">
        <f>CONCATENATE(Table43[[#This Row],[kode  1 Digit
(Nomor)]],Table43[[#This Row],[kode  4 Digit                (Nomor)]])</f>
        <v>20250</v>
      </c>
      <c r="BF127" s="7" t="str">
        <f>Table43[[#This Row],[Nama            Gramasi atau Jumlah Pack per CTN]]</f>
        <v>250 ML</v>
      </c>
      <c r="BG127" s="7" t="s">
        <v>653</v>
      </c>
      <c r="BH127" s="51" t="s">
        <v>654</v>
      </c>
      <c r="BI127" s="4" t="str">
        <f>IF(Table43[[#This Row],[SATUAN Fix Win]]&lt;&gt;"","KRT")</f>
        <v>KRT</v>
      </c>
      <c r="BJ127" s="4" t="str">
        <f>IF(Table43[[#This Row],[SATUAN Fix Win]]&lt;&gt;"","GD01")</f>
        <v>GD01</v>
      </c>
      <c r="BK127" s="4">
        <f>IF(Table43[[#This Row],[SATUAN Fix Win]]&lt;&gt;"",11611)</f>
        <v>11611</v>
      </c>
      <c r="BL127" s="4">
        <f>IF(Table43[[#This Row],[SATUAN Fix Win]]&lt;&gt;"",11612)</f>
        <v>11612</v>
      </c>
      <c r="BM127" s="47" t="s">
        <v>655</v>
      </c>
      <c r="BN127" s="4">
        <f>IF(Table43[[#This Row],[SATUAN Fix Win]]&lt;&gt;"",1)</f>
        <v>1</v>
      </c>
      <c r="BO127" s="4" t="s">
        <v>656</v>
      </c>
      <c r="BP127" s="4">
        <f>IFERROR(VLOOKUP(Table43[[#This Row],[Kode Pcpl]],'[1]HEINZ ABC'!$A$4:$E$112,8,0),0)</f>
        <v>0</v>
      </c>
      <c r="BQ127" s="55">
        <f>Table43[[#This Row],[Harga Jual Pcs GT
(-PPN)]]-Table43[[#This Row],[HARGA NAIK GT]]</f>
        <v>6532.61</v>
      </c>
      <c r="BR127" s="4">
        <f>IF(Table43[[#This Row],[HARGA NAIK GT]]=0,Table43[[#This Row],[Harga Jual Pcs GT
(-PPN)]],Table43[[#This Row],[HARGA NAIK GT]])</f>
        <v>6532.61</v>
      </c>
      <c r="BS127">
        <f>IFERROR(VLOOKUP(Table43[[#This Row],[Kode Pcpl]],'[1]HEINZ ABC'!$A$4:$E$112,8,0),0)</f>
        <v>0</v>
      </c>
      <c r="BT127" s="58">
        <f>Table43[[#This Row],[Harga Jual Pcs GT
(-PPN)]]-BS127</f>
        <v>6532.61</v>
      </c>
      <c r="BU127">
        <f>IF(BS127=0,Table43[[#This Row],[Harga Jual Pcs MT
(-PPN)]])</f>
        <v>7055.2216216216193</v>
      </c>
      <c r="BV127">
        <f>IFERROR(VLOOKUP(Table43[[#This Row],[Kode Pcpl]],[2]Pricelist!$A$4:$K$112,11,0),0)</f>
        <v>0</v>
      </c>
      <c r="BW127">
        <f>IFERROR(VLOOKUP(Table43[[#This Row],[Kode BARANG Win2]],[3]!RECKITT211216[[KDBRG]:[HRG_JL_PCS-PPN]],11,0),0)</f>
        <v>0</v>
      </c>
      <c r="BX127">
        <f t="shared" si="5"/>
        <v>0</v>
      </c>
    </row>
    <row r="128" spans="1:76" x14ac:dyDescent="0.25">
      <c r="A128" s="4" t="str">
        <f>CONCATENATE(Table43[[#This Row],[Kode BARANG Win2]],Table43[[#This Row],[No. Urut
Item Sama]])</f>
        <v>A10700050250102</v>
      </c>
      <c r="B128" s="7">
        <v>2</v>
      </c>
      <c r="C128" s="4">
        <v>115</v>
      </c>
      <c r="D128" s="27">
        <v>460185</v>
      </c>
      <c r="E128" s="27" t="s">
        <v>324</v>
      </c>
      <c r="F128" s="27" t="s">
        <v>337</v>
      </c>
      <c r="G128" s="27">
        <v>24</v>
      </c>
      <c r="H128" s="42" t="s">
        <v>2872</v>
      </c>
      <c r="I128" s="27" t="str">
        <f>Table43[[#This Row],[Nama Jenis Kemasan]]</f>
        <v>PCS</v>
      </c>
      <c r="J128" s="4" t="str">
        <f>TRIM(CONCATENATE(Table43[[#This Row],[Nama            KLP]]," ",Table43[[#This Row],[Nama            Sub KLP]]))</f>
        <v>JUICE</v>
      </c>
      <c r="K128" s="4" t="str">
        <f>CONCATENATE(Table43[[#This Row],[kode  2 Digit                (hrf+No)]],Table43[[#This Row],[kode  2 Digit                (Nomor)]],Table43[[#This Row],[kode  1 Digit                (Nomor)]])</f>
        <v>A1070</v>
      </c>
      <c r="L128" s="4" t="str">
        <f>IF(AG128="",CONCATENATE(Q128,S128,U128,W128,Y128,AA128,AC128,AE128,Table43[[#This Row],[Tanda Kode Revisi]]),CONCATENATE(Q128,S128,U128,W128,Y128,AA128,AC128,AG128))</f>
        <v>A1070005025010</v>
      </c>
      <c r="M128" s="11">
        <f t="shared" si="3"/>
        <v>14</v>
      </c>
      <c r="N128" s="14" t="str">
        <f>IF(AF128&lt;&gt;"",TRIM(UPPER(CONCATENATE(P128," ",R128," ",T128," ",V128," ",X128," ",Z128," ","X"," ",Table43[[#This Row],[ISI/CTN]]," ",AF128," ",AB128," ",AD128," ",AH128))),TRIM(UPPER(CONCATENATE(P128," ",R128," ",T128," ",V128," ",X128," ",Z128," ","X"," ",Table43[[#This Row],[ISI/CTN]]," ",AB128," ",AD128," ",AH128))))</f>
        <v>ABC JUICE LECI 250 ML X 24 PCS</v>
      </c>
      <c r="O128" s="11">
        <f t="shared" si="4"/>
        <v>30</v>
      </c>
      <c r="P128" s="4" t="s">
        <v>28</v>
      </c>
      <c r="Q128" s="7" t="s">
        <v>85</v>
      </c>
      <c r="R128" s="4" t="s">
        <v>562</v>
      </c>
      <c r="S128" s="43" t="s">
        <v>222</v>
      </c>
      <c r="T128" s="44"/>
      <c r="U128" s="7" t="s">
        <v>1</v>
      </c>
      <c r="V128" s="44"/>
      <c r="W128" s="43" t="s">
        <v>1</v>
      </c>
      <c r="X128" s="4" t="s">
        <v>565</v>
      </c>
      <c r="Y128" s="45" t="s">
        <v>223</v>
      </c>
      <c r="Z128" s="4" t="s">
        <v>559</v>
      </c>
      <c r="AA128" s="45" t="s">
        <v>489</v>
      </c>
      <c r="AB128" s="4" t="s">
        <v>552</v>
      </c>
      <c r="AC128" s="7" t="s">
        <v>480</v>
      </c>
      <c r="AE128" s="7" t="s">
        <v>1</v>
      </c>
      <c r="AI128" s="7" t="s">
        <v>214</v>
      </c>
      <c r="AJ128" s="7">
        <v>2</v>
      </c>
      <c r="AL128" s="40">
        <f>Table43[[#This Row],[Harga Jual Pcs GT
(-PPN)]]-(Table43[[#This Row],[Harga Jual Pcs GT
(-PPN)]]*6%)</f>
        <v>6140.6533999999992</v>
      </c>
      <c r="AM128" s="41">
        <f>Table43[[#This Row],[Harga Beli Pcs
(-PPN)]]*Table43[[#This Row],[ISI/CTN]]</f>
        <v>147375.68159999998</v>
      </c>
      <c r="AN128" s="41">
        <f>Table43[[#This Row],[Harga Beli Pcs
(-PPN)]]*1.11</f>
        <v>6816.125274</v>
      </c>
      <c r="AO128" s="41">
        <f>Table43[[#This Row],[Harga Beli Krt
(- PPN)]]*1.11</f>
        <v>163587.00657599999</v>
      </c>
      <c r="AP128" s="41">
        <v>6532.61</v>
      </c>
      <c r="AQ128" s="41">
        <f>Table43[[#This Row],[Harga Jual Pcs GT
(-PPN)]]*Table43[[#This Row],[ISI/CTN]]</f>
        <v>156782.63999999998</v>
      </c>
      <c r="AR128" s="41">
        <f>Table43[[#This Row],[Harga Jual Pcs GT
(-PPN)]]*1.11</f>
        <v>7251.1971000000003</v>
      </c>
      <c r="AS128" s="41">
        <f>Table43[[#This Row],[Harga Jual Krt GT
(- PPN)]]*1.11</f>
        <v>174028.7304</v>
      </c>
      <c r="AT128" s="41">
        <v>7055.2216216216193</v>
      </c>
      <c r="AU128" s="41">
        <f>(Table43[[#This Row],[Harga Jual Pcs MT
(-PPN)]]*Table43[[#This Row],[ISI/CTN]])</f>
        <v>169325.31891891887</v>
      </c>
      <c r="AV128" s="41">
        <f>Table43[[#This Row],[Harga Jual Pcs MT
(-PPN)]]*1.11</f>
        <v>7831.2959999999985</v>
      </c>
      <c r="AW128" s="41">
        <f>Table43[[#This Row],[Harga Jual Pcs MT
(+PPN)]]*Table43[[#This Row],[ISI/CTN]]</f>
        <v>187951.10399999996</v>
      </c>
      <c r="AX128" s="41"/>
      <c r="AY128" s="46">
        <v>45553</v>
      </c>
      <c r="AZ128" s="54">
        <v>45945</v>
      </c>
      <c r="BA128" s="7" t="str">
        <f ca="1">IF(TODAY()-Table43[[#This Row],[Efektif
Pembuatan]]&gt;60,"Lama","Baru")</f>
        <v>Lama</v>
      </c>
      <c r="BB128" s="7" t="str">
        <f ca="1">IF(TODAY()-Table43[[#This Row],[Efektif Naik Harga]]&lt;30,"Naik","Sama")</f>
        <v>Sama</v>
      </c>
      <c r="BC128" s="7" t="s">
        <v>235</v>
      </c>
      <c r="BD128" s="7" t="str">
        <f>IF(Table43[[#This Row],[Kode BARANG Win2]]&lt;&gt;"","IDR","")</f>
        <v>IDR</v>
      </c>
      <c r="BE128" s="7" t="str">
        <f>CONCATENATE(Table43[[#This Row],[kode  1 Digit
(Nomor)]],Table43[[#This Row],[kode  4 Digit                (Nomor)]])</f>
        <v>20250</v>
      </c>
      <c r="BF128" s="7" t="str">
        <f>Table43[[#This Row],[Nama            Gramasi atau Jumlah Pack per CTN]]</f>
        <v>250 ML</v>
      </c>
      <c r="BG128" s="7" t="s">
        <v>653</v>
      </c>
      <c r="BH128" s="51" t="s">
        <v>654</v>
      </c>
      <c r="BI128" s="4" t="str">
        <f>IF(Table43[[#This Row],[SATUAN Fix Win]]&lt;&gt;"","KRT")</f>
        <v>KRT</v>
      </c>
      <c r="BJ128" s="4" t="str">
        <f>IF(Table43[[#This Row],[SATUAN Fix Win]]&lt;&gt;"","GD01")</f>
        <v>GD01</v>
      </c>
      <c r="BK128" s="4">
        <f>IF(Table43[[#This Row],[SATUAN Fix Win]]&lt;&gt;"",11611)</f>
        <v>11611</v>
      </c>
      <c r="BL128" s="4">
        <f>IF(Table43[[#This Row],[SATUAN Fix Win]]&lt;&gt;"",11612)</f>
        <v>11612</v>
      </c>
      <c r="BM128" s="47" t="s">
        <v>655</v>
      </c>
      <c r="BN128" s="4">
        <f>IF(Table43[[#This Row],[SATUAN Fix Win]]&lt;&gt;"",1)</f>
        <v>1</v>
      </c>
      <c r="BO128" s="4" t="s">
        <v>656</v>
      </c>
      <c r="BP128" s="4">
        <f>IFERROR(VLOOKUP(Table43[[#This Row],[Kode Pcpl]],'[1]HEINZ ABC'!$A$4:$E$112,8,0),0)</f>
        <v>0</v>
      </c>
      <c r="BQ128" s="55">
        <f>Table43[[#This Row],[Harga Jual Pcs GT
(-PPN)]]-Table43[[#This Row],[HARGA NAIK GT]]</f>
        <v>6532.61</v>
      </c>
      <c r="BR128" s="4">
        <f>IF(Table43[[#This Row],[HARGA NAIK GT]]=0,Table43[[#This Row],[Harga Jual Pcs GT
(-PPN)]],Table43[[#This Row],[HARGA NAIK GT]])</f>
        <v>6532.61</v>
      </c>
      <c r="BS128">
        <f>IFERROR(VLOOKUP(Table43[[#This Row],[Kode Pcpl]],'[1]HEINZ ABC'!$A$4:$E$112,8,0),0)</f>
        <v>0</v>
      </c>
      <c r="BT128" s="58">
        <f>Table43[[#This Row],[Harga Jual Pcs GT
(-PPN)]]-BS128</f>
        <v>6532.61</v>
      </c>
      <c r="BU128">
        <f>IF(BS128=0,Table43[[#This Row],[Harga Jual Pcs MT
(-PPN)]])</f>
        <v>7055.2216216216193</v>
      </c>
      <c r="BV128">
        <f>IFERROR(VLOOKUP(Table43[[#This Row],[Kode Pcpl]],[2]Pricelist!$A$4:$K$112,11,0),0)</f>
        <v>0</v>
      </c>
      <c r="BW128">
        <f>IFERROR(VLOOKUP(Table43[[#This Row],[Kode BARANG Win2]],[3]!RECKITT211216[[KDBRG]:[HRG_JL_PCS-PPN]],11,0),0)</f>
        <v>0</v>
      </c>
      <c r="BX128">
        <f t="shared" si="5"/>
        <v>0</v>
      </c>
    </row>
    <row r="129" spans="1:76" x14ac:dyDescent="0.25">
      <c r="A129" s="4" t="str">
        <f>CONCATENATE(Table43[[#This Row],[Kode BARANG Win2]],Table43[[#This Row],[No. Urut
Item Sama]])</f>
        <v>A10700060250101</v>
      </c>
      <c r="B129" s="7">
        <v>1</v>
      </c>
      <c r="C129" s="4">
        <v>116</v>
      </c>
      <c r="D129" s="27">
        <v>460055</v>
      </c>
      <c r="E129" s="27" t="s">
        <v>324</v>
      </c>
      <c r="F129" s="27" t="s">
        <v>338</v>
      </c>
      <c r="G129" s="27">
        <v>24</v>
      </c>
      <c r="H129" s="42">
        <v>0</v>
      </c>
      <c r="I129" s="27" t="str">
        <f>Table43[[#This Row],[Nama Jenis Kemasan]]</f>
        <v>PCS</v>
      </c>
      <c r="J129" s="4" t="str">
        <f>TRIM(CONCATENATE(Table43[[#This Row],[Nama            KLP]]," ",Table43[[#This Row],[Nama            Sub KLP]]))</f>
        <v>JUICE</v>
      </c>
      <c r="K129" s="4" t="str">
        <f>CONCATENATE(Table43[[#This Row],[kode  2 Digit                (hrf+No)]],Table43[[#This Row],[kode  2 Digit                (Nomor)]],Table43[[#This Row],[kode  1 Digit                (Nomor)]])</f>
        <v>A1070</v>
      </c>
      <c r="L129" s="4" t="str">
        <f>IF(AG129="",CONCATENATE(Q129,S129,U129,W129,Y129,AA129,AC129,AE129,Table43[[#This Row],[Tanda Kode Revisi]]),CONCATENATE(Q129,S129,U129,W129,Y129,AA129,AC129,AG129))</f>
        <v>A1070006025010</v>
      </c>
      <c r="M129" s="11">
        <f t="shared" si="3"/>
        <v>14</v>
      </c>
      <c r="N129" s="14" t="str">
        <f>IF(AF129&lt;&gt;"",TRIM(UPPER(CONCATENATE(P129," ",R129," ",T129," ",V129," ",X129," ",Z129," ","X"," ",Table43[[#This Row],[ISI/CTN]]," ",AF129," ",AB129," ",AD129," ",AH129))),TRIM(UPPER(CONCATENATE(P129," ",R129," ",T129," ",V129," ",X129," ",Z129," ","X"," ",Table43[[#This Row],[ISI/CTN]]," ",AB129," ",AD129," ",AH129))))</f>
        <v>ABC JUICE SIRSAK 250 ML X 24 PCS</v>
      </c>
      <c r="O129" s="11">
        <f t="shared" si="4"/>
        <v>32</v>
      </c>
      <c r="P129" s="4" t="s">
        <v>28</v>
      </c>
      <c r="Q129" s="7" t="s">
        <v>85</v>
      </c>
      <c r="R129" s="4" t="s">
        <v>562</v>
      </c>
      <c r="S129" s="43" t="s">
        <v>222</v>
      </c>
      <c r="T129" s="44"/>
      <c r="U129" s="7" t="s">
        <v>1</v>
      </c>
      <c r="V129" s="44"/>
      <c r="W129" s="43" t="s">
        <v>1</v>
      </c>
      <c r="X129" s="4" t="s">
        <v>566</v>
      </c>
      <c r="Y129" s="45" t="s">
        <v>221</v>
      </c>
      <c r="Z129" s="4" t="s">
        <v>559</v>
      </c>
      <c r="AA129" s="45" t="s">
        <v>489</v>
      </c>
      <c r="AB129" s="4" t="s">
        <v>552</v>
      </c>
      <c r="AC129" s="7" t="s">
        <v>480</v>
      </c>
      <c r="AE129" s="7" t="s">
        <v>1</v>
      </c>
      <c r="AI129" s="7" t="s">
        <v>214</v>
      </c>
      <c r="AJ129" s="7">
        <v>2</v>
      </c>
      <c r="AL129" s="40">
        <f>Table43[[#This Row],[Harga Jual Pcs GT
(-PPN)]]-(Table43[[#This Row],[Harga Jual Pcs GT
(-PPN)]]*6%)</f>
        <v>6140.6533999999992</v>
      </c>
      <c r="AM129" s="41">
        <f>Table43[[#This Row],[Harga Beli Pcs
(-PPN)]]*Table43[[#This Row],[ISI/CTN]]</f>
        <v>147375.68159999998</v>
      </c>
      <c r="AN129" s="41">
        <f>Table43[[#This Row],[Harga Beli Pcs
(-PPN)]]*1.11</f>
        <v>6816.125274</v>
      </c>
      <c r="AO129" s="41">
        <f>Table43[[#This Row],[Harga Beli Krt
(- PPN)]]*1.11</f>
        <v>163587.00657599999</v>
      </c>
      <c r="AP129" s="41">
        <v>6532.61</v>
      </c>
      <c r="AQ129" s="41">
        <f>Table43[[#This Row],[Harga Jual Pcs GT
(-PPN)]]*Table43[[#This Row],[ISI/CTN]]</f>
        <v>156782.63999999998</v>
      </c>
      <c r="AR129" s="41">
        <f>Table43[[#This Row],[Harga Jual Pcs GT
(-PPN)]]*1.11</f>
        <v>7251.1971000000003</v>
      </c>
      <c r="AS129" s="41">
        <f>Table43[[#This Row],[Harga Jual Krt GT
(- PPN)]]*1.11</f>
        <v>174028.7304</v>
      </c>
      <c r="AT129" s="41">
        <v>7055.2216216216193</v>
      </c>
      <c r="AU129" s="41">
        <f>(Table43[[#This Row],[Harga Jual Pcs MT
(-PPN)]]*Table43[[#This Row],[ISI/CTN]])</f>
        <v>169325.31891891887</v>
      </c>
      <c r="AV129" s="41">
        <f>Table43[[#This Row],[Harga Jual Pcs MT
(-PPN)]]*1.11</f>
        <v>7831.2959999999985</v>
      </c>
      <c r="AW129" s="41">
        <f>Table43[[#This Row],[Harga Jual Pcs MT
(+PPN)]]*Table43[[#This Row],[ISI/CTN]]</f>
        <v>187951.10399999996</v>
      </c>
      <c r="AX129" s="41"/>
      <c r="AY129" s="46">
        <v>45553</v>
      </c>
      <c r="AZ129" s="54">
        <v>45945</v>
      </c>
      <c r="BA129" s="7" t="str">
        <f ca="1">IF(TODAY()-Table43[[#This Row],[Efektif
Pembuatan]]&gt;60,"Lama","Baru")</f>
        <v>Lama</v>
      </c>
      <c r="BB129" s="7" t="str">
        <f ca="1">IF(TODAY()-Table43[[#This Row],[Efektif Naik Harga]]&lt;30,"Naik","Sama")</f>
        <v>Sama</v>
      </c>
      <c r="BC129" s="7" t="s">
        <v>235</v>
      </c>
      <c r="BD129" s="7" t="str">
        <f>IF(Table43[[#This Row],[Kode BARANG Win2]]&lt;&gt;"","IDR","")</f>
        <v>IDR</v>
      </c>
      <c r="BE129" s="7" t="str">
        <f>CONCATENATE(Table43[[#This Row],[kode  1 Digit
(Nomor)]],Table43[[#This Row],[kode  4 Digit                (Nomor)]])</f>
        <v>20250</v>
      </c>
      <c r="BF129" s="7" t="str">
        <f>Table43[[#This Row],[Nama            Gramasi atau Jumlah Pack per CTN]]</f>
        <v>250 ML</v>
      </c>
      <c r="BG129" s="7" t="s">
        <v>653</v>
      </c>
      <c r="BH129" s="51" t="s">
        <v>654</v>
      </c>
      <c r="BI129" s="4" t="str">
        <f>IF(Table43[[#This Row],[SATUAN Fix Win]]&lt;&gt;"","KRT")</f>
        <v>KRT</v>
      </c>
      <c r="BJ129" s="4" t="str">
        <f>IF(Table43[[#This Row],[SATUAN Fix Win]]&lt;&gt;"","GD01")</f>
        <v>GD01</v>
      </c>
      <c r="BK129" s="4">
        <f>IF(Table43[[#This Row],[SATUAN Fix Win]]&lt;&gt;"",11611)</f>
        <v>11611</v>
      </c>
      <c r="BL129" s="4">
        <f>IF(Table43[[#This Row],[SATUAN Fix Win]]&lt;&gt;"",11612)</f>
        <v>11612</v>
      </c>
      <c r="BM129" s="47" t="s">
        <v>655</v>
      </c>
      <c r="BN129" s="4">
        <f>IF(Table43[[#This Row],[SATUAN Fix Win]]&lt;&gt;"",1)</f>
        <v>1</v>
      </c>
      <c r="BO129" s="4" t="s">
        <v>656</v>
      </c>
      <c r="BP129" s="4">
        <f>IFERROR(VLOOKUP(Table43[[#This Row],[Kode Pcpl]],'[1]HEINZ ABC'!$A$4:$E$112,8,0),0)</f>
        <v>0</v>
      </c>
      <c r="BQ129" s="55">
        <f>Table43[[#This Row],[Harga Jual Pcs GT
(-PPN)]]-Table43[[#This Row],[HARGA NAIK GT]]</f>
        <v>6532.61</v>
      </c>
      <c r="BR129" s="4">
        <f>IF(Table43[[#This Row],[HARGA NAIK GT]]=0,Table43[[#This Row],[Harga Jual Pcs GT
(-PPN)]],Table43[[#This Row],[HARGA NAIK GT]])</f>
        <v>6532.61</v>
      </c>
      <c r="BS129">
        <f>IFERROR(VLOOKUP(Table43[[#This Row],[Kode Pcpl]],'[1]HEINZ ABC'!$A$4:$E$112,8,0),0)</f>
        <v>0</v>
      </c>
      <c r="BT129" s="58">
        <f>Table43[[#This Row],[Harga Jual Pcs GT
(-PPN)]]-BS129</f>
        <v>6532.61</v>
      </c>
      <c r="BU129">
        <f>IF(BS129=0,Table43[[#This Row],[Harga Jual Pcs MT
(-PPN)]])</f>
        <v>7055.2216216216193</v>
      </c>
      <c r="BV129">
        <f>IFERROR(VLOOKUP(Table43[[#This Row],[Kode Pcpl]],[2]Pricelist!$A$4:$K$112,11,0),0)</f>
        <v>0</v>
      </c>
      <c r="BW129">
        <f>IFERROR(VLOOKUP(Table43[[#This Row],[Kode BARANG Win2]],[3]!RECKITT211216[[KDBRG]:[HRG_JL_PCS-PPN]],11,0),0)</f>
        <v>0</v>
      </c>
      <c r="BX129">
        <f t="shared" si="5"/>
        <v>0</v>
      </c>
    </row>
    <row r="130" spans="1:76" x14ac:dyDescent="0.25">
      <c r="A130" s="4" t="str">
        <f>CONCATENATE(Table43[[#This Row],[Kode BARANG Win2]],Table43[[#This Row],[No. Urut
Item Sama]])</f>
        <v>A10700060250102</v>
      </c>
      <c r="B130" s="7">
        <v>2</v>
      </c>
      <c r="C130" s="4">
        <v>117</v>
      </c>
      <c r="D130" s="27">
        <v>460186</v>
      </c>
      <c r="E130" s="27" t="s">
        <v>324</v>
      </c>
      <c r="F130" s="27" t="s">
        <v>339</v>
      </c>
      <c r="G130" s="27">
        <v>24</v>
      </c>
      <c r="H130" s="42" t="s">
        <v>2873</v>
      </c>
      <c r="I130" s="27" t="str">
        <f>Table43[[#This Row],[Nama Jenis Kemasan]]</f>
        <v>PCS</v>
      </c>
      <c r="J130" s="4" t="str">
        <f>TRIM(CONCATENATE(Table43[[#This Row],[Nama            KLP]]," ",Table43[[#This Row],[Nama            Sub KLP]]))</f>
        <v>JUICE</v>
      </c>
      <c r="K130" s="4" t="str">
        <f>CONCATENATE(Table43[[#This Row],[kode  2 Digit                (hrf+No)]],Table43[[#This Row],[kode  2 Digit                (Nomor)]],Table43[[#This Row],[kode  1 Digit                (Nomor)]])</f>
        <v>A1070</v>
      </c>
      <c r="L130" s="4" t="str">
        <f>IF(AG130="",CONCATENATE(Q130,S130,U130,W130,Y130,AA130,AC130,AE130,Table43[[#This Row],[Tanda Kode Revisi]]),CONCATENATE(Q130,S130,U130,W130,Y130,AA130,AC130,AG130))</f>
        <v>A1070006025010</v>
      </c>
      <c r="M130" s="11">
        <f t="shared" si="3"/>
        <v>14</v>
      </c>
      <c r="N130" s="14" t="str">
        <f>IF(AF130&lt;&gt;"",TRIM(UPPER(CONCATENATE(P130," ",R130," ",T130," ",V130," ",X130," ",Z130," ","X"," ",Table43[[#This Row],[ISI/CTN]]," ",AF130," ",AB130," ",AD130," ",AH130))),TRIM(UPPER(CONCATENATE(P130," ",R130," ",T130," ",V130," ",X130," ",Z130," ","X"," ",Table43[[#This Row],[ISI/CTN]]," ",AB130," ",AD130," ",AH130))))</f>
        <v>ABC JUICE SIRSAK 250 ML X 24 PCS</v>
      </c>
      <c r="O130" s="11">
        <f t="shared" si="4"/>
        <v>32</v>
      </c>
      <c r="P130" s="4" t="s">
        <v>28</v>
      </c>
      <c r="Q130" s="7" t="s">
        <v>85</v>
      </c>
      <c r="R130" s="4" t="s">
        <v>562</v>
      </c>
      <c r="S130" s="43" t="s">
        <v>222</v>
      </c>
      <c r="T130" s="44"/>
      <c r="U130" s="7" t="s">
        <v>1</v>
      </c>
      <c r="V130" s="44"/>
      <c r="W130" s="43" t="s">
        <v>1</v>
      </c>
      <c r="X130" s="4" t="s">
        <v>566</v>
      </c>
      <c r="Y130" s="45" t="s">
        <v>221</v>
      </c>
      <c r="Z130" s="4" t="s">
        <v>559</v>
      </c>
      <c r="AA130" s="45" t="s">
        <v>489</v>
      </c>
      <c r="AB130" s="4" t="s">
        <v>552</v>
      </c>
      <c r="AC130" s="7" t="s">
        <v>480</v>
      </c>
      <c r="AE130" s="7" t="s">
        <v>1</v>
      </c>
      <c r="AI130" s="7" t="s">
        <v>214</v>
      </c>
      <c r="AJ130" s="7">
        <v>2</v>
      </c>
      <c r="AL130" s="40">
        <f>Table43[[#This Row],[Harga Jual Pcs GT
(-PPN)]]-(Table43[[#This Row],[Harga Jual Pcs GT
(-PPN)]]*6%)</f>
        <v>6140.6533999999992</v>
      </c>
      <c r="AM130" s="41">
        <f>Table43[[#This Row],[Harga Beli Pcs
(-PPN)]]*Table43[[#This Row],[ISI/CTN]]</f>
        <v>147375.68159999998</v>
      </c>
      <c r="AN130" s="41">
        <f>Table43[[#This Row],[Harga Beli Pcs
(-PPN)]]*1.11</f>
        <v>6816.125274</v>
      </c>
      <c r="AO130" s="41">
        <f>Table43[[#This Row],[Harga Beli Krt
(- PPN)]]*1.11</f>
        <v>163587.00657599999</v>
      </c>
      <c r="AP130" s="41">
        <v>6532.61</v>
      </c>
      <c r="AQ130" s="41">
        <f>Table43[[#This Row],[Harga Jual Pcs GT
(-PPN)]]*Table43[[#This Row],[ISI/CTN]]</f>
        <v>156782.63999999998</v>
      </c>
      <c r="AR130" s="41">
        <f>Table43[[#This Row],[Harga Jual Pcs GT
(-PPN)]]*1.11</f>
        <v>7251.1971000000003</v>
      </c>
      <c r="AS130" s="41">
        <f>Table43[[#This Row],[Harga Jual Krt GT
(- PPN)]]*1.11</f>
        <v>174028.7304</v>
      </c>
      <c r="AT130" s="41">
        <v>7055.2216216216193</v>
      </c>
      <c r="AU130" s="41">
        <f>(Table43[[#This Row],[Harga Jual Pcs MT
(-PPN)]]*Table43[[#This Row],[ISI/CTN]])</f>
        <v>169325.31891891887</v>
      </c>
      <c r="AV130" s="41">
        <f>Table43[[#This Row],[Harga Jual Pcs MT
(-PPN)]]*1.11</f>
        <v>7831.2959999999985</v>
      </c>
      <c r="AW130" s="41">
        <f>Table43[[#This Row],[Harga Jual Pcs MT
(+PPN)]]*Table43[[#This Row],[ISI/CTN]]</f>
        <v>187951.10399999996</v>
      </c>
      <c r="AX130" s="41"/>
      <c r="AY130" s="46">
        <v>45553</v>
      </c>
      <c r="AZ130" s="54">
        <v>45945</v>
      </c>
      <c r="BA130" s="7" t="str">
        <f ca="1">IF(TODAY()-Table43[[#This Row],[Efektif
Pembuatan]]&gt;60,"Lama","Baru")</f>
        <v>Lama</v>
      </c>
      <c r="BB130" s="7" t="str">
        <f ca="1">IF(TODAY()-Table43[[#This Row],[Efektif Naik Harga]]&lt;30,"Naik","Sama")</f>
        <v>Sama</v>
      </c>
      <c r="BC130" s="7" t="s">
        <v>235</v>
      </c>
      <c r="BD130" s="7" t="str">
        <f>IF(Table43[[#This Row],[Kode BARANG Win2]]&lt;&gt;"","IDR","")</f>
        <v>IDR</v>
      </c>
      <c r="BE130" s="7" t="str">
        <f>CONCATENATE(Table43[[#This Row],[kode  1 Digit
(Nomor)]],Table43[[#This Row],[kode  4 Digit                (Nomor)]])</f>
        <v>20250</v>
      </c>
      <c r="BF130" s="7" t="str">
        <f>Table43[[#This Row],[Nama            Gramasi atau Jumlah Pack per CTN]]</f>
        <v>250 ML</v>
      </c>
      <c r="BG130" s="7" t="s">
        <v>653</v>
      </c>
      <c r="BH130" s="51" t="s">
        <v>654</v>
      </c>
      <c r="BI130" s="4" t="str">
        <f>IF(Table43[[#This Row],[SATUAN Fix Win]]&lt;&gt;"","KRT")</f>
        <v>KRT</v>
      </c>
      <c r="BJ130" s="4" t="str">
        <f>IF(Table43[[#This Row],[SATUAN Fix Win]]&lt;&gt;"","GD01")</f>
        <v>GD01</v>
      </c>
      <c r="BK130" s="4">
        <f>IF(Table43[[#This Row],[SATUAN Fix Win]]&lt;&gt;"",11611)</f>
        <v>11611</v>
      </c>
      <c r="BL130" s="4">
        <f>IF(Table43[[#This Row],[SATUAN Fix Win]]&lt;&gt;"",11612)</f>
        <v>11612</v>
      </c>
      <c r="BM130" s="47" t="s">
        <v>655</v>
      </c>
      <c r="BN130" s="4">
        <f>IF(Table43[[#This Row],[SATUAN Fix Win]]&lt;&gt;"",1)</f>
        <v>1</v>
      </c>
      <c r="BO130" s="4" t="s">
        <v>656</v>
      </c>
      <c r="BP130" s="4">
        <f>IFERROR(VLOOKUP(Table43[[#This Row],[Kode Pcpl]],'[1]HEINZ ABC'!$A$4:$E$112,8,0),0)</f>
        <v>0</v>
      </c>
      <c r="BQ130" s="55">
        <f>Table43[[#This Row],[Harga Jual Pcs GT
(-PPN)]]-Table43[[#This Row],[HARGA NAIK GT]]</f>
        <v>6532.61</v>
      </c>
      <c r="BR130" s="4">
        <f>IF(Table43[[#This Row],[HARGA NAIK GT]]=0,Table43[[#This Row],[Harga Jual Pcs GT
(-PPN)]],Table43[[#This Row],[HARGA NAIK GT]])</f>
        <v>6532.61</v>
      </c>
      <c r="BS130">
        <f>IFERROR(VLOOKUP(Table43[[#This Row],[Kode Pcpl]],'[1]HEINZ ABC'!$A$4:$E$112,8,0),0)</f>
        <v>0</v>
      </c>
      <c r="BT130" s="58">
        <f>Table43[[#This Row],[Harga Jual Pcs GT
(-PPN)]]-BS130</f>
        <v>6532.61</v>
      </c>
      <c r="BU130">
        <f>IF(BS130=0,Table43[[#This Row],[Harga Jual Pcs MT
(-PPN)]])</f>
        <v>7055.2216216216193</v>
      </c>
      <c r="BV130">
        <f>IFERROR(VLOOKUP(Table43[[#This Row],[Kode Pcpl]],[2]Pricelist!$A$4:$K$112,11,0),0)</f>
        <v>0</v>
      </c>
      <c r="BW130">
        <f>IFERROR(VLOOKUP(Table43[[#This Row],[Kode BARANG Win2]],[3]!RECKITT211216[[KDBRG]:[HRG_JL_PCS-PPN]],11,0),0)</f>
        <v>0</v>
      </c>
      <c r="BX130">
        <f t="shared" si="5"/>
        <v>0</v>
      </c>
    </row>
    <row r="131" spans="1:76" x14ac:dyDescent="0.25">
      <c r="A131" s="4" t="str">
        <f>CONCATENATE(Table43[[#This Row],[Kode BARANG Win2]],Table43[[#This Row],[No. Urut
Item Sama]])</f>
        <v>A10800000250101</v>
      </c>
      <c r="B131" s="7">
        <v>1</v>
      </c>
      <c r="C131" s="4">
        <v>118</v>
      </c>
      <c r="D131" s="27">
        <v>460182</v>
      </c>
      <c r="E131" s="27" t="s">
        <v>340</v>
      </c>
      <c r="F131" s="27" t="s">
        <v>341</v>
      </c>
      <c r="G131" s="27">
        <v>24</v>
      </c>
      <c r="H131" s="42" t="s">
        <v>2866</v>
      </c>
      <c r="I131" s="27" t="str">
        <f>Table43[[#This Row],[Nama Jenis Kemasan]]</f>
        <v>PCS</v>
      </c>
      <c r="J131" s="4" t="str">
        <f>TRIM(CONCATENATE(Table43[[#This Row],[Nama            KLP]]," ",Table43[[#This Row],[Nama            Sub KLP]]))</f>
        <v>SARI ASAM</v>
      </c>
      <c r="K131" s="4" t="str">
        <f>CONCATENATE(Table43[[#This Row],[kode  2 Digit                (hrf+No)]],Table43[[#This Row],[kode  2 Digit                (Nomor)]],Table43[[#This Row],[kode  1 Digit                (Nomor)]])</f>
        <v>A1080</v>
      </c>
      <c r="L131" s="4" t="str">
        <f>IF(AG131="",CONCATENATE(Q131,S131,U131,W131,Y131,AA131,AC131,AE131,Table43[[#This Row],[Tanda Kode Revisi]]),CONCATENATE(Q131,S131,U131,W131,Y131,AA131,AC131,AG131))</f>
        <v>A1080000025010</v>
      </c>
      <c r="M131" s="11">
        <f t="shared" si="3"/>
        <v>14</v>
      </c>
      <c r="N131" s="14" t="str">
        <f>IF(AF131&lt;&gt;"",TRIM(UPPER(CONCATENATE(P131," ",R131," ",T131," ",V131," ",X131," ",Z131," ","X"," ",Table43[[#This Row],[ISI/CTN]]," ",AF131," ",AB131," ",AD131," ",AH131))),TRIM(UPPER(CONCATENATE(P131," ",R131," ",T131," ",V131," ",X131," ",Z131," ","X"," ",Table43[[#This Row],[ISI/CTN]]," ",AB131," ",AD131," ",AH131))))</f>
        <v>ABC SARI ASAM 250 ML X 24 PCS</v>
      </c>
      <c r="O131" s="11">
        <f t="shared" si="4"/>
        <v>29</v>
      </c>
      <c r="P131" s="4" t="s">
        <v>28</v>
      </c>
      <c r="Q131" s="7" t="s">
        <v>85</v>
      </c>
      <c r="R131" s="4" t="s">
        <v>340</v>
      </c>
      <c r="S131" s="43" t="s">
        <v>224</v>
      </c>
      <c r="T131" s="44"/>
      <c r="U131" s="7" t="s">
        <v>1</v>
      </c>
      <c r="V131" s="44"/>
      <c r="W131" s="43" t="s">
        <v>1</v>
      </c>
      <c r="Y131" s="45" t="s">
        <v>476</v>
      </c>
      <c r="Z131" s="4" t="s">
        <v>559</v>
      </c>
      <c r="AA131" s="45" t="s">
        <v>489</v>
      </c>
      <c r="AB131" s="4" t="s">
        <v>552</v>
      </c>
      <c r="AC131" s="7" t="s">
        <v>480</v>
      </c>
      <c r="AE131" s="7" t="s">
        <v>1</v>
      </c>
      <c r="AI131" s="7" t="s">
        <v>214</v>
      </c>
      <c r="AJ131" s="7">
        <v>2</v>
      </c>
      <c r="AL131" s="40">
        <f>Table43[[#This Row],[Harga Jual Pcs GT
(-PPN)]]-(Table43[[#This Row],[Harga Jual Pcs GT
(-PPN)]]*6%)</f>
        <v>3707.0686000000001</v>
      </c>
      <c r="AM131" s="41">
        <f>Table43[[#This Row],[Harga Beli Pcs
(-PPN)]]*Table43[[#This Row],[ISI/CTN]]</f>
        <v>88969.646399999998</v>
      </c>
      <c r="AN131" s="41">
        <f>Table43[[#This Row],[Harga Beli Pcs
(-PPN)]]*1.11</f>
        <v>4114.8461460000008</v>
      </c>
      <c r="AO131" s="41">
        <f>Table43[[#This Row],[Harga Beli Krt
(- PPN)]]*1.11</f>
        <v>98756.307504000011</v>
      </c>
      <c r="AP131" s="41">
        <v>3943.69</v>
      </c>
      <c r="AQ131" s="41">
        <f>Table43[[#This Row],[Harga Jual Pcs GT
(-PPN)]]*Table43[[#This Row],[ISI/CTN]]</f>
        <v>94648.56</v>
      </c>
      <c r="AR131" s="41">
        <f>Table43[[#This Row],[Harga Jual Pcs GT
(-PPN)]]*1.11</f>
        <v>4377.4959000000008</v>
      </c>
      <c r="AS131" s="41">
        <f>Table43[[#This Row],[Harga Jual Krt GT
(- PPN)]]*1.11</f>
        <v>105059.90160000001</v>
      </c>
      <c r="AT131" s="41">
        <v>4259.1891891891855</v>
      </c>
      <c r="AU131" s="41">
        <f>(Table43[[#This Row],[Harga Jual Pcs MT
(-PPN)]]*Table43[[#This Row],[ISI/CTN]])</f>
        <v>102220.54054054045</v>
      </c>
      <c r="AV131" s="41">
        <f>Table43[[#This Row],[Harga Jual Pcs MT
(-PPN)]]*1.11</f>
        <v>4727.6999999999962</v>
      </c>
      <c r="AW131" s="41">
        <f>Table43[[#This Row],[Harga Jual Pcs MT
(+PPN)]]*Table43[[#This Row],[ISI/CTN]]</f>
        <v>113464.7999999999</v>
      </c>
      <c r="AX131" s="41"/>
      <c r="AY131" s="46">
        <v>45553</v>
      </c>
      <c r="AZ131" s="54">
        <v>45945</v>
      </c>
      <c r="BA131" s="7" t="str">
        <f ca="1">IF(TODAY()-Table43[[#This Row],[Efektif
Pembuatan]]&gt;60,"Lama","Baru")</f>
        <v>Lama</v>
      </c>
      <c r="BB131" s="7" t="str">
        <f ca="1">IF(TODAY()-Table43[[#This Row],[Efektif Naik Harga]]&lt;30,"Naik","Sama")</f>
        <v>Sama</v>
      </c>
      <c r="BC131" s="7" t="s">
        <v>235</v>
      </c>
      <c r="BD131" s="7" t="str">
        <f>IF(Table43[[#This Row],[Kode BARANG Win2]]&lt;&gt;"","IDR","")</f>
        <v>IDR</v>
      </c>
      <c r="BE131" s="7" t="str">
        <f>CONCATENATE(Table43[[#This Row],[kode  1 Digit
(Nomor)]],Table43[[#This Row],[kode  4 Digit                (Nomor)]])</f>
        <v>20250</v>
      </c>
      <c r="BF131" s="7" t="str">
        <f>Table43[[#This Row],[Nama            Gramasi atau Jumlah Pack per CTN]]</f>
        <v>250 ML</v>
      </c>
      <c r="BG131" s="7" t="s">
        <v>653</v>
      </c>
      <c r="BH131" s="51" t="s">
        <v>654</v>
      </c>
      <c r="BI131" s="4" t="str">
        <f>IF(Table43[[#This Row],[SATUAN Fix Win]]&lt;&gt;"","KRT")</f>
        <v>KRT</v>
      </c>
      <c r="BJ131" s="4" t="str">
        <f>IF(Table43[[#This Row],[SATUAN Fix Win]]&lt;&gt;"","GD01")</f>
        <v>GD01</v>
      </c>
      <c r="BK131" s="4">
        <f>IF(Table43[[#This Row],[SATUAN Fix Win]]&lt;&gt;"",11611)</f>
        <v>11611</v>
      </c>
      <c r="BL131" s="4">
        <f>IF(Table43[[#This Row],[SATUAN Fix Win]]&lt;&gt;"",11612)</f>
        <v>11612</v>
      </c>
      <c r="BM131" s="47" t="s">
        <v>655</v>
      </c>
      <c r="BN131" s="4">
        <f>IF(Table43[[#This Row],[SATUAN Fix Win]]&lt;&gt;"",1)</f>
        <v>1</v>
      </c>
      <c r="BO131" s="4" t="s">
        <v>656</v>
      </c>
      <c r="BP131" s="4">
        <f>IFERROR(VLOOKUP(Table43[[#This Row],[Kode Pcpl]],'[1]HEINZ ABC'!$A$4:$E$112,8,0),0)</f>
        <v>0</v>
      </c>
      <c r="BQ131" s="55">
        <f>Table43[[#This Row],[Harga Jual Pcs GT
(-PPN)]]-Table43[[#This Row],[HARGA NAIK GT]]</f>
        <v>3943.69</v>
      </c>
      <c r="BR131" s="4">
        <f>IF(Table43[[#This Row],[HARGA NAIK GT]]=0,Table43[[#This Row],[Harga Jual Pcs GT
(-PPN)]],Table43[[#This Row],[HARGA NAIK GT]])</f>
        <v>3943.69</v>
      </c>
      <c r="BS131">
        <f>IFERROR(VLOOKUP(Table43[[#This Row],[Kode Pcpl]],'[1]HEINZ ABC'!$A$4:$E$112,8,0),0)</f>
        <v>0</v>
      </c>
      <c r="BT131" s="58">
        <f>Table43[[#This Row],[Harga Jual Pcs GT
(-PPN)]]-BS131</f>
        <v>3943.69</v>
      </c>
      <c r="BU131">
        <f>IF(BS131=0,Table43[[#This Row],[Harga Jual Pcs MT
(-PPN)]])</f>
        <v>4259.1891891891855</v>
      </c>
      <c r="BV131">
        <f>IFERROR(VLOOKUP(Table43[[#This Row],[Kode Pcpl]],[2]Pricelist!$A$4:$K$112,11,0),0)</f>
        <v>0</v>
      </c>
      <c r="BW131">
        <f>IFERROR(VLOOKUP(Table43[[#This Row],[Kode BARANG Win2]],[3]!RECKITT211216[[KDBRG]:[HRG_JL_PCS-PPN]],11,0),0)</f>
        <v>0</v>
      </c>
      <c r="BX131">
        <f t="shared" si="5"/>
        <v>0</v>
      </c>
    </row>
    <row r="132" spans="1:76" x14ac:dyDescent="0.25">
      <c r="A132" s="60" t="str">
        <f>CONCATENATE(Table43[[#This Row],[Kode BARANG Win2]],Table43[[#This Row],[No. Urut
Item Sama]])</f>
        <v>A10910010028201</v>
      </c>
      <c r="B132" s="61">
        <v>1</v>
      </c>
      <c r="C132" s="60">
        <v>284</v>
      </c>
      <c r="D132" s="62">
        <v>410076</v>
      </c>
      <c r="E132" s="62"/>
      <c r="F132" s="62" t="s">
        <v>1082</v>
      </c>
      <c r="G132" s="62">
        <v>6</v>
      </c>
      <c r="H132" s="63" t="s">
        <v>2431</v>
      </c>
      <c r="I132" s="62" t="str">
        <f>Table43[[#This Row],[Nama Jenis Kemasan]]</f>
        <v>PCSX20</v>
      </c>
      <c r="J132" s="60" t="str">
        <f>TRIM(CONCATENATE(Table43[[#This Row],[Nama            KLP]]," ",Table43[[#This Row],[Nama            Sub KLP]]))</f>
        <v>SIRUP SPECIAL GRADE</v>
      </c>
      <c r="K132" s="60" t="str">
        <f>CONCATENATE(Table43[[#This Row],[kode  2 Digit                (hrf+No)]],Table43[[#This Row],[kode  2 Digit                (Nomor)]],Table43[[#This Row],[kode  1 Digit                (Nomor)]])</f>
        <v>A1091</v>
      </c>
      <c r="L132" s="60" t="str">
        <f>IF(AG132="",CONCATENATE(Q132,S132,U132,W132,Y132,AA132,AC132,AE132,Table43[[#This Row],[Tanda Kode Revisi]]),CONCATENATE(Q132,S132,U132,W132,Y132,AA132,AC132,AG132))</f>
        <v>A1091001002820</v>
      </c>
      <c r="M132" s="64">
        <f t="shared" si="3"/>
        <v>14</v>
      </c>
      <c r="N132" s="65" t="str">
        <f>IF(AF132&lt;&gt;"",TRIM(UPPER(CONCATENATE(P132," ",R132," ",T132," ",V132," ",X132," ",Z132," ","X"," ",Table43[[#This Row],[ISI/CTN]]," ",AF132," ",AB132," ",AD132," ",AH132))),TRIM(UPPER(CONCATENATE(P132," ",R132," ",T132," ",V132," ",X132," ",Z132," ","X"," ",Table43[[#This Row],[ISI/CTN]]," ",AB132," ",AD132," ",AH132))))</f>
        <v>ABC SIRUP SPECIAL GRADE C.PANDAN 28 ML X 6 PCSX20</v>
      </c>
      <c r="O132" s="64">
        <f t="shared" si="4"/>
        <v>49</v>
      </c>
      <c r="P132" s="60" t="s">
        <v>28</v>
      </c>
      <c r="Q132" s="61" t="s">
        <v>85</v>
      </c>
      <c r="R132" s="60" t="s">
        <v>567</v>
      </c>
      <c r="S132" s="66" t="s">
        <v>568</v>
      </c>
      <c r="T132" s="67" t="s">
        <v>569</v>
      </c>
      <c r="U132" s="61">
        <v>1</v>
      </c>
      <c r="V132" s="67"/>
      <c r="W132" s="66" t="s">
        <v>1</v>
      </c>
      <c r="X132" s="60" t="s">
        <v>570</v>
      </c>
      <c r="Y132" s="68" t="s">
        <v>0</v>
      </c>
      <c r="Z132" s="60" t="s">
        <v>1083</v>
      </c>
      <c r="AA132" s="68" t="s">
        <v>1084</v>
      </c>
      <c r="AB132" s="60" t="s">
        <v>545</v>
      </c>
      <c r="AC132" s="61">
        <v>2</v>
      </c>
      <c r="AD132" s="60"/>
      <c r="AE132" s="61" t="s">
        <v>1</v>
      </c>
      <c r="AF132" s="61"/>
      <c r="AG132" s="61"/>
      <c r="AH132" s="61"/>
      <c r="AI132" s="61" t="s">
        <v>214</v>
      </c>
      <c r="AJ132" s="61">
        <v>2</v>
      </c>
      <c r="AK132" s="61"/>
      <c r="AL132" s="69">
        <f>Table43[[#This Row],[Harga Jual Pcs GT
(-PPN)]]-(Table43[[#This Row],[Harga Jual Pcs GT
(-PPN)]]*6%)</f>
        <v>25405.38</v>
      </c>
      <c r="AM132" s="70">
        <f>Table43[[#This Row],[Harga Beli Pcs
(-PPN)]]*Table43[[#This Row],[ISI/CTN]]</f>
        <v>152432.28</v>
      </c>
      <c r="AN132" s="70">
        <f>Table43[[#This Row],[Harga Beli Pcs
(-PPN)]]*1.11</f>
        <v>28199.971800000003</v>
      </c>
      <c r="AO132" s="70">
        <f>Table43[[#This Row],[Harga Beli Krt
(- PPN)]]*1.11</f>
        <v>169199.83080000003</v>
      </c>
      <c r="AP132" s="70">
        <v>27027</v>
      </c>
      <c r="AQ132" s="70">
        <f>Table43[[#This Row],[Harga Jual Pcs GT
(-PPN)]]*Table43[[#This Row],[ISI/CTN]]</f>
        <v>162162</v>
      </c>
      <c r="AR132" s="70">
        <f>Table43[[#This Row],[Harga Jual Pcs GT
(-PPN)]]*1.11</f>
        <v>29999.97</v>
      </c>
      <c r="AS132" s="70">
        <f>Table43[[#This Row],[Harga Jual Krt GT
(- PPN)]]*1.11</f>
        <v>179999.82</v>
      </c>
      <c r="AT132" s="70">
        <v>29189.16</v>
      </c>
      <c r="AU132" s="70">
        <f>(Table43[[#This Row],[Harga Jual Pcs MT
(-PPN)]]*Table43[[#This Row],[ISI/CTN]])</f>
        <v>175134.96</v>
      </c>
      <c r="AV132" s="70">
        <f>Table43[[#This Row],[Harga Jual Pcs MT
(-PPN)]]*1.11</f>
        <v>32399.967600000004</v>
      </c>
      <c r="AW132" s="70">
        <f>Table43[[#This Row],[Harga Jual Pcs MT
(+PPN)]]*Table43[[#This Row],[ISI/CTN]]</f>
        <v>194399.80560000002</v>
      </c>
      <c r="AX132" s="70"/>
      <c r="AY132" s="71">
        <v>45680</v>
      </c>
      <c r="AZ132" s="72"/>
      <c r="BA132" s="61" t="str">
        <f ca="1">IF(TODAY()-Table43[[#This Row],[Efektif
Pembuatan]]&gt;60,"Lama","Baru")</f>
        <v>Lama</v>
      </c>
      <c r="BB132" s="61" t="str">
        <f ca="1">IF(TODAY()-Table43[[#This Row],[Efektif Naik Harga]]&lt;30,"Naik","Sama")</f>
        <v>Sama</v>
      </c>
      <c r="BC132" s="61"/>
      <c r="BD132" s="61" t="str">
        <f>IF(Table43[[#This Row],[Kode BARANG Win2]]&lt;&gt;"","IDR","")</f>
        <v>IDR</v>
      </c>
      <c r="BE132" s="61" t="str">
        <f>CONCATENATE(Table43[[#This Row],[kode  1 Digit
(Nomor)]],Table43[[#This Row],[kode  4 Digit                (Nomor)]])</f>
        <v>20028</v>
      </c>
      <c r="BF132" s="61" t="str">
        <f>Table43[[#This Row],[Nama            Gramasi atau Jumlah Pack per CTN]]</f>
        <v>28 ML</v>
      </c>
      <c r="BG132" s="61"/>
      <c r="BH132" s="73"/>
      <c r="BI132" s="60" t="str">
        <f>IF(Table43[[#This Row],[SATUAN Fix Win]]&lt;&gt;"","KRT")</f>
        <v>KRT</v>
      </c>
      <c r="BJ132" s="60" t="str">
        <f>IF(Table43[[#This Row],[SATUAN Fix Win]]&lt;&gt;"","GD01")</f>
        <v>GD01</v>
      </c>
      <c r="BK132" s="60">
        <f>IF(Table43[[#This Row],[SATUAN Fix Win]]&lt;&gt;"",11611)</f>
        <v>11611</v>
      </c>
      <c r="BL132" s="60">
        <f>IF(Table43[[#This Row],[SATUAN Fix Win]]&lt;&gt;"",11612)</f>
        <v>11612</v>
      </c>
      <c r="BM132" s="74"/>
      <c r="BN132" s="60">
        <f>IF(Table43[[#This Row],[SATUAN Fix Win]]&lt;&gt;"",1)</f>
        <v>1</v>
      </c>
      <c r="BO132" s="60"/>
      <c r="BP132" s="60">
        <f>IFERROR(VLOOKUP(Table43[[#This Row],[Kode Pcpl]],'[1]HEINZ ABC'!$A$4:$E$112,8,0),0)</f>
        <v>0</v>
      </c>
      <c r="BQ132" s="75">
        <f>Table43[[#This Row],[Harga Jual Pcs GT
(-PPN)]]-Table43[[#This Row],[HARGA NAIK GT]]</f>
        <v>27027</v>
      </c>
      <c r="BR132" s="60">
        <f>IF(Table43[[#This Row],[HARGA NAIK GT]]=0,Table43[[#This Row],[Harga Jual Pcs GT
(-PPN)]],Table43[[#This Row],[HARGA NAIK GT]])</f>
        <v>27027</v>
      </c>
      <c r="BS132">
        <f>IFERROR(VLOOKUP(Table43[[#This Row],[Kode Pcpl]],'[1]HEINZ ABC'!$A$4:$E$112,8,0),0)</f>
        <v>0</v>
      </c>
      <c r="BT132" s="58">
        <f>Table43[[#This Row],[Harga Jual Pcs GT
(-PPN)]]-BS132</f>
        <v>27027</v>
      </c>
      <c r="BU132">
        <f>IF(BS132=0,Table43[[#This Row],[Harga Jual Pcs MT
(-PPN)]])</f>
        <v>29189.16</v>
      </c>
      <c r="BV132">
        <f>IFERROR(VLOOKUP(Table43[[#This Row],[Kode Pcpl]],[2]Pricelist!$A$4:$K$112,11,0),0)</f>
        <v>0</v>
      </c>
      <c r="BW132">
        <f>IFERROR(VLOOKUP(Table43[[#This Row],[Kode BARANG Win2]],[3]!RECKITT211216[[KDBRG]:[HRG_JL_PCS-PPN]],11,0),0)</f>
        <v>0</v>
      </c>
      <c r="BX132">
        <f t="shared" si="5"/>
        <v>0</v>
      </c>
    </row>
    <row r="133" spans="1:76" x14ac:dyDescent="0.25">
      <c r="A133" s="4" t="str">
        <f>CONCATENATE(Table43[[#This Row],[Kode BARANG Win2]],Table43[[#This Row],[No. Urut
Item Sama]])</f>
        <v>A10910010460101</v>
      </c>
      <c r="B133" s="7">
        <v>1</v>
      </c>
      <c r="C133" s="4">
        <v>119</v>
      </c>
      <c r="D133" s="27">
        <v>410066</v>
      </c>
      <c r="E133" s="27" t="s">
        <v>342</v>
      </c>
      <c r="F133" s="27" t="s">
        <v>343</v>
      </c>
      <c r="G133" s="27">
        <v>12</v>
      </c>
      <c r="H133" s="42" t="s">
        <v>2432</v>
      </c>
      <c r="I133" s="27" t="str">
        <f>Table43[[#This Row],[Nama Jenis Kemasan]]</f>
        <v>BTL</v>
      </c>
      <c r="J133" s="4" t="str">
        <f>TRIM(CONCATENATE(Table43[[#This Row],[Nama            KLP]]," ",Table43[[#This Row],[Nama            Sub KLP]]))</f>
        <v>SIRUP SPECIAL GRADE</v>
      </c>
      <c r="K133" s="4" t="str">
        <f>CONCATENATE(Table43[[#This Row],[kode  2 Digit                (hrf+No)]],Table43[[#This Row],[kode  2 Digit                (Nomor)]],Table43[[#This Row],[kode  1 Digit                (Nomor)]])</f>
        <v>A1091</v>
      </c>
      <c r="L133" s="4" t="str">
        <f>IF(AG133="",CONCATENATE(Q133,S133,U133,W133,Y133,AA133,AC133,AE133,Table43[[#This Row],[Tanda Kode Revisi]]),CONCATENATE(Q133,S133,U133,W133,Y133,AA133,AC133,AG133))</f>
        <v>A1091001046010</v>
      </c>
      <c r="M133" s="11">
        <f t="shared" si="3"/>
        <v>14</v>
      </c>
      <c r="N133" s="14" t="str">
        <f>IF(AF133&lt;&gt;"",TRIM(UPPER(CONCATENATE(P133," ",R133," ",T133," ",V133," ",X133," ",Z133," ","X"," ",Table43[[#This Row],[ISI/CTN]]," ",AF133," ",AB133," ",AD133," ",AH133))),TRIM(UPPER(CONCATENATE(P133," ",R133," ",T133," ",V133," ",X133," ",Z133," ","X"," ",Table43[[#This Row],[ISI/CTN]]," ",AB133," ",AD133," ",AH133))))</f>
        <v>ABC SIRUP SPECIAL GRADE C.PANDAN 460 ML X 12 BTL</v>
      </c>
      <c r="O133" s="11">
        <f t="shared" si="4"/>
        <v>48</v>
      </c>
      <c r="P133" s="4" t="s">
        <v>28</v>
      </c>
      <c r="Q133" s="7" t="s">
        <v>85</v>
      </c>
      <c r="R133" s="4" t="s">
        <v>567</v>
      </c>
      <c r="S133" s="43" t="s">
        <v>568</v>
      </c>
      <c r="T133" s="44" t="s">
        <v>569</v>
      </c>
      <c r="U133" s="7">
        <v>1</v>
      </c>
      <c r="V133" s="44"/>
      <c r="W133" s="43" t="s">
        <v>1</v>
      </c>
      <c r="X133" s="4" t="s">
        <v>570</v>
      </c>
      <c r="Y133" s="45" t="s">
        <v>0</v>
      </c>
      <c r="Z133" s="4" t="s">
        <v>571</v>
      </c>
      <c r="AA133" s="45" t="s">
        <v>572</v>
      </c>
      <c r="AB133" s="4" t="s">
        <v>486</v>
      </c>
      <c r="AC133" s="7" t="s">
        <v>480</v>
      </c>
      <c r="AE133" s="7" t="s">
        <v>1</v>
      </c>
      <c r="AI133" s="7" t="s">
        <v>214</v>
      </c>
      <c r="AJ133" s="7">
        <v>2</v>
      </c>
      <c r="AL133" s="40">
        <f>Table43[[#This Row],[Harga Jual Pcs GT
(-PPN)]]-(Table43[[#This Row],[Harga Jual Pcs GT
(-PPN)]]*6%)</f>
        <v>21918.515800000001</v>
      </c>
      <c r="AM133" s="41">
        <f>Table43[[#This Row],[Harga Beli Pcs
(-PPN)]]*Table43[[#This Row],[ISI/CTN]]</f>
        <v>263022.18960000004</v>
      </c>
      <c r="AN133" s="41">
        <f>Table43[[#This Row],[Harga Beli Pcs
(-PPN)]]*1.11</f>
        <v>24329.552538000004</v>
      </c>
      <c r="AO133" s="41">
        <f>Table43[[#This Row],[Harga Beli Krt
(- PPN)]]*1.11</f>
        <v>291954.6304560001</v>
      </c>
      <c r="AP133" s="41">
        <v>23317.57</v>
      </c>
      <c r="AQ133" s="41">
        <f>Table43[[#This Row],[Harga Jual Pcs GT
(-PPN)]]*Table43[[#This Row],[ISI/CTN]]</f>
        <v>279810.83999999997</v>
      </c>
      <c r="AR133" s="41">
        <f>Table43[[#This Row],[Harga Jual Pcs GT
(-PPN)]]*1.11</f>
        <v>25882.502700000001</v>
      </c>
      <c r="AS133" s="41">
        <f>Table43[[#This Row],[Harga Jual Krt GT
(- PPN)]]*1.11</f>
        <v>310590.03239999997</v>
      </c>
      <c r="AT133" s="41">
        <v>25183.224975324312</v>
      </c>
      <c r="AU133" s="41">
        <f>(Table43[[#This Row],[Harga Jual Pcs MT
(-PPN)]]*Table43[[#This Row],[ISI/CTN]])</f>
        <v>302198.69970389176</v>
      </c>
      <c r="AV133" s="41">
        <f>Table43[[#This Row],[Harga Jual Pcs MT
(-PPN)]]*1.11</f>
        <v>27953.379722609989</v>
      </c>
      <c r="AW133" s="41">
        <f>Table43[[#This Row],[Harga Jual Pcs MT
(+PPN)]]*Table43[[#This Row],[ISI/CTN]]</f>
        <v>335440.55667131988</v>
      </c>
      <c r="AX133" s="41"/>
      <c r="AY133" s="46">
        <v>45553</v>
      </c>
      <c r="AZ133" s="54">
        <v>45553</v>
      </c>
      <c r="BA133" s="7" t="str">
        <f ca="1">IF(TODAY()-Table43[[#This Row],[Efektif
Pembuatan]]&gt;60,"Lama","Baru")</f>
        <v>Lama</v>
      </c>
      <c r="BB133" s="7" t="str">
        <f ca="1">IF(TODAY()-Table43[[#This Row],[Efektif Naik Harga]]&lt;30,"Naik","Sama")</f>
        <v>Sama</v>
      </c>
      <c r="BC133" s="7" t="s">
        <v>235</v>
      </c>
      <c r="BD133" s="7" t="str">
        <f>IF(Table43[[#This Row],[Kode BARANG Win2]]&lt;&gt;"","IDR","")</f>
        <v>IDR</v>
      </c>
      <c r="BE133" s="7" t="str">
        <f>CONCATENATE(Table43[[#This Row],[kode  1 Digit
(Nomor)]],Table43[[#This Row],[kode  4 Digit                (Nomor)]])</f>
        <v>20460</v>
      </c>
      <c r="BF133" s="7" t="str">
        <f>Table43[[#This Row],[Nama            Gramasi atau Jumlah Pack per CTN]]</f>
        <v>460 ML</v>
      </c>
      <c r="BG133" s="7" t="s">
        <v>653</v>
      </c>
      <c r="BH133" s="51" t="s">
        <v>654</v>
      </c>
      <c r="BI133" s="4" t="str">
        <f>IF(Table43[[#This Row],[SATUAN Fix Win]]&lt;&gt;"","KRT")</f>
        <v>KRT</v>
      </c>
      <c r="BJ133" s="4" t="str">
        <f>IF(Table43[[#This Row],[SATUAN Fix Win]]&lt;&gt;"","GD01")</f>
        <v>GD01</v>
      </c>
      <c r="BK133" s="4">
        <f>IF(Table43[[#This Row],[SATUAN Fix Win]]&lt;&gt;"",11611)</f>
        <v>11611</v>
      </c>
      <c r="BL133" s="4">
        <f>IF(Table43[[#This Row],[SATUAN Fix Win]]&lt;&gt;"",11612)</f>
        <v>11612</v>
      </c>
      <c r="BM133" s="47" t="s">
        <v>655</v>
      </c>
      <c r="BN133" s="4">
        <f>IF(Table43[[#This Row],[SATUAN Fix Win]]&lt;&gt;"",1)</f>
        <v>1</v>
      </c>
      <c r="BO133" s="4" t="s">
        <v>656</v>
      </c>
      <c r="BP133" s="4">
        <f>IFERROR(VLOOKUP(Table43[[#This Row],[Kode Pcpl]],'[1]HEINZ ABC'!$A$4:$E$112,8,0),0)</f>
        <v>0</v>
      </c>
      <c r="BQ133" s="55">
        <f>Table43[[#This Row],[Harga Jual Pcs GT
(-PPN)]]-Table43[[#This Row],[HARGA NAIK GT]]</f>
        <v>23317.57</v>
      </c>
      <c r="BR133" s="4">
        <f>IF(Table43[[#This Row],[HARGA NAIK GT]]=0,Table43[[#This Row],[Harga Jual Pcs GT
(-PPN)]],Table43[[#This Row],[HARGA NAIK GT]])</f>
        <v>23317.57</v>
      </c>
      <c r="BS133">
        <f>IFERROR(VLOOKUP(Table43[[#This Row],[Kode Pcpl]],'[1]HEINZ ABC'!$A$4:$E$112,8,0),0)</f>
        <v>0</v>
      </c>
      <c r="BT133" s="58">
        <f>Table43[[#This Row],[Harga Jual Pcs GT
(-PPN)]]-BS133</f>
        <v>23317.57</v>
      </c>
      <c r="BU133">
        <f>IF(BS133=0,Table43[[#This Row],[Harga Jual Pcs MT
(-PPN)]])</f>
        <v>25183.224975324312</v>
      </c>
      <c r="BV133">
        <f>IFERROR(VLOOKUP(Table43[[#This Row],[Kode Pcpl]],[2]Pricelist!$A$4:$K$112,11,0),0)</f>
        <v>0</v>
      </c>
      <c r="BW133">
        <f>IFERROR(VLOOKUP(Table43[[#This Row],[Kode BARANG Win2]],[3]!RECKITT211216[[KDBRG]:[HRG_JL_PCS-PPN]],11,0),0)</f>
        <v>0</v>
      </c>
      <c r="BX133">
        <f t="shared" si="5"/>
        <v>0</v>
      </c>
    </row>
    <row r="134" spans="1:76" x14ac:dyDescent="0.25">
      <c r="A134" s="4" t="str">
        <f>CONCATENATE(Table43[[#This Row],[Kode BARANG Win2]],Table43[[#This Row],[No. Urut
Item Sama]])</f>
        <v>A10910010460102</v>
      </c>
      <c r="B134" s="7">
        <v>2</v>
      </c>
      <c r="C134" s="4">
        <v>120</v>
      </c>
      <c r="D134" s="27">
        <v>410072</v>
      </c>
      <c r="E134" s="27" t="s">
        <v>342</v>
      </c>
      <c r="F134" s="27" t="s">
        <v>344</v>
      </c>
      <c r="G134" s="27">
        <v>12</v>
      </c>
      <c r="H134" s="42" t="s">
        <v>2430</v>
      </c>
      <c r="I134" s="27" t="str">
        <f>Table43[[#This Row],[Nama Jenis Kemasan]]</f>
        <v>BTL</v>
      </c>
      <c r="J134" s="4" t="str">
        <f>TRIM(CONCATENATE(Table43[[#This Row],[Nama            KLP]]," ",Table43[[#This Row],[Nama            Sub KLP]]))</f>
        <v>SIRUP SPECIAL GRADE</v>
      </c>
      <c r="K134" s="4" t="str">
        <f>CONCATENATE(Table43[[#This Row],[kode  2 Digit                (hrf+No)]],Table43[[#This Row],[kode  2 Digit                (Nomor)]],Table43[[#This Row],[kode  1 Digit                (Nomor)]])</f>
        <v>A1091</v>
      </c>
      <c r="L134" s="4" t="str">
        <f>IF(AG134="",CONCATENATE(Q134,S134,U134,W134,Y134,AA134,AC134,AE134,Table43[[#This Row],[Tanda Kode Revisi]]),CONCATENATE(Q134,S134,U134,W134,Y134,AA134,AC134,AG134))</f>
        <v>A1091001046010</v>
      </c>
      <c r="M134" s="11">
        <f t="shared" si="3"/>
        <v>14</v>
      </c>
      <c r="N134" s="14" t="str">
        <f>IF(AF134&lt;&gt;"",TRIM(UPPER(CONCATENATE(P134," ",R134," ",T134," ",V134," ",X134," ",Z134," ","X"," ",Table43[[#This Row],[ISI/CTN]]," ",AF134," ",AB134," ",AD134," ",AH134))),TRIM(UPPER(CONCATENATE(P134," ",R134," ",T134," ",V134," ",X134," ",Z134," ","X"," ",Table43[[#This Row],[ISI/CTN]]," ",AB134," ",AD134," ",AH134))))</f>
        <v>ABC SIRUP SPECIAL GRADE C.PANDAN 460 ML X 12 BTL</v>
      </c>
      <c r="O134" s="11">
        <f t="shared" si="4"/>
        <v>48</v>
      </c>
      <c r="P134" s="4" t="s">
        <v>28</v>
      </c>
      <c r="Q134" s="7" t="s">
        <v>85</v>
      </c>
      <c r="R134" s="4" t="s">
        <v>567</v>
      </c>
      <c r="S134" s="43" t="s">
        <v>568</v>
      </c>
      <c r="T134" s="44" t="s">
        <v>569</v>
      </c>
      <c r="U134" s="7">
        <v>1</v>
      </c>
      <c r="V134" s="44"/>
      <c r="W134" s="43" t="s">
        <v>1</v>
      </c>
      <c r="X134" s="4" t="s">
        <v>570</v>
      </c>
      <c r="Y134" s="45" t="s">
        <v>0</v>
      </c>
      <c r="Z134" s="4" t="s">
        <v>571</v>
      </c>
      <c r="AA134" s="45" t="s">
        <v>572</v>
      </c>
      <c r="AB134" s="4" t="s">
        <v>486</v>
      </c>
      <c r="AC134" s="7" t="s">
        <v>480</v>
      </c>
      <c r="AE134" s="7" t="s">
        <v>1</v>
      </c>
      <c r="AI134" s="7" t="s">
        <v>214</v>
      </c>
      <c r="AJ134" s="7">
        <v>2</v>
      </c>
      <c r="AL134" s="40">
        <f>Table43[[#This Row],[Harga Jual Pcs GT
(-PPN)]]-(Table43[[#This Row],[Harga Jual Pcs GT
(-PPN)]]*6%)</f>
        <v>21918.515800000001</v>
      </c>
      <c r="AM134" s="41">
        <f>Table43[[#This Row],[Harga Beli Pcs
(-PPN)]]*Table43[[#This Row],[ISI/CTN]]</f>
        <v>263022.18960000004</v>
      </c>
      <c r="AN134" s="41">
        <f>Table43[[#This Row],[Harga Beli Pcs
(-PPN)]]*1.11</f>
        <v>24329.552538000004</v>
      </c>
      <c r="AO134" s="41">
        <f>Table43[[#This Row],[Harga Beli Krt
(- PPN)]]*1.11</f>
        <v>291954.6304560001</v>
      </c>
      <c r="AP134" s="41">
        <v>23317.57</v>
      </c>
      <c r="AQ134" s="41">
        <f>Table43[[#This Row],[Harga Jual Pcs GT
(-PPN)]]*Table43[[#This Row],[ISI/CTN]]</f>
        <v>279810.83999999997</v>
      </c>
      <c r="AR134" s="41">
        <f>Table43[[#This Row],[Harga Jual Pcs GT
(-PPN)]]*1.11</f>
        <v>25882.502700000001</v>
      </c>
      <c r="AS134" s="41">
        <f>Table43[[#This Row],[Harga Jual Krt GT
(- PPN)]]*1.11</f>
        <v>310590.03239999997</v>
      </c>
      <c r="AT134" s="41">
        <v>25183.224975324312</v>
      </c>
      <c r="AU134" s="41">
        <f>(Table43[[#This Row],[Harga Jual Pcs MT
(-PPN)]]*Table43[[#This Row],[ISI/CTN]])</f>
        <v>302198.69970389176</v>
      </c>
      <c r="AV134" s="41">
        <f>Table43[[#This Row],[Harga Jual Pcs MT
(-PPN)]]*1.11</f>
        <v>27953.379722609989</v>
      </c>
      <c r="AW134" s="41">
        <f>Table43[[#This Row],[Harga Jual Pcs MT
(+PPN)]]*Table43[[#This Row],[ISI/CTN]]</f>
        <v>335440.55667131988</v>
      </c>
      <c r="AX134" s="41"/>
      <c r="AY134" s="46">
        <v>45553</v>
      </c>
      <c r="AZ134" s="54">
        <v>45553</v>
      </c>
      <c r="BA134" s="7" t="str">
        <f ca="1">IF(TODAY()-Table43[[#This Row],[Efektif
Pembuatan]]&gt;60,"Lama","Baru")</f>
        <v>Lama</v>
      </c>
      <c r="BB134" s="7" t="str">
        <f ca="1">IF(TODAY()-Table43[[#This Row],[Efektif Naik Harga]]&lt;30,"Naik","Sama")</f>
        <v>Sama</v>
      </c>
      <c r="BC134" s="7" t="s">
        <v>235</v>
      </c>
      <c r="BD134" s="7" t="str">
        <f>IF(Table43[[#This Row],[Kode BARANG Win2]]&lt;&gt;"","IDR","")</f>
        <v>IDR</v>
      </c>
      <c r="BE134" s="7" t="str">
        <f>CONCATENATE(Table43[[#This Row],[kode  1 Digit
(Nomor)]],Table43[[#This Row],[kode  4 Digit                (Nomor)]])</f>
        <v>20460</v>
      </c>
      <c r="BF134" s="7" t="str">
        <f>Table43[[#This Row],[Nama            Gramasi atau Jumlah Pack per CTN]]</f>
        <v>460 ML</v>
      </c>
      <c r="BG134" s="7" t="s">
        <v>653</v>
      </c>
      <c r="BH134" s="51" t="s">
        <v>654</v>
      </c>
      <c r="BI134" s="4" t="str">
        <f>IF(Table43[[#This Row],[SATUAN Fix Win]]&lt;&gt;"","KRT")</f>
        <v>KRT</v>
      </c>
      <c r="BJ134" s="4" t="str">
        <f>IF(Table43[[#This Row],[SATUAN Fix Win]]&lt;&gt;"","GD01")</f>
        <v>GD01</v>
      </c>
      <c r="BK134" s="4">
        <f>IF(Table43[[#This Row],[SATUAN Fix Win]]&lt;&gt;"",11611)</f>
        <v>11611</v>
      </c>
      <c r="BL134" s="4">
        <f>IF(Table43[[#This Row],[SATUAN Fix Win]]&lt;&gt;"",11612)</f>
        <v>11612</v>
      </c>
      <c r="BM134" s="47" t="s">
        <v>655</v>
      </c>
      <c r="BN134" s="4">
        <f>IF(Table43[[#This Row],[SATUAN Fix Win]]&lt;&gt;"",1)</f>
        <v>1</v>
      </c>
      <c r="BO134" s="4" t="s">
        <v>656</v>
      </c>
      <c r="BP134" s="4">
        <f>IFERROR(VLOOKUP(Table43[[#This Row],[Kode Pcpl]],'[1]HEINZ ABC'!$A$4:$E$112,8,0),0)</f>
        <v>0</v>
      </c>
      <c r="BQ134" s="55">
        <f>Table43[[#This Row],[Harga Jual Pcs GT
(-PPN)]]-Table43[[#This Row],[HARGA NAIK GT]]</f>
        <v>23317.57</v>
      </c>
      <c r="BR134" s="4">
        <f>IF(Table43[[#This Row],[HARGA NAIK GT]]=0,Table43[[#This Row],[Harga Jual Pcs GT
(-PPN)]],Table43[[#This Row],[HARGA NAIK GT]])</f>
        <v>23317.57</v>
      </c>
      <c r="BT134" s="58"/>
    </row>
    <row r="135" spans="1:76" s="76" customFormat="1" x14ac:dyDescent="0.25">
      <c r="A135" s="4" t="str">
        <f>CONCATENATE(Table43[[#This Row],[Kode BARANG Win2]],Table43[[#This Row],[No. Urut
Item Sama]])</f>
        <v>A10910010460102</v>
      </c>
      <c r="B135" s="7">
        <v>2</v>
      </c>
      <c r="C135" s="4"/>
      <c r="D135" s="27">
        <v>410075</v>
      </c>
      <c r="E135" s="27" t="s">
        <v>342</v>
      </c>
      <c r="F135" s="27" t="s">
        <v>1066</v>
      </c>
      <c r="G135" s="27">
        <v>12</v>
      </c>
      <c r="H135" s="42" t="s">
        <v>2427</v>
      </c>
      <c r="I135" s="27" t="str">
        <f>Table43[[#This Row],[Nama Jenis Kemasan]]</f>
        <v>BTL</v>
      </c>
      <c r="J135" s="4" t="str">
        <f>TRIM(CONCATENATE(Table43[[#This Row],[Nama            KLP]]," ",Table43[[#This Row],[Nama            Sub KLP]]))</f>
        <v>SIRUP SPECIAL GRADE</v>
      </c>
      <c r="K135" s="4" t="str">
        <f>CONCATENATE(Table43[[#This Row],[kode  2 Digit                (hrf+No)]],Table43[[#This Row],[kode  2 Digit                (Nomor)]],Table43[[#This Row],[kode  1 Digit                (Nomor)]])</f>
        <v>A1091</v>
      </c>
      <c r="L135" s="4" t="str">
        <f>IF(AG135="",CONCATENATE(Q135,S135,U135,W135,Y135,AA135,AC135,AE135,Table43[[#This Row],[Tanda Kode Revisi]]),CONCATENATE(Q135,S135,U135,W135,Y135,AA135,AC135,AG135))</f>
        <v>A1091001046010</v>
      </c>
      <c r="M135" s="11">
        <f t="shared" si="3"/>
        <v>14</v>
      </c>
      <c r="N135" s="14" t="str">
        <f>IF(AF135&lt;&gt;"",TRIM(UPPER(CONCATENATE(P135," ",R135," ",T135," ",V135," ",X135," ",Z135," ","X"," ",Table43[[#This Row],[ISI/CTN]]," ",AF135," ",AB135," ",AD135," ",AH135))),TRIM(UPPER(CONCATENATE(P135," ",R135," ",T135," ",V135," ",X135," ",Z135," ","X"," ",Table43[[#This Row],[ISI/CTN]]," ",AB135," ",AD135," ",AH135))))</f>
        <v>ABC SIRUP SPECIAL GRADE C.PANDAN 460 ML X 12 BTL</v>
      </c>
      <c r="O135" s="11">
        <f t="shared" si="4"/>
        <v>48</v>
      </c>
      <c r="P135" s="4" t="s">
        <v>28</v>
      </c>
      <c r="Q135" s="7" t="s">
        <v>85</v>
      </c>
      <c r="R135" s="4" t="s">
        <v>567</v>
      </c>
      <c r="S135" s="43" t="s">
        <v>568</v>
      </c>
      <c r="T135" s="44" t="s">
        <v>569</v>
      </c>
      <c r="U135" s="7">
        <v>1</v>
      </c>
      <c r="V135" s="44"/>
      <c r="W135" s="43" t="s">
        <v>1</v>
      </c>
      <c r="X135" s="4" t="s">
        <v>570</v>
      </c>
      <c r="Y135" s="45" t="s">
        <v>0</v>
      </c>
      <c r="Z135" s="4" t="s">
        <v>571</v>
      </c>
      <c r="AA135" s="45" t="s">
        <v>572</v>
      </c>
      <c r="AB135" s="4" t="s">
        <v>486</v>
      </c>
      <c r="AC135" s="7" t="s">
        <v>480</v>
      </c>
      <c r="AD135" s="4"/>
      <c r="AE135" s="7" t="s">
        <v>1</v>
      </c>
      <c r="AF135" s="7"/>
      <c r="AG135" s="7"/>
      <c r="AH135" s="7"/>
      <c r="AI135" s="7" t="s">
        <v>214</v>
      </c>
      <c r="AJ135" s="7">
        <v>2</v>
      </c>
      <c r="AK135" s="7"/>
      <c r="AL135" s="40">
        <v>21918.5252</v>
      </c>
      <c r="AM135" s="41">
        <f>Table43[[#This Row],[Harga Beli Pcs
(-PPN)]]*Table43[[#This Row],[ISI/CTN]]</f>
        <v>263022.30239999999</v>
      </c>
      <c r="AN135" s="41">
        <f>Table43[[#This Row],[Harga Beli Pcs
(-PPN)]]*1.11</f>
        <v>24329.562972000003</v>
      </c>
      <c r="AO135" s="41">
        <f>Table43[[#This Row],[Harga Beli Krt
(- PPN)]]*1.11</f>
        <v>291954.755664</v>
      </c>
      <c r="AP135" s="41">
        <v>23317.58</v>
      </c>
      <c r="AQ135" s="41">
        <f>Table43[[#This Row],[Harga Jual Pcs GT
(-PPN)]]*Table43[[#This Row],[ISI/CTN]]</f>
        <v>279810.96000000002</v>
      </c>
      <c r="AR135" s="41">
        <f>Table43[[#This Row],[Harga Jual Pcs GT
(-PPN)]]*1.11</f>
        <v>25882.513800000004</v>
      </c>
      <c r="AS135" s="41">
        <f>Table43[[#This Row],[Harga Jual Krt GT
(- PPN)]]*1.11</f>
        <v>310590.16560000007</v>
      </c>
      <c r="AT135" s="41"/>
      <c r="AU135" s="41">
        <f>(Table43[[#This Row],[Harga Jual Pcs MT
(-PPN)]]*Table43[[#This Row],[ISI/CTN]])</f>
        <v>0</v>
      </c>
      <c r="AV135" s="41">
        <f>Table43[[#This Row],[Harga Jual Pcs MT
(-PPN)]]*1.11</f>
        <v>0</v>
      </c>
      <c r="AW135" s="41">
        <f>Table43[[#This Row],[Harga Jual Pcs MT
(+PPN)]]*Table43[[#This Row],[ISI/CTN]]</f>
        <v>0</v>
      </c>
      <c r="AX135" s="41"/>
      <c r="AY135" s="46"/>
      <c r="AZ135" s="54"/>
      <c r="BA135" s="7" t="str">
        <f ca="1">IF(TODAY()-Table43[[#This Row],[Efektif
Pembuatan]]&gt;60,"Lama","Baru")</f>
        <v>Lama</v>
      </c>
      <c r="BB135" s="7" t="str">
        <f ca="1">IF(TODAY()-Table43[[#This Row],[Efektif Naik Harga]]&lt;30,"Naik","Sama")</f>
        <v>Sama</v>
      </c>
      <c r="BC135" s="7"/>
      <c r="BD135" s="7" t="str">
        <f>IF(Table43[[#This Row],[Kode BARANG Win2]]&lt;&gt;"","IDR","")</f>
        <v>IDR</v>
      </c>
      <c r="BE135" s="7" t="str">
        <f>CONCATENATE(Table43[[#This Row],[kode  1 Digit
(Nomor)]],Table43[[#This Row],[kode  4 Digit                (Nomor)]])</f>
        <v>20460</v>
      </c>
      <c r="BF135" s="7" t="str">
        <f>Table43[[#This Row],[Nama            Gramasi atau Jumlah Pack per CTN]]</f>
        <v>460 ML</v>
      </c>
      <c r="BG135" s="7"/>
      <c r="BH135" s="51"/>
      <c r="BI135" s="4" t="str">
        <f>IF(Table43[[#This Row],[SATUAN Fix Win]]&lt;&gt;"","KRT")</f>
        <v>KRT</v>
      </c>
      <c r="BJ135" s="4" t="str">
        <f>IF(Table43[[#This Row],[SATUAN Fix Win]]&lt;&gt;"","GD01")</f>
        <v>GD01</v>
      </c>
      <c r="BK135" s="4">
        <f>IF(Table43[[#This Row],[SATUAN Fix Win]]&lt;&gt;"",11611)</f>
        <v>11611</v>
      </c>
      <c r="BL135" s="4">
        <f>IF(Table43[[#This Row],[SATUAN Fix Win]]&lt;&gt;"",11612)</f>
        <v>11612</v>
      </c>
      <c r="BM135" s="47"/>
      <c r="BN135" s="4">
        <f>IF(Table43[[#This Row],[SATUAN Fix Win]]&lt;&gt;"",1)</f>
        <v>1</v>
      </c>
      <c r="BO135" s="4"/>
      <c r="BP135" s="4">
        <f>IFERROR(VLOOKUP(Table43[[#This Row],[Kode Pcpl]],'[1]HEINZ ABC'!$A$4:$E$112,8,0),0)</f>
        <v>0</v>
      </c>
      <c r="BQ135" s="55">
        <f>Table43[[#This Row],[Harga Jual Pcs GT
(-PPN)]]-Table43[[#This Row],[HARGA NAIK GT]]</f>
        <v>23317.58</v>
      </c>
      <c r="BR135" s="4">
        <f>IF(Table43[[#This Row],[HARGA NAIK GT]]=0,Table43[[#This Row],[Harga Jual Pcs GT
(-PPN)]],Table43[[#This Row],[HARGA NAIK GT]])</f>
        <v>23317.58</v>
      </c>
      <c r="BT135" s="77"/>
    </row>
    <row r="136" spans="1:76" s="76" customFormat="1" x14ac:dyDescent="0.25">
      <c r="A136" s="4" t="str">
        <f>CONCATENATE(Table43[[#This Row],[Kode BARANG Win2]],Table43[[#This Row],[No. Urut
Item Sama]])</f>
        <v>A10910020460101</v>
      </c>
      <c r="B136" s="7">
        <v>1</v>
      </c>
      <c r="C136" s="4">
        <v>121</v>
      </c>
      <c r="D136" s="27">
        <v>410068</v>
      </c>
      <c r="E136" s="27" t="s">
        <v>342</v>
      </c>
      <c r="F136" s="27" t="s">
        <v>345</v>
      </c>
      <c r="G136" s="27">
        <v>12</v>
      </c>
      <c r="H136" s="42" t="s">
        <v>2433</v>
      </c>
      <c r="I136" s="27" t="str">
        <f>Table43[[#This Row],[Nama Jenis Kemasan]]</f>
        <v>BTL</v>
      </c>
      <c r="J136" s="4" t="str">
        <f>TRIM(CONCATENATE(Table43[[#This Row],[Nama            KLP]]," ",Table43[[#This Row],[Nama            Sub KLP]]))</f>
        <v>SIRUP SPECIAL GRADE</v>
      </c>
      <c r="K136" s="4" t="str">
        <f>CONCATENATE(Table43[[#This Row],[kode  2 Digit                (hrf+No)]],Table43[[#This Row],[kode  2 Digit                (Nomor)]],Table43[[#This Row],[kode  1 Digit                (Nomor)]])</f>
        <v>A1091</v>
      </c>
      <c r="L136" s="4" t="str">
        <f>IF(AG136="",CONCATENATE(Q136,S136,U136,W136,Y136,AA136,AC136,AE136,Table43[[#This Row],[Tanda Kode Revisi]]),CONCATENATE(Q136,S136,U136,W136,Y136,AA136,AC136,AG136))</f>
        <v>A1091002046010</v>
      </c>
      <c r="M136" s="11">
        <f t="shared" si="3"/>
        <v>14</v>
      </c>
      <c r="N136" s="14" t="str">
        <f>IF(AF136&lt;&gt;"",TRIM(UPPER(CONCATENATE(P136," ",R136," ",T136," ",V136," ",X136," ",Z136," ","X"," ",Table43[[#This Row],[ISI/CTN]]," ",AF136," ",AB136," ",AD136," ",AH136))),TRIM(UPPER(CONCATENATE(P136," ",R136," ",T136," ",V136," ",X136," ",Z136," ","X"," ",Table43[[#This Row],[ISI/CTN]]," ",AB136," ",AD136," ",AH136))))</f>
        <v>ABC SIRUP SPECIAL GRADE MELON 460 ML X 12 BTL</v>
      </c>
      <c r="O136" s="11">
        <f t="shared" si="4"/>
        <v>45</v>
      </c>
      <c r="P136" s="4" t="s">
        <v>28</v>
      </c>
      <c r="Q136" s="7" t="s">
        <v>85</v>
      </c>
      <c r="R136" s="4" t="s">
        <v>567</v>
      </c>
      <c r="S136" s="43" t="s">
        <v>568</v>
      </c>
      <c r="T136" s="44" t="s">
        <v>569</v>
      </c>
      <c r="U136" s="7">
        <v>1</v>
      </c>
      <c r="V136" s="44"/>
      <c r="W136" s="43" t="s">
        <v>1</v>
      </c>
      <c r="X136" s="4" t="s">
        <v>573</v>
      </c>
      <c r="Y136" s="45" t="s">
        <v>31</v>
      </c>
      <c r="Z136" s="4" t="s">
        <v>571</v>
      </c>
      <c r="AA136" s="45" t="s">
        <v>572</v>
      </c>
      <c r="AB136" s="4" t="s">
        <v>486</v>
      </c>
      <c r="AC136" s="7" t="s">
        <v>480</v>
      </c>
      <c r="AD136" s="4"/>
      <c r="AE136" s="7" t="s">
        <v>1</v>
      </c>
      <c r="AF136" s="7"/>
      <c r="AG136" s="7"/>
      <c r="AH136" s="7"/>
      <c r="AI136" s="7" t="s">
        <v>214</v>
      </c>
      <c r="AJ136" s="7">
        <v>2</v>
      </c>
      <c r="AK136" s="7"/>
      <c r="AL136" s="40">
        <f>Table43[[#This Row],[Harga Jual Pcs GT
(-PPN)]]-(Table43[[#This Row],[Harga Jual Pcs GT
(-PPN)]]*6%)</f>
        <v>21918.515800000001</v>
      </c>
      <c r="AM136" s="41">
        <f>Table43[[#This Row],[Harga Beli Pcs
(-PPN)]]*Table43[[#This Row],[ISI/CTN]]</f>
        <v>263022.18960000004</v>
      </c>
      <c r="AN136" s="41">
        <f>Table43[[#This Row],[Harga Beli Pcs
(-PPN)]]*1.11</f>
        <v>24329.552538000004</v>
      </c>
      <c r="AO136" s="41">
        <f>Table43[[#This Row],[Harga Beli Krt
(- PPN)]]*1.11</f>
        <v>291954.6304560001</v>
      </c>
      <c r="AP136" s="41">
        <v>23317.57</v>
      </c>
      <c r="AQ136" s="41">
        <f>Table43[[#This Row],[Harga Jual Pcs GT
(-PPN)]]*Table43[[#This Row],[ISI/CTN]]</f>
        <v>279810.83999999997</v>
      </c>
      <c r="AR136" s="41">
        <f>Table43[[#This Row],[Harga Jual Pcs GT
(-PPN)]]*1.11</f>
        <v>25882.502700000001</v>
      </c>
      <c r="AS136" s="41">
        <f>Table43[[#This Row],[Harga Jual Krt GT
(- PPN)]]*1.11</f>
        <v>310590.03239999997</v>
      </c>
      <c r="AT136" s="41">
        <v>25183.224975324312</v>
      </c>
      <c r="AU136" s="41">
        <f>(Table43[[#This Row],[Harga Jual Pcs MT
(-PPN)]]*Table43[[#This Row],[ISI/CTN]])</f>
        <v>302198.69970389176</v>
      </c>
      <c r="AV136" s="41">
        <f>Table43[[#This Row],[Harga Jual Pcs MT
(-PPN)]]*1.11</f>
        <v>27953.379722609989</v>
      </c>
      <c r="AW136" s="41">
        <f>Table43[[#This Row],[Harga Jual Pcs MT
(+PPN)]]*Table43[[#This Row],[ISI/CTN]]</f>
        <v>335440.55667131988</v>
      </c>
      <c r="AX136" s="41"/>
      <c r="AY136" s="46">
        <v>45553</v>
      </c>
      <c r="AZ136" s="54">
        <v>45553</v>
      </c>
      <c r="BA136" s="7" t="str">
        <f ca="1">IF(TODAY()-Table43[[#This Row],[Efektif
Pembuatan]]&gt;60,"Lama","Baru")</f>
        <v>Lama</v>
      </c>
      <c r="BB136" s="7" t="str">
        <f ca="1">IF(TODAY()-Table43[[#This Row],[Efektif Naik Harga]]&lt;30,"Naik","Sama")</f>
        <v>Sama</v>
      </c>
      <c r="BC136" s="7" t="s">
        <v>235</v>
      </c>
      <c r="BD136" s="7" t="str">
        <f>IF(Table43[[#This Row],[Kode BARANG Win2]]&lt;&gt;"","IDR","")</f>
        <v>IDR</v>
      </c>
      <c r="BE136" s="7" t="str">
        <f>CONCATENATE(Table43[[#This Row],[kode  1 Digit
(Nomor)]],Table43[[#This Row],[kode  4 Digit                (Nomor)]])</f>
        <v>20460</v>
      </c>
      <c r="BF136" s="7" t="str">
        <f>Table43[[#This Row],[Nama            Gramasi atau Jumlah Pack per CTN]]</f>
        <v>460 ML</v>
      </c>
      <c r="BG136" s="7" t="s">
        <v>653</v>
      </c>
      <c r="BH136" s="51" t="s">
        <v>654</v>
      </c>
      <c r="BI136" s="4" t="str">
        <f>IF(Table43[[#This Row],[SATUAN Fix Win]]&lt;&gt;"","KRT")</f>
        <v>KRT</v>
      </c>
      <c r="BJ136" s="4" t="str">
        <f>IF(Table43[[#This Row],[SATUAN Fix Win]]&lt;&gt;"","GD01")</f>
        <v>GD01</v>
      </c>
      <c r="BK136" s="4">
        <f>IF(Table43[[#This Row],[SATUAN Fix Win]]&lt;&gt;"",11611)</f>
        <v>11611</v>
      </c>
      <c r="BL136" s="4">
        <f>IF(Table43[[#This Row],[SATUAN Fix Win]]&lt;&gt;"",11612)</f>
        <v>11612</v>
      </c>
      <c r="BM136" s="47" t="s">
        <v>655</v>
      </c>
      <c r="BN136" s="4">
        <f>IF(Table43[[#This Row],[SATUAN Fix Win]]&lt;&gt;"",1)</f>
        <v>1</v>
      </c>
      <c r="BO136" s="4" t="s">
        <v>656</v>
      </c>
      <c r="BP136" s="4">
        <f>IFERROR(VLOOKUP(Table43[[#This Row],[Kode Pcpl]],'[1]HEINZ ABC'!$A$4:$E$112,8,0),0)</f>
        <v>0</v>
      </c>
      <c r="BQ136" s="55">
        <f>Table43[[#This Row],[Harga Jual Pcs GT
(-PPN)]]-Table43[[#This Row],[HARGA NAIK GT]]</f>
        <v>23317.57</v>
      </c>
      <c r="BR136" s="4">
        <f>IF(Table43[[#This Row],[HARGA NAIK GT]]=0,Table43[[#This Row],[Harga Jual Pcs GT
(-PPN)]],Table43[[#This Row],[HARGA NAIK GT]])</f>
        <v>23317.57</v>
      </c>
      <c r="BT136" s="77"/>
    </row>
    <row r="137" spans="1:76" x14ac:dyDescent="0.25">
      <c r="A137" s="4" t="str">
        <f>CONCATENATE(Table43[[#This Row],[Kode BARANG Win2]],Table43[[#This Row],[No. Urut
Item Sama]])</f>
        <v>A10910020460102</v>
      </c>
      <c r="B137" s="7">
        <v>2</v>
      </c>
      <c r="C137" s="4">
        <v>122</v>
      </c>
      <c r="D137" s="27">
        <v>410073</v>
      </c>
      <c r="E137" s="27" t="s">
        <v>342</v>
      </c>
      <c r="F137" s="27" t="s">
        <v>346</v>
      </c>
      <c r="G137" s="27">
        <v>12</v>
      </c>
      <c r="H137" s="42" t="s">
        <v>2426</v>
      </c>
      <c r="I137" s="27" t="str">
        <f>Table43[[#This Row],[Nama Jenis Kemasan]]</f>
        <v>BTL</v>
      </c>
      <c r="J137" s="4" t="str">
        <f>TRIM(CONCATENATE(Table43[[#This Row],[Nama            KLP]]," ",Table43[[#This Row],[Nama            Sub KLP]]))</f>
        <v>SIRUP SPECIAL GRADE</v>
      </c>
      <c r="K137" s="4" t="str">
        <f>CONCATENATE(Table43[[#This Row],[kode  2 Digit                (hrf+No)]],Table43[[#This Row],[kode  2 Digit                (Nomor)]],Table43[[#This Row],[kode  1 Digit                (Nomor)]])</f>
        <v>A1091</v>
      </c>
      <c r="L137" s="4" t="str">
        <f>IF(AG137="",CONCATENATE(Q137,S137,U137,W137,Y137,AA137,AC137,AE137,Table43[[#This Row],[Tanda Kode Revisi]]),CONCATENATE(Q137,S137,U137,W137,Y137,AA137,AC137,AG137))</f>
        <v>A1091002046010</v>
      </c>
      <c r="M137" s="11">
        <f t="shared" si="3"/>
        <v>14</v>
      </c>
      <c r="N137" s="14" t="str">
        <f>IF(AF137&lt;&gt;"",TRIM(UPPER(CONCATENATE(P137," ",R137," ",T137," ",V137," ",X137," ",Z137," ","X"," ",Table43[[#This Row],[ISI/CTN]]," ",AF137," ",AB137," ",AD137," ",AH137))),TRIM(UPPER(CONCATENATE(P137," ",R137," ",T137," ",V137," ",X137," ",Z137," ","X"," ",Table43[[#This Row],[ISI/CTN]]," ",AB137," ",AD137," ",AH137))))</f>
        <v>ABC SIRUP SPECIAL GRADE MELON 460 ML X 12 BTL</v>
      </c>
      <c r="O137" s="11">
        <f t="shared" si="4"/>
        <v>45</v>
      </c>
      <c r="P137" s="4" t="s">
        <v>28</v>
      </c>
      <c r="Q137" s="7" t="s">
        <v>85</v>
      </c>
      <c r="R137" s="4" t="s">
        <v>567</v>
      </c>
      <c r="S137" s="43" t="s">
        <v>568</v>
      </c>
      <c r="T137" s="44" t="s">
        <v>569</v>
      </c>
      <c r="U137" s="7">
        <v>1</v>
      </c>
      <c r="V137" s="44"/>
      <c r="W137" s="43" t="s">
        <v>1</v>
      </c>
      <c r="X137" s="4" t="s">
        <v>573</v>
      </c>
      <c r="Y137" s="45" t="s">
        <v>31</v>
      </c>
      <c r="Z137" s="4" t="s">
        <v>571</v>
      </c>
      <c r="AA137" s="45" t="s">
        <v>572</v>
      </c>
      <c r="AB137" s="4" t="s">
        <v>486</v>
      </c>
      <c r="AC137" s="7" t="s">
        <v>480</v>
      </c>
      <c r="AE137" s="7" t="s">
        <v>1</v>
      </c>
      <c r="AI137" s="7" t="s">
        <v>214</v>
      </c>
      <c r="AJ137" s="7">
        <v>2</v>
      </c>
      <c r="AL137" s="40">
        <f>Table43[[#This Row],[Harga Jual Pcs GT
(-PPN)]]-(Table43[[#This Row],[Harga Jual Pcs GT
(-PPN)]]*6%)</f>
        <v>21918.515800000001</v>
      </c>
      <c r="AM137" s="41">
        <f>Table43[[#This Row],[Harga Beli Pcs
(-PPN)]]*Table43[[#This Row],[ISI/CTN]]</f>
        <v>263022.18960000004</v>
      </c>
      <c r="AN137" s="41">
        <f>Table43[[#This Row],[Harga Beli Pcs
(-PPN)]]*1.11</f>
        <v>24329.552538000004</v>
      </c>
      <c r="AO137" s="41">
        <f>Table43[[#This Row],[Harga Beli Krt
(- PPN)]]*1.11</f>
        <v>291954.6304560001</v>
      </c>
      <c r="AP137" s="41">
        <v>23317.57</v>
      </c>
      <c r="AQ137" s="41">
        <f>Table43[[#This Row],[Harga Jual Pcs GT
(-PPN)]]*Table43[[#This Row],[ISI/CTN]]</f>
        <v>279810.83999999997</v>
      </c>
      <c r="AR137" s="41">
        <f>Table43[[#This Row],[Harga Jual Pcs GT
(-PPN)]]*1.11</f>
        <v>25882.502700000001</v>
      </c>
      <c r="AS137" s="41">
        <f>Table43[[#This Row],[Harga Jual Krt GT
(- PPN)]]*1.11</f>
        <v>310590.03239999997</v>
      </c>
      <c r="AT137" s="41">
        <v>25183.224975324312</v>
      </c>
      <c r="AU137" s="41">
        <f>(Table43[[#This Row],[Harga Jual Pcs MT
(-PPN)]]*Table43[[#This Row],[ISI/CTN]])</f>
        <v>302198.69970389176</v>
      </c>
      <c r="AV137" s="41">
        <f>Table43[[#This Row],[Harga Jual Pcs MT
(-PPN)]]*1.11</f>
        <v>27953.379722609989</v>
      </c>
      <c r="AW137" s="41">
        <f>Table43[[#This Row],[Harga Jual Pcs MT
(+PPN)]]*Table43[[#This Row],[ISI/CTN]]</f>
        <v>335440.55667131988</v>
      </c>
      <c r="AX137" s="41"/>
      <c r="AY137" s="46">
        <v>45553</v>
      </c>
      <c r="AZ137" s="54">
        <v>45553</v>
      </c>
      <c r="BA137" s="7" t="str">
        <f ca="1">IF(TODAY()-Table43[[#This Row],[Efektif
Pembuatan]]&gt;60,"Lama","Baru")</f>
        <v>Lama</v>
      </c>
      <c r="BB137" s="7" t="str">
        <f ca="1">IF(TODAY()-Table43[[#This Row],[Efektif Naik Harga]]&lt;30,"Naik","Sama")</f>
        <v>Sama</v>
      </c>
      <c r="BC137" s="7" t="s">
        <v>235</v>
      </c>
      <c r="BD137" s="7" t="str">
        <f>IF(Table43[[#This Row],[Kode BARANG Win2]]&lt;&gt;"","IDR","")</f>
        <v>IDR</v>
      </c>
      <c r="BE137" s="7" t="str">
        <f>CONCATENATE(Table43[[#This Row],[kode  1 Digit
(Nomor)]],Table43[[#This Row],[kode  4 Digit                (Nomor)]])</f>
        <v>20460</v>
      </c>
      <c r="BF137" s="7" t="str">
        <f>Table43[[#This Row],[Nama            Gramasi atau Jumlah Pack per CTN]]</f>
        <v>460 ML</v>
      </c>
      <c r="BG137" s="7" t="s">
        <v>653</v>
      </c>
      <c r="BH137" s="51" t="s">
        <v>654</v>
      </c>
      <c r="BI137" s="4" t="str">
        <f>IF(Table43[[#This Row],[SATUAN Fix Win]]&lt;&gt;"","KRT")</f>
        <v>KRT</v>
      </c>
      <c r="BJ137" s="4" t="str">
        <f>IF(Table43[[#This Row],[SATUAN Fix Win]]&lt;&gt;"","GD01")</f>
        <v>GD01</v>
      </c>
      <c r="BK137" s="4">
        <f>IF(Table43[[#This Row],[SATUAN Fix Win]]&lt;&gt;"",11611)</f>
        <v>11611</v>
      </c>
      <c r="BL137" s="4">
        <f>IF(Table43[[#This Row],[SATUAN Fix Win]]&lt;&gt;"",11612)</f>
        <v>11612</v>
      </c>
      <c r="BM137" s="47" t="s">
        <v>655</v>
      </c>
      <c r="BN137" s="4">
        <f>IF(Table43[[#This Row],[SATUAN Fix Win]]&lt;&gt;"",1)</f>
        <v>1</v>
      </c>
      <c r="BO137" s="4" t="s">
        <v>656</v>
      </c>
      <c r="BP137" s="4">
        <f>IFERROR(VLOOKUP(Table43[[#This Row],[Kode Pcpl]],'[1]HEINZ ABC'!$A$4:$E$112,8,0),0)</f>
        <v>0</v>
      </c>
      <c r="BQ137" s="55">
        <f>Table43[[#This Row],[Harga Jual Pcs GT
(-PPN)]]-Table43[[#This Row],[HARGA NAIK GT]]</f>
        <v>23317.57</v>
      </c>
      <c r="BR137" s="4">
        <f>IF(Table43[[#This Row],[HARGA NAIK GT]]=0,Table43[[#This Row],[Harga Jual Pcs GT
(-PPN)]],Table43[[#This Row],[HARGA NAIK GT]])</f>
        <v>23317.57</v>
      </c>
      <c r="BS137">
        <f>IFERROR(VLOOKUP(Table43[[#This Row],[Kode Pcpl]],'[1]HEINZ ABC'!$A$4:$E$112,8,0),0)</f>
        <v>0</v>
      </c>
      <c r="BT137" s="58">
        <f>Table43[[#This Row],[Harga Jual Pcs GT
(-PPN)]]-BS137</f>
        <v>23317.57</v>
      </c>
      <c r="BU137">
        <f>IF(BS137=0,Table43[[#This Row],[Harga Jual Pcs MT
(-PPN)]])</f>
        <v>25183.224975324312</v>
      </c>
      <c r="BV137">
        <f>IFERROR(VLOOKUP(Table43[[#This Row],[Kode Pcpl]],[2]Pricelist!$A$4:$K$112,11,0),0)</f>
        <v>0</v>
      </c>
      <c r="BW137">
        <f>IFERROR(VLOOKUP(Table43[[#This Row],[Kode BARANG Win2]],[3]!RECKITT211216[[KDBRG]:[HRG_JL_PCS-PPN]],11,0),0)</f>
        <v>0</v>
      </c>
      <c r="BX137">
        <f t="shared" si="5"/>
        <v>0</v>
      </c>
    </row>
    <row r="138" spans="1:76" x14ac:dyDescent="0.25">
      <c r="A138" s="4" t="str">
        <f>CONCATENATE(Table43[[#This Row],[Kode BARANG Win2]],Table43[[#This Row],[No. Urut
Item Sama]])</f>
        <v>A10920010450101</v>
      </c>
      <c r="B138" s="7">
        <v>1</v>
      </c>
      <c r="C138" s="4">
        <v>123</v>
      </c>
      <c r="D138" s="27">
        <v>400129</v>
      </c>
      <c r="E138" s="27" t="s">
        <v>347</v>
      </c>
      <c r="F138" s="27" t="s">
        <v>348</v>
      </c>
      <c r="G138" s="27">
        <v>12</v>
      </c>
      <c r="H138" s="42" t="s">
        <v>2445</v>
      </c>
      <c r="I138" s="27" t="str">
        <f>Table43[[#This Row],[Nama Jenis Kemasan]]</f>
        <v>BTL</v>
      </c>
      <c r="J138" s="4" t="str">
        <f>TRIM(CONCATENATE(Table43[[#This Row],[Nama            KLP]]," ",Table43[[#This Row],[Nama            Sub KLP]]))</f>
        <v>SIRUP SQUASH</v>
      </c>
      <c r="K138" s="4" t="str">
        <f>CONCATENATE(Table43[[#This Row],[kode  2 Digit                (hrf+No)]],Table43[[#This Row],[kode  2 Digit                (Nomor)]],Table43[[#This Row],[kode  1 Digit                (Nomor)]])</f>
        <v>A1092</v>
      </c>
      <c r="L138" s="4" t="str">
        <f>IF(AG138="",CONCATENATE(Q138,S138,U138,W138,Y138,AA138,AC138,AE138,Table43[[#This Row],[Tanda Kode Revisi]]),CONCATENATE(Q138,S138,U138,W138,Y138,AA138,AC138,AG138))</f>
        <v>A1092001045010</v>
      </c>
      <c r="M138" s="11">
        <f t="shared" ref="M138:M211" si="6">LEN(L138)</f>
        <v>14</v>
      </c>
      <c r="N138" s="14" t="str">
        <f>IF(AF138&lt;&gt;"",TRIM(UPPER(CONCATENATE(P138," ",R138," ",T138," ",V138," ",X138," ",Z138," ","X"," ",Table43[[#This Row],[ISI/CTN]]," ",AF138," ",AB138," ",AD138," ",AH138))),TRIM(UPPER(CONCATENATE(P138," ",R138," ",T138," ",V138," ",X138," ",Z138," ","X"," ",Table43[[#This Row],[ISI/CTN]]," ",AB138," ",AD138," ",AH138))))</f>
        <v>ABC SIRUP SQUASH ORANGE 450 ML X 12 BTL</v>
      </c>
      <c r="O138" s="11">
        <f t="shared" ref="O138:O211" si="7">LEN(N138)</f>
        <v>39</v>
      </c>
      <c r="P138" s="4" t="s">
        <v>28</v>
      </c>
      <c r="Q138" s="7" t="s">
        <v>85</v>
      </c>
      <c r="R138" s="4" t="s">
        <v>567</v>
      </c>
      <c r="S138" s="43" t="s">
        <v>568</v>
      </c>
      <c r="T138" s="44" t="s">
        <v>347</v>
      </c>
      <c r="U138" s="7">
        <v>2</v>
      </c>
      <c r="V138" s="44"/>
      <c r="W138" s="43" t="s">
        <v>1</v>
      </c>
      <c r="X138" s="4" t="s">
        <v>554</v>
      </c>
      <c r="Y138" s="45" t="s">
        <v>0</v>
      </c>
      <c r="Z138" s="4" t="s">
        <v>574</v>
      </c>
      <c r="AA138" s="45" t="s">
        <v>575</v>
      </c>
      <c r="AB138" s="4" t="s">
        <v>486</v>
      </c>
      <c r="AC138" s="7" t="s">
        <v>480</v>
      </c>
      <c r="AE138" s="7" t="s">
        <v>1</v>
      </c>
      <c r="AI138" s="7" t="s">
        <v>214</v>
      </c>
      <c r="AJ138" s="7">
        <v>2</v>
      </c>
      <c r="AL138" s="40">
        <f>Table43[[#This Row],[Harga Jual Pcs GT
(-PPN)]]-(Table43[[#This Row],[Harga Jual Pcs GT
(-PPN)]]*6%)</f>
        <v>12759.8608</v>
      </c>
      <c r="AM138" s="41">
        <f>Table43[[#This Row],[Harga Beli Pcs
(-PPN)]]*Table43[[#This Row],[ISI/CTN]]</f>
        <v>153118.3296</v>
      </c>
      <c r="AN138" s="41">
        <f>Table43[[#This Row],[Harga Beli Pcs
(-PPN)]]*1.11</f>
        <v>14163.445488000001</v>
      </c>
      <c r="AO138" s="41">
        <f>Table43[[#This Row],[Harga Beli Krt
(- PPN)]]*1.11</f>
        <v>169961.345856</v>
      </c>
      <c r="AP138" s="41">
        <v>13574.32</v>
      </c>
      <c r="AQ138" s="41">
        <f>Table43[[#This Row],[Harga Jual Pcs GT
(-PPN)]]*Table43[[#This Row],[ISI/CTN]]</f>
        <v>162891.84</v>
      </c>
      <c r="AR138" s="41">
        <f>Table43[[#This Row],[Harga Jual Pcs GT
(-PPN)]]*1.11</f>
        <v>15067.495200000001</v>
      </c>
      <c r="AS138" s="41">
        <f>Table43[[#This Row],[Harga Jual Krt GT
(- PPN)]]*1.11</f>
        <v>180809.9424</v>
      </c>
      <c r="AT138" s="41">
        <v>13574.32</v>
      </c>
      <c r="AU138" s="41">
        <f>(Table43[[#This Row],[Harga Jual Pcs MT
(-PPN)]]*Table43[[#This Row],[ISI/CTN]])</f>
        <v>162891.84</v>
      </c>
      <c r="AV138" s="41">
        <f>Table43[[#This Row],[Harga Jual Pcs MT
(-PPN)]]*1.11</f>
        <v>15067.495200000001</v>
      </c>
      <c r="AW138" s="41">
        <f>Table43[[#This Row],[Harga Jual Pcs MT
(+PPN)]]*Table43[[#This Row],[ISI/CTN]]</f>
        <v>180809.9424</v>
      </c>
      <c r="AX138" s="41"/>
      <c r="AY138" s="46">
        <v>45553</v>
      </c>
      <c r="AZ138" s="54">
        <v>45553</v>
      </c>
      <c r="BA138" s="7" t="str">
        <f ca="1">IF(TODAY()-Table43[[#This Row],[Efektif
Pembuatan]]&gt;60,"Lama","Baru")</f>
        <v>Lama</v>
      </c>
      <c r="BB138" s="7" t="str">
        <f ca="1">IF(TODAY()-Table43[[#This Row],[Efektif Naik Harga]]&lt;30,"Naik","Sama")</f>
        <v>Sama</v>
      </c>
      <c r="BC138" s="7" t="s">
        <v>235</v>
      </c>
      <c r="BD138" s="7" t="str">
        <f>IF(Table43[[#This Row],[Kode BARANG Win2]]&lt;&gt;"","IDR","")</f>
        <v>IDR</v>
      </c>
      <c r="BE138" s="7" t="str">
        <f>CONCATENATE(Table43[[#This Row],[kode  1 Digit
(Nomor)]],Table43[[#This Row],[kode  4 Digit                (Nomor)]])</f>
        <v>20450</v>
      </c>
      <c r="BF138" s="7" t="str">
        <f>Table43[[#This Row],[Nama            Gramasi atau Jumlah Pack per CTN]]</f>
        <v>450 ML</v>
      </c>
      <c r="BG138" s="7" t="s">
        <v>653</v>
      </c>
      <c r="BH138" s="51" t="s">
        <v>654</v>
      </c>
      <c r="BI138" s="4" t="str">
        <f>IF(Table43[[#This Row],[SATUAN Fix Win]]&lt;&gt;"","KRT")</f>
        <v>KRT</v>
      </c>
      <c r="BJ138" s="4" t="str">
        <f>IF(Table43[[#This Row],[SATUAN Fix Win]]&lt;&gt;"","GD01")</f>
        <v>GD01</v>
      </c>
      <c r="BK138" s="4">
        <f>IF(Table43[[#This Row],[SATUAN Fix Win]]&lt;&gt;"",11611)</f>
        <v>11611</v>
      </c>
      <c r="BL138" s="4">
        <f>IF(Table43[[#This Row],[SATUAN Fix Win]]&lt;&gt;"",11612)</f>
        <v>11612</v>
      </c>
      <c r="BM138" s="47" t="s">
        <v>655</v>
      </c>
      <c r="BN138" s="4">
        <f>IF(Table43[[#This Row],[SATUAN Fix Win]]&lt;&gt;"",1)</f>
        <v>1</v>
      </c>
      <c r="BO138" s="4" t="s">
        <v>656</v>
      </c>
      <c r="BP138" s="4">
        <f>IFERROR(VLOOKUP(Table43[[#This Row],[Kode Pcpl]],'[1]HEINZ ABC'!$A$4:$E$112,8,0),0)</f>
        <v>0</v>
      </c>
      <c r="BQ138" s="55">
        <f>Table43[[#This Row],[Harga Jual Pcs GT
(-PPN)]]-Table43[[#This Row],[HARGA NAIK GT]]</f>
        <v>13574.32</v>
      </c>
      <c r="BR138" s="4">
        <f>IF(Table43[[#This Row],[HARGA NAIK GT]]=0,Table43[[#This Row],[Harga Jual Pcs GT
(-PPN)]],Table43[[#This Row],[HARGA NAIK GT]])</f>
        <v>13574.32</v>
      </c>
      <c r="BS138">
        <f>IFERROR(VLOOKUP(Table43[[#This Row],[Kode Pcpl]],'[1]HEINZ ABC'!$A$4:$E$112,8,0),0)</f>
        <v>0</v>
      </c>
      <c r="BT138" s="58">
        <f>Table43[[#This Row],[Harga Jual Pcs GT
(-PPN)]]-BS138</f>
        <v>13574.32</v>
      </c>
      <c r="BU138">
        <f>IF(BS138=0,Table43[[#This Row],[Harga Jual Pcs MT
(-PPN)]])</f>
        <v>13574.32</v>
      </c>
      <c r="BV138">
        <f>IFERROR(VLOOKUP(Table43[[#This Row],[Kode Pcpl]],[2]Pricelist!$A$4:$K$112,11,0),0)</f>
        <v>0</v>
      </c>
      <c r="BW138">
        <f>IFERROR(VLOOKUP(Table43[[#This Row],[Kode BARANG Win2]],[3]!RECKITT211216[[KDBRG]:[HRG_JL_PCS-PPN]],11,0),0)</f>
        <v>0</v>
      </c>
      <c r="BX138">
        <f t="shared" si="5"/>
        <v>0</v>
      </c>
    </row>
    <row r="139" spans="1:76" x14ac:dyDescent="0.25">
      <c r="A139" s="4" t="str">
        <f>CONCATENATE(Table43[[#This Row],[Kode BARANG Win2]],Table43[[#This Row],[No. Urut
Item Sama]])</f>
        <v>A10920010450102</v>
      </c>
      <c r="B139" s="7">
        <v>2</v>
      </c>
      <c r="C139" s="4">
        <v>124</v>
      </c>
      <c r="D139" s="27">
        <v>400135</v>
      </c>
      <c r="E139" s="27" t="s">
        <v>347</v>
      </c>
      <c r="F139" s="27" t="s">
        <v>349</v>
      </c>
      <c r="G139" s="27">
        <v>12</v>
      </c>
      <c r="H139" s="42" t="s">
        <v>2446</v>
      </c>
      <c r="I139" s="27" t="str">
        <f>Table43[[#This Row],[Nama Jenis Kemasan]]</f>
        <v>BTL</v>
      </c>
      <c r="J139" s="4" t="str">
        <f>TRIM(CONCATENATE(Table43[[#This Row],[Nama            KLP]]," ",Table43[[#This Row],[Nama            Sub KLP]]))</f>
        <v>SIRUP SQUASH</v>
      </c>
      <c r="K139" s="4" t="str">
        <f>CONCATENATE(Table43[[#This Row],[kode  2 Digit                (hrf+No)]],Table43[[#This Row],[kode  2 Digit                (Nomor)]],Table43[[#This Row],[kode  1 Digit                (Nomor)]])</f>
        <v>A1092</v>
      </c>
      <c r="L139" s="4" t="str">
        <f>IF(AG139="",CONCATENATE(Q139,S139,U139,W139,Y139,AA139,AC139,AE139,Table43[[#This Row],[Tanda Kode Revisi]]),CONCATENATE(Q139,S139,U139,W139,Y139,AA139,AC139,AG139))</f>
        <v>A1092001045010</v>
      </c>
      <c r="M139" s="11">
        <f t="shared" si="6"/>
        <v>14</v>
      </c>
      <c r="N139" s="14" t="str">
        <f>IF(AF139&lt;&gt;"",TRIM(UPPER(CONCATENATE(P139," ",R139," ",T139," ",V139," ",X139," ",Z139," ","X"," ",Table43[[#This Row],[ISI/CTN]]," ",AF139," ",AB139," ",AD139," ",AH139))),TRIM(UPPER(CONCATENATE(P139," ",R139," ",T139," ",V139," ",X139," ",Z139," ","X"," ",Table43[[#This Row],[ISI/CTN]]," ",AB139," ",AD139," ",AH139))))</f>
        <v>ABC SIRUP SQUASH ORANGE 450 ML X 12 BTL</v>
      </c>
      <c r="O139" s="11">
        <f t="shared" si="7"/>
        <v>39</v>
      </c>
      <c r="P139" s="4" t="s">
        <v>28</v>
      </c>
      <c r="Q139" s="7" t="s">
        <v>85</v>
      </c>
      <c r="R139" s="4" t="s">
        <v>567</v>
      </c>
      <c r="S139" s="43" t="s">
        <v>568</v>
      </c>
      <c r="T139" s="44" t="s">
        <v>347</v>
      </c>
      <c r="U139" s="7">
        <v>2</v>
      </c>
      <c r="V139" s="44"/>
      <c r="W139" s="43" t="s">
        <v>1</v>
      </c>
      <c r="X139" s="4" t="s">
        <v>554</v>
      </c>
      <c r="Y139" s="45" t="s">
        <v>0</v>
      </c>
      <c r="Z139" s="4" t="s">
        <v>574</v>
      </c>
      <c r="AA139" s="45" t="s">
        <v>575</v>
      </c>
      <c r="AB139" s="4" t="s">
        <v>486</v>
      </c>
      <c r="AC139" s="7" t="s">
        <v>480</v>
      </c>
      <c r="AE139" s="7" t="s">
        <v>1</v>
      </c>
      <c r="AI139" s="7" t="s">
        <v>214</v>
      </c>
      <c r="AJ139" s="7">
        <v>2</v>
      </c>
      <c r="AL139" s="40">
        <f>Table43[[#This Row],[Harga Jual Pcs GT
(-PPN)]]-(Table43[[#This Row],[Harga Jual Pcs GT
(-PPN)]]*6%)</f>
        <v>12759.8608</v>
      </c>
      <c r="AM139" s="41">
        <f>Table43[[#This Row],[Harga Beli Pcs
(-PPN)]]*Table43[[#This Row],[ISI/CTN]]</f>
        <v>153118.3296</v>
      </c>
      <c r="AN139" s="41">
        <f>Table43[[#This Row],[Harga Beli Pcs
(-PPN)]]*1.11</f>
        <v>14163.445488000001</v>
      </c>
      <c r="AO139" s="41">
        <f>Table43[[#This Row],[Harga Beli Krt
(- PPN)]]*1.11</f>
        <v>169961.345856</v>
      </c>
      <c r="AP139" s="41">
        <v>13574.32</v>
      </c>
      <c r="AQ139" s="41">
        <f>Table43[[#This Row],[Harga Jual Pcs GT
(-PPN)]]*Table43[[#This Row],[ISI/CTN]]</f>
        <v>162891.84</v>
      </c>
      <c r="AR139" s="41">
        <f>Table43[[#This Row],[Harga Jual Pcs GT
(-PPN)]]*1.11</f>
        <v>15067.495200000001</v>
      </c>
      <c r="AS139" s="41">
        <f>Table43[[#This Row],[Harga Jual Krt GT
(- PPN)]]*1.11</f>
        <v>180809.9424</v>
      </c>
      <c r="AT139" s="41">
        <v>13574.32</v>
      </c>
      <c r="AU139" s="41">
        <f>(Table43[[#This Row],[Harga Jual Pcs MT
(-PPN)]]*Table43[[#This Row],[ISI/CTN]])</f>
        <v>162891.84</v>
      </c>
      <c r="AV139" s="41">
        <f>Table43[[#This Row],[Harga Jual Pcs MT
(-PPN)]]*1.11</f>
        <v>15067.495200000001</v>
      </c>
      <c r="AW139" s="41">
        <f>Table43[[#This Row],[Harga Jual Pcs MT
(+PPN)]]*Table43[[#This Row],[ISI/CTN]]</f>
        <v>180809.9424</v>
      </c>
      <c r="AX139" s="41"/>
      <c r="AY139" s="46">
        <v>45553</v>
      </c>
      <c r="AZ139" s="54">
        <v>45553</v>
      </c>
      <c r="BA139" s="7" t="str">
        <f ca="1">IF(TODAY()-Table43[[#This Row],[Efektif
Pembuatan]]&gt;60,"Lama","Baru")</f>
        <v>Lama</v>
      </c>
      <c r="BB139" s="7" t="str">
        <f ca="1">IF(TODAY()-Table43[[#This Row],[Efektif Naik Harga]]&lt;30,"Naik","Sama")</f>
        <v>Sama</v>
      </c>
      <c r="BC139" s="7" t="s">
        <v>235</v>
      </c>
      <c r="BD139" s="7" t="str">
        <f>IF(Table43[[#This Row],[Kode BARANG Win2]]&lt;&gt;"","IDR","")</f>
        <v>IDR</v>
      </c>
      <c r="BE139" s="7" t="str">
        <f>CONCATENATE(Table43[[#This Row],[kode  1 Digit
(Nomor)]],Table43[[#This Row],[kode  4 Digit                (Nomor)]])</f>
        <v>20450</v>
      </c>
      <c r="BF139" s="7" t="str">
        <f>Table43[[#This Row],[Nama            Gramasi atau Jumlah Pack per CTN]]</f>
        <v>450 ML</v>
      </c>
      <c r="BG139" s="7" t="s">
        <v>653</v>
      </c>
      <c r="BH139" s="51" t="s">
        <v>654</v>
      </c>
      <c r="BI139" s="4" t="str">
        <f>IF(Table43[[#This Row],[SATUAN Fix Win]]&lt;&gt;"","KRT")</f>
        <v>KRT</v>
      </c>
      <c r="BJ139" s="4" t="str">
        <f>IF(Table43[[#This Row],[SATUAN Fix Win]]&lt;&gt;"","GD01")</f>
        <v>GD01</v>
      </c>
      <c r="BK139" s="4">
        <f>IF(Table43[[#This Row],[SATUAN Fix Win]]&lt;&gt;"",11611)</f>
        <v>11611</v>
      </c>
      <c r="BL139" s="4">
        <f>IF(Table43[[#This Row],[SATUAN Fix Win]]&lt;&gt;"",11612)</f>
        <v>11612</v>
      </c>
      <c r="BM139" s="47" t="s">
        <v>655</v>
      </c>
      <c r="BN139" s="4">
        <f>IF(Table43[[#This Row],[SATUAN Fix Win]]&lt;&gt;"",1)</f>
        <v>1</v>
      </c>
      <c r="BO139" s="4" t="s">
        <v>656</v>
      </c>
      <c r="BP139" s="4">
        <f>IFERROR(VLOOKUP(Table43[[#This Row],[Kode Pcpl]],'[1]HEINZ ABC'!$A$4:$E$112,8,0),0)</f>
        <v>0</v>
      </c>
      <c r="BQ139" s="55">
        <f>Table43[[#This Row],[Harga Jual Pcs GT
(-PPN)]]-Table43[[#This Row],[HARGA NAIK GT]]</f>
        <v>13574.32</v>
      </c>
      <c r="BR139" s="4">
        <f>IF(Table43[[#This Row],[HARGA NAIK GT]]=0,Table43[[#This Row],[Harga Jual Pcs GT
(-PPN)]],Table43[[#This Row],[HARGA NAIK GT]])</f>
        <v>13574.32</v>
      </c>
      <c r="BS139">
        <f>IFERROR(VLOOKUP(Table43[[#This Row],[Kode Pcpl]],'[1]HEINZ ABC'!$A$4:$E$112,8,0),0)</f>
        <v>0</v>
      </c>
      <c r="BT139" s="58">
        <f>Table43[[#This Row],[Harga Jual Pcs GT
(-PPN)]]-BS139</f>
        <v>13574.32</v>
      </c>
      <c r="BU139">
        <f>IF(BS139=0,Table43[[#This Row],[Harga Jual Pcs MT
(-PPN)]])</f>
        <v>13574.32</v>
      </c>
      <c r="BV139">
        <f>IFERROR(VLOOKUP(Table43[[#This Row],[Kode Pcpl]],[2]Pricelist!$A$4:$K$112,11,0),0)</f>
        <v>0</v>
      </c>
      <c r="BW139">
        <f>IFERROR(VLOOKUP(Table43[[#This Row],[Kode BARANG Win2]],[3]!RECKITT211216[[KDBRG]:[HRG_JL_PCS-PPN]],11,0),0)</f>
        <v>0</v>
      </c>
      <c r="BX139">
        <f t="shared" si="5"/>
        <v>0</v>
      </c>
    </row>
    <row r="140" spans="1:76" s="94" customFormat="1" x14ac:dyDescent="0.25">
      <c r="A140" s="60" t="str">
        <f>CONCATENATE(Table43[[#This Row],[Kode BARANG Win2]],Table43[[#This Row],[No. Urut
Item Sama]])</f>
        <v>A10920070425103</v>
      </c>
      <c r="B140" s="61">
        <v>3</v>
      </c>
      <c r="C140" s="60">
        <v>284</v>
      </c>
      <c r="D140" s="62">
        <v>400154</v>
      </c>
      <c r="E140" s="62"/>
      <c r="F140" s="62" t="s">
        <v>1088</v>
      </c>
      <c r="G140" s="62">
        <v>12</v>
      </c>
      <c r="H140" s="63" t="s">
        <v>2450</v>
      </c>
      <c r="I140" s="62" t="str">
        <f>Table43[[#This Row],[Nama Jenis Kemasan]]</f>
        <v>BTL</v>
      </c>
      <c r="J140" s="60" t="str">
        <f>TRIM(CONCATENATE(Table43[[#This Row],[Nama            KLP]]," ",Table43[[#This Row],[Nama            Sub KLP]]))</f>
        <v>SIRUP SQUASH</v>
      </c>
      <c r="K140" s="60" t="str">
        <f>CONCATENATE(Table43[[#This Row],[kode  2 Digit                (hrf+No)]],Table43[[#This Row],[kode  2 Digit                (Nomor)]],Table43[[#This Row],[kode  1 Digit                (Nomor)]])</f>
        <v>A1092</v>
      </c>
      <c r="L140" s="60" t="str">
        <f>IF(AG140="",CONCATENATE(Q140,S140,U140,W140,Y140,AA140,AC140,AE140,Table43[[#This Row],[Tanda Kode Revisi]]),CONCATENATE(Q140,S140,U140,W140,Y140,AA140,AC140,AG140))</f>
        <v>A1092007042510</v>
      </c>
      <c r="M140" s="11">
        <f t="shared" si="6"/>
        <v>14</v>
      </c>
      <c r="N140" s="14" t="str">
        <f>IF(AF140&lt;&gt;"",TRIM(UPPER(CONCATENATE(P140," ",R140," ",T140," ",V140," ",X140," ",Z140," ","X"," ",Table43[[#This Row],[ISI/CTN]]," ",AF140," ",AB140," ",AD140," ",AH140))),TRIM(UPPER(CONCATENATE(P140," ",R140," ",T140," ",V140," ",X140," ",Z140," ","X"," ",Table43[[#This Row],[ISI/CTN]]," ",AB140," ",AD140," ",AH140))))</f>
        <v>ABC SIRUP SQUASH C.PANDAN 425 ML X 12 BTL</v>
      </c>
      <c r="O140" s="11">
        <f t="shared" si="7"/>
        <v>41</v>
      </c>
      <c r="P140" s="4" t="s">
        <v>28</v>
      </c>
      <c r="Q140" s="7" t="s">
        <v>85</v>
      </c>
      <c r="R140" s="4" t="s">
        <v>567</v>
      </c>
      <c r="S140" s="43" t="s">
        <v>568</v>
      </c>
      <c r="T140" s="44" t="s">
        <v>347</v>
      </c>
      <c r="U140" s="7">
        <v>2</v>
      </c>
      <c r="V140" s="44"/>
      <c r="W140" s="43" t="s">
        <v>1</v>
      </c>
      <c r="X140" s="4" t="s">
        <v>570</v>
      </c>
      <c r="Y140" s="45" t="s">
        <v>222</v>
      </c>
      <c r="Z140" s="4" t="s">
        <v>1089</v>
      </c>
      <c r="AA140" s="45" t="s">
        <v>584</v>
      </c>
      <c r="AB140" s="4" t="s">
        <v>486</v>
      </c>
      <c r="AC140" s="7" t="s">
        <v>480</v>
      </c>
      <c r="AD140" s="4"/>
      <c r="AE140" s="7" t="s">
        <v>1</v>
      </c>
      <c r="AF140" s="7"/>
      <c r="AG140" s="7"/>
      <c r="AH140" s="7"/>
      <c r="AI140" s="7" t="s">
        <v>214</v>
      </c>
      <c r="AJ140" s="7">
        <v>2</v>
      </c>
      <c r="AK140" s="61"/>
      <c r="AL140" s="40">
        <f>Table43[[#This Row],[Harga Jual Pcs GT
(-PPN)]]-(Table43[[#This Row],[Harga Jual Pcs GT
(-PPN)]]*6%)</f>
        <v>12759.870199999999</v>
      </c>
      <c r="AM140" s="41">
        <f>Table43[[#This Row],[Harga Beli Pcs
(-PPN)]]*Table43[[#This Row],[ISI/CTN]]</f>
        <v>153118.4424</v>
      </c>
      <c r="AN140" s="41">
        <f>Table43[[#This Row],[Harga Beli Pcs
(-PPN)]]*1.11</f>
        <v>14163.455922000001</v>
      </c>
      <c r="AO140" s="41">
        <f>Table43[[#This Row],[Harga Beli Krt
(- PPN)]]*1.11</f>
        <v>169961.47106400001</v>
      </c>
      <c r="AP140" s="41">
        <v>13574.33</v>
      </c>
      <c r="AQ140" s="41">
        <f>Table43[[#This Row],[Harga Jual Pcs GT
(-PPN)]]*Table43[[#This Row],[ISI/CTN]]</f>
        <v>162891.96</v>
      </c>
      <c r="AR140" s="41">
        <f>Table43[[#This Row],[Harga Jual Pcs GT
(-PPN)]]*1.11</f>
        <v>15067.506300000001</v>
      </c>
      <c r="AS140" s="41">
        <f>Table43[[#This Row],[Harga Jual Krt GT
(- PPN)]]*1.11</f>
        <v>180810.07560000001</v>
      </c>
      <c r="AT140" s="41">
        <v>13574.33</v>
      </c>
      <c r="AU140" s="41">
        <f>(Table43[[#This Row],[Harga Jual Pcs MT
(-PPN)]]*Table43[[#This Row],[ISI/CTN]])</f>
        <v>162891.96</v>
      </c>
      <c r="AV140" s="41">
        <f>Table43[[#This Row],[Harga Jual Pcs MT
(-PPN)]]*1.11</f>
        <v>15067.506300000001</v>
      </c>
      <c r="AW140" s="41">
        <f>Table43[[#This Row],[Harga Jual Pcs MT
(+PPN)]]*Table43[[#This Row],[ISI/CTN]]</f>
        <v>180810.07560000001</v>
      </c>
      <c r="AX140" s="41"/>
      <c r="AY140" s="46">
        <v>45685</v>
      </c>
      <c r="AZ140" s="54"/>
      <c r="BA140" s="7" t="str">
        <f ca="1">IF(TODAY()-Table43[[#This Row],[Efektif
Pembuatan]]&gt;60,"Lama","Baru")</f>
        <v>Lama</v>
      </c>
      <c r="BB140" s="7" t="str">
        <f ca="1">IF(TODAY()-Table43[[#This Row],[Efektif Naik Harga]]&lt;30,"Naik","Sama")</f>
        <v>Sama</v>
      </c>
      <c r="BC140" s="61"/>
      <c r="BD140" s="7" t="str">
        <f>IF(Table43[[#This Row],[Kode BARANG Win2]]&lt;&gt;"","IDR","")</f>
        <v>IDR</v>
      </c>
      <c r="BE140" s="7" t="str">
        <f>CONCATENATE(Table43[[#This Row],[kode  1 Digit
(Nomor)]],Table43[[#This Row],[kode  4 Digit                (Nomor)]])</f>
        <v>20425</v>
      </c>
      <c r="BF140" s="7" t="str">
        <f>Table43[[#This Row],[Nama            Gramasi atau Jumlah Pack per CTN]]</f>
        <v>425 ML</v>
      </c>
      <c r="BG140" s="7"/>
      <c r="BH140" s="51"/>
      <c r="BI140" s="4" t="str">
        <f>IF(Table43[[#This Row],[SATUAN Fix Win]]&lt;&gt;"","KRT")</f>
        <v>KRT</v>
      </c>
      <c r="BJ140" s="4" t="str">
        <f>IF(Table43[[#This Row],[SATUAN Fix Win]]&lt;&gt;"","GD01")</f>
        <v>GD01</v>
      </c>
      <c r="BK140" s="4">
        <f>IF(Table43[[#This Row],[SATUAN Fix Win]]&lt;&gt;"",11611)</f>
        <v>11611</v>
      </c>
      <c r="BL140" s="4">
        <f>IF(Table43[[#This Row],[SATUAN Fix Win]]&lt;&gt;"",11612)</f>
        <v>11612</v>
      </c>
      <c r="BM140" s="47"/>
      <c r="BN140" s="4">
        <f>IF(Table43[[#This Row],[SATUAN Fix Win]]&lt;&gt;"",1)</f>
        <v>1</v>
      </c>
      <c r="BO140" s="4"/>
      <c r="BP140" s="4">
        <f>IFERROR(VLOOKUP(Table43[[#This Row],[Kode Pcpl]],'[1]HEINZ ABC'!$A$4:$E$112,8,0),0)</f>
        <v>0</v>
      </c>
      <c r="BQ140" s="55">
        <f>Table43[[#This Row],[Harga Jual Pcs GT
(-PPN)]]-Table43[[#This Row],[HARGA NAIK GT]]</f>
        <v>13574.33</v>
      </c>
      <c r="BR140" s="4">
        <f>IF(Table43[[#This Row],[HARGA NAIK GT]]=0,Table43[[#This Row],[Harga Jual Pcs GT
(-PPN)]],Table43[[#This Row],[HARGA NAIK GT]])</f>
        <v>13574.33</v>
      </c>
      <c r="BT140" s="95"/>
    </row>
    <row r="141" spans="1:76" x14ac:dyDescent="0.25">
      <c r="A141" s="4" t="str">
        <f>CONCATENATE(Table43[[#This Row],[Kode BARANG Win2]],Table43[[#This Row],[No. Urut
Item Sama]])</f>
        <v>A10920020450101</v>
      </c>
      <c r="B141" s="7">
        <v>1</v>
      </c>
      <c r="C141" s="4">
        <v>125</v>
      </c>
      <c r="D141" s="27">
        <v>400132</v>
      </c>
      <c r="E141" s="27" t="s">
        <v>347</v>
      </c>
      <c r="F141" s="27" t="s">
        <v>350</v>
      </c>
      <c r="G141" s="27">
        <v>12</v>
      </c>
      <c r="H141" s="42" t="s">
        <v>2448</v>
      </c>
      <c r="I141" s="27" t="str">
        <f>Table43[[#This Row],[Nama Jenis Kemasan]]</f>
        <v>BTL</v>
      </c>
      <c r="J141" s="4" t="str">
        <f>TRIM(CONCATENATE(Table43[[#This Row],[Nama            KLP]]," ",Table43[[#This Row],[Nama            Sub KLP]]))</f>
        <v>SIRUP SQUASH</v>
      </c>
      <c r="K141" s="4" t="str">
        <f>CONCATENATE(Table43[[#This Row],[kode  2 Digit                (hrf+No)]],Table43[[#This Row],[kode  2 Digit                (Nomor)]],Table43[[#This Row],[kode  1 Digit                (Nomor)]])</f>
        <v>A1092</v>
      </c>
      <c r="L141" s="4" t="str">
        <f>IF(AG141="",CONCATENATE(Q141,S141,U141,W141,Y141,AA141,AC141,AE141,Table43[[#This Row],[Tanda Kode Revisi]]),CONCATENATE(Q141,S141,U141,W141,Y141,AA141,AC141,AG141))</f>
        <v>A1092002045010</v>
      </c>
      <c r="M141" s="11">
        <f t="shared" si="6"/>
        <v>14</v>
      </c>
      <c r="N141" s="14" t="str">
        <f>IF(AF141&lt;&gt;"",TRIM(UPPER(CONCATENATE(P141," ",R141," ",T141," ",V141," ",X141," ",Z141," ","X"," ",Table43[[#This Row],[ISI/CTN]]," ",AF141," ",AB141," ",AD141," ",AH141))),TRIM(UPPER(CONCATENATE(P141," ",R141," ",T141," ",V141," ",X141," ",Z141," ","X"," ",Table43[[#This Row],[ISI/CTN]]," ",AB141," ",AD141," ",AH141))))</f>
        <v>ABC SIRUP SQUASH NANAS 450 ML X 12 BTL</v>
      </c>
      <c r="O141" s="11">
        <f t="shared" si="7"/>
        <v>38</v>
      </c>
      <c r="P141" s="4" t="s">
        <v>28</v>
      </c>
      <c r="Q141" s="7" t="s">
        <v>85</v>
      </c>
      <c r="R141" s="4" t="s">
        <v>567</v>
      </c>
      <c r="S141" s="43" t="s">
        <v>568</v>
      </c>
      <c r="T141" s="44" t="s">
        <v>347</v>
      </c>
      <c r="U141" s="7">
        <v>2</v>
      </c>
      <c r="V141" s="44"/>
      <c r="W141" s="43" t="s">
        <v>1</v>
      </c>
      <c r="X141" s="4" t="s">
        <v>576</v>
      </c>
      <c r="Y141" s="45" t="s">
        <v>31</v>
      </c>
      <c r="Z141" s="4" t="s">
        <v>574</v>
      </c>
      <c r="AA141" s="45" t="s">
        <v>575</v>
      </c>
      <c r="AB141" s="4" t="s">
        <v>486</v>
      </c>
      <c r="AC141" s="7" t="s">
        <v>480</v>
      </c>
      <c r="AE141" s="7" t="s">
        <v>1</v>
      </c>
      <c r="AI141" s="7" t="s">
        <v>214</v>
      </c>
      <c r="AJ141" s="7">
        <v>2</v>
      </c>
      <c r="AL141" s="40">
        <f>Table43[[#This Row],[Harga Jual Pcs GT
(-PPN)]]-(Table43[[#This Row],[Harga Jual Pcs GT
(-PPN)]]*6%)</f>
        <v>12759.8608</v>
      </c>
      <c r="AM141" s="41">
        <f>Table43[[#This Row],[Harga Beli Pcs
(-PPN)]]*Table43[[#This Row],[ISI/CTN]]</f>
        <v>153118.3296</v>
      </c>
      <c r="AN141" s="41">
        <f>Table43[[#This Row],[Harga Beli Pcs
(-PPN)]]*1.11</f>
        <v>14163.445488000001</v>
      </c>
      <c r="AO141" s="41">
        <f>Table43[[#This Row],[Harga Beli Krt
(- PPN)]]*1.11</f>
        <v>169961.345856</v>
      </c>
      <c r="AP141" s="41">
        <v>13574.32</v>
      </c>
      <c r="AQ141" s="41">
        <f>Table43[[#This Row],[Harga Jual Pcs GT
(-PPN)]]*Table43[[#This Row],[ISI/CTN]]</f>
        <v>162891.84</v>
      </c>
      <c r="AR141" s="41">
        <f>Table43[[#This Row],[Harga Jual Pcs GT
(-PPN)]]*1.11</f>
        <v>15067.495200000001</v>
      </c>
      <c r="AS141" s="41">
        <f>Table43[[#This Row],[Harga Jual Krt GT
(- PPN)]]*1.11</f>
        <v>180809.9424</v>
      </c>
      <c r="AT141" s="41">
        <v>13574.32</v>
      </c>
      <c r="AU141" s="41">
        <f>(Table43[[#This Row],[Harga Jual Pcs MT
(-PPN)]]*Table43[[#This Row],[ISI/CTN]])</f>
        <v>162891.84</v>
      </c>
      <c r="AV141" s="41">
        <f>Table43[[#This Row],[Harga Jual Pcs MT
(-PPN)]]*1.11</f>
        <v>15067.495200000001</v>
      </c>
      <c r="AW141" s="41">
        <f>Table43[[#This Row],[Harga Jual Pcs MT
(+PPN)]]*Table43[[#This Row],[ISI/CTN]]</f>
        <v>180809.9424</v>
      </c>
      <c r="AX141" s="41"/>
      <c r="AY141" s="46">
        <v>45553</v>
      </c>
      <c r="AZ141" s="54">
        <v>45553</v>
      </c>
      <c r="BA141" s="7" t="str">
        <f ca="1">IF(TODAY()-Table43[[#This Row],[Efektif
Pembuatan]]&gt;60,"Lama","Baru")</f>
        <v>Lama</v>
      </c>
      <c r="BB141" s="7" t="str">
        <f ca="1">IF(TODAY()-Table43[[#This Row],[Efektif Naik Harga]]&lt;30,"Naik","Sama")</f>
        <v>Sama</v>
      </c>
      <c r="BC141" s="7" t="s">
        <v>235</v>
      </c>
      <c r="BD141" s="7" t="str">
        <f>IF(Table43[[#This Row],[Kode BARANG Win2]]&lt;&gt;"","IDR","")</f>
        <v>IDR</v>
      </c>
      <c r="BE141" s="7" t="str">
        <f>CONCATENATE(Table43[[#This Row],[kode  1 Digit
(Nomor)]],Table43[[#This Row],[kode  4 Digit                (Nomor)]])</f>
        <v>20450</v>
      </c>
      <c r="BF141" s="7" t="str">
        <f>Table43[[#This Row],[Nama            Gramasi atau Jumlah Pack per CTN]]</f>
        <v>450 ML</v>
      </c>
      <c r="BG141" s="7" t="s">
        <v>653</v>
      </c>
      <c r="BH141" s="51" t="s">
        <v>654</v>
      </c>
      <c r="BI141" s="4" t="str">
        <f>IF(Table43[[#This Row],[SATUAN Fix Win]]&lt;&gt;"","KRT")</f>
        <v>KRT</v>
      </c>
      <c r="BJ141" s="4" t="str">
        <f>IF(Table43[[#This Row],[SATUAN Fix Win]]&lt;&gt;"","GD01")</f>
        <v>GD01</v>
      </c>
      <c r="BK141" s="4">
        <f>IF(Table43[[#This Row],[SATUAN Fix Win]]&lt;&gt;"",11611)</f>
        <v>11611</v>
      </c>
      <c r="BL141" s="4">
        <f>IF(Table43[[#This Row],[SATUAN Fix Win]]&lt;&gt;"",11612)</f>
        <v>11612</v>
      </c>
      <c r="BM141" s="47" t="s">
        <v>655</v>
      </c>
      <c r="BN141" s="4">
        <f>IF(Table43[[#This Row],[SATUAN Fix Win]]&lt;&gt;"",1)</f>
        <v>1</v>
      </c>
      <c r="BO141" s="4" t="s">
        <v>656</v>
      </c>
      <c r="BP141" s="4">
        <f>IFERROR(VLOOKUP(Table43[[#This Row],[Kode Pcpl]],'[1]HEINZ ABC'!$A$4:$E$112,8,0),0)</f>
        <v>0</v>
      </c>
      <c r="BQ141" s="55">
        <f>Table43[[#This Row],[Harga Jual Pcs GT
(-PPN)]]-Table43[[#This Row],[HARGA NAIK GT]]</f>
        <v>13574.32</v>
      </c>
      <c r="BR141" s="4">
        <f>IF(Table43[[#This Row],[HARGA NAIK GT]]=0,Table43[[#This Row],[Harga Jual Pcs GT
(-PPN)]],Table43[[#This Row],[HARGA NAIK GT]])</f>
        <v>13574.32</v>
      </c>
      <c r="BS141">
        <f>IFERROR(VLOOKUP(Table43[[#This Row],[Kode Pcpl]],'[1]HEINZ ABC'!$A$4:$E$112,8,0),0)</f>
        <v>0</v>
      </c>
      <c r="BT141" s="58">
        <f>Table43[[#This Row],[Harga Jual Pcs GT
(-PPN)]]-BS141</f>
        <v>13574.32</v>
      </c>
      <c r="BU141">
        <f>IF(BS141=0,Table43[[#This Row],[Harga Jual Pcs MT
(-PPN)]])</f>
        <v>13574.32</v>
      </c>
      <c r="BV141">
        <f>IFERROR(VLOOKUP(Table43[[#This Row],[Kode Pcpl]],[2]Pricelist!$A$4:$K$112,11,0),0)</f>
        <v>0</v>
      </c>
      <c r="BW141">
        <f>IFERROR(VLOOKUP(Table43[[#This Row],[Kode BARANG Win2]],[3]!RECKITT211216[[KDBRG]:[HRG_JL_PCS-PPN]],11,0),0)</f>
        <v>0</v>
      </c>
      <c r="BX141">
        <f t="shared" si="5"/>
        <v>0</v>
      </c>
    </row>
    <row r="142" spans="1:76" x14ac:dyDescent="0.25">
      <c r="A142" s="4" t="str">
        <f>CONCATENATE(Table43[[#This Row],[Kode BARANG Win2]],Table43[[#This Row],[No. Urut
Item Sama]])</f>
        <v>A10920020450102</v>
      </c>
      <c r="B142" s="7">
        <v>2</v>
      </c>
      <c r="C142" s="4">
        <v>126</v>
      </c>
      <c r="D142" s="27">
        <v>400138</v>
      </c>
      <c r="E142" s="27" t="s">
        <v>347</v>
      </c>
      <c r="F142" s="27" t="s">
        <v>351</v>
      </c>
      <c r="G142" s="27">
        <v>12</v>
      </c>
      <c r="H142" s="42" t="s">
        <v>2449</v>
      </c>
      <c r="I142" s="27" t="str">
        <f>Table43[[#This Row],[Nama Jenis Kemasan]]</f>
        <v>BTL</v>
      </c>
      <c r="J142" s="4" t="str">
        <f>TRIM(CONCATENATE(Table43[[#This Row],[Nama            KLP]]," ",Table43[[#This Row],[Nama            Sub KLP]]))</f>
        <v>SIRUP SQUASH</v>
      </c>
      <c r="K142" s="4" t="str">
        <f>CONCATENATE(Table43[[#This Row],[kode  2 Digit                (hrf+No)]],Table43[[#This Row],[kode  2 Digit                (Nomor)]],Table43[[#This Row],[kode  1 Digit                (Nomor)]])</f>
        <v>A1092</v>
      </c>
      <c r="L142" s="4" t="str">
        <f>IF(AG142="",CONCATENATE(Q142,S142,U142,W142,Y142,AA142,AC142,AE142,Table43[[#This Row],[Tanda Kode Revisi]]),CONCATENATE(Q142,S142,U142,W142,Y142,AA142,AC142,AG142))</f>
        <v>A1092002045010</v>
      </c>
      <c r="M142" s="11">
        <f t="shared" si="6"/>
        <v>14</v>
      </c>
      <c r="N142" s="14" t="str">
        <f>IF(AF142&lt;&gt;"",TRIM(UPPER(CONCATENATE(P142," ",R142," ",T142," ",V142," ",X142," ",Z142," ","X"," ",Table43[[#This Row],[ISI/CTN]]," ",AF142," ",AB142," ",AD142," ",AH142))),TRIM(UPPER(CONCATENATE(P142," ",R142," ",T142," ",V142," ",X142," ",Z142," ","X"," ",Table43[[#This Row],[ISI/CTN]]," ",AB142," ",AD142," ",AH142))))</f>
        <v>ABC SIRUP SQUASH NANAS 450 ML X 12 BTL</v>
      </c>
      <c r="O142" s="11">
        <f t="shared" si="7"/>
        <v>38</v>
      </c>
      <c r="P142" s="4" t="s">
        <v>28</v>
      </c>
      <c r="Q142" s="7" t="s">
        <v>85</v>
      </c>
      <c r="R142" s="4" t="s">
        <v>567</v>
      </c>
      <c r="S142" s="43" t="s">
        <v>568</v>
      </c>
      <c r="T142" s="44" t="s">
        <v>347</v>
      </c>
      <c r="U142" s="7">
        <v>2</v>
      </c>
      <c r="V142" s="44"/>
      <c r="W142" s="43" t="s">
        <v>1</v>
      </c>
      <c r="X142" s="4" t="s">
        <v>576</v>
      </c>
      <c r="Y142" s="45" t="s">
        <v>31</v>
      </c>
      <c r="Z142" s="4" t="s">
        <v>574</v>
      </c>
      <c r="AA142" s="45" t="s">
        <v>575</v>
      </c>
      <c r="AB142" s="4" t="s">
        <v>486</v>
      </c>
      <c r="AC142" s="7" t="s">
        <v>480</v>
      </c>
      <c r="AE142" s="7" t="s">
        <v>1</v>
      </c>
      <c r="AI142" s="7" t="s">
        <v>214</v>
      </c>
      <c r="AJ142" s="7">
        <v>2</v>
      </c>
      <c r="AL142" s="40">
        <f>Table43[[#This Row],[Harga Jual Pcs GT
(-PPN)]]-(Table43[[#This Row],[Harga Jual Pcs GT
(-PPN)]]*6%)</f>
        <v>12759.8608</v>
      </c>
      <c r="AM142" s="41">
        <f>Table43[[#This Row],[Harga Beli Pcs
(-PPN)]]*Table43[[#This Row],[ISI/CTN]]</f>
        <v>153118.3296</v>
      </c>
      <c r="AN142" s="41">
        <f>Table43[[#This Row],[Harga Beli Pcs
(-PPN)]]*1.11</f>
        <v>14163.445488000001</v>
      </c>
      <c r="AO142" s="41">
        <f>Table43[[#This Row],[Harga Beli Krt
(- PPN)]]*1.11</f>
        <v>169961.345856</v>
      </c>
      <c r="AP142" s="41">
        <v>13574.32</v>
      </c>
      <c r="AQ142" s="41">
        <f>Table43[[#This Row],[Harga Jual Pcs GT
(-PPN)]]*Table43[[#This Row],[ISI/CTN]]</f>
        <v>162891.84</v>
      </c>
      <c r="AR142" s="41">
        <f>Table43[[#This Row],[Harga Jual Pcs GT
(-PPN)]]*1.11</f>
        <v>15067.495200000001</v>
      </c>
      <c r="AS142" s="41">
        <f>Table43[[#This Row],[Harga Jual Krt GT
(- PPN)]]*1.11</f>
        <v>180809.9424</v>
      </c>
      <c r="AT142" s="41">
        <v>13574.32</v>
      </c>
      <c r="AU142" s="41">
        <f>(Table43[[#This Row],[Harga Jual Pcs MT
(-PPN)]]*Table43[[#This Row],[ISI/CTN]])</f>
        <v>162891.84</v>
      </c>
      <c r="AV142" s="41">
        <f>Table43[[#This Row],[Harga Jual Pcs MT
(-PPN)]]*1.11</f>
        <v>15067.495200000001</v>
      </c>
      <c r="AW142" s="41">
        <f>Table43[[#This Row],[Harga Jual Pcs MT
(+PPN)]]*Table43[[#This Row],[ISI/CTN]]</f>
        <v>180809.9424</v>
      </c>
      <c r="AX142" s="41"/>
      <c r="AY142" s="46">
        <v>45553</v>
      </c>
      <c r="AZ142" s="54">
        <v>45553</v>
      </c>
      <c r="BA142" s="7" t="str">
        <f ca="1">IF(TODAY()-Table43[[#This Row],[Efektif
Pembuatan]]&gt;60,"Lama","Baru")</f>
        <v>Lama</v>
      </c>
      <c r="BB142" s="7" t="str">
        <f ca="1">IF(TODAY()-Table43[[#This Row],[Efektif Naik Harga]]&lt;30,"Naik","Sama")</f>
        <v>Sama</v>
      </c>
      <c r="BC142" s="7" t="s">
        <v>235</v>
      </c>
      <c r="BD142" s="7" t="str">
        <f>IF(Table43[[#This Row],[Kode BARANG Win2]]&lt;&gt;"","IDR","")</f>
        <v>IDR</v>
      </c>
      <c r="BE142" s="7" t="str">
        <f>CONCATENATE(Table43[[#This Row],[kode  1 Digit
(Nomor)]],Table43[[#This Row],[kode  4 Digit                (Nomor)]])</f>
        <v>20450</v>
      </c>
      <c r="BF142" s="7" t="str">
        <f>Table43[[#This Row],[Nama            Gramasi atau Jumlah Pack per CTN]]</f>
        <v>450 ML</v>
      </c>
      <c r="BG142" s="7" t="s">
        <v>653</v>
      </c>
      <c r="BH142" s="51" t="s">
        <v>654</v>
      </c>
      <c r="BI142" s="4" t="str">
        <f>IF(Table43[[#This Row],[SATUAN Fix Win]]&lt;&gt;"","KRT")</f>
        <v>KRT</v>
      </c>
      <c r="BJ142" s="4" t="str">
        <f>IF(Table43[[#This Row],[SATUAN Fix Win]]&lt;&gt;"","GD01")</f>
        <v>GD01</v>
      </c>
      <c r="BK142" s="4">
        <f>IF(Table43[[#This Row],[SATUAN Fix Win]]&lt;&gt;"",11611)</f>
        <v>11611</v>
      </c>
      <c r="BL142" s="4">
        <f>IF(Table43[[#This Row],[SATUAN Fix Win]]&lt;&gt;"",11612)</f>
        <v>11612</v>
      </c>
      <c r="BM142" s="47" t="s">
        <v>655</v>
      </c>
      <c r="BN142" s="4">
        <f>IF(Table43[[#This Row],[SATUAN Fix Win]]&lt;&gt;"",1)</f>
        <v>1</v>
      </c>
      <c r="BO142" s="4" t="s">
        <v>656</v>
      </c>
      <c r="BP142" s="4">
        <f>IFERROR(VLOOKUP(Table43[[#This Row],[Kode Pcpl]],'[1]HEINZ ABC'!$A$4:$E$112,8,0),0)</f>
        <v>0</v>
      </c>
      <c r="BQ142" s="55">
        <f>Table43[[#This Row],[Harga Jual Pcs GT
(-PPN)]]-Table43[[#This Row],[HARGA NAIK GT]]</f>
        <v>13574.32</v>
      </c>
      <c r="BR142" s="4">
        <f>IF(Table43[[#This Row],[HARGA NAIK GT]]=0,Table43[[#This Row],[Harga Jual Pcs GT
(-PPN)]],Table43[[#This Row],[HARGA NAIK GT]])</f>
        <v>13574.32</v>
      </c>
      <c r="BS142">
        <f>IFERROR(VLOOKUP(Table43[[#This Row],[Kode Pcpl]],'[1]HEINZ ABC'!$A$4:$E$112,8,0),0)</f>
        <v>0</v>
      </c>
      <c r="BT142" s="58">
        <f>Table43[[#This Row],[Harga Jual Pcs GT
(-PPN)]]-BS142</f>
        <v>13574.32</v>
      </c>
      <c r="BU142">
        <f>IF(BS142=0,Table43[[#This Row],[Harga Jual Pcs MT
(-PPN)]])</f>
        <v>13574.32</v>
      </c>
      <c r="BV142">
        <f>IFERROR(VLOOKUP(Table43[[#This Row],[Kode Pcpl]],[2]Pricelist!$A$4:$K$112,11,0),0)</f>
        <v>0</v>
      </c>
      <c r="BW142">
        <f>IFERROR(VLOOKUP(Table43[[#This Row],[Kode BARANG Win2]],[3]!RECKITT211216[[KDBRG]:[HRG_JL_PCS-PPN]],11,0),0)</f>
        <v>0</v>
      </c>
      <c r="BX142">
        <f t="shared" si="5"/>
        <v>0</v>
      </c>
    </row>
    <row r="143" spans="1:76" x14ac:dyDescent="0.25">
      <c r="A143" s="4" t="str">
        <f>CONCATENATE(Table43[[#This Row],[Kode BARANG Win2]],Table43[[#This Row],[No. Urut
Item Sama]])</f>
        <v>A10920030450101</v>
      </c>
      <c r="B143" s="7">
        <v>1</v>
      </c>
      <c r="C143" s="4">
        <v>127</v>
      </c>
      <c r="D143" s="27">
        <v>400133</v>
      </c>
      <c r="E143" s="27" t="s">
        <v>347</v>
      </c>
      <c r="F143" s="27" t="s">
        <v>352</v>
      </c>
      <c r="G143" s="27">
        <v>12</v>
      </c>
      <c r="H143" s="42" t="s">
        <v>2434</v>
      </c>
      <c r="I143" s="27" t="str">
        <f>Table43[[#This Row],[Nama Jenis Kemasan]]</f>
        <v>BTL</v>
      </c>
      <c r="J143" s="4" t="str">
        <f>TRIM(CONCATENATE(Table43[[#This Row],[Nama            KLP]]," ",Table43[[#This Row],[Nama            Sub KLP]]))</f>
        <v>SIRUP SQUASH</v>
      </c>
      <c r="K143" s="4" t="str">
        <f>CONCATENATE(Table43[[#This Row],[kode  2 Digit                (hrf+No)]],Table43[[#This Row],[kode  2 Digit                (Nomor)]],Table43[[#This Row],[kode  1 Digit                (Nomor)]])</f>
        <v>A1092</v>
      </c>
      <c r="L143" s="4" t="str">
        <f>IF(AG143="",CONCATENATE(Q143,S143,U143,W143,Y143,AA143,AC143,AE143,Table43[[#This Row],[Tanda Kode Revisi]]),CONCATENATE(Q143,S143,U143,W143,Y143,AA143,AC143,AG143))</f>
        <v>A1092003045010</v>
      </c>
      <c r="M143" s="11">
        <f t="shared" si="6"/>
        <v>14</v>
      </c>
      <c r="N143" s="14" t="str">
        <f>IF(AF143&lt;&gt;"",TRIM(UPPER(CONCATENATE(P143," ",R143," ",T143," ",V143," ",X143," ",Z143," ","X"," ",Table43[[#This Row],[ISI/CTN]]," ",AF143," ",AB143," ",AD143," ",AH143))),TRIM(UPPER(CONCATENATE(P143," ",R143," ",T143," ",V143," ",X143," ",Z143," ","X"," ",Table43[[#This Row],[ISI/CTN]]," ",AB143," ",AD143," ",AH143))))</f>
        <v>ABC SIRUP SQUASH LECI 450 ML X 12 BTL</v>
      </c>
      <c r="O143" s="11">
        <f t="shared" si="7"/>
        <v>37</v>
      </c>
      <c r="P143" s="4" t="s">
        <v>28</v>
      </c>
      <c r="Q143" s="7" t="s">
        <v>85</v>
      </c>
      <c r="R143" s="4" t="s">
        <v>567</v>
      </c>
      <c r="S143" s="43" t="s">
        <v>568</v>
      </c>
      <c r="T143" s="44" t="s">
        <v>347</v>
      </c>
      <c r="U143" s="7">
        <v>2</v>
      </c>
      <c r="V143" s="44"/>
      <c r="W143" s="43" t="s">
        <v>1</v>
      </c>
      <c r="X143" s="4" t="s">
        <v>565</v>
      </c>
      <c r="Y143" s="45" t="s">
        <v>219</v>
      </c>
      <c r="Z143" s="4" t="s">
        <v>574</v>
      </c>
      <c r="AA143" s="45" t="s">
        <v>575</v>
      </c>
      <c r="AB143" s="4" t="s">
        <v>486</v>
      </c>
      <c r="AC143" s="7" t="s">
        <v>480</v>
      </c>
      <c r="AE143" s="7" t="s">
        <v>1</v>
      </c>
      <c r="AI143" s="7" t="s">
        <v>214</v>
      </c>
      <c r="AJ143" s="7">
        <v>2</v>
      </c>
      <c r="AL143" s="40">
        <f>Table43[[#This Row],[Harga Jual Pcs GT
(-PPN)]]-(Table43[[#This Row],[Harga Jual Pcs GT
(-PPN)]]*6%)</f>
        <v>12759.8608</v>
      </c>
      <c r="AM143" s="41">
        <f>Table43[[#This Row],[Harga Beli Pcs
(-PPN)]]*Table43[[#This Row],[ISI/CTN]]</f>
        <v>153118.3296</v>
      </c>
      <c r="AN143" s="41">
        <f>Table43[[#This Row],[Harga Beli Pcs
(-PPN)]]*1.11</f>
        <v>14163.445488000001</v>
      </c>
      <c r="AO143" s="41">
        <f>Table43[[#This Row],[Harga Beli Krt
(- PPN)]]*1.11</f>
        <v>169961.345856</v>
      </c>
      <c r="AP143" s="41">
        <v>13574.32</v>
      </c>
      <c r="AQ143" s="41">
        <f>Table43[[#This Row],[Harga Jual Pcs GT
(-PPN)]]*Table43[[#This Row],[ISI/CTN]]</f>
        <v>162891.84</v>
      </c>
      <c r="AR143" s="41">
        <f>Table43[[#This Row],[Harga Jual Pcs GT
(-PPN)]]*1.11</f>
        <v>15067.495200000001</v>
      </c>
      <c r="AS143" s="41">
        <f>Table43[[#This Row],[Harga Jual Krt GT
(- PPN)]]*1.11</f>
        <v>180809.9424</v>
      </c>
      <c r="AT143" s="41">
        <v>13574.32</v>
      </c>
      <c r="AU143" s="41">
        <f>(Table43[[#This Row],[Harga Jual Pcs MT
(-PPN)]]*Table43[[#This Row],[ISI/CTN]])</f>
        <v>162891.84</v>
      </c>
      <c r="AV143" s="41">
        <f>Table43[[#This Row],[Harga Jual Pcs MT
(-PPN)]]*1.11</f>
        <v>15067.495200000001</v>
      </c>
      <c r="AW143" s="41">
        <f>Table43[[#This Row],[Harga Jual Pcs MT
(+PPN)]]*Table43[[#This Row],[ISI/CTN]]</f>
        <v>180809.9424</v>
      </c>
      <c r="AX143" s="41"/>
      <c r="AY143" s="46">
        <v>45553</v>
      </c>
      <c r="AZ143" s="54">
        <v>45553</v>
      </c>
      <c r="BA143" s="7" t="str">
        <f ca="1">IF(TODAY()-Table43[[#This Row],[Efektif
Pembuatan]]&gt;60,"Lama","Baru")</f>
        <v>Lama</v>
      </c>
      <c r="BB143" s="7" t="str">
        <f ca="1">IF(TODAY()-Table43[[#This Row],[Efektif Naik Harga]]&lt;30,"Naik","Sama")</f>
        <v>Sama</v>
      </c>
      <c r="BC143" s="7" t="s">
        <v>235</v>
      </c>
      <c r="BD143" s="7" t="str">
        <f>IF(Table43[[#This Row],[Kode BARANG Win2]]&lt;&gt;"","IDR","")</f>
        <v>IDR</v>
      </c>
      <c r="BE143" s="7" t="str">
        <f>CONCATENATE(Table43[[#This Row],[kode  1 Digit
(Nomor)]],Table43[[#This Row],[kode  4 Digit                (Nomor)]])</f>
        <v>20450</v>
      </c>
      <c r="BF143" s="7" t="str">
        <f>Table43[[#This Row],[Nama            Gramasi atau Jumlah Pack per CTN]]</f>
        <v>450 ML</v>
      </c>
      <c r="BG143" s="7" t="s">
        <v>653</v>
      </c>
      <c r="BH143" s="51" t="s">
        <v>654</v>
      </c>
      <c r="BI143" s="4" t="str">
        <f>IF(Table43[[#This Row],[SATUAN Fix Win]]&lt;&gt;"","KRT")</f>
        <v>KRT</v>
      </c>
      <c r="BJ143" s="4" t="str">
        <f>IF(Table43[[#This Row],[SATUAN Fix Win]]&lt;&gt;"","GD01")</f>
        <v>GD01</v>
      </c>
      <c r="BK143" s="4">
        <f>IF(Table43[[#This Row],[SATUAN Fix Win]]&lt;&gt;"",11611)</f>
        <v>11611</v>
      </c>
      <c r="BL143" s="4">
        <f>IF(Table43[[#This Row],[SATUAN Fix Win]]&lt;&gt;"",11612)</f>
        <v>11612</v>
      </c>
      <c r="BM143" s="47" t="s">
        <v>655</v>
      </c>
      <c r="BN143" s="4">
        <f>IF(Table43[[#This Row],[SATUAN Fix Win]]&lt;&gt;"",1)</f>
        <v>1</v>
      </c>
      <c r="BO143" s="4" t="s">
        <v>656</v>
      </c>
      <c r="BP143" s="4">
        <f>IFERROR(VLOOKUP(Table43[[#This Row],[Kode Pcpl]],'[1]HEINZ ABC'!$A$4:$E$112,8,0),0)</f>
        <v>0</v>
      </c>
      <c r="BQ143" s="55">
        <f>Table43[[#This Row],[Harga Jual Pcs GT
(-PPN)]]-Table43[[#This Row],[HARGA NAIK GT]]</f>
        <v>13574.32</v>
      </c>
      <c r="BR143" s="4">
        <f>IF(Table43[[#This Row],[HARGA NAIK GT]]=0,Table43[[#This Row],[Harga Jual Pcs GT
(-PPN)]],Table43[[#This Row],[HARGA NAIK GT]])</f>
        <v>13574.32</v>
      </c>
      <c r="BS143">
        <f>IFERROR(VLOOKUP(Table43[[#This Row],[Kode Pcpl]],'[1]HEINZ ABC'!$A$4:$E$112,8,0),0)</f>
        <v>0</v>
      </c>
      <c r="BT143" s="58">
        <f>Table43[[#This Row],[Harga Jual Pcs GT
(-PPN)]]-BS143</f>
        <v>13574.32</v>
      </c>
      <c r="BU143">
        <f>IF(BS143=0,Table43[[#This Row],[Harga Jual Pcs MT
(-PPN)]])</f>
        <v>13574.32</v>
      </c>
      <c r="BV143">
        <f>IFERROR(VLOOKUP(Table43[[#This Row],[Kode Pcpl]],[2]Pricelist!$A$4:$K$112,11,0),0)</f>
        <v>0</v>
      </c>
      <c r="BW143">
        <f>IFERROR(VLOOKUP(Table43[[#This Row],[Kode BARANG Win2]],[3]!RECKITT211216[[KDBRG]:[HRG_JL_PCS-PPN]],11,0),0)</f>
        <v>0</v>
      </c>
      <c r="BX143">
        <f t="shared" si="5"/>
        <v>0</v>
      </c>
    </row>
    <row r="144" spans="1:76" x14ac:dyDescent="0.25">
      <c r="A144" s="4" t="str">
        <f>CONCATENATE(Table43[[#This Row],[Kode BARANG Win2]],Table43[[#This Row],[No. Urut
Item Sama]])</f>
        <v>A10920030450102</v>
      </c>
      <c r="B144" s="7">
        <v>2</v>
      </c>
      <c r="C144" s="4">
        <v>128</v>
      </c>
      <c r="D144" s="27">
        <v>400139</v>
      </c>
      <c r="E144" s="27" t="s">
        <v>347</v>
      </c>
      <c r="F144" s="27" t="s">
        <v>353</v>
      </c>
      <c r="G144" s="27">
        <v>12</v>
      </c>
      <c r="H144" s="42" t="s">
        <v>2436</v>
      </c>
      <c r="I144" s="27" t="str">
        <f>Table43[[#This Row],[Nama Jenis Kemasan]]</f>
        <v>BTL</v>
      </c>
      <c r="J144" s="4" t="str">
        <f>TRIM(CONCATENATE(Table43[[#This Row],[Nama            KLP]]," ",Table43[[#This Row],[Nama            Sub KLP]]))</f>
        <v>SIRUP SQUASH</v>
      </c>
      <c r="K144" s="4" t="str">
        <f>CONCATENATE(Table43[[#This Row],[kode  2 Digit                (hrf+No)]],Table43[[#This Row],[kode  2 Digit                (Nomor)]],Table43[[#This Row],[kode  1 Digit                (Nomor)]])</f>
        <v>A1092</v>
      </c>
      <c r="L144" s="4" t="str">
        <f>IF(AG144="",CONCATENATE(Q144,S144,U144,W144,Y144,AA144,AC144,AE144,Table43[[#This Row],[Tanda Kode Revisi]]),CONCATENATE(Q144,S144,U144,W144,Y144,AA144,AC144,AG144))</f>
        <v>A1092003045010</v>
      </c>
      <c r="M144" s="11">
        <f t="shared" si="6"/>
        <v>14</v>
      </c>
      <c r="N144" s="14" t="str">
        <f>IF(AF144&lt;&gt;"",TRIM(UPPER(CONCATENATE(P144," ",R144," ",T144," ",V144," ",X144," ",Z144," ","X"," ",Table43[[#This Row],[ISI/CTN]]," ",AF144," ",AB144," ",AD144," ",AH144))),TRIM(UPPER(CONCATENATE(P144," ",R144," ",T144," ",V144," ",X144," ",Z144," ","X"," ",Table43[[#This Row],[ISI/CTN]]," ",AB144," ",AD144," ",AH144))))</f>
        <v>ABC SIRUP SQUASH LECI 450 ML X 12 BTL</v>
      </c>
      <c r="O144" s="11">
        <f t="shared" si="7"/>
        <v>37</v>
      </c>
      <c r="P144" s="4" t="s">
        <v>28</v>
      </c>
      <c r="Q144" s="7" t="s">
        <v>85</v>
      </c>
      <c r="R144" s="4" t="s">
        <v>567</v>
      </c>
      <c r="S144" s="43" t="s">
        <v>568</v>
      </c>
      <c r="T144" s="44" t="s">
        <v>347</v>
      </c>
      <c r="U144" s="7">
        <v>2</v>
      </c>
      <c r="V144" s="44"/>
      <c r="W144" s="43" t="s">
        <v>1</v>
      </c>
      <c r="X144" s="4" t="s">
        <v>565</v>
      </c>
      <c r="Y144" s="45" t="s">
        <v>219</v>
      </c>
      <c r="Z144" s="4" t="s">
        <v>574</v>
      </c>
      <c r="AA144" s="45" t="s">
        <v>575</v>
      </c>
      <c r="AB144" s="4" t="s">
        <v>486</v>
      </c>
      <c r="AC144" s="7" t="s">
        <v>480</v>
      </c>
      <c r="AE144" s="7" t="s">
        <v>1</v>
      </c>
      <c r="AI144" s="7" t="s">
        <v>214</v>
      </c>
      <c r="AJ144" s="7">
        <v>2</v>
      </c>
      <c r="AL144" s="40">
        <f>Table43[[#This Row],[Harga Jual Pcs GT
(-PPN)]]-(Table43[[#This Row],[Harga Jual Pcs GT
(-PPN)]]*6%)</f>
        <v>12759.8608</v>
      </c>
      <c r="AM144" s="41">
        <f>Table43[[#This Row],[Harga Beli Pcs
(-PPN)]]*Table43[[#This Row],[ISI/CTN]]</f>
        <v>153118.3296</v>
      </c>
      <c r="AN144" s="41">
        <f>Table43[[#This Row],[Harga Beli Pcs
(-PPN)]]*1.11</f>
        <v>14163.445488000001</v>
      </c>
      <c r="AO144" s="41">
        <f>Table43[[#This Row],[Harga Beli Krt
(- PPN)]]*1.11</f>
        <v>169961.345856</v>
      </c>
      <c r="AP144" s="41">
        <v>13574.32</v>
      </c>
      <c r="AQ144" s="41">
        <f>Table43[[#This Row],[Harga Jual Pcs GT
(-PPN)]]*Table43[[#This Row],[ISI/CTN]]</f>
        <v>162891.84</v>
      </c>
      <c r="AR144" s="41">
        <f>Table43[[#This Row],[Harga Jual Pcs GT
(-PPN)]]*1.11</f>
        <v>15067.495200000001</v>
      </c>
      <c r="AS144" s="41">
        <f>Table43[[#This Row],[Harga Jual Krt GT
(- PPN)]]*1.11</f>
        <v>180809.9424</v>
      </c>
      <c r="AT144" s="41">
        <v>13574.32</v>
      </c>
      <c r="AU144" s="41">
        <f>(Table43[[#This Row],[Harga Jual Pcs MT
(-PPN)]]*Table43[[#This Row],[ISI/CTN]])</f>
        <v>162891.84</v>
      </c>
      <c r="AV144" s="41">
        <f>Table43[[#This Row],[Harga Jual Pcs MT
(-PPN)]]*1.11</f>
        <v>15067.495200000001</v>
      </c>
      <c r="AW144" s="41">
        <f>Table43[[#This Row],[Harga Jual Pcs MT
(+PPN)]]*Table43[[#This Row],[ISI/CTN]]</f>
        <v>180809.9424</v>
      </c>
      <c r="AX144" s="41"/>
      <c r="AY144" s="46">
        <v>45553</v>
      </c>
      <c r="AZ144" s="54">
        <v>45553</v>
      </c>
      <c r="BA144" s="7" t="str">
        <f ca="1">IF(TODAY()-Table43[[#This Row],[Efektif
Pembuatan]]&gt;60,"Lama","Baru")</f>
        <v>Lama</v>
      </c>
      <c r="BB144" s="7" t="str">
        <f ca="1">IF(TODAY()-Table43[[#This Row],[Efektif Naik Harga]]&lt;30,"Naik","Sama")</f>
        <v>Sama</v>
      </c>
      <c r="BC144" s="7" t="s">
        <v>235</v>
      </c>
      <c r="BD144" s="7" t="str">
        <f>IF(Table43[[#This Row],[Kode BARANG Win2]]&lt;&gt;"","IDR","")</f>
        <v>IDR</v>
      </c>
      <c r="BE144" s="7" t="str">
        <f>CONCATENATE(Table43[[#This Row],[kode  1 Digit
(Nomor)]],Table43[[#This Row],[kode  4 Digit                (Nomor)]])</f>
        <v>20450</v>
      </c>
      <c r="BF144" s="7" t="str">
        <f>Table43[[#This Row],[Nama            Gramasi atau Jumlah Pack per CTN]]</f>
        <v>450 ML</v>
      </c>
      <c r="BG144" s="7" t="s">
        <v>653</v>
      </c>
      <c r="BH144" s="51" t="s">
        <v>654</v>
      </c>
      <c r="BI144" s="4" t="str">
        <f>IF(Table43[[#This Row],[SATUAN Fix Win]]&lt;&gt;"","KRT")</f>
        <v>KRT</v>
      </c>
      <c r="BJ144" s="4" t="str">
        <f>IF(Table43[[#This Row],[SATUAN Fix Win]]&lt;&gt;"","GD01")</f>
        <v>GD01</v>
      </c>
      <c r="BK144" s="4">
        <f>IF(Table43[[#This Row],[SATUAN Fix Win]]&lt;&gt;"",11611)</f>
        <v>11611</v>
      </c>
      <c r="BL144" s="4">
        <f>IF(Table43[[#This Row],[SATUAN Fix Win]]&lt;&gt;"",11612)</f>
        <v>11612</v>
      </c>
      <c r="BM144" s="47" t="s">
        <v>655</v>
      </c>
      <c r="BN144" s="4">
        <f>IF(Table43[[#This Row],[SATUAN Fix Win]]&lt;&gt;"",1)</f>
        <v>1</v>
      </c>
      <c r="BO144" s="4" t="s">
        <v>656</v>
      </c>
      <c r="BP144" s="4">
        <f>IFERROR(VLOOKUP(Table43[[#This Row],[Kode Pcpl]],'[1]HEINZ ABC'!$A$4:$E$112,8,0),0)</f>
        <v>0</v>
      </c>
      <c r="BQ144" s="55">
        <f>Table43[[#This Row],[Harga Jual Pcs GT
(-PPN)]]-Table43[[#This Row],[HARGA NAIK GT]]</f>
        <v>13574.32</v>
      </c>
      <c r="BR144" s="4">
        <f>IF(Table43[[#This Row],[HARGA NAIK GT]]=0,Table43[[#This Row],[Harga Jual Pcs GT
(-PPN)]],Table43[[#This Row],[HARGA NAIK GT]])</f>
        <v>13574.32</v>
      </c>
      <c r="BS144">
        <f>IFERROR(VLOOKUP(Table43[[#This Row],[Kode Pcpl]],'[1]HEINZ ABC'!$A$4:$E$112,8,0),0)</f>
        <v>0</v>
      </c>
      <c r="BT144" s="58">
        <f>Table43[[#This Row],[Harga Jual Pcs GT
(-PPN)]]-BS144</f>
        <v>13574.32</v>
      </c>
      <c r="BU144">
        <f>IF(BS144=0,Table43[[#This Row],[Harga Jual Pcs MT
(-PPN)]])</f>
        <v>13574.32</v>
      </c>
      <c r="BV144">
        <f>IFERROR(VLOOKUP(Table43[[#This Row],[Kode Pcpl]],[2]Pricelist!$A$4:$K$112,11,0),0)</f>
        <v>0</v>
      </c>
      <c r="BW144">
        <f>IFERROR(VLOOKUP(Table43[[#This Row],[Kode BARANG Win2]],[3]!RECKITT211216[[KDBRG]:[HRG_JL_PCS-PPN]],11,0),0)</f>
        <v>0</v>
      </c>
      <c r="BX144">
        <f t="shared" si="5"/>
        <v>0</v>
      </c>
    </row>
    <row r="145" spans="1:76" x14ac:dyDescent="0.25">
      <c r="A145" s="4" t="str">
        <f>CONCATENATE(Table43[[#This Row],[Kode BARANG Win2]],Table43[[#This Row],[No. Urut
Item Sama]])</f>
        <v>A10920040450101</v>
      </c>
      <c r="B145" s="7">
        <v>1</v>
      </c>
      <c r="C145" s="4">
        <v>129</v>
      </c>
      <c r="D145" s="27">
        <v>400131</v>
      </c>
      <c r="E145" s="27" t="s">
        <v>347</v>
      </c>
      <c r="F145" s="27" t="s">
        <v>354</v>
      </c>
      <c r="G145" s="27">
        <v>12</v>
      </c>
      <c r="H145" s="42">
        <v>0</v>
      </c>
      <c r="I145" s="27" t="str">
        <f>Table43[[#This Row],[Nama Jenis Kemasan]]</f>
        <v>BTL</v>
      </c>
      <c r="J145" s="4" t="str">
        <f>TRIM(CONCATENATE(Table43[[#This Row],[Nama            KLP]]," ",Table43[[#This Row],[Nama            Sub KLP]]))</f>
        <v>SIRUP SQUASH</v>
      </c>
      <c r="K145" s="4" t="str">
        <f>CONCATENATE(Table43[[#This Row],[kode  2 Digit                (hrf+No)]],Table43[[#This Row],[kode  2 Digit                (Nomor)]],Table43[[#This Row],[kode  1 Digit                (Nomor)]])</f>
        <v>A1092</v>
      </c>
      <c r="L145" s="4" t="str">
        <f>IF(AG145="",CONCATENATE(Q145,S145,U145,W145,Y145,AA145,AC145,AE145,Table43[[#This Row],[Tanda Kode Revisi]]),CONCATENATE(Q145,S145,U145,W145,Y145,AA145,AC145,AG145))</f>
        <v>A1092004045010</v>
      </c>
      <c r="M145" s="11">
        <f t="shared" si="6"/>
        <v>14</v>
      </c>
      <c r="N145" s="14" t="str">
        <f>IF(AF145&lt;&gt;"",TRIM(UPPER(CONCATENATE(P145," ",R145," ",T145," ",V145," ",X145," ",Z145," ","X"," ",Table43[[#This Row],[ISI/CTN]]," ",AF145," ",AB145," ",AD145," ",AH145))),TRIM(UPPER(CONCATENATE(P145," ",R145," ",T145," ",V145," ",X145," ",Z145," ","X"," ",Table43[[#This Row],[ISI/CTN]]," ",AB145," ",AD145," ",AH145))))</f>
        <v>ABC SIRUP SQUASH SIRSAK 450 ML X 12 BTL</v>
      </c>
      <c r="O145" s="11">
        <f t="shared" si="7"/>
        <v>39</v>
      </c>
      <c r="P145" s="4" t="s">
        <v>28</v>
      </c>
      <c r="Q145" s="7" t="s">
        <v>85</v>
      </c>
      <c r="R145" s="4" t="s">
        <v>567</v>
      </c>
      <c r="S145" s="43" t="s">
        <v>568</v>
      </c>
      <c r="T145" s="44" t="s">
        <v>347</v>
      </c>
      <c r="U145" s="7">
        <v>2</v>
      </c>
      <c r="V145" s="44"/>
      <c r="W145" s="43" t="s">
        <v>1</v>
      </c>
      <c r="X145" s="4" t="s">
        <v>566</v>
      </c>
      <c r="Y145" s="45" t="s">
        <v>220</v>
      </c>
      <c r="Z145" s="4" t="s">
        <v>574</v>
      </c>
      <c r="AA145" s="45" t="s">
        <v>575</v>
      </c>
      <c r="AB145" s="4" t="s">
        <v>486</v>
      </c>
      <c r="AC145" s="7" t="s">
        <v>480</v>
      </c>
      <c r="AE145" s="7" t="s">
        <v>1</v>
      </c>
      <c r="AI145" s="7" t="s">
        <v>214</v>
      </c>
      <c r="AJ145" s="7">
        <v>2</v>
      </c>
      <c r="AL145" s="40">
        <f>Table43[[#This Row],[Harga Jual Pcs GT
(-PPN)]]-(Table43[[#This Row],[Harga Jual Pcs GT
(-PPN)]]*6%)</f>
        <v>12759.8608</v>
      </c>
      <c r="AM145" s="41">
        <f>Table43[[#This Row],[Harga Beli Pcs
(-PPN)]]*Table43[[#This Row],[ISI/CTN]]</f>
        <v>153118.3296</v>
      </c>
      <c r="AN145" s="41">
        <f>Table43[[#This Row],[Harga Beli Pcs
(-PPN)]]*1.11</f>
        <v>14163.445488000001</v>
      </c>
      <c r="AO145" s="41">
        <f>Table43[[#This Row],[Harga Beli Krt
(- PPN)]]*1.11</f>
        <v>169961.345856</v>
      </c>
      <c r="AP145" s="41">
        <v>13574.32</v>
      </c>
      <c r="AQ145" s="41">
        <f>Table43[[#This Row],[Harga Jual Pcs GT
(-PPN)]]*Table43[[#This Row],[ISI/CTN]]</f>
        <v>162891.84</v>
      </c>
      <c r="AR145" s="41">
        <f>Table43[[#This Row],[Harga Jual Pcs GT
(-PPN)]]*1.11</f>
        <v>15067.495200000001</v>
      </c>
      <c r="AS145" s="41">
        <f>Table43[[#This Row],[Harga Jual Krt GT
(- PPN)]]*1.11</f>
        <v>180809.9424</v>
      </c>
      <c r="AT145" s="41">
        <v>13574.32</v>
      </c>
      <c r="AU145" s="41">
        <f>(Table43[[#This Row],[Harga Jual Pcs MT
(-PPN)]]*Table43[[#This Row],[ISI/CTN]])</f>
        <v>162891.84</v>
      </c>
      <c r="AV145" s="41">
        <f>Table43[[#This Row],[Harga Jual Pcs MT
(-PPN)]]*1.11</f>
        <v>15067.495200000001</v>
      </c>
      <c r="AW145" s="41">
        <f>Table43[[#This Row],[Harga Jual Pcs MT
(+PPN)]]*Table43[[#This Row],[ISI/CTN]]</f>
        <v>180809.9424</v>
      </c>
      <c r="AX145" s="41"/>
      <c r="AY145" s="46">
        <v>45553</v>
      </c>
      <c r="AZ145" s="54">
        <v>45553</v>
      </c>
      <c r="BA145" s="7" t="str">
        <f ca="1">IF(TODAY()-Table43[[#This Row],[Efektif
Pembuatan]]&gt;60,"Lama","Baru")</f>
        <v>Lama</v>
      </c>
      <c r="BB145" s="7" t="str">
        <f ca="1">IF(TODAY()-Table43[[#This Row],[Efektif Naik Harga]]&lt;30,"Naik","Sama")</f>
        <v>Sama</v>
      </c>
      <c r="BC145" s="7" t="s">
        <v>235</v>
      </c>
      <c r="BD145" s="7" t="str">
        <f>IF(Table43[[#This Row],[Kode BARANG Win2]]&lt;&gt;"","IDR","")</f>
        <v>IDR</v>
      </c>
      <c r="BE145" s="7" t="str">
        <f>CONCATENATE(Table43[[#This Row],[kode  1 Digit
(Nomor)]],Table43[[#This Row],[kode  4 Digit                (Nomor)]])</f>
        <v>20450</v>
      </c>
      <c r="BF145" s="7" t="str">
        <f>Table43[[#This Row],[Nama            Gramasi atau Jumlah Pack per CTN]]</f>
        <v>450 ML</v>
      </c>
      <c r="BG145" s="7" t="s">
        <v>653</v>
      </c>
      <c r="BH145" s="51" t="s">
        <v>654</v>
      </c>
      <c r="BI145" s="4" t="str">
        <f>IF(Table43[[#This Row],[SATUAN Fix Win]]&lt;&gt;"","KRT")</f>
        <v>KRT</v>
      </c>
      <c r="BJ145" s="4" t="str">
        <f>IF(Table43[[#This Row],[SATUAN Fix Win]]&lt;&gt;"","GD01")</f>
        <v>GD01</v>
      </c>
      <c r="BK145" s="4">
        <f>IF(Table43[[#This Row],[SATUAN Fix Win]]&lt;&gt;"",11611)</f>
        <v>11611</v>
      </c>
      <c r="BL145" s="4">
        <f>IF(Table43[[#This Row],[SATUAN Fix Win]]&lt;&gt;"",11612)</f>
        <v>11612</v>
      </c>
      <c r="BM145" s="47" t="s">
        <v>655</v>
      </c>
      <c r="BN145" s="4">
        <f>IF(Table43[[#This Row],[SATUAN Fix Win]]&lt;&gt;"",1)</f>
        <v>1</v>
      </c>
      <c r="BO145" s="4" t="s">
        <v>656</v>
      </c>
      <c r="BP145" s="4">
        <f>IFERROR(VLOOKUP(Table43[[#This Row],[Kode Pcpl]],'[1]HEINZ ABC'!$A$4:$E$112,8,0),0)</f>
        <v>0</v>
      </c>
      <c r="BQ145" s="55">
        <f>Table43[[#This Row],[Harga Jual Pcs GT
(-PPN)]]-Table43[[#This Row],[HARGA NAIK GT]]</f>
        <v>13574.32</v>
      </c>
      <c r="BR145" s="4">
        <f>IF(Table43[[#This Row],[HARGA NAIK GT]]=0,Table43[[#This Row],[Harga Jual Pcs GT
(-PPN)]],Table43[[#This Row],[HARGA NAIK GT]])</f>
        <v>13574.32</v>
      </c>
      <c r="BS145">
        <f>IFERROR(VLOOKUP(Table43[[#This Row],[Kode Pcpl]],'[1]HEINZ ABC'!$A$4:$E$112,8,0),0)</f>
        <v>0</v>
      </c>
      <c r="BT145" s="58">
        <f>Table43[[#This Row],[Harga Jual Pcs GT
(-PPN)]]-BS145</f>
        <v>13574.32</v>
      </c>
      <c r="BU145">
        <f>IF(BS145=0,Table43[[#This Row],[Harga Jual Pcs MT
(-PPN)]])</f>
        <v>13574.32</v>
      </c>
      <c r="BV145">
        <f>IFERROR(VLOOKUP(Table43[[#This Row],[Kode Pcpl]],[2]Pricelist!$A$4:$K$112,11,0),0)</f>
        <v>0</v>
      </c>
      <c r="BW145">
        <f>IFERROR(VLOOKUP(Table43[[#This Row],[Kode BARANG Win2]],[3]!RECKITT211216[[KDBRG]:[HRG_JL_PCS-PPN]],11,0),0)</f>
        <v>0</v>
      </c>
      <c r="BX145">
        <f t="shared" si="5"/>
        <v>0</v>
      </c>
    </row>
    <row r="146" spans="1:76" x14ac:dyDescent="0.25">
      <c r="A146" s="4" t="str">
        <f>CONCATENATE(Table43[[#This Row],[Kode BARANG Win2]],Table43[[#This Row],[No. Urut
Item Sama]])</f>
        <v>A10920040450102</v>
      </c>
      <c r="B146" s="7">
        <v>2</v>
      </c>
      <c r="C146" s="4">
        <v>130</v>
      </c>
      <c r="D146" s="27">
        <v>400137</v>
      </c>
      <c r="E146" s="27" t="s">
        <v>347</v>
      </c>
      <c r="F146" s="27" t="s">
        <v>355</v>
      </c>
      <c r="G146" s="27">
        <v>12</v>
      </c>
      <c r="H146" s="42" t="s">
        <v>2435</v>
      </c>
      <c r="I146" s="27" t="str">
        <f>Table43[[#This Row],[Nama Jenis Kemasan]]</f>
        <v>BTL</v>
      </c>
      <c r="J146" s="4" t="str">
        <f>TRIM(CONCATENATE(Table43[[#This Row],[Nama            KLP]]," ",Table43[[#This Row],[Nama            Sub KLP]]))</f>
        <v>SIRUP SQUASH</v>
      </c>
      <c r="K146" s="4" t="str">
        <f>CONCATENATE(Table43[[#This Row],[kode  2 Digit                (hrf+No)]],Table43[[#This Row],[kode  2 Digit                (Nomor)]],Table43[[#This Row],[kode  1 Digit                (Nomor)]])</f>
        <v>A1092</v>
      </c>
      <c r="L146" s="4" t="str">
        <f>IF(AG146="",CONCATENATE(Q146,S146,U146,W146,Y146,AA146,AC146,AE146,Table43[[#This Row],[Tanda Kode Revisi]]),CONCATENATE(Q146,S146,U146,W146,Y146,AA146,AC146,AG146))</f>
        <v>A1092004045010</v>
      </c>
      <c r="M146" s="11">
        <f t="shared" si="6"/>
        <v>14</v>
      </c>
      <c r="N146" s="14" t="str">
        <f>IF(AF146&lt;&gt;"",TRIM(UPPER(CONCATENATE(P146," ",R146," ",T146," ",V146," ",X146," ",Z146," ","X"," ",Table43[[#This Row],[ISI/CTN]]," ",AF146," ",AB146," ",AD146," ",AH146))),TRIM(UPPER(CONCATENATE(P146," ",R146," ",T146," ",V146," ",X146," ",Z146," ","X"," ",Table43[[#This Row],[ISI/CTN]]," ",AB146," ",AD146," ",AH146))))</f>
        <v>ABC SIRUP SQUASH SIRSAK 450 ML X 12 BTL</v>
      </c>
      <c r="O146" s="11">
        <f t="shared" si="7"/>
        <v>39</v>
      </c>
      <c r="P146" s="4" t="s">
        <v>28</v>
      </c>
      <c r="Q146" s="7" t="s">
        <v>85</v>
      </c>
      <c r="R146" s="4" t="s">
        <v>567</v>
      </c>
      <c r="S146" s="43" t="s">
        <v>568</v>
      </c>
      <c r="T146" s="44" t="s">
        <v>347</v>
      </c>
      <c r="U146" s="7">
        <v>2</v>
      </c>
      <c r="V146" s="44"/>
      <c r="W146" s="43" t="s">
        <v>1</v>
      </c>
      <c r="X146" s="4" t="s">
        <v>566</v>
      </c>
      <c r="Y146" s="45" t="s">
        <v>220</v>
      </c>
      <c r="Z146" s="4" t="s">
        <v>574</v>
      </c>
      <c r="AA146" s="45" t="s">
        <v>575</v>
      </c>
      <c r="AB146" s="4" t="s">
        <v>486</v>
      </c>
      <c r="AC146" s="7" t="s">
        <v>480</v>
      </c>
      <c r="AE146" s="7" t="s">
        <v>1</v>
      </c>
      <c r="AI146" s="7" t="s">
        <v>214</v>
      </c>
      <c r="AJ146" s="7">
        <v>2</v>
      </c>
      <c r="AL146" s="40">
        <f>Table43[[#This Row],[Harga Jual Pcs GT
(-PPN)]]-(Table43[[#This Row],[Harga Jual Pcs GT
(-PPN)]]*6%)</f>
        <v>12759.8608</v>
      </c>
      <c r="AM146" s="41">
        <f>Table43[[#This Row],[Harga Beli Pcs
(-PPN)]]*Table43[[#This Row],[ISI/CTN]]</f>
        <v>153118.3296</v>
      </c>
      <c r="AN146" s="41">
        <f>Table43[[#This Row],[Harga Beli Pcs
(-PPN)]]*1.11</f>
        <v>14163.445488000001</v>
      </c>
      <c r="AO146" s="41">
        <f>Table43[[#This Row],[Harga Beli Krt
(- PPN)]]*1.11</f>
        <v>169961.345856</v>
      </c>
      <c r="AP146" s="41">
        <v>13574.32</v>
      </c>
      <c r="AQ146" s="41">
        <f>Table43[[#This Row],[Harga Jual Pcs GT
(-PPN)]]*Table43[[#This Row],[ISI/CTN]]</f>
        <v>162891.84</v>
      </c>
      <c r="AR146" s="41">
        <f>Table43[[#This Row],[Harga Jual Pcs GT
(-PPN)]]*1.11</f>
        <v>15067.495200000001</v>
      </c>
      <c r="AS146" s="41">
        <f>Table43[[#This Row],[Harga Jual Krt GT
(- PPN)]]*1.11</f>
        <v>180809.9424</v>
      </c>
      <c r="AT146" s="41">
        <v>13574.32</v>
      </c>
      <c r="AU146" s="41">
        <f>(Table43[[#This Row],[Harga Jual Pcs MT
(-PPN)]]*Table43[[#This Row],[ISI/CTN]])</f>
        <v>162891.84</v>
      </c>
      <c r="AV146" s="41">
        <f>Table43[[#This Row],[Harga Jual Pcs MT
(-PPN)]]*1.11</f>
        <v>15067.495200000001</v>
      </c>
      <c r="AW146" s="41">
        <f>Table43[[#This Row],[Harga Jual Pcs MT
(+PPN)]]*Table43[[#This Row],[ISI/CTN]]</f>
        <v>180809.9424</v>
      </c>
      <c r="AX146" s="41"/>
      <c r="AY146" s="46">
        <v>45553</v>
      </c>
      <c r="AZ146" s="54">
        <v>45553</v>
      </c>
      <c r="BA146" s="7" t="str">
        <f ca="1">IF(TODAY()-Table43[[#This Row],[Efektif
Pembuatan]]&gt;60,"Lama","Baru")</f>
        <v>Lama</v>
      </c>
      <c r="BB146" s="7" t="str">
        <f ca="1">IF(TODAY()-Table43[[#This Row],[Efektif Naik Harga]]&lt;30,"Naik","Sama")</f>
        <v>Sama</v>
      </c>
      <c r="BC146" s="7" t="s">
        <v>235</v>
      </c>
      <c r="BD146" s="7" t="str">
        <f>IF(Table43[[#This Row],[Kode BARANG Win2]]&lt;&gt;"","IDR","")</f>
        <v>IDR</v>
      </c>
      <c r="BE146" s="7" t="str">
        <f>CONCATENATE(Table43[[#This Row],[kode  1 Digit
(Nomor)]],Table43[[#This Row],[kode  4 Digit                (Nomor)]])</f>
        <v>20450</v>
      </c>
      <c r="BF146" s="7" t="str">
        <f>Table43[[#This Row],[Nama            Gramasi atau Jumlah Pack per CTN]]</f>
        <v>450 ML</v>
      </c>
      <c r="BG146" s="7" t="s">
        <v>653</v>
      </c>
      <c r="BH146" s="51" t="s">
        <v>654</v>
      </c>
      <c r="BI146" s="4" t="str">
        <f>IF(Table43[[#This Row],[SATUAN Fix Win]]&lt;&gt;"","KRT")</f>
        <v>KRT</v>
      </c>
      <c r="BJ146" s="4" t="str">
        <f>IF(Table43[[#This Row],[SATUAN Fix Win]]&lt;&gt;"","GD01")</f>
        <v>GD01</v>
      </c>
      <c r="BK146" s="4">
        <f>IF(Table43[[#This Row],[SATUAN Fix Win]]&lt;&gt;"",11611)</f>
        <v>11611</v>
      </c>
      <c r="BL146" s="4">
        <f>IF(Table43[[#This Row],[SATUAN Fix Win]]&lt;&gt;"",11612)</f>
        <v>11612</v>
      </c>
      <c r="BM146" s="47" t="s">
        <v>655</v>
      </c>
      <c r="BN146" s="4">
        <f>IF(Table43[[#This Row],[SATUAN Fix Win]]&lt;&gt;"",1)</f>
        <v>1</v>
      </c>
      <c r="BO146" s="4" t="s">
        <v>656</v>
      </c>
      <c r="BP146" s="4">
        <f>IFERROR(VLOOKUP(Table43[[#This Row],[Kode Pcpl]],'[1]HEINZ ABC'!$A$4:$E$112,8,0),0)</f>
        <v>0</v>
      </c>
      <c r="BQ146" s="55">
        <f>Table43[[#This Row],[Harga Jual Pcs GT
(-PPN)]]-Table43[[#This Row],[HARGA NAIK GT]]</f>
        <v>13574.32</v>
      </c>
      <c r="BR146" s="4">
        <f>IF(Table43[[#This Row],[HARGA NAIK GT]]=0,Table43[[#This Row],[Harga Jual Pcs GT
(-PPN)]],Table43[[#This Row],[HARGA NAIK GT]])</f>
        <v>13574.32</v>
      </c>
      <c r="BS146">
        <f>IFERROR(VLOOKUP(Table43[[#This Row],[Kode Pcpl]],'[1]HEINZ ABC'!$A$4:$E$112,8,0),0)</f>
        <v>0</v>
      </c>
      <c r="BT146" s="58">
        <f>Table43[[#This Row],[Harga Jual Pcs GT
(-PPN)]]-BS146</f>
        <v>13574.32</v>
      </c>
      <c r="BU146">
        <f>IF(BS146=0,Table43[[#This Row],[Harga Jual Pcs MT
(-PPN)]])</f>
        <v>13574.32</v>
      </c>
      <c r="BV146">
        <f>IFERROR(VLOOKUP(Table43[[#This Row],[Kode Pcpl]],[2]Pricelist!$A$4:$K$112,11,0),0)</f>
        <v>0</v>
      </c>
      <c r="BW146">
        <f>IFERROR(VLOOKUP(Table43[[#This Row],[Kode BARANG Win2]],[3]!RECKITT211216[[KDBRG]:[HRG_JL_PCS-PPN]],11,0),0)</f>
        <v>0</v>
      </c>
      <c r="BX146">
        <f t="shared" si="5"/>
        <v>0</v>
      </c>
    </row>
    <row r="147" spans="1:76" x14ac:dyDescent="0.25">
      <c r="A147" s="4" t="str">
        <f>CONCATENATE(Table43[[#This Row],[Kode BARANG Win2]],Table43[[#This Row],[No. Urut
Item Sama]])</f>
        <v>A10920050450101</v>
      </c>
      <c r="B147" s="7">
        <v>1</v>
      </c>
      <c r="C147" s="4">
        <v>131</v>
      </c>
      <c r="D147" s="27">
        <v>400130</v>
      </c>
      <c r="E147" s="27" t="s">
        <v>347</v>
      </c>
      <c r="F147" s="27" t="s">
        <v>356</v>
      </c>
      <c r="G147" s="27">
        <v>12</v>
      </c>
      <c r="H147" s="42">
        <v>0</v>
      </c>
      <c r="I147" s="27" t="str">
        <f>Table43[[#This Row],[Nama Jenis Kemasan]]</f>
        <v>BTL</v>
      </c>
      <c r="J147" s="4" t="str">
        <f>TRIM(CONCATENATE(Table43[[#This Row],[Nama            KLP]]," ",Table43[[#This Row],[Nama            Sub KLP]]))</f>
        <v>SIRUP SQUASH</v>
      </c>
      <c r="K147" s="4" t="str">
        <f>CONCATENATE(Table43[[#This Row],[kode  2 Digit                (hrf+No)]],Table43[[#This Row],[kode  2 Digit                (Nomor)]],Table43[[#This Row],[kode  1 Digit                (Nomor)]])</f>
        <v>A1092</v>
      </c>
      <c r="L147" s="4" t="str">
        <f>IF(AG147="",CONCATENATE(Q147,S147,U147,W147,Y147,AA147,AC147,AE147,Table43[[#This Row],[Tanda Kode Revisi]]),CONCATENATE(Q147,S147,U147,W147,Y147,AA147,AC147,AG147))</f>
        <v>A1092005045010</v>
      </c>
      <c r="M147" s="11">
        <f t="shared" si="6"/>
        <v>14</v>
      </c>
      <c r="N147" s="14" t="str">
        <f>IF(AF147&lt;&gt;"",TRIM(UPPER(CONCATENATE(P147," ",R147," ",T147," ",V147," ",X147," ",Z147," ","X"," ",Table43[[#This Row],[ISI/CTN]]," ",AF147," ",AB147," ",AD147," ",AH147))),TRIM(UPPER(CONCATENATE(P147," ",R147," ",T147," ",V147," ",X147," ",Z147," ","X"," ",Table43[[#This Row],[ISI/CTN]]," ",AB147," ",AD147," ",AH147))))</f>
        <v>ABC SIRUP SQUASH ANGGUR 450 ML X 12 BTL</v>
      </c>
      <c r="O147" s="11">
        <f t="shared" si="7"/>
        <v>39</v>
      </c>
      <c r="P147" s="4" t="s">
        <v>28</v>
      </c>
      <c r="Q147" s="7" t="s">
        <v>85</v>
      </c>
      <c r="R147" s="4" t="s">
        <v>567</v>
      </c>
      <c r="S147" s="43" t="s">
        <v>568</v>
      </c>
      <c r="T147" s="44" t="s">
        <v>347</v>
      </c>
      <c r="U147" s="7">
        <v>2</v>
      </c>
      <c r="V147" s="44"/>
      <c r="W147" s="43" t="s">
        <v>1</v>
      </c>
      <c r="X147" s="4" t="s">
        <v>577</v>
      </c>
      <c r="Y147" s="45" t="s">
        <v>223</v>
      </c>
      <c r="Z147" s="4" t="s">
        <v>574</v>
      </c>
      <c r="AA147" s="45" t="s">
        <v>575</v>
      </c>
      <c r="AB147" s="4" t="s">
        <v>486</v>
      </c>
      <c r="AC147" s="7" t="s">
        <v>480</v>
      </c>
      <c r="AE147" s="7" t="s">
        <v>1</v>
      </c>
      <c r="AI147" s="7" t="s">
        <v>214</v>
      </c>
      <c r="AJ147" s="7">
        <v>2</v>
      </c>
      <c r="AL147" s="40">
        <f>Table43[[#This Row],[Harga Jual Pcs GT
(-PPN)]]-(Table43[[#This Row],[Harga Jual Pcs GT
(-PPN)]]*6%)</f>
        <v>12759.8608</v>
      </c>
      <c r="AM147" s="41">
        <f>Table43[[#This Row],[Harga Beli Pcs
(-PPN)]]*Table43[[#This Row],[ISI/CTN]]</f>
        <v>153118.3296</v>
      </c>
      <c r="AN147" s="41">
        <f>Table43[[#This Row],[Harga Beli Pcs
(-PPN)]]*1.11</f>
        <v>14163.445488000001</v>
      </c>
      <c r="AO147" s="41">
        <f>Table43[[#This Row],[Harga Beli Krt
(- PPN)]]*1.11</f>
        <v>169961.345856</v>
      </c>
      <c r="AP147" s="41">
        <v>13574.32</v>
      </c>
      <c r="AQ147" s="41">
        <f>Table43[[#This Row],[Harga Jual Pcs GT
(-PPN)]]*Table43[[#This Row],[ISI/CTN]]</f>
        <v>162891.84</v>
      </c>
      <c r="AR147" s="41">
        <f>Table43[[#This Row],[Harga Jual Pcs GT
(-PPN)]]*1.11</f>
        <v>15067.495200000001</v>
      </c>
      <c r="AS147" s="41">
        <f>Table43[[#This Row],[Harga Jual Krt GT
(- PPN)]]*1.11</f>
        <v>180809.9424</v>
      </c>
      <c r="AT147" s="41">
        <v>13574.32</v>
      </c>
      <c r="AU147" s="41">
        <f>(Table43[[#This Row],[Harga Jual Pcs MT
(-PPN)]]*Table43[[#This Row],[ISI/CTN]])</f>
        <v>162891.84</v>
      </c>
      <c r="AV147" s="41">
        <f>Table43[[#This Row],[Harga Jual Pcs MT
(-PPN)]]*1.11</f>
        <v>15067.495200000001</v>
      </c>
      <c r="AW147" s="41">
        <f>Table43[[#This Row],[Harga Jual Pcs MT
(+PPN)]]*Table43[[#This Row],[ISI/CTN]]</f>
        <v>180809.9424</v>
      </c>
      <c r="AX147" s="41"/>
      <c r="AY147" s="46">
        <v>45553</v>
      </c>
      <c r="AZ147" s="54">
        <v>45553</v>
      </c>
      <c r="BA147" s="7" t="str">
        <f ca="1">IF(TODAY()-Table43[[#This Row],[Efektif
Pembuatan]]&gt;60,"Lama","Baru")</f>
        <v>Lama</v>
      </c>
      <c r="BB147" s="7" t="str">
        <f ca="1">IF(TODAY()-Table43[[#This Row],[Efektif Naik Harga]]&lt;30,"Naik","Sama")</f>
        <v>Sama</v>
      </c>
      <c r="BC147" s="7" t="s">
        <v>235</v>
      </c>
      <c r="BD147" s="7" t="str">
        <f>IF(Table43[[#This Row],[Kode BARANG Win2]]&lt;&gt;"","IDR","")</f>
        <v>IDR</v>
      </c>
      <c r="BE147" s="7" t="str">
        <f>CONCATENATE(Table43[[#This Row],[kode  1 Digit
(Nomor)]],Table43[[#This Row],[kode  4 Digit                (Nomor)]])</f>
        <v>20450</v>
      </c>
      <c r="BF147" s="7" t="str">
        <f>Table43[[#This Row],[Nama            Gramasi atau Jumlah Pack per CTN]]</f>
        <v>450 ML</v>
      </c>
      <c r="BG147" s="7" t="s">
        <v>653</v>
      </c>
      <c r="BH147" s="51" t="s">
        <v>654</v>
      </c>
      <c r="BI147" s="4" t="str">
        <f>IF(Table43[[#This Row],[SATUAN Fix Win]]&lt;&gt;"","KRT")</f>
        <v>KRT</v>
      </c>
      <c r="BJ147" s="4" t="str">
        <f>IF(Table43[[#This Row],[SATUAN Fix Win]]&lt;&gt;"","GD01")</f>
        <v>GD01</v>
      </c>
      <c r="BK147" s="4">
        <f>IF(Table43[[#This Row],[SATUAN Fix Win]]&lt;&gt;"",11611)</f>
        <v>11611</v>
      </c>
      <c r="BL147" s="4">
        <f>IF(Table43[[#This Row],[SATUAN Fix Win]]&lt;&gt;"",11612)</f>
        <v>11612</v>
      </c>
      <c r="BM147" s="47" t="s">
        <v>655</v>
      </c>
      <c r="BN147" s="4">
        <f>IF(Table43[[#This Row],[SATUAN Fix Win]]&lt;&gt;"",1)</f>
        <v>1</v>
      </c>
      <c r="BO147" s="4" t="s">
        <v>656</v>
      </c>
      <c r="BP147" s="4">
        <f>IFERROR(VLOOKUP(Table43[[#This Row],[Kode Pcpl]],'[1]HEINZ ABC'!$A$4:$E$112,8,0),0)</f>
        <v>0</v>
      </c>
      <c r="BQ147" s="55">
        <f>Table43[[#This Row],[Harga Jual Pcs GT
(-PPN)]]-Table43[[#This Row],[HARGA NAIK GT]]</f>
        <v>13574.32</v>
      </c>
      <c r="BR147" s="4">
        <f>IF(Table43[[#This Row],[HARGA NAIK GT]]=0,Table43[[#This Row],[Harga Jual Pcs GT
(-PPN)]],Table43[[#This Row],[HARGA NAIK GT]])</f>
        <v>13574.32</v>
      </c>
      <c r="BS147">
        <f>IFERROR(VLOOKUP(Table43[[#This Row],[Kode Pcpl]],'[1]HEINZ ABC'!$A$4:$E$112,8,0),0)</f>
        <v>0</v>
      </c>
      <c r="BT147" s="58">
        <f>Table43[[#This Row],[Harga Jual Pcs GT
(-PPN)]]-BS147</f>
        <v>13574.32</v>
      </c>
      <c r="BU147">
        <f>IF(BS147=0,Table43[[#This Row],[Harga Jual Pcs MT
(-PPN)]])</f>
        <v>13574.32</v>
      </c>
      <c r="BV147">
        <f>IFERROR(VLOOKUP(Table43[[#This Row],[Kode Pcpl]],[2]Pricelist!$A$4:$K$112,11,0),0)</f>
        <v>0</v>
      </c>
      <c r="BW147">
        <f>IFERROR(VLOOKUP(Table43[[#This Row],[Kode BARANG Win2]],[3]!RECKITT211216[[KDBRG]:[HRG_JL_PCS-PPN]],11,0),0)</f>
        <v>0</v>
      </c>
      <c r="BX147">
        <f t="shared" si="5"/>
        <v>0</v>
      </c>
    </row>
    <row r="148" spans="1:76" x14ac:dyDescent="0.25">
      <c r="A148" s="4" t="str">
        <f>CONCATENATE(Table43[[#This Row],[Kode BARANG Win2]],Table43[[#This Row],[No. Urut
Item Sama]])</f>
        <v>A10920050450102</v>
      </c>
      <c r="B148" s="7">
        <v>2</v>
      </c>
      <c r="C148" s="4">
        <v>132</v>
      </c>
      <c r="D148" s="27">
        <v>400136</v>
      </c>
      <c r="E148" s="27" t="s">
        <v>347</v>
      </c>
      <c r="F148" s="27" t="s">
        <v>357</v>
      </c>
      <c r="G148" s="27">
        <v>12</v>
      </c>
      <c r="H148" s="42" t="s">
        <v>2438</v>
      </c>
      <c r="I148" s="27" t="str">
        <f>Table43[[#This Row],[Nama Jenis Kemasan]]</f>
        <v>BTL</v>
      </c>
      <c r="J148" s="4" t="str">
        <f>TRIM(CONCATENATE(Table43[[#This Row],[Nama            KLP]]," ",Table43[[#This Row],[Nama            Sub KLP]]))</f>
        <v>SIRUP SQUASH</v>
      </c>
      <c r="K148" s="4" t="str">
        <f>CONCATENATE(Table43[[#This Row],[kode  2 Digit                (hrf+No)]],Table43[[#This Row],[kode  2 Digit                (Nomor)]],Table43[[#This Row],[kode  1 Digit                (Nomor)]])</f>
        <v>A1092</v>
      </c>
      <c r="L148" s="4" t="str">
        <f>IF(AG148="",CONCATENATE(Q148,S148,U148,W148,Y148,AA148,AC148,AE148,Table43[[#This Row],[Tanda Kode Revisi]]),CONCATENATE(Q148,S148,U148,W148,Y148,AA148,AC148,AG148))</f>
        <v>A1092005045010</v>
      </c>
      <c r="M148" s="11">
        <f t="shared" si="6"/>
        <v>14</v>
      </c>
      <c r="N148" s="14" t="str">
        <f>IF(AF148&lt;&gt;"",TRIM(UPPER(CONCATENATE(P148," ",R148," ",T148," ",V148," ",X148," ",Z148," ","X"," ",Table43[[#This Row],[ISI/CTN]]," ",AF148," ",AB148," ",AD148," ",AH148))),TRIM(UPPER(CONCATENATE(P148," ",R148," ",T148," ",V148," ",X148," ",Z148," ","X"," ",Table43[[#This Row],[ISI/CTN]]," ",AB148," ",AD148," ",AH148))))</f>
        <v>ABC SIRUP SQUASH ANGGUR 450 ML X 12 BTL</v>
      </c>
      <c r="O148" s="11">
        <f t="shared" si="7"/>
        <v>39</v>
      </c>
      <c r="P148" s="4" t="s">
        <v>28</v>
      </c>
      <c r="Q148" s="7" t="s">
        <v>85</v>
      </c>
      <c r="R148" s="4" t="s">
        <v>567</v>
      </c>
      <c r="S148" s="43" t="s">
        <v>568</v>
      </c>
      <c r="T148" s="44" t="s">
        <v>347</v>
      </c>
      <c r="U148" s="7">
        <v>2</v>
      </c>
      <c r="V148" s="44"/>
      <c r="W148" s="43" t="s">
        <v>1</v>
      </c>
      <c r="X148" s="4" t="s">
        <v>577</v>
      </c>
      <c r="Y148" s="45" t="s">
        <v>223</v>
      </c>
      <c r="Z148" s="4" t="s">
        <v>574</v>
      </c>
      <c r="AA148" s="45" t="s">
        <v>575</v>
      </c>
      <c r="AB148" s="4" t="s">
        <v>486</v>
      </c>
      <c r="AC148" s="7" t="s">
        <v>480</v>
      </c>
      <c r="AE148" s="7" t="s">
        <v>1</v>
      </c>
      <c r="AI148" s="7" t="s">
        <v>214</v>
      </c>
      <c r="AJ148" s="7">
        <v>2</v>
      </c>
      <c r="AL148" s="40">
        <f>Table43[[#This Row],[Harga Jual Pcs GT
(-PPN)]]-(Table43[[#This Row],[Harga Jual Pcs GT
(-PPN)]]*6%)</f>
        <v>12759.8608</v>
      </c>
      <c r="AM148" s="41">
        <f>Table43[[#This Row],[Harga Beli Pcs
(-PPN)]]*Table43[[#This Row],[ISI/CTN]]</f>
        <v>153118.3296</v>
      </c>
      <c r="AN148" s="41">
        <f>Table43[[#This Row],[Harga Beli Pcs
(-PPN)]]*1.11</f>
        <v>14163.445488000001</v>
      </c>
      <c r="AO148" s="41">
        <f>Table43[[#This Row],[Harga Beli Krt
(- PPN)]]*1.11</f>
        <v>169961.345856</v>
      </c>
      <c r="AP148" s="41">
        <v>13574.32</v>
      </c>
      <c r="AQ148" s="41">
        <f>Table43[[#This Row],[Harga Jual Pcs GT
(-PPN)]]*Table43[[#This Row],[ISI/CTN]]</f>
        <v>162891.84</v>
      </c>
      <c r="AR148" s="41">
        <f>Table43[[#This Row],[Harga Jual Pcs GT
(-PPN)]]*1.11</f>
        <v>15067.495200000001</v>
      </c>
      <c r="AS148" s="41">
        <f>Table43[[#This Row],[Harga Jual Krt GT
(- PPN)]]*1.11</f>
        <v>180809.9424</v>
      </c>
      <c r="AT148" s="41">
        <v>13574.32</v>
      </c>
      <c r="AU148" s="41">
        <f>(Table43[[#This Row],[Harga Jual Pcs MT
(-PPN)]]*Table43[[#This Row],[ISI/CTN]])</f>
        <v>162891.84</v>
      </c>
      <c r="AV148" s="41">
        <f>Table43[[#This Row],[Harga Jual Pcs MT
(-PPN)]]*1.11</f>
        <v>15067.495200000001</v>
      </c>
      <c r="AW148" s="41">
        <f>Table43[[#This Row],[Harga Jual Pcs MT
(+PPN)]]*Table43[[#This Row],[ISI/CTN]]</f>
        <v>180809.9424</v>
      </c>
      <c r="AX148" s="41"/>
      <c r="AY148" s="46">
        <v>45553</v>
      </c>
      <c r="AZ148" s="54">
        <v>45553</v>
      </c>
      <c r="BA148" s="7" t="str">
        <f ca="1">IF(TODAY()-Table43[[#This Row],[Efektif
Pembuatan]]&gt;60,"Lama","Baru")</f>
        <v>Lama</v>
      </c>
      <c r="BB148" s="7" t="str">
        <f ca="1">IF(TODAY()-Table43[[#This Row],[Efektif Naik Harga]]&lt;30,"Naik","Sama")</f>
        <v>Sama</v>
      </c>
      <c r="BC148" s="7" t="s">
        <v>235</v>
      </c>
      <c r="BD148" s="7" t="str">
        <f>IF(Table43[[#This Row],[Kode BARANG Win2]]&lt;&gt;"","IDR","")</f>
        <v>IDR</v>
      </c>
      <c r="BE148" s="7" t="str">
        <f>CONCATENATE(Table43[[#This Row],[kode  1 Digit
(Nomor)]],Table43[[#This Row],[kode  4 Digit                (Nomor)]])</f>
        <v>20450</v>
      </c>
      <c r="BF148" s="7" t="str">
        <f>Table43[[#This Row],[Nama            Gramasi atau Jumlah Pack per CTN]]</f>
        <v>450 ML</v>
      </c>
      <c r="BG148" s="7" t="s">
        <v>653</v>
      </c>
      <c r="BH148" s="51" t="s">
        <v>654</v>
      </c>
      <c r="BI148" s="4" t="str">
        <f>IF(Table43[[#This Row],[SATUAN Fix Win]]&lt;&gt;"","KRT")</f>
        <v>KRT</v>
      </c>
      <c r="BJ148" s="4" t="str">
        <f>IF(Table43[[#This Row],[SATUAN Fix Win]]&lt;&gt;"","GD01")</f>
        <v>GD01</v>
      </c>
      <c r="BK148" s="4">
        <f>IF(Table43[[#This Row],[SATUAN Fix Win]]&lt;&gt;"",11611)</f>
        <v>11611</v>
      </c>
      <c r="BL148" s="4">
        <f>IF(Table43[[#This Row],[SATUAN Fix Win]]&lt;&gt;"",11612)</f>
        <v>11612</v>
      </c>
      <c r="BM148" s="47" t="s">
        <v>655</v>
      </c>
      <c r="BN148" s="4">
        <f>IF(Table43[[#This Row],[SATUAN Fix Win]]&lt;&gt;"",1)</f>
        <v>1</v>
      </c>
      <c r="BO148" s="4" t="s">
        <v>656</v>
      </c>
      <c r="BP148" s="4">
        <f>IFERROR(VLOOKUP(Table43[[#This Row],[Kode Pcpl]],'[1]HEINZ ABC'!$A$4:$E$112,8,0),0)</f>
        <v>0</v>
      </c>
      <c r="BQ148" s="55">
        <f>Table43[[#This Row],[Harga Jual Pcs GT
(-PPN)]]-Table43[[#This Row],[HARGA NAIK GT]]</f>
        <v>13574.32</v>
      </c>
      <c r="BR148" s="4">
        <f>IF(Table43[[#This Row],[HARGA NAIK GT]]=0,Table43[[#This Row],[Harga Jual Pcs GT
(-PPN)]],Table43[[#This Row],[HARGA NAIK GT]])</f>
        <v>13574.32</v>
      </c>
      <c r="BS148">
        <f>IFERROR(VLOOKUP(Table43[[#This Row],[Kode Pcpl]],'[1]HEINZ ABC'!$A$4:$E$112,8,0),0)</f>
        <v>0</v>
      </c>
      <c r="BT148" s="58">
        <f>Table43[[#This Row],[Harga Jual Pcs GT
(-PPN)]]-BS148</f>
        <v>13574.32</v>
      </c>
      <c r="BU148">
        <f>IF(BS148=0,Table43[[#This Row],[Harga Jual Pcs MT
(-PPN)]])</f>
        <v>13574.32</v>
      </c>
      <c r="BV148">
        <f>IFERROR(VLOOKUP(Table43[[#This Row],[Kode Pcpl]],[2]Pricelist!$A$4:$K$112,11,0),0)</f>
        <v>0</v>
      </c>
      <c r="BW148">
        <f>IFERROR(VLOOKUP(Table43[[#This Row],[Kode BARANG Win2]],[3]!RECKITT211216[[KDBRG]:[HRG_JL_PCS-PPN]],11,0),0)</f>
        <v>0</v>
      </c>
      <c r="BX148">
        <f t="shared" si="5"/>
        <v>0</v>
      </c>
    </row>
    <row r="149" spans="1:76" x14ac:dyDescent="0.25">
      <c r="A149" s="4" t="str">
        <f>CONCATENATE(Table43[[#This Row],[Kode BARANG Win2]],Table43[[#This Row],[No. Urut
Item Sama]])</f>
        <v>A10920060450101</v>
      </c>
      <c r="B149" s="7">
        <v>1</v>
      </c>
      <c r="C149" s="4">
        <v>133</v>
      </c>
      <c r="D149" s="27">
        <v>400134</v>
      </c>
      <c r="E149" s="27" t="s">
        <v>347</v>
      </c>
      <c r="F149" s="27" t="s">
        <v>358</v>
      </c>
      <c r="G149" s="27">
        <v>12</v>
      </c>
      <c r="H149" s="42" t="s">
        <v>2442</v>
      </c>
      <c r="I149" s="27" t="str">
        <f>Table43[[#This Row],[Nama Jenis Kemasan]]</f>
        <v>BTL</v>
      </c>
      <c r="J149" s="4" t="str">
        <f>TRIM(CONCATENATE(Table43[[#This Row],[Nama            KLP]]," ",Table43[[#This Row],[Nama            Sub KLP]]))</f>
        <v>SIRUP SQUASH</v>
      </c>
      <c r="K149" s="4" t="str">
        <f>CONCATENATE(Table43[[#This Row],[kode  2 Digit                (hrf+No)]],Table43[[#This Row],[kode  2 Digit                (Nomor)]],Table43[[#This Row],[kode  1 Digit                (Nomor)]])</f>
        <v>A1092</v>
      </c>
      <c r="L149" s="4" t="str">
        <f>IF(AG149="",CONCATENATE(Q149,S149,U149,W149,Y149,AA149,AC149,AE149,Table43[[#This Row],[Tanda Kode Revisi]]),CONCATENATE(Q149,S149,U149,W149,Y149,AA149,AC149,AG149))</f>
        <v>A1092006045010</v>
      </c>
      <c r="M149" s="11">
        <f t="shared" si="6"/>
        <v>14</v>
      </c>
      <c r="N149" s="14" t="str">
        <f>IF(AF149&lt;&gt;"",TRIM(UPPER(CONCATENATE(P149," ",R149," ",T149," ",V149," ",X149," ",Z149," ","X"," ",Table43[[#This Row],[ISI/CTN]]," ",AF149," ",AB149," ",AD149," ",AH149))),TRIM(UPPER(CONCATENATE(P149," ",R149," ",T149," ",V149," ",X149," ",Z149," ","X"," ",Table43[[#This Row],[ISI/CTN]]," ",AB149," ",AD149," ",AH149))))</f>
        <v>ABC SIRUP SQUASH MANGGA 450 ML X 12 BTL</v>
      </c>
      <c r="O149" s="11">
        <f t="shared" si="7"/>
        <v>39</v>
      </c>
      <c r="P149" s="4" t="s">
        <v>28</v>
      </c>
      <c r="Q149" s="7" t="s">
        <v>85</v>
      </c>
      <c r="R149" s="4" t="s">
        <v>567</v>
      </c>
      <c r="S149" s="43" t="s">
        <v>568</v>
      </c>
      <c r="T149" s="44" t="s">
        <v>347</v>
      </c>
      <c r="U149" s="7">
        <v>2</v>
      </c>
      <c r="V149" s="44"/>
      <c r="W149" s="43" t="s">
        <v>1</v>
      </c>
      <c r="X149" s="4" t="s">
        <v>578</v>
      </c>
      <c r="Y149" s="45" t="s">
        <v>221</v>
      </c>
      <c r="Z149" s="4" t="s">
        <v>574</v>
      </c>
      <c r="AA149" s="45" t="s">
        <v>575</v>
      </c>
      <c r="AB149" s="4" t="s">
        <v>486</v>
      </c>
      <c r="AC149" s="7" t="s">
        <v>480</v>
      </c>
      <c r="AE149" s="7" t="s">
        <v>1</v>
      </c>
      <c r="AI149" s="7" t="s">
        <v>214</v>
      </c>
      <c r="AJ149" s="7">
        <v>2</v>
      </c>
      <c r="AL149" s="40">
        <f>Table43[[#This Row],[Harga Jual Pcs GT
(-PPN)]]-(Table43[[#This Row],[Harga Jual Pcs GT
(-PPN)]]*6%)</f>
        <v>12759.8608</v>
      </c>
      <c r="AM149" s="41">
        <f>Table43[[#This Row],[Harga Beli Pcs
(-PPN)]]*Table43[[#This Row],[ISI/CTN]]</f>
        <v>153118.3296</v>
      </c>
      <c r="AN149" s="41">
        <f>Table43[[#This Row],[Harga Beli Pcs
(-PPN)]]*1.11</f>
        <v>14163.445488000001</v>
      </c>
      <c r="AO149" s="41">
        <f>Table43[[#This Row],[Harga Beli Krt
(- PPN)]]*1.11</f>
        <v>169961.345856</v>
      </c>
      <c r="AP149" s="41">
        <v>13574.32</v>
      </c>
      <c r="AQ149" s="41">
        <f>Table43[[#This Row],[Harga Jual Pcs GT
(-PPN)]]*Table43[[#This Row],[ISI/CTN]]</f>
        <v>162891.84</v>
      </c>
      <c r="AR149" s="41">
        <f>Table43[[#This Row],[Harga Jual Pcs GT
(-PPN)]]*1.11</f>
        <v>15067.495200000001</v>
      </c>
      <c r="AS149" s="41">
        <f>Table43[[#This Row],[Harga Jual Krt GT
(- PPN)]]*1.11</f>
        <v>180809.9424</v>
      </c>
      <c r="AT149" s="41">
        <v>13574.32</v>
      </c>
      <c r="AU149" s="41">
        <f>(Table43[[#This Row],[Harga Jual Pcs MT
(-PPN)]]*Table43[[#This Row],[ISI/CTN]])</f>
        <v>162891.84</v>
      </c>
      <c r="AV149" s="41">
        <f>Table43[[#This Row],[Harga Jual Pcs MT
(-PPN)]]*1.11</f>
        <v>15067.495200000001</v>
      </c>
      <c r="AW149" s="41">
        <f>Table43[[#This Row],[Harga Jual Pcs MT
(+PPN)]]*Table43[[#This Row],[ISI/CTN]]</f>
        <v>180809.9424</v>
      </c>
      <c r="AX149" s="41"/>
      <c r="AY149" s="46">
        <v>45553</v>
      </c>
      <c r="AZ149" s="54">
        <v>45553</v>
      </c>
      <c r="BA149" s="7" t="str">
        <f ca="1">IF(TODAY()-Table43[[#This Row],[Efektif
Pembuatan]]&gt;60,"Lama","Baru")</f>
        <v>Lama</v>
      </c>
      <c r="BB149" s="7" t="str">
        <f ca="1">IF(TODAY()-Table43[[#This Row],[Efektif Naik Harga]]&lt;30,"Naik","Sama")</f>
        <v>Sama</v>
      </c>
      <c r="BC149" s="7" t="s">
        <v>235</v>
      </c>
      <c r="BD149" s="7" t="str">
        <f>IF(Table43[[#This Row],[Kode BARANG Win2]]&lt;&gt;"","IDR","")</f>
        <v>IDR</v>
      </c>
      <c r="BE149" s="7" t="str">
        <f>CONCATENATE(Table43[[#This Row],[kode  1 Digit
(Nomor)]],Table43[[#This Row],[kode  4 Digit                (Nomor)]])</f>
        <v>20450</v>
      </c>
      <c r="BF149" s="7" t="str">
        <f>Table43[[#This Row],[Nama            Gramasi atau Jumlah Pack per CTN]]</f>
        <v>450 ML</v>
      </c>
      <c r="BG149" s="7" t="s">
        <v>653</v>
      </c>
      <c r="BH149" s="51" t="s">
        <v>654</v>
      </c>
      <c r="BI149" s="4" t="str">
        <f>IF(Table43[[#This Row],[SATUAN Fix Win]]&lt;&gt;"","KRT")</f>
        <v>KRT</v>
      </c>
      <c r="BJ149" s="4" t="str">
        <f>IF(Table43[[#This Row],[SATUAN Fix Win]]&lt;&gt;"","GD01")</f>
        <v>GD01</v>
      </c>
      <c r="BK149" s="4">
        <f>IF(Table43[[#This Row],[SATUAN Fix Win]]&lt;&gt;"",11611)</f>
        <v>11611</v>
      </c>
      <c r="BL149" s="4">
        <f>IF(Table43[[#This Row],[SATUAN Fix Win]]&lt;&gt;"",11612)</f>
        <v>11612</v>
      </c>
      <c r="BM149" s="47" t="s">
        <v>655</v>
      </c>
      <c r="BN149" s="4">
        <f>IF(Table43[[#This Row],[SATUAN Fix Win]]&lt;&gt;"",1)</f>
        <v>1</v>
      </c>
      <c r="BO149" s="4" t="s">
        <v>656</v>
      </c>
      <c r="BP149" s="4">
        <f>IFERROR(VLOOKUP(Table43[[#This Row],[Kode Pcpl]],'[1]HEINZ ABC'!$A$4:$E$112,8,0),0)</f>
        <v>0</v>
      </c>
      <c r="BQ149" s="55">
        <f>Table43[[#This Row],[Harga Jual Pcs GT
(-PPN)]]-Table43[[#This Row],[HARGA NAIK GT]]</f>
        <v>13574.32</v>
      </c>
      <c r="BR149" s="4">
        <f>IF(Table43[[#This Row],[HARGA NAIK GT]]=0,Table43[[#This Row],[Harga Jual Pcs GT
(-PPN)]],Table43[[#This Row],[HARGA NAIK GT]])</f>
        <v>13574.32</v>
      </c>
      <c r="BS149">
        <f>IFERROR(VLOOKUP(Table43[[#This Row],[Kode Pcpl]],'[1]HEINZ ABC'!$A$4:$E$112,8,0),0)</f>
        <v>0</v>
      </c>
      <c r="BT149" s="58">
        <f>Table43[[#This Row],[Harga Jual Pcs GT
(-PPN)]]-BS149</f>
        <v>13574.32</v>
      </c>
      <c r="BU149">
        <f>IF(BS149=0,Table43[[#This Row],[Harga Jual Pcs MT
(-PPN)]])</f>
        <v>13574.32</v>
      </c>
      <c r="BV149">
        <f>IFERROR(VLOOKUP(Table43[[#This Row],[Kode Pcpl]],[2]Pricelist!$A$4:$K$112,11,0),0)</f>
        <v>0</v>
      </c>
      <c r="BW149">
        <f>IFERROR(VLOOKUP(Table43[[#This Row],[Kode BARANG Win2]],[3]!RECKITT211216[[KDBRG]:[HRG_JL_PCS-PPN]],11,0),0)</f>
        <v>0</v>
      </c>
      <c r="BX149">
        <f t="shared" si="5"/>
        <v>0</v>
      </c>
    </row>
    <row r="150" spans="1:76" x14ac:dyDescent="0.25">
      <c r="A150" s="4" t="str">
        <f>CONCATENATE(Table43[[#This Row],[Kode BARANG Win2]],Table43[[#This Row],[No. Urut
Item Sama]])</f>
        <v>A10920060450102</v>
      </c>
      <c r="B150" s="7">
        <v>2</v>
      </c>
      <c r="C150" s="4">
        <v>134</v>
      </c>
      <c r="D150" s="27">
        <v>400140</v>
      </c>
      <c r="E150" s="27" t="s">
        <v>347</v>
      </c>
      <c r="F150" s="27" t="s">
        <v>359</v>
      </c>
      <c r="G150" s="27">
        <v>12</v>
      </c>
      <c r="H150" s="42" t="s">
        <v>2443</v>
      </c>
      <c r="I150" s="27" t="str">
        <f>Table43[[#This Row],[Nama Jenis Kemasan]]</f>
        <v>BTL</v>
      </c>
      <c r="J150" s="4" t="str">
        <f>TRIM(CONCATENATE(Table43[[#This Row],[Nama            KLP]]," ",Table43[[#This Row],[Nama            Sub KLP]]))</f>
        <v>SIRUP SQUASH</v>
      </c>
      <c r="K150" s="4" t="str">
        <f>CONCATENATE(Table43[[#This Row],[kode  2 Digit                (hrf+No)]],Table43[[#This Row],[kode  2 Digit                (Nomor)]],Table43[[#This Row],[kode  1 Digit                (Nomor)]])</f>
        <v>A1092</v>
      </c>
      <c r="L150" s="4" t="str">
        <f>IF(AG150="",CONCATENATE(Q150,S150,U150,W150,Y150,AA150,AC150,AE150,Table43[[#This Row],[Tanda Kode Revisi]]),CONCATENATE(Q150,S150,U150,W150,Y150,AA150,AC150,AG150))</f>
        <v>A1092006045010</v>
      </c>
      <c r="M150" s="11">
        <f t="shared" si="6"/>
        <v>14</v>
      </c>
      <c r="N150" s="14" t="str">
        <f>IF(AF150&lt;&gt;"",TRIM(UPPER(CONCATENATE(P150," ",R150," ",T150," ",V150," ",X150," ",Z150," ","X"," ",Table43[[#This Row],[ISI/CTN]]," ",AF150," ",AB150," ",AD150," ",AH150))),TRIM(UPPER(CONCATENATE(P150," ",R150," ",T150," ",V150," ",X150," ",Z150," ","X"," ",Table43[[#This Row],[ISI/CTN]]," ",AB150," ",AD150," ",AH150))))</f>
        <v>ABC SIRUP SQUASH MANGGA 450 ML X 12 BTL</v>
      </c>
      <c r="O150" s="11">
        <f t="shared" si="7"/>
        <v>39</v>
      </c>
      <c r="P150" s="4" t="s">
        <v>28</v>
      </c>
      <c r="Q150" s="7" t="s">
        <v>85</v>
      </c>
      <c r="R150" s="4" t="s">
        <v>567</v>
      </c>
      <c r="S150" s="43" t="s">
        <v>568</v>
      </c>
      <c r="T150" s="44" t="s">
        <v>347</v>
      </c>
      <c r="U150" s="7">
        <v>2</v>
      </c>
      <c r="V150" s="44"/>
      <c r="W150" s="43" t="s">
        <v>1</v>
      </c>
      <c r="X150" s="4" t="s">
        <v>578</v>
      </c>
      <c r="Y150" s="45" t="s">
        <v>221</v>
      </c>
      <c r="Z150" s="4" t="s">
        <v>574</v>
      </c>
      <c r="AA150" s="45" t="s">
        <v>575</v>
      </c>
      <c r="AB150" s="4" t="s">
        <v>486</v>
      </c>
      <c r="AC150" s="7" t="s">
        <v>480</v>
      </c>
      <c r="AE150" s="7" t="s">
        <v>1</v>
      </c>
      <c r="AI150" s="7" t="s">
        <v>214</v>
      </c>
      <c r="AJ150" s="7">
        <v>2</v>
      </c>
      <c r="AL150" s="40">
        <f>Table43[[#This Row],[Harga Jual Pcs GT
(-PPN)]]-(Table43[[#This Row],[Harga Jual Pcs GT
(-PPN)]]*6%)</f>
        <v>12759.8608</v>
      </c>
      <c r="AM150" s="41">
        <f>Table43[[#This Row],[Harga Beli Pcs
(-PPN)]]*Table43[[#This Row],[ISI/CTN]]</f>
        <v>153118.3296</v>
      </c>
      <c r="AN150" s="41">
        <f>Table43[[#This Row],[Harga Beli Pcs
(-PPN)]]*1.11</f>
        <v>14163.445488000001</v>
      </c>
      <c r="AO150" s="41">
        <f>Table43[[#This Row],[Harga Beli Krt
(- PPN)]]*1.11</f>
        <v>169961.345856</v>
      </c>
      <c r="AP150" s="41">
        <v>13574.32</v>
      </c>
      <c r="AQ150" s="41">
        <f>Table43[[#This Row],[Harga Jual Pcs GT
(-PPN)]]*Table43[[#This Row],[ISI/CTN]]</f>
        <v>162891.84</v>
      </c>
      <c r="AR150" s="41">
        <f>Table43[[#This Row],[Harga Jual Pcs GT
(-PPN)]]*1.11</f>
        <v>15067.495200000001</v>
      </c>
      <c r="AS150" s="41">
        <f>Table43[[#This Row],[Harga Jual Krt GT
(- PPN)]]*1.11</f>
        <v>180809.9424</v>
      </c>
      <c r="AT150" s="41">
        <v>13574.32</v>
      </c>
      <c r="AU150" s="41">
        <f>(Table43[[#This Row],[Harga Jual Pcs MT
(-PPN)]]*Table43[[#This Row],[ISI/CTN]])</f>
        <v>162891.84</v>
      </c>
      <c r="AV150" s="41">
        <f>Table43[[#This Row],[Harga Jual Pcs MT
(-PPN)]]*1.11</f>
        <v>15067.495200000001</v>
      </c>
      <c r="AW150" s="41">
        <f>Table43[[#This Row],[Harga Jual Pcs MT
(+PPN)]]*Table43[[#This Row],[ISI/CTN]]</f>
        <v>180809.9424</v>
      </c>
      <c r="AX150" s="41"/>
      <c r="AY150" s="46">
        <v>45553</v>
      </c>
      <c r="AZ150" s="54">
        <v>45553</v>
      </c>
      <c r="BA150" s="7" t="str">
        <f ca="1">IF(TODAY()-Table43[[#This Row],[Efektif
Pembuatan]]&gt;60,"Lama","Baru")</f>
        <v>Lama</v>
      </c>
      <c r="BB150" s="7" t="str">
        <f ca="1">IF(TODAY()-Table43[[#This Row],[Efektif Naik Harga]]&lt;30,"Naik","Sama")</f>
        <v>Sama</v>
      </c>
      <c r="BC150" s="7" t="s">
        <v>235</v>
      </c>
      <c r="BD150" s="7" t="str">
        <f>IF(Table43[[#This Row],[Kode BARANG Win2]]&lt;&gt;"","IDR","")</f>
        <v>IDR</v>
      </c>
      <c r="BE150" s="7" t="str">
        <f>CONCATENATE(Table43[[#This Row],[kode  1 Digit
(Nomor)]],Table43[[#This Row],[kode  4 Digit                (Nomor)]])</f>
        <v>20450</v>
      </c>
      <c r="BF150" s="7" t="str">
        <f>Table43[[#This Row],[Nama            Gramasi atau Jumlah Pack per CTN]]</f>
        <v>450 ML</v>
      </c>
      <c r="BG150" s="7" t="s">
        <v>653</v>
      </c>
      <c r="BH150" s="51" t="s">
        <v>654</v>
      </c>
      <c r="BI150" s="4" t="str">
        <f>IF(Table43[[#This Row],[SATUAN Fix Win]]&lt;&gt;"","KRT")</f>
        <v>KRT</v>
      </c>
      <c r="BJ150" s="4" t="str">
        <f>IF(Table43[[#This Row],[SATUAN Fix Win]]&lt;&gt;"","GD01")</f>
        <v>GD01</v>
      </c>
      <c r="BK150" s="4">
        <f>IF(Table43[[#This Row],[SATUAN Fix Win]]&lt;&gt;"",11611)</f>
        <v>11611</v>
      </c>
      <c r="BL150" s="4">
        <f>IF(Table43[[#This Row],[SATUAN Fix Win]]&lt;&gt;"",11612)</f>
        <v>11612</v>
      </c>
      <c r="BM150" s="47" t="s">
        <v>655</v>
      </c>
      <c r="BN150" s="4">
        <f>IF(Table43[[#This Row],[SATUAN Fix Win]]&lt;&gt;"",1)</f>
        <v>1</v>
      </c>
      <c r="BO150" s="4" t="s">
        <v>656</v>
      </c>
      <c r="BP150" s="4">
        <f>IFERROR(VLOOKUP(Table43[[#This Row],[Kode Pcpl]],'[1]HEINZ ABC'!$A$4:$E$112,8,0),0)</f>
        <v>0</v>
      </c>
      <c r="BQ150" s="55">
        <f>Table43[[#This Row],[Harga Jual Pcs GT
(-PPN)]]-Table43[[#This Row],[HARGA NAIK GT]]</f>
        <v>13574.32</v>
      </c>
      <c r="BR150" s="4">
        <f>IF(Table43[[#This Row],[HARGA NAIK GT]]=0,Table43[[#This Row],[Harga Jual Pcs GT
(-PPN)]],Table43[[#This Row],[HARGA NAIK GT]])</f>
        <v>13574.32</v>
      </c>
      <c r="BS150">
        <f>IFERROR(VLOOKUP(Table43[[#This Row],[Kode Pcpl]],'[1]HEINZ ABC'!$A$4:$E$112,8,0),0)</f>
        <v>0</v>
      </c>
      <c r="BT150" s="58">
        <f>Table43[[#This Row],[Harga Jual Pcs GT
(-PPN)]]-BS150</f>
        <v>13574.32</v>
      </c>
      <c r="BU150">
        <f>IF(BS150=0,Table43[[#This Row],[Harga Jual Pcs MT
(-PPN)]])</f>
        <v>13574.32</v>
      </c>
      <c r="BV150">
        <f>IFERROR(VLOOKUP(Table43[[#This Row],[Kode Pcpl]],[2]Pricelist!$A$4:$K$112,11,0),0)</f>
        <v>0</v>
      </c>
      <c r="BW150">
        <f>IFERROR(VLOOKUP(Table43[[#This Row],[Kode BARANG Win2]],[3]!RECKITT211216[[KDBRG]:[HRG_JL_PCS-PPN]],11,0),0)</f>
        <v>0</v>
      </c>
      <c r="BX150">
        <f t="shared" si="5"/>
        <v>0</v>
      </c>
    </row>
    <row r="151" spans="1:76" x14ac:dyDescent="0.25">
      <c r="A151" s="4" t="str">
        <f>CONCATENATE(Table43[[#This Row],[Kode BARANG Win2]],Table43[[#This Row],[No. Urut
Item Sama]])</f>
        <v>A11000010155101</v>
      </c>
      <c r="B151" s="7">
        <v>1</v>
      </c>
      <c r="C151" s="4">
        <v>136</v>
      </c>
      <c r="D151" s="27">
        <v>612045</v>
      </c>
      <c r="E151" s="27" t="s">
        <v>360</v>
      </c>
      <c r="F151" s="27" t="s">
        <v>1062</v>
      </c>
      <c r="G151" s="27">
        <v>60</v>
      </c>
      <c r="H151" s="42" t="s">
        <v>2960</v>
      </c>
      <c r="I151" s="27" t="str">
        <f>Table43[[#This Row],[Nama Jenis Kemasan]]</f>
        <v>KLG</v>
      </c>
      <c r="J151" s="4" t="str">
        <f>TRIM(CONCATENATE(Table43[[#This Row],[Nama            KLP]]," ",Table43[[#This Row],[Nama            Sub KLP]]))</f>
        <v>SARDINES</v>
      </c>
      <c r="K151" s="4" t="str">
        <f>CONCATENATE(Table43[[#This Row],[kode  2 Digit                (hrf+No)]],Table43[[#This Row],[kode  2 Digit                (Nomor)]],Table43[[#This Row],[kode  1 Digit                (Nomor)]])</f>
        <v>A1100</v>
      </c>
      <c r="L151" s="4" t="str">
        <f>IF(AG151="",CONCATENATE(Q151,S151,U151,W151,Y151,AA151,AC151,AE151,Table43[[#This Row],[Tanda Kode Revisi]]),CONCATENATE(Q151,S151,U151,W151,Y151,AA151,AC151,AG151))</f>
        <v>A1100001015510</v>
      </c>
      <c r="M151" s="11">
        <f t="shared" si="6"/>
        <v>14</v>
      </c>
      <c r="N151" s="14" t="str">
        <f>IF(AF151&lt;&gt;"",TRIM(UPPER(CONCATENATE(P151," ",R151," ",T151," ",V151," ",X151," ",Z151," ","X"," ",Table43[[#This Row],[ISI/CTN]]," ",AF151," ",AB151," ",AD151," ",AH151))),TRIM(UPPER(CONCATENATE(P151," ",R151," ",T151," ",V151," ",X151," ",Z151," ","X"," ",Table43[[#This Row],[ISI/CTN]]," ",AB151," ",AD151," ",AH151))))</f>
        <v>ABC SARDINES TOMAT 155 GR X 60 KLG</v>
      </c>
      <c r="O151" s="11">
        <f t="shared" si="7"/>
        <v>34</v>
      </c>
      <c r="P151" s="4" t="s">
        <v>28</v>
      </c>
      <c r="Q151" s="7" t="s">
        <v>85</v>
      </c>
      <c r="R151" s="4" t="s">
        <v>579</v>
      </c>
      <c r="S151" s="43">
        <v>10</v>
      </c>
      <c r="T151" s="44"/>
      <c r="U151" s="7" t="s">
        <v>1</v>
      </c>
      <c r="V151" s="44"/>
      <c r="W151" s="43" t="s">
        <v>1</v>
      </c>
      <c r="X151" s="4" t="s">
        <v>1063</v>
      </c>
      <c r="Y151" s="45" t="s">
        <v>0</v>
      </c>
      <c r="Z151" s="4" t="s">
        <v>581</v>
      </c>
      <c r="AA151" s="45" t="s">
        <v>582</v>
      </c>
      <c r="AB151" s="4" t="s">
        <v>206</v>
      </c>
      <c r="AC151" s="7" t="s">
        <v>480</v>
      </c>
      <c r="AE151" s="7">
        <v>0</v>
      </c>
      <c r="AI151" s="7" t="s">
        <v>215</v>
      </c>
      <c r="AJ151" s="7">
        <v>1</v>
      </c>
      <c r="AL151" s="40">
        <f>Table43[[#This Row],[Harga Jual Pcs GT
(-PPN)]]-(Table43[[#This Row],[Harga Jual Pcs GT
(-PPN)]]*6%)</f>
        <v>9145.9462000000003</v>
      </c>
      <c r="AM151" s="41">
        <f>Table43[[#This Row],[Harga Beli Pcs
(-PPN)]]*Table43[[#This Row],[ISI/CTN]]</f>
        <v>548756.772</v>
      </c>
      <c r="AN151" s="41">
        <f>Table43[[#This Row],[Harga Beli Pcs
(-PPN)]]*1.11</f>
        <v>10152.000282000001</v>
      </c>
      <c r="AO151" s="41">
        <f>Table43[[#This Row],[Harga Beli Krt
(- PPN)]]*1.11</f>
        <v>609120.01692000008</v>
      </c>
      <c r="AP151" s="41">
        <v>9729.73</v>
      </c>
      <c r="AQ151" s="41">
        <f>Table43[[#This Row],[Harga Jual Pcs GT
(-PPN)]]*Table43[[#This Row],[ISI/CTN]]</f>
        <v>583783.79999999993</v>
      </c>
      <c r="AR151" s="41">
        <f>Table43[[#This Row],[Harga Jual Pcs GT
(-PPN)]]*1.11</f>
        <v>10800.0003</v>
      </c>
      <c r="AS151" s="41">
        <f>Table43[[#This Row],[Harga Jual Krt GT
(- PPN)]]*1.11</f>
        <v>648000.01799999992</v>
      </c>
      <c r="AT151" s="41">
        <v>10216.219999999999</v>
      </c>
      <c r="AU151" s="41">
        <f>(Table43[[#This Row],[Harga Jual Pcs MT
(-PPN)]]*Table43[[#This Row],[ISI/CTN]])</f>
        <v>612973.19999999995</v>
      </c>
      <c r="AV151" s="41">
        <f>Table43[[#This Row],[Harga Jual Pcs MT
(-PPN)]]*1.11</f>
        <v>11340.004199999999</v>
      </c>
      <c r="AW151" s="41">
        <f>Table43[[#This Row],[Harga Jual Pcs MT
(+PPN)]]*Table43[[#This Row],[ISI/CTN]]</f>
        <v>680400.25199999998</v>
      </c>
      <c r="AX151" s="41"/>
      <c r="AY151" s="46">
        <v>45553</v>
      </c>
      <c r="AZ151" s="54">
        <v>45553</v>
      </c>
      <c r="BA151" s="7" t="str">
        <f ca="1">IF(TODAY()-Table43[[#This Row],[Efektif
Pembuatan]]&gt;60,"Lama","Baru")</f>
        <v>Lama</v>
      </c>
      <c r="BB151" s="7" t="str">
        <f ca="1">IF(TODAY()-Table43[[#This Row],[Efektif Naik Harga]]&lt;30,"Naik","Sama")</f>
        <v>Sama</v>
      </c>
      <c r="BC151" s="7" t="s">
        <v>235</v>
      </c>
      <c r="BD151" s="7" t="str">
        <f>IF(Table43[[#This Row],[Kode BARANG Win2]]&lt;&gt;"","IDR","")</f>
        <v>IDR</v>
      </c>
      <c r="BE151" s="7" t="str">
        <f>CONCATENATE(Table43[[#This Row],[kode  1 Digit
(Nomor)]],Table43[[#This Row],[kode  4 Digit                (Nomor)]])</f>
        <v>10155</v>
      </c>
      <c r="BF151" s="7" t="str">
        <f>Table43[[#This Row],[Nama            Gramasi atau Jumlah Pack per CTN]]</f>
        <v>155 GR</v>
      </c>
      <c r="BG151" s="7" t="s">
        <v>653</v>
      </c>
      <c r="BH151" s="51" t="s">
        <v>654</v>
      </c>
      <c r="BI151" s="4" t="str">
        <f>IF(Table43[[#This Row],[SATUAN Fix Win]]&lt;&gt;"","KRT")</f>
        <v>KRT</v>
      </c>
      <c r="BJ151" s="4" t="str">
        <f>IF(Table43[[#This Row],[SATUAN Fix Win]]&lt;&gt;"","GD01")</f>
        <v>GD01</v>
      </c>
      <c r="BK151" s="4">
        <f>IF(Table43[[#This Row],[SATUAN Fix Win]]&lt;&gt;"",11611)</f>
        <v>11611</v>
      </c>
      <c r="BL151" s="4">
        <f>IF(Table43[[#This Row],[SATUAN Fix Win]]&lt;&gt;"",11612)</f>
        <v>11612</v>
      </c>
      <c r="BM151" s="47" t="s">
        <v>655</v>
      </c>
      <c r="BN151" s="4">
        <f>IF(Table43[[#This Row],[SATUAN Fix Win]]&lt;&gt;"",1)</f>
        <v>1</v>
      </c>
      <c r="BO151" s="4" t="s">
        <v>656</v>
      </c>
      <c r="BP151" s="4">
        <f>IFERROR(VLOOKUP(Table43[[#This Row],[Kode Pcpl]],'[1]HEINZ ABC'!$A$4:$E$112,8,0),0)</f>
        <v>0</v>
      </c>
      <c r="BQ151" s="55">
        <f>Table43[[#This Row],[Harga Jual Pcs GT
(-PPN)]]-Table43[[#This Row],[HARGA NAIK GT]]</f>
        <v>9729.73</v>
      </c>
      <c r="BR151" s="4">
        <f>IF(Table43[[#This Row],[HARGA NAIK GT]]=0,Table43[[#This Row],[Harga Jual Pcs GT
(-PPN)]],Table43[[#This Row],[HARGA NAIK GT]])</f>
        <v>9729.73</v>
      </c>
      <c r="BS151">
        <f>IFERROR(VLOOKUP(Table43[[#This Row],[Kode Pcpl]],'[1]HEINZ ABC'!$A$4:$E$112,8,0),0)</f>
        <v>0</v>
      </c>
      <c r="BT151" s="58">
        <f>Table43[[#This Row],[Harga Jual Pcs GT
(-PPN)]]-BS151</f>
        <v>9729.73</v>
      </c>
      <c r="BU151">
        <f>IF(BS151=0,Table43[[#This Row],[Harga Jual Pcs MT
(-PPN)]])</f>
        <v>10216.219999999999</v>
      </c>
      <c r="BV151">
        <f>IFERROR(VLOOKUP(Table43[[#This Row],[Kode Pcpl]],[2]Pricelist!$A$4:$K$112,11,0),0)</f>
        <v>0</v>
      </c>
      <c r="BW151">
        <f>IFERROR(VLOOKUP(Table43[[#This Row],[Kode BARANG Win2]],[3]!RECKITT211216[[KDBRG]:[HRG_JL_PCS-PPN]],11,0),0)</f>
        <v>0</v>
      </c>
      <c r="BX151">
        <f t="shared" si="5"/>
        <v>0</v>
      </c>
    </row>
    <row r="152" spans="1:76" x14ac:dyDescent="0.25">
      <c r="A152" s="4" t="str">
        <f>CONCATENATE(Table43[[#This Row],[Kode BARANG Win2]],Table43[[#This Row],[No. Urut
Item Sama]])</f>
        <v>A11000010155111</v>
      </c>
      <c r="B152" s="7">
        <v>1</v>
      </c>
      <c r="C152" s="4">
        <v>135</v>
      </c>
      <c r="D152" s="27">
        <v>612953</v>
      </c>
      <c r="E152" s="27" t="s">
        <v>360</v>
      </c>
      <c r="F152" s="27" t="s">
        <v>361</v>
      </c>
      <c r="G152" s="27">
        <v>30</v>
      </c>
      <c r="H152" s="42">
        <v>0</v>
      </c>
      <c r="I152" s="27" t="str">
        <f>Table43[[#This Row],[Nama Jenis Kemasan]]</f>
        <v>KLG</v>
      </c>
      <c r="J152" s="4" t="str">
        <f>TRIM(CONCATENATE(Table43[[#This Row],[Nama            KLP]]," ",Table43[[#This Row],[Nama            Sub KLP]]))</f>
        <v>SARDINES</v>
      </c>
      <c r="K152" s="4" t="str">
        <f>CONCATENATE(Table43[[#This Row],[kode  2 Digit                (hrf+No)]],Table43[[#This Row],[kode  2 Digit                (Nomor)]],Table43[[#This Row],[kode  1 Digit                (Nomor)]])</f>
        <v>A1100</v>
      </c>
      <c r="L152" s="4" t="str">
        <f>IF(AG152="",CONCATENATE(Q152,S152,U152,W152,Y152,AA152,AC152,AE152,Table43[[#This Row],[Tanda Kode Revisi]]),CONCATENATE(Q152,S152,U152,W152,Y152,AA152,AC152,AG152))</f>
        <v>A1100001015511</v>
      </c>
      <c r="M152" s="11">
        <f t="shared" si="6"/>
        <v>14</v>
      </c>
      <c r="N152" s="14" t="str">
        <f>IF(AF152&lt;&gt;"",TRIM(UPPER(CONCATENATE(P152," ",R152," ",T152," ",V152," ",X152," ",Z152," ","X"," ",Table43[[#This Row],[ISI/CTN]]," ",AF152," ",AB152," ",AD152," ",AH152))),TRIM(UPPER(CONCATENATE(P152," ",R152," ",T152," ",V152," ",X152," ",Z152," ","X"," ",Table43[[#This Row],[ISI/CTN]]," ",AB152," ",AD152," ",AH152))))</f>
        <v>ABC SARDINES TOMAT 155 GR X 30 KLG BANDED</v>
      </c>
      <c r="O152" s="11">
        <f t="shared" si="7"/>
        <v>41</v>
      </c>
      <c r="P152" s="4" t="s">
        <v>28</v>
      </c>
      <c r="Q152" s="7" t="s">
        <v>85</v>
      </c>
      <c r="R152" s="4" t="s">
        <v>579</v>
      </c>
      <c r="S152" s="43">
        <v>10</v>
      </c>
      <c r="T152" s="44"/>
      <c r="U152" s="7" t="s">
        <v>1</v>
      </c>
      <c r="V152" s="44"/>
      <c r="W152" s="43" t="s">
        <v>1</v>
      </c>
      <c r="X152" s="4" t="s">
        <v>580</v>
      </c>
      <c r="Y152" s="45" t="s">
        <v>0</v>
      </c>
      <c r="Z152" s="4" t="s">
        <v>581</v>
      </c>
      <c r="AA152" s="45" t="s">
        <v>582</v>
      </c>
      <c r="AB152" s="4" t="s">
        <v>206</v>
      </c>
      <c r="AC152" s="7" t="s">
        <v>480</v>
      </c>
      <c r="AD152" s="4" t="s">
        <v>496</v>
      </c>
      <c r="AE152" s="7">
        <v>1</v>
      </c>
      <c r="AI152" s="7" t="s">
        <v>215</v>
      </c>
      <c r="AJ152" s="7">
        <v>1</v>
      </c>
      <c r="AL152" s="40">
        <f>Table43[[#This Row],[Harga Jual Pcs GT
(-PPN)]]-(Table43[[#This Row],[Harga Jual Pcs GT
(-PPN)]]*6%)</f>
        <v>18291.892400000001</v>
      </c>
      <c r="AM152" s="41">
        <f>Table43[[#This Row],[Harga Beli Pcs
(-PPN)]]*Table43[[#This Row],[ISI/CTN]]</f>
        <v>548756.772</v>
      </c>
      <c r="AN152" s="41">
        <f>Table43[[#This Row],[Harga Beli Pcs
(-PPN)]]*1.11</f>
        <v>20304.000564000002</v>
      </c>
      <c r="AO152" s="41">
        <f>Table43[[#This Row],[Harga Beli Krt
(- PPN)]]*1.11</f>
        <v>609120.01692000008</v>
      </c>
      <c r="AP152" s="41">
        <v>19459.46</v>
      </c>
      <c r="AQ152" s="41">
        <f>Table43[[#This Row],[Harga Jual Pcs GT
(-PPN)]]*Table43[[#This Row],[ISI/CTN]]</f>
        <v>583783.79999999993</v>
      </c>
      <c r="AR152" s="41">
        <f>Table43[[#This Row],[Harga Jual Pcs GT
(-PPN)]]*1.11</f>
        <v>21600.000599999999</v>
      </c>
      <c r="AS152" s="41">
        <f>Table43[[#This Row],[Harga Jual Krt GT
(- PPN)]]*1.11</f>
        <v>648000.01799999992</v>
      </c>
      <c r="AT152" s="41">
        <v>20432.43</v>
      </c>
      <c r="AU152" s="41">
        <f>(Table43[[#This Row],[Harga Jual Pcs MT
(-PPN)]]*Table43[[#This Row],[ISI/CTN]])</f>
        <v>612972.9</v>
      </c>
      <c r="AV152" s="41">
        <f>Table43[[#This Row],[Harga Jual Pcs MT
(-PPN)]]*1.11</f>
        <v>22679.997300000003</v>
      </c>
      <c r="AW152" s="41">
        <f>Table43[[#This Row],[Harga Jual Pcs MT
(+PPN)]]*Table43[[#This Row],[ISI/CTN]]</f>
        <v>680399.91900000011</v>
      </c>
      <c r="AX152" s="41"/>
      <c r="AY152" s="46">
        <v>45553</v>
      </c>
      <c r="AZ152" s="54">
        <v>45553</v>
      </c>
      <c r="BA152" s="7" t="str">
        <f ca="1">IF(TODAY()-Table43[[#This Row],[Efektif
Pembuatan]]&gt;60,"Lama","Baru")</f>
        <v>Lama</v>
      </c>
      <c r="BB152" s="7" t="str">
        <f ca="1">IF(TODAY()-Table43[[#This Row],[Efektif Naik Harga]]&lt;30,"Naik","Sama")</f>
        <v>Sama</v>
      </c>
      <c r="BC152" s="7" t="s">
        <v>235</v>
      </c>
      <c r="BD152" s="7" t="str">
        <f>IF(Table43[[#This Row],[Kode BARANG Win2]]&lt;&gt;"","IDR","")</f>
        <v>IDR</v>
      </c>
      <c r="BE152" s="7" t="str">
        <f>CONCATENATE(Table43[[#This Row],[kode  1 Digit
(Nomor)]],Table43[[#This Row],[kode  4 Digit                (Nomor)]])</f>
        <v>10155</v>
      </c>
      <c r="BF152" s="7" t="str">
        <f>Table43[[#This Row],[Nama            Gramasi atau Jumlah Pack per CTN]]</f>
        <v>155 GR</v>
      </c>
      <c r="BG152" s="7" t="s">
        <v>653</v>
      </c>
      <c r="BH152" s="51" t="s">
        <v>654</v>
      </c>
      <c r="BI152" s="4" t="str">
        <f>IF(Table43[[#This Row],[SATUAN Fix Win]]&lt;&gt;"","KRT")</f>
        <v>KRT</v>
      </c>
      <c r="BJ152" s="4" t="str">
        <f>IF(Table43[[#This Row],[SATUAN Fix Win]]&lt;&gt;"","GD01")</f>
        <v>GD01</v>
      </c>
      <c r="BK152" s="4">
        <f>IF(Table43[[#This Row],[SATUAN Fix Win]]&lt;&gt;"",11611)</f>
        <v>11611</v>
      </c>
      <c r="BL152" s="4">
        <f>IF(Table43[[#This Row],[SATUAN Fix Win]]&lt;&gt;"",11612)</f>
        <v>11612</v>
      </c>
      <c r="BM152" s="47" t="s">
        <v>655</v>
      </c>
      <c r="BN152" s="4">
        <f>IF(Table43[[#This Row],[SATUAN Fix Win]]&lt;&gt;"",1)</f>
        <v>1</v>
      </c>
      <c r="BO152" s="4" t="s">
        <v>656</v>
      </c>
      <c r="BP152" s="4">
        <f>IFERROR(VLOOKUP(Table43[[#This Row],[Kode Pcpl]],'[1]HEINZ ABC'!$A$4:$E$112,8,0),0)</f>
        <v>0</v>
      </c>
      <c r="BQ152" s="55">
        <f>Table43[[#This Row],[Harga Jual Pcs GT
(-PPN)]]-Table43[[#This Row],[HARGA NAIK GT]]</f>
        <v>19459.46</v>
      </c>
      <c r="BR152" s="4">
        <f>IF(Table43[[#This Row],[HARGA NAIK GT]]=0,Table43[[#This Row],[Harga Jual Pcs GT
(-PPN)]],Table43[[#This Row],[HARGA NAIK GT]])</f>
        <v>19459.46</v>
      </c>
      <c r="BS152">
        <f>IFERROR(VLOOKUP(Table43[[#This Row],[Kode Pcpl]],'[1]HEINZ ABC'!$A$4:$E$112,8,0),0)</f>
        <v>0</v>
      </c>
      <c r="BT152" s="58">
        <f>Table43[[#This Row],[Harga Jual Pcs GT
(-PPN)]]-BS152</f>
        <v>19459.46</v>
      </c>
      <c r="BU152">
        <f>IF(BS152=0,Table43[[#This Row],[Harga Jual Pcs MT
(-PPN)]])</f>
        <v>20432.43</v>
      </c>
      <c r="BV152">
        <f>IFERROR(VLOOKUP(Table43[[#This Row],[Kode Pcpl]],[2]Pricelist!$A$4:$K$112,11,0),0)</f>
        <v>0</v>
      </c>
      <c r="BW152">
        <f>IFERROR(VLOOKUP(Table43[[#This Row],[Kode BARANG Win2]],[3]!RECKITT211216[[KDBRG]:[HRG_JL_PCS-PPN]],11,0),0)</f>
        <v>0</v>
      </c>
      <c r="BX152">
        <f t="shared" ref="BX152:BX229" si="8">BV152/1.11</f>
        <v>0</v>
      </c>
    </row>
    <row r="153" spans="1:76" x14ac:dyDescent="0.25">
      <c r="A153" s="4" t="str">
        <f>CONCATENATE(Table43[[#This Row],[Kode BARANG Win2]],Table43[[#This Row],[No. Urut
Item Sama]])</f>
        <v>A11000010155121</v>
      </c>
      <c r="B153" s="7">
        <v>1</v>
      </c>
      <c r="C153" s="4">
        <v>137</v>
      </c>
      <c r="D153" s="27">
        <v>612157</v>
      </c>
      <c r="E153" s="27" t="s">
        <v>360</v>
      </c>
      <c r="F153" s="27" t="s">
        <v>1057</v>
      </c>
      <c r="G153" s="27">
        <v>60</v>
      </c>
      <c r="H153" s="42" t="s">
        <v>2971</v>
      </c>
      <c r="I153" s="27" t="str">
        <f>Table43[[#This Row],[Nama Jenis Kemasan]]</f>
        <v>KLG</v>
      </c>
      <c r="J153" s="4" t="str">
        <f>TRIM(CONCATENATE(Table43[[#This Row],[Nama            KLP]]," ",Table43[[#This Row],[Nama            Sub KLP]]))</f>
        <v>SARDINES</v>
      </c>
      <c r="K153" s="4" t="str">
        <f>CONCATENATE(Table43[[#This Row],[kode  2 Digit                (hrf+No)]],Table43[[#This Row],[kode  2 Digit                (Nomor)]],Table43[[#This Row],[kode  1 Digit                (Nomor)]])</f>
        <v>A1100</v>
      </c>
      <c r="L153" s="4" t="str">
        <f>IF(AG153="",CONCATENATE(Q153,S153,U153,W153,Y153,AA153,AC153,AE153,Table43[[#This Row],[Tanda Kode Revisi]]),CONCATENATE(Q153,S153,U153,W153,Y153,AA153,AC153,AG153))</f>
        <v>A1100001015512</v>
      </c>
      <c r="M153" s="11">
        <f t="shared" si="6"/>
        <v>14</v>
      </c>
      <c r="N153" s="14" t="str">
        <f>IF(AF153&lt;&gt;"",TRIM(UPPER(CONCATENATE(P153," ",R153," ",T153," ",V153," ",X153," ",Z153," ","X"," ",Table43[[#This Row],[ISI/CTN]]," ",AF153," ",AB153," ",AD153," ",AH153))),TRIM(UPPER(CONCATENATE(P153," ",R153," ",T153," ",V153," ",X153," ",Z153," ","X"," ",Table43[[#This Row],[ISI/CTN]]," ",AB153," ",AD153," ",AH153))))</f>
        <v>ABC SARDINES TOMAT 155 GR X 60 KLG PROMO</v>
      </c>
      <c r="O153" s="11">
        <f t="shared" si="7"/>
        <v>40</v>
      </c>
      <c r="P153" s="4" t="s">
        <v>28</v>
      </c>
      <c r="Q153" s="7" t="s">
        <v>85</v>
      </c>
      <c r="R153" s="4" t="s">
        <v>579</v>
      </c>
      <c r="S153" s="43">
        <v>10</v>
      </c>
      <c r="T153" s="44"/>
      <c r="U153" s="7" t="s">
        <v>1</v>
      </c>
      <c r="V153" s="44"/>
      <c r="W153" s="43" t="s">
        <v>1</v>
      </c>
      <c r="X153" s="4" t="s">
        <v>580</v>
      </c>
      <c r="Y153" s="45" t="s">
        <v>0</v>
      </c>
      <c r="Z153" s="4" t="s">
        <v>581</v>
      </c>
      <c r="AA153" s="45" t="s">
        <v>582</v>
      </c>
      <c r="AB153" s="4" t="s">
        <v>206</v>
      </c>
      <c r="AC153" s="7" t="s">
        <v>480</v>
      </c>
      <c r="AD153" s="4" t="s">
        <v>233</v>
      </c>
      <c r="AE153" s="7">
        <v>2</v>
      </c>
      <c r="AI153" s="7" t="s">
        <v>215</v>
      </c>
      <c r="AJ153" s="7">
        <v>1</v>
      </c>
      <c r="AL153" s="40">
        <f>Table43[[#This Row],[Harga Jual Pcs GT
(-PPN)]]-(Table43[[#This Row],[Harga Jual Pcs GT
(-PPN)]]*6%)</f>
        <v>7775.7477476800004</v>
      </c>
      <c r="AM153" s="41">
        <f>Table43[[#This Row],[Harga Beli Pcs
(-PPN)]]*Table43[[#This Row],[ISI/CTN]]</f>
        <v>466544.86486080004</v>
      </c>
      <c r="AN153" s="41">
        <f>Table43[[#This Row],[Harga Beli Pcs
(-PPN)]]*1.11</f>
        <v>8631.0799999248011</v>
      </c>
      <c r="AO153" s="41">
        <f>Table43[[#This Row],[Harga Beli Krt
(- PPN)]]*1.11</f>
        <v>517864.79999548808</v>
      </c>
      <c r="AP153" s="41">
        <v>8272.0720720000008</v>
      </c>
      <c r="AQ153" s="41">
        <f>Table43[[#This Row],[Harga Jual Pcs GT
(-PPN)]]*Table43[[#This Row],[ISI/CTN]]</f>
        <v>496324.32432000007</v>
      </c>
      <c r="AR153" s="41">
        <f>Table43[[#This Row],[Harga Jual Pcs GT
(-PPN)]]*1.11</f>
        <v>9181.9999999200008</v>
      </c>
      <c r="AS153" s="41">
        <f>Table43[[#This Row],[Harga Jual Krt GT
(- PPN)]]*1.11</f>
        <v>550919.99999520008</v>
      </c>
      <c r="AT153" s="41">
        <v>0</v>
      </c>
      <c r="AU153" s="41">
        <f>(Table43[[#This Row],[Harga Jual Pcs MT
(-PPN)]]*Table43[[#This Row],[ISI/CTN]])</f>
        <v>0</v>
      </c>
      <c r="AV153" s="41">
        <f>Table43[[#This Row],[Harga Jual Pcs MT
(-PPN)]]*1.11</f>
        <v>0</v>
      </c>
      <c r="AW153" s="41">
        <f>Table43[[#This Row],[Harga Jual Pcs MT
(+PPN)]]*Table43[[#This Row],[ISI/CTN]]</f>
        <v>0</v>
      </c>
      <c r="AX153" s="41"/>
      <c r="AY153" s="46">
        <v>45674</v>
      </c>
      <c r="AZ153" s="54">
        <v>45553</v>
      </c>
      <c r="BA153" s="7" t="str">
        <f ca="1">IF(TODAY()-Table43[[#This Row],[Efektif
Pembuatan]]&gt;60,"Lama","Baru")</f>
        <v>Lama</v>
      </c>
      <c r="BB153" s="7" t="str">
        <f ca="1">IF(TODAY()-Table43[[#This Row],[Efektif Naik Harga]]&lt;30,"Naik","Sama")</f>
        <v>Sama</v>
      </c>
      <c r="BC153" s="7" t="s">
        <v>235</v>
      </c>
      <c r="BD153" s="7" t="str">
        <f>IF(Table43[[#This Row],[Kode BARANG Win2]]&lt;&gt;"","IDR","")</f>
        <v>IDR</v>
      </c>
      <c r="BE153" s="7" t="str">
        <f>CONCATENATE(Table43[[#This Row],[kode  1 Digit
(Nomor)]],Table43[[#This Row],[kode  4 Digit                (Nomor)]])</f>
        <v>10155</v>
      </c>
      <c r="BF153" s="7" t="str">
        <f>Table43[[#This Row],[Nama            Gramasi atau Jumlah Pack per CTN]]</f>
        <v>155 GR</v>
      </c>
      <c r="BG153" s="7"/>
      <c r="BH153" s="51"/>
      <c r="BI153" s="4" t="str">
        <f>IF(Table43[[#This Row],[SATUAN Fix Win]]&lt;&gt;"","KRT")</f>
        <v>KRT</v>
      </c>
      <c r="BJ153" s="4" t="str">
        <f>IF(Table43[[#This Row],[SATUAN Fix Win]]&lt;&gt;"","GD01")</f>
        <v>GD01</v>
      </c>
      <c r="BK153" s="4">
        <f>IF(Table43[[#This Row],[SATUAN Fix Win]]&lt;&gt;"",11611)</f>
        <v>11611</v>
      </c>
      <c r="BL153" s="4">
        <f>IF(Table43[[#This Row],[SATUAN Fix Win]]&lt;&gt;"",11612)</f>
        <v>11612</v>
      </c>
      <c r="BM153" s="47"/>
      <c r="BN153" s="4">
        <f>IF(Table43[[#This Row],[SATUAN Fix Win]]&lt;&gt;"",1)</f>
        <v>1</v>
      </c>
      <c r="BP153" s="4">
        <f>IFERROR(VLOOKUP(Table43[[#This Row],[Kode Pcpl]],'[1]HEINZ ABC'!$A$4:$E$112,8,0),0)</f>
        <v>0</v>
      </c>
      <c r="BQ153" s="55">
        <f>Table43[[#This Row],[Harga Jual Pcs GT
(-PPN)]]-Table43[[#This Row],[HARGA NAIK GT]]</f>
        <v>8272.0720720000008</v>
      </c>
      <c r="BR153" s="4">
        <f>IF(Table43[[#This Row],[HARGA NAIK GT]]=0,Table43[[#This Row],[Harga Jual Pcs GT
(-PPN)]],Table43[[#This Row],[HARGA NAIK GT]])</f>
        <v>8272.0720720000008</v>
      </c>
      <c r="BS153">
        <f>IFERROR(VLOOKUP(Table43[[#This Row],[Kode Pcpl]],'[1]HEINZ ABC'!$A$4:$E$112,8,0),0)</f>
        <v>0</v>
      </c>
      <c r="BT153" s="58">
        <f>Table43[[#This Row],[Harga Jual Pcs GT
(-PPN)]]-BS153</f>
        <v>8272.0720720000008</v>
      </c>
      <c r="BU153">
        <f>IF(BS153=0,Table43[[#This Row],[Harga Jual Pcs MT
(-PPN)]])</f>
        <v>0</v>
      </c>
      <c r="BV153">
        <f>IFERROR(VLOOKUP(Table43[[#This Row],[Kode Pcpl]],[2]Pricelist!$A$4:$K$112,11,0),0)</f>
        <v>0</v>
      </c>
      <c r="BW153">
        <f>IFERROR(VLOOKUP(Table43[[#This Row],[Kode BARANG Win2]],[3]!RECKITT211216[[KDBRG]:[HRG_JL_PCS-PPN]],11,0),0)</f>
        <v>0</v>
      </c>
      <c r="BX153">
        <f t="shared" si="8"/>
        <v>0</v>
      </c>
    </row>
    <row r="154" spans="1:76" x14ac:dyDescent="0.25">
      <c r="A154" s="4" t="str">
        <f>CONCATENATE(Table43[[#This Row],[Kode BARANG Win2]],Table43[[#This Row],[No. Urut
Item Sama]])</f>
        <v>A11000010155122</v>
      </c>
      <c r="B154" s="7">
        <v>2</v>
      </c>
      <c r="D154" s="27">
        <v>612961</v>
      </c>
      <c r="E154" s="27" t="s">
        <v>360</v>
      </c>
      <c r="F154" s="27" t="s">
        <v>1065</v>
      </c>
      <c r="G154" s="27">
        <v>60</v>
      </c>
      <c r="H154" s="42" t="s">
        <v>2951</v>
      </c>
      <c r="I154" s="27" t="str">
        <f>Table43[[#This Row],[Nama Jenis Kemasan]]</f>
        <v>KLG</v>
      </c>
      <c r="J154" s="4" t="str">
        <f>TRIM(CONCATENATE(Table43[[#This Row],[Nama            KLP]]," ",Table43[[#This Row],[Nama            Sub KLP]]))</f>
        <v>SARDINES</v>
      </c>
      <c r="K154" s="4" t="str">
        <f>CONCATENATE(Table43[[#This Row],[kode  2 Digit                (hrf+No)]],Table43[[#This Row],[kode  2 Digit                (Nomor)]],Table43[[#This Row],[kode  1 Digit                (Nomor)]])</f>
        <v>A1100</v>
      </c>
      <c r="L154" s="4" t="str">
        <f>IF(AG154="",CONCATENATE(Q154,S154,U154,W154,Y154,AA154,AC154,AE154,Table43[[#This Row],[Tanda Kode Revisi]]),CONCATENATE(Q154,S154,U154,W154,Y154,AA154,AC154,AG154))</f>
        <v>A1100001015512</v>
      </c>
      <c r="M154" s="11">
        <f t="shared" si="6"/>
        <v>14</v>
      </c>
      <c r="N154" s="14" t="str">
        <f>IF(AF154&lt;&gt;"",TRIM(UPPER(CONCATENATE(P154," ",R154," ",T154," ",V154," ",X154," ",Z154," ","X"," ",Table43[[#This Row],[ISI/CTN]]," ",AF154," ",AB154," ",AD154," ",AH154))),TRIM(UPPER(CONCATENATE(P154," ",R154," ",T154," ",V154," ",X154," ",Z154," ","X"," ",Table43[[#This Row],[ISI/CTN]]," ",AB154," ",AD154," ",AH154))))</f>
        <v>ABC SARDINES TOMAT 155 GR X 60 KLG PROMO</v>
      </c>
      <c r="O154" s="11">
        <f t="shared" si="7"/>
        <v>40</v>
      </c>
      <c r="P154" s="4" t="s">
        <v>28</v>
      </c>
      <c r="Q154" s="7" t="s">
        <v>85</v>
      </c>
      <c r="R154" s="4" t="s">
        <v>579</v>
      </c>
      <c r="S154" s="43">
        <v>10</v>
      </c>
      <c r="T154" s="44"/>
      <c r="U154" s="7" t="s">
        <v>1</v>
      </c>
      <c r="V154" s="44"/>
      <c r="W154" s="43" t="s">
        <v>1</v>
      </c>
      <c r="X154" s="4" t="s">
        <v>580</v>
      </c>
      <c r="Y154" s="45" t="s">
        <v>0</v>
      </c>
      <c r="Z154" s="4" t="s">
        <v>581</v>
      </c>
      <c r="AA154" s="45" t="s">
        <v>582</v>
      </c>
      <c r="AB154" s="4" t="s">
        <v>206</v>
      </c>
      <c r="AC154" s="7" t="s">
        <v>480</v>
      </c>
      <c r="AD154" s="4" t="s">
        <v>233</v>
      </c>
      <c r="AE154" s="7">
        <v>2</v>
      </c>
      <c r="AL154" s="40">
        <f>Table43[[#This Row],[Harga Jual Pcs GT
(-PPN)]]-(Table43[[#This Row],[Harga Jual Pcs GT
(-PPN)]]*6%)</f>
        <v>0</v>
      </c>
      <c r="AM154" s="41">
        <f>Table43[[#This Row],[Harga Beli Pcs
(-PPN)]]*Table43[[#This Row],[ISI/CTN]]</f>
        <v>0</v>
      </c>
      <c r="AN154" s="41">
        <f>Table43[[#This Row],[Harga Beli Pcs
(-PPN)]]*1.11</f>
        <v>0</v>
      </c>
      <c r="AO154" s="41">
        <f>Table43[[#This Row],[Harga Beli Krt
(- PPN)]]*1.11</f>
        <v>0</v>
      </c>
      <c r="AP154" s="41"/>
      <c r="AQ154" s="41">
        <f>Table43[[#This Row],[Harga Jual Pcs GT
(-PPN)]]*Table43[[#This Row],[ISI/CTN]]</f>
        <v>0</v>
      </c>
      <c r="AR154" s="41">
        <f>Table43[[#This Row],[Harga Jual Pcs GT
(-PPN)]]*1.11</f>
        <v>0</v>
      </c>
      <c r="AS154" s="41">
        <f>Table43[[#This Row],[Harga Jual Krt GT
(- PPN)]]*1.11</f>
        <v>0</v>
      </c>
      <c r="AT154" s="41"/>
      <c r="AU154" s="41">
        <f>(Table43[[#This Row],[Harga Jual Pcs MT
(-PPN)]]*Table43[[#This Row],[ISI/CTN]])</f>
        <v>0</v>
      </c>
      <c r="AV154" s="41">
        <f>Table43[[#This Row],[Harga Jual Pcs MT
(-PPN)]]*1.11</f>
        <v>0</v>
      </c>
      <c r="AW154" s="41">
        <f>Table43[[#This Row],[Harga Jual Pcs MT
(+PPN)]]*Table43[[#This Row],[ISI/CTN]]</f>
        <v>0</v>
      </c>
      <c r="AX154" s="41"/>
      <c r="AY154" s="46"/>
      <c r="AZ154" s="54"/>
      <c r="BA154" s="7" t="str">
        <f ca="1">IF(TODAY()-Table43[[#This Row],[Efektif
Pembuatan]]&gt;60,"Lama","Baru")</f>
        <v>Lama</v>
      </c>
      <c r="BB154" s="7" t="str">
        <f ca="1">IF(TODAY()-Table43[[#This Row],[Efektif Naik Harga]]&lt;30,"Naik","Sama")</f>
        <v>Sama</v>
      </c>
      <c r="BC154" s="7"/>
      <c r="BD154" s="7" t="str">
        <f>IF(Table43[[#This Row],[Kode BARANG Win2]]&lt;&gt;"","IDR","")</f>
        <v>IDR</v>
      </c>
      <c r="BE154" s="7" t="str">
        <f>CONCATENATE(Table43[[#This Row],[kode  1 Digit
(Nomor)]],Table43[[#This Row],[kode  4 Digit                (Nomor)]])</f>
        <v>0155</v>
      </c>
      <c r="BF154" s="7" t="str">
        <f>Table43[[#This Row],[Nama            Gramasi atau Jumlah Pack per CTN]]</f>
        <v>155 GR</v>
      </c>
      <c r="BG154" s="7"/>
      <c r="BH154" s="51"/>
      <c r="BI154" s="4" t="str">
        <f>IF(Table43[[#This Row],[SATUAN Fix Win]]&lt;&gt;"","KRT")</f>
        <v>KRT</v>
      </c>
      <c r="BJ154" s="4" t="str">
        <f>IF(Table43[[#This Row],[SATUAN Fix Win]]&lt;&gt;"","GD01")</f>
        <v>GD01</v>
      </c>
      <c r="BK154" s="4">
        <f>IF(Table43[[#This Row],[SATUAN Fix Win]]&lt;&gt;"",11611)</f>
        <v>11611</v>
      </c>
      <c r="BL154" s="4">
        <f>IF(Table43[[#This Row],[SATUAN Fix Win]]&lt;&gt;"",11612)</f>
        <v>11612</v>
      </c>
      <c r="BM154" s="47"/>
      <c r="BN154" s="4">
        <f>IF(Table43[[#This Row],[SATUAN Fix Win]]&lt;&gt;"",1)</f>
        <v>1</v>
      </c>
      <c r="BP154" s="4">
        <f>IFERROR(VLOOKUP(Table43[[#This Row],[Kode Pcpl]],'[1]HEINZ ABC'!$A$4:$E$112,8,0),0)</f>
        <v>0</v>
      </c>
      <c r="BQ154" s="55">
        <f>Table43[[#This Row],[Harga Jual Pcs GT
(-PPN)]]-Table43[[#This Row],[HARGA NAIK GT]]</f>
        <v>0</v>
      </c>
      <c r="BR154" s="4">
        <f>IF(Table43[[#This Row],[HARGA NAIK GT]]=0,Table43[[#This Row],[Harga Jual Pcs GT
(-PPN)]],Table43[[#This Row],[HARGA NAIK GT]])</f>
        <v>0</v>
      </c>
      <c r="BT154" s="58"/>
    </row>
    <row r="155" spans="1:76" x14ac:dyDescent="0.25">
      <c r="A155" s="4" t="str">
        <f>CONCATENATE(Table43[[#This Row],[Kode BARANG Win2]],Table43[[#This Row],[No. Urut
Item Sama]])</f>
        <v>A11000010425101</v>
      </c>
      <c r="B155" s="7">
        <v>1</v>
      </c>
      <c r="C155" s="4">
        <v>138</v>
      </c>
      <c r="D155" s="27">
        <v>612042</v>
      </c>
      <c r="E155" s="27" t="s">
        <v>360</v>
      </c>
      <c r="F155" s="27" t="s">
        <v>362</v>
      </c>
      <c r="G155" s="27">
        <v>24</v>
      </c>
      <c r="H155" s="42" t="s">
        <v>2961</v>
      </c>
      <c r="I155" s="27" t="str">
        <f>Table43[[#This Row],[Nama Jenis Kemasan]]</f>
        <v>KLG</v>
      </c>
      <c r="J155" s="4" t="str">
        <f>TRIM(CONCATENATE(Table43[[#This Row],[Nama            KLP]]," ",Table43[[#This Row],[Nama            Sub KLP]]))</f>
        <v>SARDINES</v>
      </c>
      <c r="K155" s="4" t="str">
        <f>CONCATENATE(Table43[[#This Row],[kode  2 Digit                (hrf+No)]],Table43[[#This Row],[kode  2 Digit                (Nomor)]],Table43[[#This Row],[kode  1 Digit                (Nomor)]])</f>
        <v>A1100</v>
      </c>
      <c r="L155" s="4" t="str">
        <f>IF(AG155="",CONCATENATE(Q155,S155,U155,W155,Y155,AA155,AC155,AE155,Table43[[#This Row],[Tanda Kode Revisi]]),CONCATENATE(Q155,S155,U155,W155,Y155,AA155,AC155,AG155))</f>
        <v>A1100001042510</v>
      </c>
      <c r="M155" s="11">
        <f t="shared" si="6"/>
        <v>14</v>
      </c>
      <c r="N155" s="14" t="str">
        <f>IF(AF155&lt;&gt;"",TRIM(UPPER(CONCATENATE(P155," ",R155," ",T155," ",V155," ",X155," ",Z155," ","X"," ",Table43[[#This Row],[ISI/CTN]]," ",AF155," ",AB155," ",AD155," ",AH155))),TRIM(UPPER(CONCATENATE(P155," ",R155," ",T155," ",V155," ",X155," ",Z155," ","X"," ",Table43[[#This Row],[ISI/CTN]]," ",AB155," ",AD155," ",AH155))))</f>
        <v>ABC SARDINES TOMAT 425 GR X 24 KLG</v>
      </c>
      <c r="O155" s="11">
        <f t="shared" si="7"/>
        <v>34</v>
      </c>
      <c r="P155" s="4" t="s">
        <v>28</v>
      </c>
      <c r="Q155" s="7" t="s">
        <v>85</v>
      </c>
      <c r="R155" s="4" t="s">
        <v>579</v>
      </c>
      <c r="S155" s="43">
        <v>10</v>
      </c>
      <c r="T155" s="44"/>
      <c r="U155" s="7" t="s">
        <v>1</v>
      </c>
      <c r="V155" s="44"/>
      <c r="W155" s="43" t="s">
        <v>1</v>
      </c>
      <c r="X155" s="4" t="s">
        <v>580</v>
      </c>
      <c r="Y155" s="45" t="s">
        <v>0</v>
      </c>
      <c r="Z155" s="4" t="s">
        <v>583</v>
      </c>
      <c r="AA155" s="45" t="s">
        <v>584</v>
      </c>
      <c r="AB155" s="4" t="s">
        <v>206</v>
      </c>
      <c r="AC155" s="7" t="s">
        <v>480</v>
      </c>
      <c r="AE155" s="7" t="s">
        <v>1</v>
      </c>
      <c r="AI155" s="7" t="s">
        <v>215</v>
      </c>
      <c r="AJ155" s="7">
        <v>1</v>
      </c>
      <c r="AL155" s="40">
        <f>Table43[[#This Row],[Harga Jual Pcs GT
(-PPN)]]-(Table43[[#This Row],[Harga Jual Pcs GT
(-PPN)]]*6%)</f>
        <v>20705.408199999998</v>
      </c>
      <c r="AM155" s="41">
        <f>Table43[[#This Row],[Harga Beli Pcs
(-PPN)]]*Table43[[#This Row],[ISI/CTN]]</f>
        <v>496929.79679999995</v>
      </c>
      <c r="AN155" s="41">
        <f>Table43[[#This Row],[Harga Beli Pcs
(-PPN)]]*1.11</f>
        <v>22983.003101999999</v>
      </c>
      <c r="AO155" s="41">
        <f>Table43[[#This Row],[Harga Beli Krt
(- PPN)]]*1.11</f>
        <v>551592.07444799994</v>
      </c>
      <c r="AP155" s="41">
        <v>22027.03</v>
      </c>
      <c r="AQ155" s="41">
        <f>Table43[[#This Row],[Harga Jual Pcs GT
(-PPN)]]*Table43[[#This Row],[ISI/CTN]]</f>
        <v>528648.72</v>
      </c>
      <c r="AR155" s="41">
        <f>Table43[[#This Row],[Harga Jual Pcs GT
(-PPN)]]*1.11</f>
        <v>24450.0033</v>
      </c>
      <c r="AS155" s="41">
        <f>Table43[[#This Row],[Harga Jual Krt GT
(- PPN)]]*1.11</f>
        <v>586800.07920000004</v>
      </c>
      <c r="AT155" s="41">
        <v>23128.38</v>
      </c>
      <c r="AU155" s="41">
        <f>(Table43[[#This Row],[Harga Jual Pcs MT
(-PPN)]]*Table43[[#This Row],[ISI/CTN]])</f>
        <v>555081.12</v>
      </c>
      <c r="AV155" s="41">
        <f>Table43[[#This Row],[Harga Jual Pcs MT
(-PPN)]]*1.11</f>
        <v>25672.501800000002</v>
      </c>
      <c r="AW155" s="41">
        <f>Table43[[#This Row],[Harga Jual Pcs MT
(+PPN)]]*Table43[[#This Row],[ISI/CTN]]</f>
        <v>616140.04320000007</v>
      </c>
      <c r="AX155" s="41"/>
      <c r="AY155" s="46">
        <v>45553</v>
      </c>
      <c r="AZ155" s="54">
        <v>45553</v>
      </c>
      <c r="BA155" s="7" t="str">
        <f ca="1">IF(TODAY()-Table43[[#This Row],[Efektif
Pembuatan]]&gt;60,"Lama","Baru")</f>
        <v>Lama</v>
      </c>
      <c r="BB155" s="7" t="str">
        <f ca="1">IF(TODAY()-Table43[[#This Row],[Efektif Naik Harga]]&lt;30,"Naik","Sama")</f>
        <v>Sama</v>
      </c>
      <c r="BC155" s="7" t="s">
        <v>235</v>
      </c>
      <c r="BD155" s="7" t="str">
        <f>IF(Table43[[#This Row],[Kode BARANG Win2]]&lt;&gt;"","IDR","")</f>
        <v>IDR</v>
      </c>
      <c r="BE155" s="7" t="str">
        <f>CONCATENATE(Table43[[#This Row],[kode  1 Digit
(Nomor)]],Table43[[#This Row],[kode  4 Digit                (Nomor)]])</f>
        <v>10425</v>
      </c>
      <c r="BF155" s="7" t="str">
        <f>Table43[[#This Row],[Nama            Gramasi atau Jumlah Pack per CTN]]</f>
        <v>425 GR</v>
      </c>
      <c r="BG155" s="7" t="s">
        <v>653</v>
      </c>
      <c r="BH155" s="51" t="s">
        <v>654</v>
      </c>
      <c r="BI155" s="4" t="str">
        <f>IF(Table43[[#This Row],[SATUAN Fix Win]]&lt;&gt;"","KRT")</f>
        <v>KRT</v>
      </c>
      <c r="BJ155" s="4" t="str">
        <f>IF(Table43[[#This Row],[SATUAN Fix Win]]&lt;&gt;"","GD01")</f>
        <v>GD01</v>
      </c>
      <c r="BK155" s="4">
        <f>IF(Table43[[#This Row],[SATUAN Fix Win]]&lt;&gt;"",11611)</f>
        <v>11611</v>
      </c>
      <c r="BL155" s="4">
        <f>IF(Table43[[#This Row],[SATUAN Fix Win]]&lt;&gt;"",11612)</f>
        <v>11612</v>
      </c>
      <c r="BM155" s="47" t="s">
        <v>655</v>
      </c>
      <c r="BN155" s="4">
        <f>IF(Table43[[#This Row],[SATUAN Fix Win]]&lt;&gt;"",1)</f>
        <v>1</v>
      </c>
      <c r="BO155" s="4" t="s">
        <v>656</v>
      </c>
      <c r="BP155" s="4">
        <f>IFERROR(VLOOKUP(Table43[[#This Row],[Kode Pcpl]],'[1]HEINZ ABC'!$A$4:$E$112,8,0),0)</f>
        <v>0</v>
      </c>
      <c r="BQ155" s="55">
        <f>Table43[[#This Row],[Harga Jual Pcs GT
(-PPN)]]-Table43[[#This Row],[HARGA NAIK GT]]</f>
        <v>22027.03</v>
      </c>
      <c r="BR155" s="4">
        <f>IF(Table43[[#This Row],[HARGA NAIK GT]]=0,Table43[[#This Row],[Harga Jual Pcs GT
(-PPN)]],Table43[[#This Row],[HARGA NAIK GT]])</f>
        <v>22027.03</v>
      </c>
      <c r="BS155">
        <f>IFERROR(VLOOKUP(Table43[[#This Row],[Kode Pcpl]],'[1]HEINZ ABC'!$A$4:$E$112,8,0),0)</f>
        <v>0</v>
      </c>
      <c r="BT155" s="58">
        <f>Table43[[#This Row],[Harga Jual Pcs GT
(-PPN)]]-BS155</f>
        <v>22027.03</v>
      </c>
      <c r="BU155">
        <f>IF(BS155=0,Table43[[#This Row],[Harga Jual Pcs MT
(-PPN)]])</f>
        <v>23128.38</v>
      </c>
      <c r="BV155">
        <f>IFERROR(VLOOKUP(Table43[[#This Row],[Kode Pcpl]],[2]Pricelist!$A$4:$K$112,11,0),0)</f>
        <v>0</v>
      </c>
      <c r="BW155">
        <f>IFERROR(VLOOKUP(Table43[[#This Row],[Kode BARANG Win2]],[3]!RECKITT211216[[KDBRG]:[HRG_JL_PCS-PPN]],11,0),0)</f>
        <v>0</v>
      </c>
      <c r="BX155">
        <f t="shared" si="8"/>
        <v>0</v>
      </c>
    </row>
    <row r="156" spans="1:76" x14ac:dyDescent="0.25">
      <c r="A156" s="4" t="str">
        <f>CONCATENATE(Table43[[#This Row],[Kode BARANG Win2]],Table43[[#This Row],[No. Urut
Item Sama]])</f>
        <v>A1100001042510</v>
      </c>
      <c r="B156" s="7"/>
      <c r="D156" s="27">
        <v>612149</v>
      </c>
      <c r="E156" s="27"/>
      <c r="F156" s="27" t="s">
        <v>879</v>
      </c>
      <c r="G156" s="27">
        <v>24</v>
      </c>
      <c r="H156" s="42" t="s">
        <v>2977</v>
      </c>
      <c r="I156" s="27" t="str">
        <f>Table43[[#This Row],[Nama Jenis Kemasan]]</f>
        <v>KLG</v>
      </c>
      <c r="J156" s="4" t="str">
        <f>TRIM(CONCATENATE(Table43[[#This Row],[Nama            KLP]]," ",Table43[[#This Row],[Nama            Sub KLP]]))</f>
        <v>SARDINES</v>
      </c>
      <c r="K156" s="4" t="str">
        <f>CONCATENATE(Table43[[#This Row],[kode  2 Digit                (hrf+No)]],Table43[[#This Row],[kode  2 Digit                (Nomor)]],Table43[[#This Row],[kode  1 Digit                (Nomor)]])</f>
        <v>A1100</v>
      </c>
      <c r="L156" s="4" t="str">
        <f>IF(AG156="",CONCATENATE(Q156,S156,U156,W156,Y156,AA156,AC156,AE156,Table43[[#This Row],[Tanda Kode Revisi]]),CONCATENATE(Q156,S156,U156,W156,Y156,AA156,AC156,AG156))</f>
        <v>A1100001042510</v>
      </c>
      <c r="M156" s="11">
        <f>LEN(L156)</f>
        <v>14</v>
      </c>
      <c r="N156" s="14" t="str">
        <f>IF(AF156&lt;&gt;"",TRIM(UPPER(CONCATENATE(P156," ",R156," ",T156," ",V156," ",X156," ",Z156," ","X"," ",Table43[[#This Row],[ISI/CTN]]," ",AF156," ",AB156," ",AD156," ",AH156))),TRIM(UPPER(CONCATENATE(P156," ",R156," ",T156," ",V156," ",X156," ",Z156," ","X"," ",Table43[[#This Row],[ISI/CTN]]," ",AB156," ",AD156," ",AH156))))</f>
        <v>ABC SARDINES TOMAT 425 GR X 24 KLG</v>
      </c>
      <c r="O156" s="11">
        <f>LEN(N156)</f>
        <v>34</v>
      </c>
      <c r="P156" s="4" t="s">
        <v>28</v>
      </c>
      <c r="Q156" s="7" t="s">
        <v>85</v>
      </c>
      <c r="R156" s="4" t="s">
        <v>579</v>
      </c>
      <c r="S156" s="43">
        <v>10</v>
      </c>
      <c r="T156" s="44"/>
      <c r="U156" s="7" t="s">
        <v>1</v>
      </c>
      <c r="V156" s="44"/>
      <c r="W156" s="43" t="s">
        <v>1</v>
      </c>
      <c r="X156" s="4" t="s">
        <v>580</v>
      </c>
      <c r="Y156" s="45" t="s">
        <v>0</v>
      </c>
      <c r="Z156" s="4" t="s">
        <v>583</v>
      </c>
      <c r="AA156" s="45" t="s">
        <v>584</v>
      </c>
      <c r="AB156" s="4" t="s">
        <v>206</v>
      </c>
      <c r="AC156" s="7" t="s">
        <v>480</v>
      </c>
      <c r="AE156" s="7" t="s">
        <v>1</v>
      </c>
      <c r="AL156" s="40">
        <f>Table43[[#This Row],[Harga Jual Pcs GT
(-PPN)]]-(Table43[[#This Row],[Harga Jual Pcs GT
(-PPN)]]*6%)</f>
        <v>0</v>
      </c>
      <c r="AM156" s="41">
        <f>Table43[[#This Row],[Harga Beli Pcs
(-PPN)]]*Table43[[#This Row],[ISI/CTN]]</f>
        <v>0</v>
      </c>
      <c r="AN156" s="41">
        <f>Table43[[#This Row],[Harga Beli Pcs
(-PPN)]]*1.11</f>
        <v>0</v>
      </c>
      <c r="AO156" s="41">
        <f>Table43[[#This Row],[Harga Beli Krt
(- PPN)]]*1.11</f>
        <v>0</v>
      </c>
      <c r="AP156" s="41"/>
      <c r="AQ156" s="41">
        <f>Table43[[#This Row],[Harga Jual Pcs GT
(-PPN)]]*Table43[[#This Row],[ISI/CTN]]</f>
        <v>0</v>
      </c>
      <c r="AR156" s="41">
        <f>Table43[[#This Row],[Harga Jual Pcs GT
(-PPN)]]*1.11</f>
        <v>0</v>
      </c>
      <c r="AS156" s="41">
        <f>Table43[[#This Row],[Harga Jual Krt GT
(- PPN)]]*1.11</f>
        <v>0</v>
      </c>
      <c r="AT156" s="41"/>
      <c r="AU156" s="41">
        <f>(Table43[[#This Row],[Harga Jual Pcs MT
(-PPN)]]*Table43[[#This Row],[ISI/CTN]])</f>
        <v>0</v>
      </c>
      <c r="AV156" s="41">
        <f>Table43[[#This Row],[Harga Jual Pcs MT
(-PPN)]]*1.11</f>
        <v>0</v>
      </c>
      <c r="AW156" s="41">
        <f>Table43[[#This Row],[Harga Jual Pcs MT
(+PPN)]]*Table43[[#This Row],[ISI/CTN]]</f>
        <v>0</v>
      </c>
      <c r="AX156" s="41"/>
      <c r="AY156" s="46"/>
      <c r="AZ156" s="54"/>
      <c r="BA156" s="7" t="str">
        <f ca="1">IF(TODAY()-Table43[[#This Row],[Efektif
Pembuatan]]&gt;60,"Lama","Baru")</f>
        <v>Lama</v>
      </c>
      <c r="BB156" s="7" t="str">
        <f ca="1">IF(TODAY()-Table43[[#This Row],[Efektif Naik Harga]]&lt;30,"Naik","Sama")</f>
        <v>Sama</v>
      </c>
      <c r="BC156" s="7"/>
      <c r="BD156" s="7" t="str">
        <f>IF(Table43[[#This Row],[Kode BARANG Win2]]&lt;&gt;"","IDR","")</f>
        <v>IDR</v>
      </c>
      <c r="BE156" s="7" t="str">
        <f>CONCATENATE(Table43[[#This Row],[kode  1 Digit
(Nomor)]],Table43[[#This Row],[kode  4 Digit                (Nomor)]])</f>
        <v>0425</v>
      </c>
      <c r="BF156" s="7" t="str">
        <f>Table43[[#This Row],[Nama            Gramasi atau Jumlah Pack per CTN]]</f>
        <v>425 GR</v>
      </c>
      <c r="BG156" s="7"/>
      <c r="BH156" s="51"/>
      <c r="BI156" s="4" t="str">
        <f>IF(Table43[[#This Row],[SATUAN Fix Win]]&lt;&gt;"","KRT")</f>
        <v>KRT</v>
      </c>
      <c r="BJ156" s="4" t="str">
        <f>IF(Table43[[#This Row],[SATUAN Fix Win]]&lt;&gt;"","GD01")</f>
        <v>GD01</v>
      </c>
      <c r="BK156" s="4">
        <f>IF(Table43[[#This Row],[SATUAN Fix Win]]&lt;&gt;"",11611)</f>
        <v>11611</v>
      </c>
      <c r="BL156" s="4">
        <f>IF(Table43[[#This Row],[SATUAN Fix Win]]&lt;&gt;"",11612)</f>
        <v>11612</v>
      </c>
      <c r="BM156" s="47"/>
      <c r="BN156" s="4">
        <f>IF(Table43[[#This Row],[SATUAN Fix Win]]&lt;&gt;"",1)</f>
        <v>1</v>
      </c>
      <c r="BP156" s="4">
        <f>IFERROR(VLOOKUP(Table43[[#This Row],[Kode Pcpl]],'[1]HEINZ ABC'!$A$4:$E$112,8,0),0)</f>
        <v>0</v>
      </c>
      <c r="BQ156" s="55">
        <f>Table43[[#This Row],[Harga Jual Pcs GT
(-PPN)]]-Table43[[#This Row],[HARGA NAIK GT]]</f>
        <v>0</v>
      </c>
      <c r="BR156" s="4">
        <f>IF(Table43[[#This Row],[HARGA NAIK GT]]=0,Table43[[#This Row],[Harga Jual Pcs GT
(-PPN)]],Table43[[#This Row],[HARGA NAIK GT]])</f>
        <v>0</v>
      </c>
      <c r="BT156" s="58"/>
    </row>
    <row r="157" spans="1:76" x14ac:dyDescent="0.25">
      <c r="A157" s="4" t="str">
        <f>CONCATENATE(Table43[[#This Row],[Kode BARANG Win2]],Table43[[#This Row],[No. Urut
Item Sama]])</f>
        <v>A11000020155101</v>
      </c>
      <c r="B157" s="7">
        <v>1</v>
      </c>
      <c r="C157" s="4">
        <v>139</v>
      </c>
      <c r="D157" s="27">
        <v>612046</v>
      </c>
      <c r="E157" s="27" t="s">
        <v>360</v>
      </c>
      <c r="F157" s="27" t="s">
        <v>1060</v>
      </c>
      <c r="G157" s="27">
        <v>60</v>
      </c>
      <c r="H157" s="42" t="s">
        <v>2956</v>
      </c>
      <c r="I157" s="27" t="str">
        <f>Table43[[#This Row],[Nama Jenis Kemasan]]</f>
        <v>KLG</v>
      </c>
      <c r="J157" s="4" t="str">
        <f>TRIM(CONCATENATE(Table43[[#This Row],[Nama            KLP]]," ",Table43[[#This Row],[Nama            Sub KLP]]))</f>
        <v>SARDINES</v>
      </c>
      <c r="K157" s="4" t="str">
        <f>CONCATENATE(Table43[[#This Row],[kode  2 Digit                (hrf+No)]],Table43[[#This Row],[kode  2 Digit                (Nomor)]],Table43[[#This Row],[kode  1 Digit                (Nomor)]])</f>
        <v>A1100</v>
      </c>
      <c r="L157" s="4" t="str">
        <f>IF(AG157="",CONCATENATE(Q157,S157,U157,W157,Y157,AA157,AC157,AE157,Table43[[#This Row],[Tanda Kode Revisi]]),CONCATENATE(Q157,S157,U157,W157,Y157,AA157,AC157,AG157))</f>
        <v>A1100002015510</v>
      </c>
      <c r="M157" s="11">
        <f t="shared" si="6"/>
        <v>14</v>
      </c>
      <c r="N157" s="14" t="str">
        <f>IF(AF157&lt;&gt;"",TRIM(UPPER(CONCATENATE(P157," ",R157," ",T157," ",V157," ",X157," ",Z157," ","X"," ",Table43[[#This Row],[ISI/CTN]]," ",AF157," ",AB157," ",AD157," ",AH157))),TRIM(UPPER(CONCATENATE(P157," ",R157," ",T157," ",V157," ",X157," ",Z157," ","X"," ",Table43[[#This Row],[ISI/CTN]]," ",AB157," ",AD157," ",AH157))))</f>
        <v>ABC SARDINES CHILI DW 155 GR X 60 KLG</v>
      </c>
      <c r="O157" s="11">
        <f t="shared" si="7"/>
        <v>37</v>
      </c>
      <c r="P157" s="4" t="s">
        <v>28</v>
      </c>
      <c r="Q157" s="7" t="s">
        <v>85</v>
      </c>
      <c r="R157" s="4" t="s">
        <v>579</v>
      </c>
      <c r="S157" s="43">
        <v>10</v>
      </c>
      <c r="T157" s="44"/>
      <c r="U157" s="7" t="s">
        <v>1</v>
      </c>
      <c r="V157" s="44"/>
      <c r="W157" s="43" t="s">
        <v>1</v>
      </c>
      <c r="X157" s="4" t="s">
        <v>585</v>
      </c>
      <c r="Y157" s="45" t="s">
        <v>31</v>
      </c>
      <c r="Z157" s="4" t="s">
        <v>581</v>
      </c>
      <c r="AA157" s="45" t="s">
        <v>582</v>
      </c>
      <c r="AB157" s="4" t="s">
        <v>206</v>
      </c>
      <c r="AC157" s="7" t="s">
        <v>480</v>
      </c>
      <c r="AE157" s="7">
        <v>0</v>
      </c>
      <c r="AI157" s="7" t="s">
        <v>215</v>
      </c>
      <c r="AJ157" s="7">
        <v>1</v>
      </c>
      <c r="AL157" s="40">
        <f>Table43[[#This Row],[Harga Jual Pcs GT
(-PPN)]]-(Table43[[#This Row],[Harga Jual Pcs GT
(-PPN)]]*6%)</f>
        <v>9145.9462000000003</v>
      </c>
      <c r="AM157" s="41">
        <f>Table43[[#This Row],[Harga Beli Pcs
(-PPN)]]*Table43[[#This Row],[ISI/CTN]]</f>
        <v>548756.772</v>
      </c>
      <c r="AN157" s="41">
        <f>Table43[[#This Row],[Harga Beli Pcs
(-PPN)]]*1.11</f>
        <v>10152.000282000001</v>
      </c>
      <c r="AO157" s="41">
        <f>Table43[[#This Row],[Harga Beli Krt
(- PPN)]]*1.11</f>
        <v>609120.01692000008</v>
      </c>
      <c r="AP157" s="41">
        <v>9729.73</v>
      </c>
      <c r="AQ157" s="41">
        <f>Table43[[#This Row],[Harga Jual Pcs GT
(-PPN)]]*Table43[[#This Row],[ISI/CTN]]</f>
        <v>583783.79999999993</v>
      </c>
      <c r="AR157" s="41">
        <f>Table43[[#This Row],[Harga Jual Pcs GT
(-PPN)]]*1.11</f>
        <v>10800.0003</v>
      </c>
      <c r="AS157" s="41">
        <f>Table43[[#This Row],[Harga Jual Krt GT
(- PPN)]]*1.11</f>
        <v>648000.01799999992</v>
      </c>
      <c r="AT157" s="41">
        <v>10216.219999999999</v>
      </c>
      <c r="AU157" s="41">
        <f>(Table43[[#This Row],[Harga Jual Pcs MT
(-PPN)]]*Table43[[#This Row],[ISI/CTN]])</f>
        <v>612973.19999999995</v>
      </c>
      <c r="AV157" s="41">
        <f>Table43[[#This Row],[Harga Jual Pcs MT
(-PPN)]]*1.11</f>
        <v>11340.004199999999</v>
      </c>
      <c r="AW157" s="41">
        <f>Table43[[#This Row],[Harga Jual Pcs MT
(+PPN)]]*Table43[[#This Row],[ISI/CTN]]</f>
        <v>680400.25199999998</v>
      </c>
      <c r="AX157" s="41"/>
      <c r="AY157" s="46">
        <v>45553</v>
      </c>
      <c r="AZ157" s="54">
        <v>45553</v>
      </c>
      <c r="BA157" s="7" t="str">
        <f ca="1">IF(TODAY()-Table43[[#This Row],[Efektif
Pembuatan]]&gt;60,"Lama","Baru")</f>
        <v>Lama</v>
      </c>
      <c r="BB157" s="7" t="str">
        <f ca="1">IF(TODAY()-Table43[[#This Row],[Efektif Naik Harga]]&lt;30,"Naik","Sama")</f>
        <v>Sama</v>
      </c>
      <c r="BC157" s="7" t="s">
        <v>235</v>
      </c>
      <c r="BD157" s="7" t="str">
        <f>IF(Table43[[#This Row],[Kode BARANG Win2]]&lt;&gt;"","IDR","")</f>
        <v>IDR</v>
      </c>
      <c r="BE157" s="7" t="str">
        <f>CONCATENATE(Table43[[#This Row],[kode  1 Digit
(Nomor)]],Table43[[#This Row],[kode  4 Digit                (Nomor)]])</f>
        <v>10155</v>
      </c>
      <c r="BF157" s="7" t="str">
        <f>Table43[[#This Row],[Nama            Gramasi atau Jumlah Pack per CTN]]</f>
        <v>155 GR</v>
      </c>
      <c r="BG157" s="7" t="s">
        <v>653</v>
      </c>
      <c r="BH157" s="51" t="s">
        <v>654</v>
      </c>
      <c r="BI157" s="4" t="str">
        <f>IF(Table43[[#This Row],[SATUAN Fix Win]]&lt;&gt;"","KRT")</f>
        <v>KRT</v>
      </c>
      <c r="BJ157" s="4" t="str">
        <f>IF(Table43[[#This Row],[SATUAN Fix Win]]&lt;&gt;"","GD01")</f>
        <v>GD01</v>
      </c>
      <c r="BK157" s="4">
        <f>IF(Table43[[#This Row],[SATUAN Fix Win]]&lt;&gt;"",11611)</f>
        <v>11611</v>
      </c>
      <c r="BL157" s="4">
        <f>IF(Table43[[#This Row],[SATUAN Fix Win]]&lt;&gt;"",11612)</f>
        <v>11612</v>
      </c>
      <c r="BM157" s="47" t="s">
        <v>655</v>
      </c>
      <c r="BN157" s="4">
        <f>IF(Table43[[#This Row],[SATUAN Fix Win]]&lt;&gt;"",1)</f>
        <v>1</v>
      </c>
      <c r="BO157" s="4" t="s">
        <v>656</v>
      </c>
      <c r="BP157" s="4">
        <f>IFERROR(VLOOKUP(Table43[[#This Row],[Kode Pcpl]],'[1]HEINZ ABC'!$A$4:$E$112,8,0),0)</f>
        <v>0</v>
      </c>
      <c r="BQ157" s="55">
        <f>Table43[[#This Row],[Harga Jual Pcs GT
(-PPN)]]-Table43[[#This Row],[HARGA NAIK GT]]</f>
        <v>9729.73</v>
      </c>
      <c r="BR157" s="4">
        <f>IF(Table43[[#This Row],[HARGA NAIK GT]]=0,Table43[[#This Row],[Harga Jual Pcs GT
(-PPN)]],Table43[[#This Row],[HARGA NAIK GT]])</f>
        <v>9729.73</v>
      </c>
      <c r="BS157">
        <f>IFERROR(VLOOKUP(Table43[[#This Row],[Kode Pcpl]],'[1]HEINZ ABC'!$A$4:$E$112,8,0),0)</f>
        <v>0</v>
      </c>
      <c r="BT157" s="58">
        <f>Table43[[#This Row],[Harga Jual Pcs GT
(-PPN)]]-BS157</f>
        <v>9729.73</v>
      </c>
      <c r="BU157">
        <f>IF(BS157=0,Table43[[#This Row],[Harga Jual Pcs MT
(-PPN)]])</f>
        <v>10216.219999999999</v>
      </c>
      <c r="BV157">
        <f>IFERROR(VLOOKUP(Table43[[#This Row],[Kode Pcpl]],[2]Pricelist!$A$4:$K$112,11,0),0)</f>
        <v>0</v>
      </c>
      <c r="BW157">
        <f>IFERROR(VLOOKUP(Table43[[#This Row],[Kode BARANG Win2]],[3]!RECKITT211216[[KDBRG]:[HRG_JL_PCS-PPN]],11,0),0)</f>
        <v>0</v>
      </c>
      <c r="BX157">
        <f t="shared" si="8"/>
        <v>0</v>
      </c>
    </row>
    <row r="158" spans="1:76" x14ac:dyDescent="0.25">
      <c r="A158" s="4" t="str">
        <f>CONCATENATE(Table43[[#This Row],[Kode BARANG Win2]],Table43[[#This Row],[No. Urut
Item Sama]])</f>
        <v>A11000020155121</v>
      </c>
      <c r="B158" s="7">
        <v>1</v>
      </c>
      <c r="C158" s="4">
        <v>140</v>
      </c>
      <c r="D158" s="27">
        <v>612158</v>
      </c>
      <c r="E158" s="27" t="s">
        <v>360</v>
      </c>
      <c r="F158" s="27" t="s">
        <v>988</v>
      </c>
      <c r="G158" s="27">
        <v>60</v>
      </c>
      <c r="H158" s="42" t="s">
        <v>2969</v>
      </c>
      <c r="I158" s="27" t="str">
        <f>Table43[[#This Row],[Nama Jenis Kemasan]]</f>
        <v>KLG</v>
      </c>
      <c r="J158" s="4" t="str">
        <f>TRIM(CONCATENATE(Table43[[#This Row],[Nama            KLP]]," ",Table43[[#This Row],[Nama            Sub KLP]]))</f>
        <v>SARDINES</v>
      </c>
      <c r="K158" s="4" t="str">
        <f>CONCATENATE(Table43[[#This Row],[kode  2 Digit                (hrf+No)]],Table43[[#This Row],[kode  2 Digit                (Nomor)]],Table43[[#This Row],[kode  1 Digit                (Nomor)]])</f>
        <v>A1100</v>
      </c>
      <c r="L158" s="4" t="str">
        <f>IF(AG158="",CONCATENATE(Q158,S158,U158,W158,Y158,AA158,AC158,AE158,Table43[[#This Row],[Tanda Kode Revisi]]),CONCATENATE(Q158,S158,U158,W158,Y158,AA158,AC158,AG158))</f>
        <v>A1100002015512</v>
      </c>
      <c r="M158" s="11">
        <f t="shared" si="6"/>
        <v>14</v>
      </c>
      <c r="N158" s="14" t="str">
        <f>IF(AF158&lt;&gt;"",TRIM(UPPER(CONCATENATE(P158," ",R158," ",T158," ",V158," ",X158," ",Z158," ","X"," ",Table43[[#This Row],[ISI/CTN]]," ",AF158," ",AB158," ",AD158," ",AH158))),TRIM(UPPER(CONCATENATE(P158," ",R158," ",T158," ",V158," ",X158," ",Z158," ","X"," ",Table43[[#This Row],[ISI/CTN]]," ",AB158," ",AD158," ",AH158))))</f>
        <v>ABC SARDINES CHILI DW 155 GR X 60 KLG PROMO</v>
      </c>
      <c r="O158" s="11">
        <f t="shared" si="7"/>
        <v>43</v>
      </c>
      <c r="P158" s="4" t="s">
        <v>28</v>
      </c>
      <c r="Q158" s="7" t="s">
        <v>85</v>
      </c>
      <c r="R158" s="4" t="s">
        <v>579</v>
      </c>
      <c r="S158" s="43">
        <v>10</v>
      </c>
      <c r="T158" s="44"/>
      <c r="U158" s="7" t="s">
        <v>1</v>
      </c>
      <c r="V158" s="44"/>
      <c r="W158" s="43" t="s">
        <v>1</v>
      </c>
      <c r="X158" s="4" t="s">
        <v>585</v>
      </c>
      <c r="Y158" s="45" t="s">
        <v>31</v>
      </c>
      <c r="Z158" s="4" t="s">
        <v>581</v>
      </c>
      <c r="AA158" s="45" t="s">
        <v>582</v>
      </c>
      <c r="AB158" s="4" t="s">
        <v>206</v>
      </c>
      <c r="AC158" s="7" t="s">
        <v>480</v>
      </c>
      <c r="AD158" s="4" t="s">
        <v>233</v>
      </c>
      <c r="AE158" s="7">
        <v>2</v>
      </c>
      <c r="AI158" s="7" t="s">
        <v>215</v>
      </c>
      <c r="AJ158" s="7">
        <v>1</v>
      </c>
      <c r="AL158" s="40">
        <f>Table43[[#This Row],[Harga Jual Pcs GT
(-PPN)]]-(Table43[[#This Row],[Harga Jual Pcs GT
(-PPN)]]*6%)</f>
        <v>7775.7477476800004</v>
      </c>
      <c r="AM158" s="41">
        <f>Table43[[#This Row],[Harga Beli Pcs
(-PPN)]]*Table43[[#This Row],[ISI/CTN]]</f>
        <v>466544.86486080004</v>
      </c>
      <c r="AN158" s="41">
        <f>Table43[[#This Row],[Harga Beli Pcs
(-PPN)]]*1.11</f>
        <v>8631.0799999248011</v>
      </c>
      <c r="AO158" s="41">
        <f>Table43[[#This Row],[Harga Beli Krt
(- PPN)]]*1.11</f>
        <v>517864.79999548808</v>
      </c>
      <c r="AP158" s="41">
        <v>8272.0720720000008</v>
      </c>
      <c r="AQ158" s="41">
        <f>Table43[[#This Row],[Harga Jual Pcs GT
(-PPN)]]*Table43[[#This Row],[ISI/CTN]]</f>
        <v>496324.32432000007</v>
      </c>
      <c r="AR158" s="41">
        <f>Table43[[#This Row],[Harga Jual Pcs GT
(-PPN)]]*1.11</f>
        <v>9181.9999999200008</v>
      </c>
      <c r="AS158" s="41">
        <f>Table43[[#This Row],[Harga Jual Krt GT
(- PPN)]]*1.11</f>
        <v>550919.99999520008</v>
      </c>
      <c r="AT158" s="41">
        <v>0</v>
      </c>
      <c r="AU158" s="41">
        <f>(Table43[[#This Row],[Harga Jual Pcs MT
(-PPN)]]*Table43[[#This Row],[ISI/CTN]])</f>
        <v>0</v>
      </c>
      <c r="AV158" s="41">
        <f>Table43[[#This Row],[Harga Jual Pcs MT
(-PPN)]]*1.11</f>
        <v>0</v>
      </c>
      <c r="AW158" s="41">
        <f>Table43[[#This Row],[Harga Jual Pcs MT
(+PPN)]]*Table43[[#This Row],[ISI/CTN]]</f>
        <v>0</v>
      </c>
      <c r="AX158" s="41"/>
      <c r="AY158" s="46">
        <v>45674</v>
      </c>
      <c r="AZ158" s="54">
        <v>45553</v>
      </c>
      <c r="BA158" s="7" t="str">
        <f ca="1">IF(TODAY()-Table43[[#This Row],[Efektif
Pembuatan]]&gt;60,"Lama","Baru")</f>
        <v>Lama</v>
      </c>
      <c r="BB158" s="7" t="str">
        <f ca="1">IF(TODAY()-Table43[[#This Row],[Efektif Naik Harga]]&lt;30,"Naik","Sama")</f>
        <v>Sama</v>
      </c>
      <c r="BC158" s="7" t="s">
        <v>235</v>
      </c>
      <c r="BD158" s="7" t="str">
        <f>IF(Table43[[#This Row],[Kode BARANG Win2]]&lt;&gt;"","IDR","")</f>
        <v>IDR</v>
      </c>
      <c r="BE158" s="7" t="str">
        <f>CONCATENATE(Table43[[#This Row],[kode  1 Digit
(Nomor)]],Table43[[#This Row],[kode  4 Digit                (Nomor)]])</f>
        <v>10155</v>
      </c>
      <c r="BF158" s="7" t="str">
        <f>Table43[[#This Row],[Nama            Gramasi atau Jumlah Pack per CTN]]</f>
        <v>155 GR</v>
      </c>
      <c r="BG158" s="7"/>
      <c r="BH158" s="51"/>
      <c r="BI158" s="4" t="str">
        <f>IF(Table43[[#This Row],[SATUAN Fix Win]]&lt;&gt;"","KRT")</f>
        <v>KRT</v>
      </c>
      <c r="BJ158" s="4" t="str">
        <f>IF(Table43[[#This Row],[SATUAN Fix Win]]&lt;&gt;"","GD01")</f>
        <v>GD01</v>
      </c>
      <c r="BK158" s="4">
        <f>IF(Table43[[#This Row],[SATUAN Fix Win]]&lt;&gt;"",11611)</f>
        <v>11611</v>
      </c>
      <c r="BL158" s="4">
        <f>IF(Table43[[#This Row],[SATUAN Fix Win]]&lt;&gt;"",11612)</f>
        <v>11612</v>
      </c>
      <c r="BM158" s="47"/>
      <c r="BN158" s="4">
        <f>IF(Table43[[#This Row],[SATUAN Fix Win]]&lt;&gt;"",1)</f>
        <v>1</v>
      </c>
      <c r="BP158" s="4">
        <f>IFERROR(VLOOKUP(Table43[[#This Row],[Kode Pcpl]],'[1]HEINZ ABC'!$A$4:$E$112,8,0),0)</f>
        <v>0</v>
      </c>
      <c r="BQ158" s="55">
        <f>Table43[[#This Row],[Harga Jual Pcs GT
(-PPN)]]-Table43[[#This Row],[HARGA NAIK GT]]</f>
        <v>8272.0720720000008</v>
      </c>
      <c r="BR158" s="4">
        <f>IF(Table43[[#This Row],[HARGA NAIK GT]]=0,Table43[[#This Row],[Harga Jual Pcs GT
(-PPN)]],Table43[[#This Row],[HARGA NAIK GT]])</f>
        <v>8272.0720720000008</v>
      </c>
      <c r="BS158">
        <f>IFERROR(VLOOKUP(Table43[[#This Row],[Kode Pcpl]],'[1]HEINZ ABC'!$A$4:$E$112,8,0),0)</f>
        <v>0</v>
      </c>
      <c r="BT158" s="58">
        <f>Table43[[#This Row],[Harga Jual Pcs GT
(-PPN)]]-BS158</f>
        <v>8272.0720720000008</v>
      </c>
      <c r="BU158">
        <f>IF(BS158=0,Table43[[#This Row],[Harga Jual Pcs MT
(-PPN)]])</f>
        <v>0</v>
      </c>
      <c r="BV158">
        <f>IFERROR(VLOOKUP(Table43[[#This Row],[Kode Pcpl]],[2]Pricelist!$A$4:$K$112,11,0),0)</f>
        <v>0</v>
      </c>
      <c r="BW158">
        <f>IFERROR(VLOOKUP(Table43[[#This Row],[Kode BARANG Win2]],[3]!RECKITT211216[[KDBRG]:[HRG_JL_PCS-PPN]],11,0),0)</f>
        <v>0</v>
      </c>
      <c r="BX158">
        <f t="shared" si="8"/>
        <v>0</v>
      </c>
    </row>
    <row r="159" spans="1:76" s="112" customFormat="1" x14ac:dyDescent="0.25">
      <c r="A159" s="96" t="str">
        <f>CONCATENATE(Table43[[#This Row],[Kode BARANG Win2]],Table43[[#This Row],[No. Urut
Item Sama]])</f>
        <v>A11000020155121</v>
      </c>
      <c r="B159" s="97">
        <v>1</v>
      </c>
      <c r="C159" s="96">
        <v>287</v>
      </c>
      <c r="D159" s="98">
        <v>612161</v>
      </c>
      <c r="E159" s="98"/>
      <c r="F159" s="98" t="s">
        <v>1107</v>
      </c>
      <c r="G159" s="98">
        <v>60</v>
      </c>
      <c r="H159" s="99" t="s">
        <v>2963</v>
      </c>
      <c r="I159" s="98" t="str">
        <f>Table43[[#This Row],[Nama Jenis Kemasan]]</f>
        <v>KLG</v>
      </c>
      <c r="J159" s="96" t="str">
        <f>TRIM(CONCATENATE(Table43[[#This Row],[Nama            KLP]]," ",Table43[[#This Row],[Nama            Sub KLP]]))</f>
        <v>SARDINES</v>
      </c>
      <c r="K159" s="96" t="str">
        <f>CONCATENATE(Table43[[#This Row],[kode  2 Digit                (hrf+No)]],Table43[[#This Row],[kode  2 Digit                (Nomor)]],Table43[[#This Row],[kode  1 Digit                (Nomor)]])</f>
        <v>A1100</v>
      </c>
      <c r="L159" s="96" t="str">
        <f>IF(AG159="",CONCATENATE(Q159,S159,U159,W159,Y159,AA159,AC159,AE159,Table43[[#This Row],[Tanda Kode Revisi]]),CONCATENATE(Q159,S159,U159,W159,Y159,AA159,AC159,AG159))</f>
        <v>A1100002015512</v>
      </c>
      <c r="M159" s="100">
        <f>LEN(L159)</f>
        <v>14</v>
      </c>
      <c r="N159" s="101" t="str">
        <f>IF(AF159&lt;&gt;"",TRIM(UPPER(CONCATENATE(P159," ",R159," ",T159," ",V159," ",X159," ",Z159," ","X"," ",Table43[[#This Row],[ISI/CTN]]," ",AF159," ",AB159," ",AD159," ",AH159))),TRIM(UPPER(CONCATENATE(P159," ",R159," ",T159," ",V159," ",X159," ",Z159," ","X"," ",Table43[[#This Row],[ISI/CTN]]," ",AB159," ",AD159," ",AH159))))</f>
        <v>ABC SARDINES CHILI DW 155 GR X 60 KLG PROMO</v>
      </c>
      <c r="O159" s="100">
        <f>LEN(N159)</f>
        <v>43</v>
      </c>
      <c r="P159" s="4" t="s">
        <v>28</v>
      </c>
      <c r="Q159" s="7" t="s">
        <v>85</v>
      </c>
      <c r="R159" s="4" t="s">
        <v>579</v>
      </c>
      <c r="S159" s="43">
        <v>10</v>
      </c>
      <c r="T159" s="44"/>
      <c r="U159" s="7" t="s">
        <v>1</v>
      </c>
      <c r="V159" s="44"/>
      <c r="W159" s="43" t="s">
        <v>1</v>
      </c>
      <c r="X159" s="4" t="s">
        <v>585</v>
      </c>
      <c r="Y159" s="45" t="s">
        <v>31</v>
      </c>
      <c r="Z159" s="4" t="s">
        <v>581</v>
      </c>
      <c r="AA159" s="45" t="s">
        <v>582</v>
      </c>
      <c r="AB159" s="4" t="s">
        <v>206</v>
      </c>
      <c r="AC159" s="7" t="s">
        <v>480</v>
      </c>
      <c r="AD159" s="4" t="s">
        <v>233</v>
      </c>
      <c r="AE159" s="7">
        <v>2</v>
      </c>
      <c r="AF159" s="97"/>
      <c r="AG159" s="97"/>
      <c r="AH159" s="97"/>
      <c r="AI159" s="97" t="s">
        <v>215</v>
      </c>
      <c r="AJ159" s="97">
        <v>1</v>
      </c>
      <c r="AK159" s="97"/>
      <c r="AL159" s="105">
        <f>Table43[[#This Row],[Harga Jual Pcs GT
(-PPN)]]-(Table43[[#This Row],[Harga Jual Pcs GT
(-PPN)]]*6%)</f>
        <v>7775.7457999999997</v>
      </c>
      <c r="AM159" s="106">
        <f>Table43[[#This Row],[Harga Beli Pcs
(-PPN)]]*Table43[[#This Row],[ISI/CTN]]</f>
        <v>466544.74799999996</v>
      </c>
      <c r="AN159" s="106">
        <f>Table43[[#This Row],[Harga Beli Pcs
(-PPN)]]*1.11</f>
        <v>8631.0778380000011</v>
      </c>
      <c r="AO159" s="106">
        <f>Table43[[#This Row],[Harga Beli Krt
(- PPN)]]*1.11</f>
        <v>517864.67028000002</v>
      </c>
      <c r="AP159" s="106">
        <v>8272.07</v>
      </c>
      <c r="AQ159" s="106">
        <f>Table43[[#This Row],[Harga Jual Pcs GT
(-PPN)]]*Table43[[#This Row],[ISI/CTN]]</f>
        <v>496324.19999999995</v>
      </c>
      <c r="AR159" s="106">
        <f>Table43[[#This Row],[Harga Jual Pcs GT
(-PPN)]]*1.11</f>
        <v>9181.9976999999999</v>
      </c>
      <c r="AS159" s="106">
        <f>Table43[[#This Row],[Harga Jual Krt GT
(- PPN)]]*1.11</f>
        <v>550919.86199999996</v>
      </c>
      <c r="AT159" s="106">
        <v>8685.67</v>
      </c>
      <c r="AU159" s="106">
        <f>(Table43[[#This Row],[Harga Jual Pcs MT
(-PPN)]]*Table43[[#This Row],[ISI/CTN]])</f>
        <v>521140.2</v>
      </c>
      <c r="AV159" s="106">
        <f>Table43[[#This Row],[Harga Jual Pcs MT
(-PPN)]]*1.11</f>
        <v>9641.0937000000013</v>
      </c>
      <c r="AW159" s="106">
        <f>Table43[[#This Row],[Harga Jual Pcs MT
(+PPN)]]*Table43[[#This Row],[ISI/CTN]]</f>
        <v>578465.62200000009</v>
      </c>
      <c r="AX159" s="106"/>
      <c r="AY159" s="107">
        <v>46091</v>
      </c>
      <c r="AZ159" s="108"/>
      <c r="BA159" s="97" t="str">
        <f ca="1">IF(TODAY()-Table43[[#This Row],[Efektif
Pembuatan]]&gt;60,"Lama","Baru")</f>
        <v>Lama</v>
      </c>
      <c r="BB159" s="97" t="str">
        <f ca="1">IF(TODAY()-Table43[[#This Row],[Efektif Naik Harga]]&lt;30,"Naik","Sama")</f>
        <v>Sama</v>
      </c>
      <c r="BC159" s="97" t="s">
        <v>235</v>
      </c>
      <c r="BD159" s="97" t="str">
        <f>IF(Table43[[#This Row],[Kode BARANG Win2]]&lt;&gt;"","IDR","")</f>
        <v>IDR</v>
      </c>
      <c r="BE159" s="97" t="str">
        <f>CONCATENATE(Table43[[#This Row],[kode  1 Digit
(Nomor)]],Table43[[#This Row],[kode  4 Digit                (Nomor)]])</f>
        <v>10155</v>
      </c>
      <c r="BF159" s="97" t="str">
        <f>Table43[[#This Row],[Nama            Gramasi atau Jumlah Pack per CTN]]</f>
        <v>155 GR</v>
      </c>
      <c r="BG159" s="97"/>
      <c r="BH159" s="109"/>
      <c r="BI159" s="96" t="str">
        <f>IF(Table43[[#This Row],[SATUAN Fix Win]]&lt;&gt;"","KRT")</f>
        <v>KRT</v>
      </c>
      <c r="BJ159" s="96" t="str">
        <f>IF(Table43[[#This Row],[SATUAN Fix Win]]&lt;&gt;"","GD01")</f>
        <v>GD01</v>
      </c>
      <c r="BK159" s="96">
        <f>IF(Table43[[#This Row],[SATUAN Fix Win]]&lt;&gt;"",11611)</f>
        <v>11611</v>
      </c>
      <c r="BL159" s="96">
        <f>IF(Table43[[#This Row],[SATUAN Fix Win]]&lt;&gt;"",11612)</f>
        <v>11612</v>
      </c>
      <c r="BM159" s="110"/>
      <c r="BN159" s="96">
        <f>IF(Table43[[#This Row],[SATUAN Fix Win]]&lt;&gt;"",1)</f>
        <v>1</v>
      </c>
      <c r="BO159" s="96"/>
      <c r="BP159" s="96">
        <f>IFERROR(VLOOKUP(Table43[[#This Row],[Kode Pcpl]],'[1]HEINZ ABC'!$A$4:$E$112,8,0),0)</f>
        <v>0</v>
      </c>
      <c r="BQ159" s="111">
        <f>Table43[[#This Row],[Harga Jual Pcs GT
(-PPN)]]-Table43[[#This Row],[HARGA NAIK GT]]</f>
        <v>8272.07</v>
      </c>
      <c r="BR159" s="96">
        <f>IF(Table43[[#This Row],[HARGA NAIK GT]]=0,Table43[[#This Row],[Harga Jual Pcs GT
(-PPN)]],Table43[[#This Row],[HARGA NAIK GT]])</f>
        <v>8272.07</v>
      </c>
      <c r="BT159" s="113"/>
    </row>
    <row r="160" spans="1:76" x14ac:dyDescent="0.25">
      <c r="A160" s="4" t="str">
        <f>CONCATENATE(Table43[[#This Row],[Kode BARANG Win2]],Table43[[#This Row],[No. Urut
Item Sama]])</f>
        <v>A11000020425101</v>
      </c>
      <c r="B160" s="7">
        <v>1</v>
      </c>
      <c r="C160" s="4">
        <v>141</v>
      </c>
      <c r="D160" s="27">
        <v>612043</v>
      </c>
      <c r="E160" s="27" t="s">
        <v>360</v>
      </c>
      <c r="F160" s="27" t="s">
        <v>363</v>
      </c>
      <c r="G160" s="27">
        <v>24</v>
      </c>
      <c r="H160" s="42" t="s">
        <v>2957</v>
      </c>
      <c r="I160" s="27" t="str">
        <f>Table43[[#This Row],[Nama Jenis Kemasan]]</f>
        <v>KLG</v>
      </c>
      <c r="J160" s="4" t="str">
        <f>TRIM(CONCATENATE(Table43[[#This Row],[Nama            KLP]]," ",Table43[[#This Row],[Nama            Sub KLP]]))</f>
        <v>SARDINES</v>
      </c>
      <c r="K160" s="4" t="str">
        <f>CONCATENATE(Table43[[#This Row],[kode  2 Digit                (hrf+No)]],Table43[[#This Row],[kode  2 Digit                (Nomor)]],Table43[[#This Row],[kode  1 Digit                (Nomor)]])</f>
        <v>A1100</v>
      </c>
      <c r="L160" s="4" t="str">
        <f>IF(AG160="",CONCATENATE(Q160,S160,U160,W160,Y160,AA160,AC160,AE160,Table43[[#This Row],[Tanda Kode Revisi]]),CONCATENATE(Q160,S160,U160,W160,Y160,AA160,AC160,AG160))</f>
        <v>A1100002042510</v>
      </c>
      <c r="M160" s="11">
        <f t="shared" si="6"/>
        <v>14</v>
      </c>
      <c r="N160" s="14" t="str">
        <f>IF(AF160&lt;&gt;"",TRIM(UPPER(CONCATENATE(P160," ",R160," ",T160," ",V160," ",X160," ",Z160," ","X"," ",Table43[[#This Row],[ISI/CTN]]," ",AF160," ",AB160," ",AD160," ",AH160))),TRIM(UPPER(CONCATENATE(P160," ",R160," ",T160," ",V160," ",X160," ",Z160," ","X"," ",Table43[[#This Row],[ISI/CTN]]," ",AB160," ",AD160," ",AH160))))</f>
        <v>ABC SARDINES CHILI DW 425 GR X 24 KLG</v>
      </c>
      <c r="O160" s="11">
        <f t="shared" si="7"/>
        <v>37</v>
      </c>
      <c r="P160" s="4" t="s">
        <v>28</v>
      </c>
      <c r="Q160" s="7" t="s">
        <v>85</v>
      </c>
      <c r="R160" s="4" t="s">
        <v>579</v>
      </c>
      <c r="S160" s="43">
        <v>10</v>
      </c>
      <c r="T160" s="44"/>
      <c r="U160" s="7" t="s">
        <v>1</v>
      </c>
      <c r="V160" s="44"/>
      <c r="W160" s="43" t="s">
        <v>1</v>
      </c>
      <c r="X160" s="4" t="s">
        <v>585</v>
      </c>
      <c r="Y160" s="45" t="s">
        <v>31</v>
      </c>
      <c r="Z160" s="4" t="s">
        <v>583</v>
      </c>
      <c r="AA160" s="45" t="s">
        <v>584</v>
      </c>
      <c r="AB160" s="4" t="s">
        <v>206</v>
      </c>
      <c r="AC160" s="7" t="s">
        <v>480</v>
      </c>
      <c r="AE160" s="7" t="s">
        <v>1</v>
      </c>
      <c r="AI160" s="7" t="s">
        <v>215</v>
      </c>
      <c r="AJ160" s="7">
        <v>1</v>
      </c>
      <c r="AL160" s="40">
        <f>Table43[[#This Row],[Harga Jual Pcs GT
(-PPN)]]-(Table43[[#This Row],[Harga Jual Pcs GT
(-PPN)]]*6%)</f>
        <v>20705.408199999998</v>
      </c>
      <c r="AM160" s="41">
        <f>Table43[[#This Row],[Harga Beli Pcs
(-PPN)]]*Table43[[#This Row],[ISI/CTN]]</f>
        <v>496929.79679999995</v>
      </c>
      <c r="AN160" s="41">
        <f>Table43[[#This Row],[Harga Beli Pcs
(-PPN)]]*1.11</f>
        <v>22983.003101999999</v>
      </c>
      <c r="AO160" s="41">
        <f>Table43[[#This Row],[Harga Beli Krt
(- PPN)]]*1.11</f>
        <v>551592.07444799994</v>
      </c>
      <c r="AP160" s="41">
        <v>22027.03</v>
      </c>
      <c r="AQ160" s="41">
        <f>Table43[[#This Row],[Harga Jual Pcs GT
(-PPN)]]*Table43[[#This Row],[ISI/CTN]]</f>
        <v>528648.72</v>
      </c>
      <c r="AR160" s="41">
        <f>Table43[[#This Row],[Harga Jual Pcs GT
(-PPN)]]*1.11</f>
        <v>24450.0033</v>
      </c>
      <c r="AS160" s="41">
        <f>Table43[[#This Row],[Harga Jual Krt GT
(- PPN)]]*1.11</f>
        <v>586800.07920000004</v>
      </c>
      <c r="AT160" s="41">
        <v>23128.38</v>
      </c>
      <c r="AU160" s="41">
        <f>(Table43[[#This Row],[Harga Jual Pcs MT
(-PPN)]]*Table43[[#This Row],[ISI/CTN]])</f>
        <v>555081.12</v>
      </c>
      <c r="AV160" s="41">
        <f>Table43[[#This Row],[Harga Jual Pcs MT
(-PPN)]]*1.11</f>
        <v>25672.501800000002</v>
      </c>
      <c r="AW160" s="41">
        <f>Table43[[#This Row],[Harga Jual Pcs MT
(+PPN)]]*Table43[[#This Row],[ISI/CTN]]</f>
        <v>616140.04320000007</v>
      </c>
      <c r="AX160" s="41"/>
      <c r="AY160" s="46">
        <v>45553</v>
      </c>
      <c r="AZ160" s="54">
        <v>45553</v>
      </c>
      <c r="BA160" s="7" t="str">
        <f ca="1">IF(TODAY()-Table43[[#This Row],[Efektif
Pembuatan]]&gt;60,"Lama","Baru")</f>
        <v>Lama</v>
      </c>
      <c r="BB160" s="7" t="str">
        <f ca="1">IF(TODAY()-Table43[[#This Row],[Efektif Naik Harga]]&lt;30,"Naik","Sama")</f>
        <v>Sama</v>
      </c>
      <c r="BC160" s="7" t="s">
        <v>235</v>
      </c>
      <c r="BD160" s="7" t="str">
        <f>IF(Table43[[#This Row],[Kode BARANG Win2]]&lt;&gt;"","IDR","")</f>
        <v>IDR</v>
      </c>
      <c r="BE160" s="7" t="str">
        <f>CONCATENATE(Table43[[#This Row],[kode  1 Digit
(Nomor)]],Table43[[#This Row],[kode  4 Digit                (Nomor)]])</f>
        <v>10425</v>
      </c>
      <c r="BF160" s="7" t="str">
        <f>Table43[[#This Row],[Nama            Gramasi atau Jumlah Pack per CTN]]</f>
        <v>425 GR</v>
      </c>
      <c r="BG160" s="7" t="s">
        <v>653</v>
      </c>
      <c r="BH160" s="51" t="s">
        <v>654</v>
      </c>
      <c r="BI160" s="4" t="str">
        <f>IF(Table43[[#This Row],[SATUAN Fix Win]]&lt;&gt;"","KRT")</f>
        <v>KRT</v>
      </c>
      <c r="BJ160" s="4" t="str">
        <f>IF(Table43[[#This Row],[SATUAN Fix Win]]&lt;&gt;"","GD01")</f>
        <v>GD01</v>
      </c>
      <c r="BK160" s="4">
        <f>IF(Table43[[#This Row],[SATUAN Fix Win]]&lt;&gt;"",11611)</f>
        <v>11611</v>
      </c>
      <c r="BL160" s="4">
        <f>IF(Table43[[#This Row],[SATUAN Fix Win]]&lt;&gt;"",11612)</f>
        <v>11612</v>
      </c>
      <c r="BM160" s="47" t="s">
        <v>655</v>
      </c>
      <c r="BN160" s="4">
        <f>IF(Table43[[#This Row],[SATUAN Fix Win]]&lt;&gt;"",1)</f>
        <v>1</v>
      </c>
      <c r="BO160" s="4" t="s">
        <v>656</v>
      </c>
      <c r="BP160" s="4">
        <f>IFERROR(VLOOKUP(Table43[[#This Row],[Kode Pcpl]],'[1]HEINZ ABC'!$A$4:$E$112,8,0),0)</f>
        <v>0</v>
      </c>
      <c r="BQ160" s="55">
        <f>Table43[[#This Row],[Harga Jual Pcs GT
(-PPN)]]-Table43[[#This Row],[HARGA NAIK GT]]</f>
        <v>22027.03</v>
      </c>
      <c r="BR160" s="4">
        <f>IF(Table43[[#This Row],[HARGA NAIK GT]]=0,Table43[[#This Row],[Harga Jual Pcs GT
(-PPN)]],Table43[[#This Row],[HARGA NAIK GT]])</f>
        <v>22027.03</v>
      </c>
      <c r="BS160">
        <f>IFERROR(VLOOKUP(Table43[[#This Row],[Kode Pcpl]],'[1]HEINZ ABC'!$A$4:$E$112,8,0),0)</f>
        <v>0</v>
      </c>
      <c r="BT160" s="58">
        <f>Table43[[#This Row],[Harga Jual Pcs GT
(-PPN)]]-BS160</f>
        <v>22027.03</v>
      </c>
      <c r="BU160">
        <f>IF(BS160=0,Table43[[#This Row],[Harga Jual Pcs MT
(-PPN)]])</f>
        <v>23128.38</v>
      </c>
      <c r="BV160">
        <f>IFERROR(VLOOKUP(Table43[[#This Row],[Kode Pcpl]],[2]Pricelist!$A$4:$K$112,11,0),0)</f>
        <v>0</v>
      </c>
      <c r="BW160">
        <f>IFERROR(VLOOKUP(Table43[[#This Row],[Kode BARANG Win2]],[3]!RECKITT211216[[KDBRG]:[HRG_JL_PCS-PPN]],11,0),0)</f>
        <v>0</v>
      </c>
      <c r="BX160">
        <f t="shared" si="8"/>
        <v>0</v>
      </c>
    </row>
    <row r="161" spans="1:76" x14ac:dyDescent="0.25">
      <c r="A161" s="4" t="str">
        <f>CONCATENATE(Table43[[#This Row],[Kode BARANG Win2]],Table43[[#This Row],[No. Urut
Item Sama]])</f>
        <v>A11000020425101</v>
      </c>
      <c r="B161" s="7">
        <v>1</v>
      </c>
      <c r="D161" s="27">
        <v>612150</v>
      </c>
      <c r="E161" s="27"/>
      <c r="F161" s="27" t="s">
        <v>363</v>
      </c>
      <c r="G161" s="27">
        <v>24</v>
      </c>
      <c r="H161" s="42" t="s">
        <v>2974</v>
      </c>
      <c r="I161" s="27" t="str">
        <f>Table43[[#This Row],[Nama Jenis Kemasan]]</f>
        <v>KLG</v>
      </c>
      <c r="J161" s="4" t="str">
        <f>TRIM(CONCATENATE(Table43[[#This Row],[Nama            KLP]]," ",Table43[[#This Row],[Nama            Sub KLP]]))</f>
        <v>SARDINES</v>
      </c>
      <c r="K161" s="4" t="str">
        <f>CONCATENATE(Table43[[#This Row],[kode  2 Digit                (hrf+No)]],Table43[[#This Row],[kode  2 Digit                (Nomor)]],Table43[[#This Row],[kode  1 Digit                (Nomor)]])</f>
        <v>A1100</v>
      </c>
      <c r="L161" s="4" t="str">
        <f>IF(AG161="",CONCATENATE(Q161,S161,U161,W161,Y161,AA161,AC161,AE161,Table43[[#This Row],[Tanda Kode Revisi]]),CONCATENATE(Q161,S161,U161,W161,Y161,AA161,AC161,AG161))</f>
        <v>A1100002042510</v>
      </c>
      <c r="M161" s="11">
        <f>LEN(L161)</f>
        <v>14</v>
      </c>
      <c r="N161" s="14" t="str">
        <f>IF(AF161&lt;&gt;"",TRIM(UPPER(CONCATENATE(P161," ",R161," ",T161," ",V161," ",X161," ",Z161," ","X"," ",Table43[[#This Row],[ISI/CTN]]," ",AF161," ",AB161," ",AD161," ",AH161))),TRIM(UPPER(CONCATENATE(P161," ",R161," ",T161," ",V161," ",X161," ",Z161," ","X"," ",Table43[[#This Row],[ISI/CTN]]," ",AB161," ",AD161," ",AH161))))</f>
        <v>ABC SARDINES CHILI DW 425 GR X 24 KLG</v>
      </c>
      <c r="O161" s="11">
        <f>LEN(N161)</f>
        <v>37</v>
      </c>
      <c r="P161" s="4" t="s">
        <v>28</v>
      </c>
      <c r="Q161" s="7" t="s">
        <v>85</v>
      </c>
      <c r="R161" s="4" t="s">
        <v>579</v>
      </c>
      <c r="S161" s="43">
        <v>10</v>
      </c>
      <c r="T161" s="44"/>
      <c r="U161" s="7" t="s">
        <v>1</v>
      </c>
      <c r="V161" s="44"/>
      <c r="W161" s="43" t="s">
        <v>1</v>
      </c>
      <c r="X161" s="4" t="s">
        <v>585</v>
      </c>
      <c r="Y161" s="45" t="s">
        <v>31</v>
      </c>
      <c r="Z161" s="4" t="s">
        <v>583</v>
      </c>
      <c r="AA161" s="45" t="s">
        <v>584</v>
      </c>
      <c r="AB161" s="4" t="s">
        <v>206</v>
      </c>
      <c r="AC161" s="7" t="s">
        <v>480</v>
      </c>
      <c r="AE161" s="7" t="s">
        <v>1</v>
      </c>
      <c r="AI161" s="7" t="s">
        <v>215</v>
      </c>
      <c r="AJ161" s="7">
        <v>1</v>
      </c>
      <c r="AL161" s="40">
        <f>Table43[[#This Row],[Harga Jual Pcs GT
(-PPN)]]-(Table43[[#This Row],[Harga Jual Pcs GT
(-PPN)]]*6%)</f>
        <v>0</v>
      </c>
      <c r="AM161" s="41">
        <f>Table43[[#This Row],[Harga Beli Pcs
(-PPN)]]*Table43[[#This Row],[ISI/CTN]]</f>
        <v>0</v>
      </c>
      <c r="AN161" s="41">
        <f>Table43[[#This Row],[Harga Beli Pcs
(-PPN)]]*1.11</f>
        <v>0</v>
      </c>
      <c r="AO161" s="41">
        <f>Table43[[#This Row],[Harga Beli Krt
(- PPN)]]*1.11</f>
        <v>0</v>
      </c>
      <c r="AP161" s="41"/>
      <c r="AQ161" s="41">
        <f>Table43[[#This Row],[Harga Jual Pcs GT
(-PPN)]]*Table43[[#This Row],[ISI/CTN]]</f>
        <v>0</v>
      </c>
      <c r="AR161" s="41">
        <f>Table43[[#This Row],[Harga Jual Pcs GT
(-PPN)]]*1.11</f>
        <v>0</v>
      </c>
      <c r="AS161" s="41">
        <f>Table43[[#This Row],[Harga Jual Krt GT
(- PPN)]]*1.11</f>
        <v>0</v>
      </c>
      <c r="AT161" s="41"/>
      <c r="AU161" s="41">
        <f>(Table43[[#This Row],[Harga Jual Pcs MT
(-PPN)]]*Table43[[#This Row],[ISI/CTN]])</f>
        <v>0</v>
      </c>
      <c r="AV161" s="41">
        <f>Table43[[#This Row],[Harga Jual Pcs MT
(-PPN)]]*1.11</f>
        <v>0</v>
      </c>
      <c r="AW161" s="41">
        <f>Table43[[#This Row],[Harga Jual Pcs MT
(+PPN)]]*Table43[[#This Row],[ISI/CTN]]</f>
        <v>0</v>
      </c>
      <c r="AX161" s="41"/>
      <c r="AY161" s="46"/>
      <c r="AZ161" s="54"/>
      <c r="BA161" s="7" t="str">
        <f ca="1">IF(TODAY()-Table43[[#This Row],[Efektif
Pembuatan]]&gt;60,"Lama","Baru")</f>
        <v>Lama</v>
      </c>
      <c r="BB161" s="7" t="str">
        <f ca="1">IF(TODAY()-Table43[[#This Row],[Efektif Naik Harga]]&lt;30,"Naik","Sama")</f>
        <v>Sama</v>
      </c>
      <c r="BC161" s="7"/>
      <c r="BD161" s="7" t="str">
        <f>IF(Table43[[#This Row],[Kode BARANG Win2]]&lt;&gt;"","IDR","")</f>
        <v>IDR</v>
      </c>
      <c r="BE161" s="7" t="str">
        <f>CONCATENATE(Table43[[#This Row],[kode  1 Digit
(Nomor)]],Table43[[#This Row],[kode  4 Digit                (Nomor)]])</f>
        <v>10425</v>
      </c>
      <c r="BF161" s="7" t="str">
        <f>Table43[[#This Row],[Nama            Gramasi atau Jumlah Pack per CTN]]</f>
        <v>425 GR</v>
      </c>
      <c r="BG161" s="7"/>
      <c r="BH161" s="51"/>
      <c r="BI161" s="4" t="str">
        <f>IF(Table43[[#This Row],[SATUAN Fix Win]]&lt;&gt;"","KRT")</f>
        <v>KRT</v>
      </c>
      <c r="BJ161" s="4" t="str">
        <f>IF(Table43[[#This Row],[SATUAN Fix Win]]&lt;&gt;"","GD01")</f>
        <v>GD01</v>
      </c>
      <c r="BK161" s="4">
        <f>IF(Table43[[#This Row],[SATUAN Fix Win]]&lt;&gt;"",11611)</f>
        <v>11611</v>
      </c>
      <c r="BL161" s="4">
        <f>IF(Table43[[#This Row],[SATUAN Fix Win]]&lt;&gt;"",11612)</f>
        <v>11612</v>
      </c>
      <c r="BM161" s="47"/>
      <c r="BN161" s="4">
        <f>IF(Table43[[#This Row],[SATUAN Fix Win]]&lt;&gt;"",1)</f>
        <v>1</v>
      </c>
      <c r="BP161" s="4">
        <f>IFERROR(VLOOKUP(Table43[[#This Row],[Kode Pcpl]],'[1]HEINZ ABC'!$A$4:$E$112,8,0),0)</f>
        <v>0</v>
      </c>
      <c r="BQ161" s="55">
        <f>Table43[[#This Row],[Harga Jual Pcs GT
(-PPN)]]-Table43[[#This Row],[HARGA NAIK GT]]</f>
        <v>0</v>
      </c>
      <c r="BR161" s="4">
        <f>IF(Table43[[#This Row],[HARGA NAIK GT]]=0,Table43[[#This Row],[Harga Jual Pcs GT
(-PPN)]],Table43[[#This Row],[HARGA NAIK GT]])</f>
        <v>0</v>
      </c>
      <c r="BT161" s="58"/>
    </row>
    <row r="162" spans="1:76" x14ac:dyDescent="0.25">
      <c r="A162" s="4" t="str">
        <f>CONCATENATE(Table43[[#This Row],[Kode BARANG Win2]],Table43[[#This Row],[No. Urut
Item Sama]])</f>
        <v>A11000030300101</v>
      </c>
      <c r="B162" s="7">
        <v>1</v>
      </c>
      <c r="C162" s="4">
        <v>142</v>
      </c>
      <c r="D162" s="27">
        <v>612141</v>
      </c>
      <c r="E162" s="27" t="s">
        <v>360</v>
      </c>
      <c r="F162" s="27" t="s">
        <v>364</v>
      </c>
      <c r="G162" s="27">
        <v>24</v>
      </c>
      <c r="H162" s="42" t="s">
        <v>2955</v>
      </c>
      <c r="I162" s="27" t="str">
        <f>Table43[[#This Row],[Nama Jenis Kemasan]]</f>
        <v>KLG</v>
      </c>
      <c r="J162" s="4" t="str">
        <f>TRIM(CONCATENATE(Table43[[#This Row],[Nama            KLP]]," ",Table43[[#This Row],[Nama            Sub KLP]]))</f>
        <v>SARDINES</v>
      </c>
      <c r="K162" s="4" t="str">
        <f>CONCATENATE(Table43[[#This Row],[kode  2 Digit                (hrf+No)]],Table43[[#This Row],[kode  2 Digit                (Nomor)]],Table43[[#This Row],[kode  1 Digit                (Nomor)]])</f>
        <v>A1100</v>
      </c>
      <c r="L162" s="4" t="str">
        <f>IF(AG162="",CONCATENATE(Q162,S162,U162,W162,Y162,AA162,AC162,AE162,Table43[[#This Row],[Tanda Kode Revisi]]),CONCATENATE(Q162,S162,U162,W162,Y162,AA162,AC162,AG162))</f>
        <v>A1100003030010</v>
      </c>
      <c r="M162" s="11">
        <f t="shared" si="6"/>
        <v>14</v>
      </c>
      <c r="N162" s="14" t="str">
        <f>IF(AF162&lt;&gt;"",TRIM(UPPER(CONCATENATE(P162," ",R162," ",T162," ",V162," ",X162," ",Z162," ","X"," ",Table43[[#This Row],[ISI/CTN]]," ",AF162," ",AB162," ",AD162," ",AH162))),TRIM(UPPER(CONCATENATE(P162," ",R162," ",T162," ",V162," ",X162," ",Z162," ","X"," ",Table43[[#This Row],[ISI/CTN]]," ",AB162," ",AD162," ",AH162))))</f>
        <v>ABC SARDINES CHILI 300 GR X 24 KLG</v>
      </c>
      <c r="O162" s="11">
        <f t="shared" si="7"/>
        <v>34</v>
      </c>
      <c r="P162" s="4" t="s">
        <v>28</v>
      </c>
      <c r="Q162" s="7" t="s">
        <v>85</v>
      </c>
      <c r="R162" s="4" t="s">
        <v>579</v>
      </c>
      <c r="S162" s="43">
        <v>10</v>
      </c>
      <c r="T162" s="44"/>
      <c r="U162" s="7" t="s">
        <v>1</v>
      </c>
      <c r="V162" s="44"/>
      <c r="W162" s="43" t="s">
        <v>1</v>
      </c>
      <c r="X162" s="4" t="s">
        <v>381</v>
      </c>
      <c r="Y162" s="45" t="s">
        <v>219</v>
      </c>
      <c r="Z162" s="4" t="s">
        <v>493</v>
      </c>
      <c r="AA162" s="45" t="s">
        <v>494</v>
      </c>
      <c r="AB162" s="4" t="s">
        <v>206</v>
      </c>
      <c r="AC162" s="7" t="s">
        <v>480</v>
      </c>
      <c r="AE162" s="7" t="s">
        <v>1</v>
      </c>
      <c r="AI162" s="7" t="s">
        <v>215</v>
      </c>
      <c r="AJ162" s="7">
        <v>1</v>
      </c>
      <c r="AL162" s="40">
        <f>Table43[[#This Row],[Harga Jual Pcs GT
(-PPN)]]-(Table43[[#This Row],[Harga Jual Pcs GT
(-PPN)]]*6%)</f>
        <v>14386.3992</v>
      </c>
      <c r="AM162" s="41">
        <f>Table43[[#This Row],[Harga Beli Pcs
(-PPN)]]*Table43[[#This Row],[ISI/CTN]]</f>
        <v>345273.5808</v>
      </c>
      <c r="AN162" s="41">
        <f>Table43[[#This Row],[Harga Beli Pcs
(-PPN)]]*1.11</f>
        <v>15968.903112000002</v>
      </c>
      <c r="AO162" s="41">
        <f>Table43[[#This Row],[Harga Beli Krt
(- PPN)]]*1.11</f>
        <v>383253.67468800006</v>
      </c>
      <c r="AP162" s="41">
        <v>15304.68</v>
      </c>
      <c r="AQ162" s="41">
        <f>Table43[[#This Row],[Harga Jual Pcs GT
(-PPN)]]*Table43[[#This Row],[ISI/CTN]]</f>
        <v>367312.32</v>
      </c>
      <c r="AR162" s="41">
        <f>Table43[[#This Row],[Harga Jual Pcs GT
(-PPN)]]*1.11</f>
        <v>16988.194800000001</v>
      </c>
      <c r="AS162" s="41">
        <f>Table43[[#This Row],[Harga Jual Krt GT
(- PPN)]]*1.11</f>
        <v>407716.67520000006</v>
      </c>
      <c r="AT162" s="41">
        <v>16069.910902427868</v>
      </c>
      <c r="AU162" s="41">
        <f>(Table43[[#This Row],[Harga Jual Pcs MT
(-PPN)]]*Table43[[#This Row],[ISI/CTN]])</f>
        <v>385677.86165826884</v>
      </c>
      <c r="AV162" s="41">
        <f>Table43[[#This Row],[Harga Jual Pcs MT
(-PPN)]]*1.11</f>
        <v>17837.601101694934</v>
      </c>
      <c r="AW162" s="41">
        <f>Table43[[#This Row],[Harga Jual Pcs MT
(+PPN)]]*Table43[[#This Row],[ISI/CTN]]</f>
        <v>428102.42644067842</v>
      </c>
      <c r="AX162" s="41"/>
      <c r="AY162" s="46">
        <v>45553</v>
      </c>
      <c r="AZ162" s="54">
        <v>45945</v>
      </c>
      <c r="BA162" s="7" t="str">
        <f ca="1">IF(TODAY()-Table43[[#This Row],[Efektif
Pembuatan]]&gt;60,"Lama","Baru")</f>
        <v>Lama</v>
      </c>
      <c r="BB162" s="7" t="str">
        <f ca="1">IF(TODAY()-Table43[[#This Row],[Efektif Naik Harga]]&lt;30,"Naik","Sama")</f>
        <v>Sama</v>
      </c>
      <c r="BC162" s="7" t="s">
        <v>235</v>
      </c>
      <c r="BD162" s="7" t="str">
        <f>IF(Table43[[#This Row],[Kode BARANG Win2]]&lt;&gt;"","IDR","")</f>
        <v>IDR</v>
      </c>
      <c r="BE162" s="7" t="str">
        <f>CONCATENATE(Table43[[#This Row],[kode  1 Digit
(Nomor)]],Table43[[#This Row],[kode  4 Digit                (Nomor)]])</f>
        <v>10300</v>
      </c>
      <c r="BF162" s="7" t="str">
        <f>Table43[[#This Row],[Nama            Gramasi atau Jumlah Pack per CTN]]</f>
        <v>300 GR</v>
      </c>
      <c r="BG162" s="7" t="s">
        <v>653</v>
      </c>
      <c r="BH162" s="51" t="s">
        <v>654</v>
      </c>
      <c r="BI162" s="4" t="str">
        <f>IF(Table43[[#This Row],[SATUAN Fix Win]]&lt;&gt;"","KRT")</f>
        <v>KRT</v>
      </c>
      <c r="BJ162" s="4" t="str">
        <f>IF(Table43[[#This Row],[SATUAN Fix Win]]&lt;&gt;"","GD01")</f>
        <v>GD01</v>
      </c>
      <c r="BK162" s="4">
        <f>IF(Table43[[#This Row],[SATUAN Fix Win]]&lt;&gt;"",11611)</f>
        <v>11611</v>
      </c>
      <c r="BL162" s="4">
        <f>IF(Table43[[#This Row],[SATUAN Fix Win]]&lt;&gt;"",11612)</f>
        <v>11612</v>
      </c>
      <c r="BM162" s="47" t="s">
        <v>655</v>
      </c>
      <c r="BN162" s="4">
        <f>IF(Table43[[#This Row],[SATUAN Fix Win]]&lt;&gt;"",1)</f>
        <v>1</v>
      </c>
      <c r="BO162" s="4" t="s">
        <v>656</v>
      </c>
      <c r="BP162" s="4">
        <f>IFERROR(VLOOKUP(Table43[[#This Row],[Kode Pcpl]],'[1]HEINZ ABC'!$A$4:$E$112,8,0),0)</f>
        <v>0</v>
      </c>
      <c r="BQ162" s="55">
        <f>Table43[[#This Row],[Harga Jual Pcs GT
(-PPN)]]-Table43[[#This Row],[HARGA NAIK GT]]</f>
        <v>15304.68</v>
      </c>
      <c r="BR162" s="4">
        <f>IF(Table43[[#This Row],[HARGA NAIK GT]]=0,Table43[[#This Row],[Harga Jual Pcs GT
(-PPN)]],Table43[[#This Row],[HARGA NAIK GT]])</f>
        <v>15304.68</v>
      </c>
      <c r="BS162">
        <f>IFERROR(VLOOKUP(Table43[[#This Row],[Kode Pcpl]],'[1]HEINZ ABC'!$A$4:$E$112,8,0),0)</f>
        <v>0</v>
      </c>
      <c r="BT162" s="58">
        <f>Table43[[#This Row],[Harga Jual Pcs GT
(-PPN)]]-BS162</f>
        <v>15304.68</v>
      </c>
      <c r="BU162">
        <f>IF(BS162=0,Table43[[#This Row],[Harga Jual Pcs MT
(-PPN)]])</f>
        <v>16069.910902427868</v>
      </c>
      <c r="BV162">
        <f>IFERROR(VLOOKUP(Table43[[#This Row],[Kode Pcpl]],[2]Pricelist!$A$4:$K$112,11,0),0)</f>
        <v>0</v>
      </c>
      <c r="BW162">
        <f>IFERROR(VLOOKUP(Table43[[#This Row],[Kode BARANG Win2]],[3]!RECKITT211216[[KDBRG]:[HRG_JL_PCS-PPN]],11,0),0)</f>
        <v>0</v>
      </c>
      <c r="BX162">
        <f t="shared" si="8"/>
        <v>0</v>
      </c>
    </row>
    <row r="163" spans="1:76" x14ac:dyDescent="0.25">
      <c r="A163" s="4" t="str">
        <f>CONCATENATE(Table43[[#This Row],[Kode BARANG Win2]],Table43[[#This Row],[No. Urut
Item Sama]])</f>
        <v>A11000030300102</v>
      </c>
      <c r="B163" s="7">
        <v>2</v>
      </c>
      <c r="C163" s="4">
        <v>143</v>
      </c>
      <c r="D163" s="27">
        <v>612148</v>
      </c>
      <c r="E163" s="27" t="s">
        <v>360</v>
      </c>
      <c r="F163" s="27" t="s">
        <v>364</v>
      </c>
      <c r="G163" s="27">
        <v>24</v>
      </c>
      <c r="H163" s="42" t="s">
        <v>2954</v>
      </c>
      <c r="I163" s="27" t="str">
        <f>Table43[[#This Row],[Nama Jenis Kemasan]]</f>
        <v>KLG</v>
      </c>
      <c r="J163" s="4" t="str">
        <f>TRIM(CONCATENATE(Table43[[#This Row],[Nama            KLP]]," ",Table43[[#This Row],[Nama            Sub KLP]]))</f>
        <v>SARDINES</v>
      </c>
      <c r="K163" s="4" t="str">
        <f>CONCATENATE(Table43[[#This Row],[kode  2 Digit                (hrf+No)]],Table43[[#This Row],[kode  2 Digit                (Nomor)]],Table43[[#This Row],[kode  1 Digit                (Nomor)]])</f>
        <v>A1100</v>
      </c>
      <c r="L163" s="4" t="str">
        <f>IF(AG163="",CONCATENATE(Q163,S163,U163,W163,Y163,AA163,AC163,AE163,Table43[[#This Row],[Tanda Kode Revisi]]),CONCATENATE(Q163,S163,U163,W163,Y163,AA163,AC163,AG163))</f>
        <v>A1100003030010</v>
      </c>
      <c r="M163" s="11">
        <f t="shared" si="6"/>
        <v>14</v>
      </c>
      <c r="N163" s="14" t="str">
        <f>IF(AF163&lt;&gt;"",TRIM(UPPER(CONCATENATE(P163," ",R163," ",T163," ",V163," ",X163," ",Z163," ","X"," ",Table43[[#This Row],[ISI/CTN]]," ",AF163," ",AB163," ",AD163," ",AH163))),TRIM(UPPER(CONCATENATE(P163," ",R163," ",T163," ",V163," ",X163," ",Z163," ","X"," ",Table43[[#This Row],[ISI/CTN]]," ",AB163," ",AD163," ",AH163))))</f>
        <v>ABC SARDINES CHILI 300 GR X 24 KLG</v>
      </c>
      <c r="O163" s="11">
        <f t="shared" si="7"/>
        <v>34</v>
      </c>
      <c r="P163" s="4" t="s">
        <v>28</v>
      </c>
      <c r="Q163" s="7" t="s">
        <v>85</v>
      </c>
      <c r="R163" s="4" t="s">
        <v>579</v>
      </c>
      <c r="S163" s="43">
        <v>10</v>
      </c>
      <c r="T163" s="44"/>
      <c r="U163" s="7" t="s">
        <v>1</v>
      </c>
      <c r="V163" s="44"/>
      <c r="W163" s="43" t="s">
        <v>1</v>
      </c>
      <c r="X163" s="4" t="s">
        <v>381</v>
      </c>
      <c r="Y163" s="45" t="s">
        <v>219</v>
      </c>
      <c r="Z163" s="4" t="s">
        <v>493</v>
      </c>
      <c r="AA163" s="45" t="s">
        <v>494</v>
      </c>
      <c r="AB163" s="4" t="s">
        <v>206</v>
      </c>
      <c r="AC163" s="7" t="s">
        <v>480</v>
      </c>
      <c r="AE163" s="7" t="s">
        <v>1</v>
      </c>
      <c r="AI163" s="7" t="s">
        <v>215</v>
      </c>
      <c r="AJ163" s="7">
        <v>1</v>
      </c>
      <c r="AL163" s="40">
        <f>Table43[[#This Row],[Harga Jual Pcs GT
(-PPN)]]-(Table43[[#This Row],[Harga Jual Pcs GT
(-PPN)]]*6%)</f>
        <v>14386.3992</v>
      </c>
      <c r="AM163" s="41">
        <f>Table43[[#This Row],[Harga Beli Pcs
(-PPN)]]*Table43[[#This Row],[ISI/CTN]]</f>
        <v>345273.5808</v>
      </c>
      <c r="AN163" s="41">
        <f>Table43[[#This Row],[Harga Beli Pcs
(-PPN)]]*1.11</f>
        <v>15968.903112000002</v>
      </c>
      <c r="AO163" s="41">
        <f>Table43[[#This Row],[Harga Beli Krt
(- PPN)]]*1.11</f>
        <v>383253.67468800006</v>
      </c>
      <c r="AP163" s="41">
        <v>15304.68</v>
      </c>
      <c r="AQ163" s="41">
        <f>Table43[[#This Row],[Harga Jual Pcs GT
(-PPN)]]*Table43[[#This Row],[ISI/CTN]]</f>
        <v>367312.32</v>
      </c>
      <c r="AR163" s="41">
        <f>Table43[[#This Row],[Harga Jual Pcs GT
(-PPN)]]*1.11</f>
        <v>16988.194800000001</v>
      </c>
      <c r="AS163" s="41">
        <f>Table43[[#This Row],[Harga Jual Krt GT
(- PPN)]]*1.11</f>
        <v>407716.67520000006</v>
      </c>
      <c r="AT163" s="41">
        <v>16069.910902427868</v>
      </c>
      <c r="AU163" s="41">
        <f>(Table43[[#This Row],[Harga Jual Pcs MT
(-PPN)]]*Table43[[#This Row],[ISI/CTN]])</f>
        <v>385677.86165826884</v>
      </c>
      <c r="AV163" s="41">
        <f>Table43[[#This Row],[Harga Jual Pcs MT
(-PPN)]]*1.11</f>
        <v>17837.601101694934</v>
      </c>
      <c r="AW163" s="41">
        <f>Table43[[#This Row],[Harga Jual Pcs MT
(+PPN)]]*Table43[[#This Row],[ISI/CTN]]</f>
        <v>428102.42644067842</v>
      </c>
      <c r="AX163" s="41"/>
      <c r="AY163" s="46">
        <v>45724</v>
      </c>
      <c r="AZ163" s="54">
        <v>45945</v>
      </c>
      <c r="BA163" s="7" t="str">
        <f ca="1">IF(TODAY()-Table43[[#This Row],[Efektif
Pembuatan]]&gt;60,"Lama","Baru")</f>
        <v>Lama</v>
      </c>
      <c r="BB163" s="7" t="str">
        <f ca="1">IF(TODAY()-Table43[[#This Row],[Efektif Naik Harga]]&lt;30,"Naik","Sama")</f>
        <v>Sama</v>
      </c>
      <c r="BC163" s="7"/>
      <c r="BD163" s="7" t="str">
        <f>IF(Table43[[#This Row],[Kode BARANG Win2]]&lt;&gt;"","IDR","")</f>
        <v>IDR</v>
      </c>
      <c r="BE163" s="7" t="str">
        <f>CONCATENATE(Table43[[#This Row],[kode  1 Digit
(Nomor)]],Table43[[#This Row],[kode  4 Digit                (Nomor)]])</f>
        <v>10300</v>
      </c>
      <c r="BF163" s="7" t="str">
        <f>Table43[[#This Row],[Nama            Gramasi atau Jumlah Pack per CTN]]</f>
        <v>300 GR</v>
      </c>
      <c r="BG163" s="7"/>
      <c r="BH163" s="51"/>
      <c r="BI163" s="4" t="str">
        <f>IF(Table43[[#This Row],[SATUAN Fix Win]]&lt;&gt;"","KRT")</f>
        <v>KRT</v>
      </c>
      <c r="BJ163" s="4" t="str">
        <f>IF(Table43[[#This Row],[SATUAN Fix Win]]&lt;&gt;"","GD01")</f>
        <v>GD01</v>
      </c>
      <c r="BK163" s="4">
        <f>IF(Table43[[#This Row],[SATUAN Fix Win]]&lt;&gt;"",11611)</f>
        <v>11611</v>
      </c>
      <c r="BL163" s="4">
        <f>IF(Table43[[#This Row],[SATUAN Fix Win]]&lt;&gt;"",11612)</f>
        <v>11612</v>
      </c>
      <c r="BM163" s="47"/>
      <c r="BN163" s="4">
        <f>IF(Table43[[#This Row],[SATUAN Fix Win]]&lt;&gt;"",1)</f>
        <v>1</v>
      </c>
      <c r="BP163" s="4">
        <f>IFERROR(VLOOKUP(Table43[[#This Row],[Kode Pcpl]],'[1]HEINZ ABC'!$A$4:$E$112,8,0),0)</f>
        <v>0</v>
      </c>
      <c r="BQ163" s="55">
        <f>Table43[[#This Row],[Harga Jual Pcs GT
(-PPN)]]-Table43[[#This Row],[HARGA NAIK GT]]</f>
        <v>15304.68</v>
      </c>
      <c r="BR163" s="4">
        <f>IF(Table43[[#This Row],[HARGA NAIK GT]]=0,Table43[[#This Row],[Harga Jual Pcs GT
(-PPN)]],Table43[[#This Row],[HARGA NAIK GT]])</f>
        <v>15304.68</v>
      </c>
      <c r="BS163">
        <f>IFERROR(VLOOKUP(Table43[[#This Row],[Kode Pcpl]],'[1]HEINZ ABC'!$A$4:$E$112,8,0),0)</f>
        <v>0</v>
      </c>
      <c r="BT163" s="58">
        <f>Table43[[#This Row],[Harga Jual Pcs GT
(-PPN)]]-BS163</f>
        <v>15304.68</v>
      </c>
      <c r="BU163">
        <f>IF(BS163=0,Table43[[#This Row],[Harga Jual Pcs MT
(-PPN)]])</f>
        <v>16069.910902427868</v>
      </c>
      <c r="BV163">
        <f>IFERROR(VLOOKUP(Table43[[#This Row],[Kode Pcpl]],[2]Pricelist!$A$4:$K$112,11,0),0)</f>
        <v>0</v>
      </c>
      <c r="BW163">
        <f>IFERROR(VLOOKUP(Table43[[#This Row],[Kode BARANG Win2]],[3]!RECKITT211216[[KDBRG]:[HRG_JL_PCS-PPN]],11,0),0)</f>
        <v>0</v>
      </c>
      <c r="BX163">
        <f t="shared" si="8"/>
        <v>0</v>
      </c>
    </row>
    <row r="164" spans="1:76" s="112" customFormat="1" x14ac:dyDescent="0.25">
      <c r="A164" s="96" t="str">
        <f>CONCATENATE(Table43[[#This Row],[Kode BARANG Win2]],Table43[[#This Row],[No. Urut
Item Sama]])</f>
        <v>A11000030300103</v>
      </c>
      <c r="B164" s="97">
        <v>3</v>
      </c>
      <c r="C164" s="96">
        <v>290</v>
      </c>
      <c r="D164" s="98">
        <v>612155</v>
      </c>
      <c r="E164" s="98"/>
      <c r="F164" s="98" t="s">
        <v>1110</v>
      </c>
      <c r="G164" s="98">
        <v>24</v>
      </c>
      <c r="H164" s="99" t="s">
        <v>2972</v>
      </c>
      <c r="I164" s="98" t="str">
        <f>Table43[[#This Row],[Nama Jenis Kemasan]]</f>
        <v>KLG</v>
      </c>
      <c r="J164" s="96" t="str">
        <f>TRIM(CONCATENATE(Table43[[#This Row],[Nama            KLP]]," ",Table43[[#This Row],[Nama            Sub KLP]]))</f>
        <v>SARDINES</v>
      </c>
      <c r="K164" s="96" t="str">
        <f>CONCATENATE(Table43[[#This Row],[kode  2 Digit                (hrf+No)]],Table43[[#This Row],[kode  2 Digit                (Nomor)]],Table43[[#This Row],[kode  1 Digit                (Nomor)]])</f>
        <v>A1100</v>
      </c>
      <c r="L164" s="96" t="str">
        <f>IF(AG164="",CONCATENATE(Q164,S164,U164,W164,Y164,AA164,AC164,AE164,Table43[[#This Row],[Tanda Kode Revisi]]),CONCATENATE(Q164,S164,U164,W164,Y164,AA164,AC164,AG164))</f>
        <v>A1100003030010</v>
      </c>
      <c r="M164" s="100">
        <f>LEN(L164)</f>
        <v>14</v>
      </c>
      <c r="N164" s="101" t="str">
        <f>IF(AF164&lt;&gt;"",TRIM(UPPER(CONCATENATE(P164," ",R164," ",T164," ",V164," ",X164," ",Z164," ","X"," ",Table43[[#This Row],[ISI/CTN]]," ",AF164," ",AB164," ",AD164," ",AH164))),TRIM(UPPER(CONCATENATE(P164," ",R164," ",T164," ",V164," ",X164," ",Z164," ","X"," ",Table43[[#This Row],[ISI/CTN]]," ",AB164," ",AD164," ",AH164))))</f>
        <v>ABC SARDINES CHILI 300 GR X 24 KLG</v>
      </c>
      <c r="O164" s="100">
        <f>LEN(N164)</f>
        <v>34</v>
      </c>
      <c r="P164" s="96" t="s">
        <v>28</v>
      </c>
      <c r="Q164" s="97" t="s">
        <v>85</v>
      </c>
      <c r="R164" s="96" t="s">
        <v>579</v>
      </c>
      <c r="S164" s="102">
        <v>10</v>
      </c>
      <c r="T164" s="103"/>
      <c r="U164" s="97" t="s">
        <v>1</v>
      </c>
      <c r="V164" s="103"/>
      <c r="W164" s="102" t="s">
        <v>1</v>
      </c>
      <c r="X164" s="96" t="s">
        <v>381</v>
      </c>
      <c r="Y164" s="104" t="s">
        <v>219</v>
      </c>
      <c r="Z164" s="96" t="s">
        <v>493</v>
      </c>
      <c r="AA164" s="104" t="s">
        <v>494</v>
      </c>
      <c r="AB164" s="96" t="s">
        <v>206</v>
      </c>
      <c r="AC164" s="97" t="s">
        <v>480</v>
      </c>
      <c r="AD164" s="96"/>
      <c r="AE164" s="97" t="s">
        <v>1</v>
      </c>
      <c r="AF164" s="97"/>
      <c r="AG164" s="97"/>
      <c r="AH164" s="97"/>
      <c r="AI164" s="97" t="s">
        <v>215</v>
      </c>
      <c r="AJ164" s="97">
        <v>1</v>
      </c>
      <c r="AK164" s="97"/>
      <c r="AL164" s="105">
        <f>Table43[[#This Row],[Harga Jual Pcs GT
(-PPN)]]-(Table43[[#This Row],[Harga Jual Pcs GT
(-PPN)]]*6%)</f>
        <v>0</v>
      </c>
      <c r="AM164" s="106">
        <f>Table43[[#This Row],[Harga Beli Pcs
(-PPN)]]*Table43[[#This Row],[ISI/CTN]]</f>
        <v>0</v>
      </c>
      <c r="AN164" s="106">
        <f>Table43[[#This Row],[Harga Beli Pcs
(-PPN)]]*1.11</f>
        <v>0</v>
      </c>
      <c r="AO164" s="106">
        <f>Table43[[#This Row],[Harga Beli Krt
(- PPN)]]*1.11</f>
        <v>0</v>
      </c>
      <c r="AP164" s="106"/>
      <c r="AQ164" s="106">
        <f>Table43[[#This Row],[Harga Jual Pcs GT
(-PPN)]]*Table43[[#This Row],[ISI/CTN]]</f>
        <v>0</v>
      </c>
      <c r="AR164" s="106">
        <f>Table43[[#This Row],[Harga Jual Pcs GT
(-PPN)]]*1.11</f>
        <v>0</v>
      </c>
      <c r="AS164" s="106">
        <f>Table43[[#This Row],[Harga Jual Krt GT
(- PPN)]]*1.11</f>
        <v>0</v>
      </c>
      <c r="AT164" s="106"/>
      <c r="AU164" s="106">
        <f>(Table43[[#This Row],[Harga Jual Pcs MT
(-PPN)]]*Table43[[#This Row],[ISI/CTN]])</f>
        <v>0</v>
      </c>
      <c r="AV164" s="106">
        <f>Table43[[#This Row],[Harga Jual Pcs MT
(-PPN)]]*1.11</f>
        <v>0</v>
      </c>
      <c r="AW164" s="106">
        <f>Table43[[#This Row],[Harga Jual Pcs MT
(+PPN)]]*Table43[[#This Row],[ISI/CTN]]</f>
        <v>0</v>
      </c>
      <c r="AX164" s="106"/>
      <c r="AY164" s="107"/>
      <c r="AZ164" s="108"/>
      <c r="BA164" s="97" t="str">
        <f ca="1">IF(TODAY()-Table43[[#This Row],[Efektif
Pembuatan]]&gt;60,"Lama","Baru")</f>
        <v>Lama</v>
      </c>
      <c r="BB164" s="97" t="str">
        <f ca="1">IF(TODAY()-Table43[[#This Row],[Efektif Naik Harga]]&lt;30,"Naik","Sama")</f>
        <v>Sama</v>
      </c>
      <c r="BC164" s="97"/>
      <c r="BD164" s="97" t="str">
        <f>IF(Table43[[#This Row],[Kode BARANG Win2]]&lt;&gt;"","IDR","")</f>
        <v>IDR</v>
      </c>
      <c r="BE164" s="97" t="str">
        <f>CONCATENATE(Table43[[#This Row],[kode  1 Digit
(Nomor)]],Table43[[#This Row],[kode  4 Digit                (Nomor)]])</f>
        <v>10300</v>
      </c>
      <c r="BF164" s="97" t="str">
        <f>Table43[[#This Row],[Nama            Gramasi atau Jumlah Pack per CTN]]</f>
        <v>300 GR</v>
      </c>
      <c r="BG164" s="97"/>
      <c r="BH164" s="109"/>
      <c r="BI164" s="96" t="str">
        <f>IF(Table43[[#This Row],[SATUAN Fix Win]]&lt;&gt;"","KRT")</f>
        <v>KRT</v>
      </c>
      <c r="BJ164" s="96" t="str">
        <f>IF(Table43[[#This Row],[SATUAN Fix Win]]&lt;&gt;"","GD01")</f>
        <v>GD01</v>
      </c>
      <c r="BK164" s="96">
        <f>IF(Table43[[#This Row],[SATUAN Fix Win]]&lt;&gt;"",11611)</f>
        <v>11611</v>
      </c>
      <c r="BL164" s="96">
        <f>IF(Table43[[#This Row],[SATUAN Fix Win]]&lt;&gt;"",11612)</f>
        <v>11612</v>
      </c>
      <c r="BM164" s="110"/>
      <c r="BN164" s="96">
        <f>IF(Table43[[#This Row],[SATUAN Fix Win]]&lt;&gt;"",1)</f>
        <v>1</v>
      </c>
      <c r="BO164" s="96"/>
      <c r="BP164" s="96">
        <f>IFERROR(VLOOKUP(Table43[[#This Row],[Kode Pcpl]],'[1]HEINZ ABC'!$A$4:$E$112,8,0),0)</f>
        <v>0</v>
      </c>
      <c r="BQ164" s="111">
        <f>Table43[[#This Row],[Harga Jual Pcs GT
(-PPN)]]-Table43[[#This Row],[HARGA NAIK GT]]</f>
        <v>0</v>
      </c>
      <c r="BR164" s="96">
        <f>IF(Table43[[#This Row],[HARGA NAIK GT]]=0,Table43[[#This Row],[Harga Jual Pcs GT
(-PPN)]],Table43[[#This Row],[HARGA NAIK GT]])</f>
        <v>0</v>
      </c>
      <c r="BT164" s="113"/>
    </row>
    <row r="165" spans="1:76" x14ac:dyDescent="0.25">
      <c r="A165" s="4" t="str">
        <f>CONCATENATE(Table43[[#This Row],[Kode BARANG Win2]],Table43[[#This Row],[No. Urut
Item Sama]])</f>
        <v>A11000040155101</v>
      </c>
      <c r="B165" s="7">
        <v>1</v>
      </c>
      <c r="C165" s="4">
        <v>144</v>
      </c>
      <c r="D165" s="27">
        <v>612047</v>
      </c>
      <c r="E165" s="27" t="s">
        <v>360</v>
      </c>
      <c r="F165" s="27" t="s">
        <v>1061</v>
      </c>
      <c r="G165" s="27">
        <v>60</v>
      </c>
      <c r="H165" s="42" t="s">
        <v>2958</v>
      </c>
      <c r="I165" s="27" t="str">
        <f>Table43[[#This Row],[Nama Jenis Kemasan]]</f>
        <v>KLG</v>
      </c>
      <c r="J165" s="4" t="str">
        <f>TRIM(CONCATENATE(Table43[[#This Row],[Nama            KLP]]," ",Table43[[#This Row],[Nama            Sub KLP]]))</f>
        <v>SARDINES</v>
      </c>
      <c r="K165" s="4" t="str">
        <f>CONCATENATE(Table43[[#This Row],[kode  2 Digit                (hrf+No)]],Table43[[#This Row],[kode  2 Digit                (Nomor)]],Table43[[#This Row],[kode  1 Digit                (Nomor)]])</f>
        <v>A1100</v>
      </c>
      <c r="L165" s="4" t="str">
        <f>IF(AG165="",CONCATENATE(Q165,S165,U165,W165,Y165,AA165,AC165,AE165,Table43[[#This Row],[Tanda Kode Revisi]]),CONCATENATE(Q165,S165,U165,W165,Y165,AA165,AC165,AG165))</f>
        <v>A1100004015510</v>
      </c>
      <c r="M165" s="11">
        <f t="shared" si="6"/>
        <v>14</v>
      </c>
      <c r="N165" s="14" t="str">
        <f>IF(AF165&lt;&gt;"",TRIM(UPPER(CONCATENATE(P165," ",R165," ",T165," ",V165," ",X165," ",Z165," ","X"," ",Table43[[#This Row],[ISI/CTN]]," ",AF165," ",AB165," ",AD165," ",AH165))),TRIM(UPPER(CONCATENATE(P165," ",R165," ",T165," ",V165," ",X165," ",Z165," ","X"," ",Table43[[#This Row],[ISI/CTN]]," ",AB165," ",AD165," ",AH165))))</f>
        <v>ABC SARDINES EXTRA PEDAS DW 155 GR X 60 KLG</v>
      </c>
      <c r="O165" s="11">
        <f t="shared" si="7"/>
        <v>43</v>
      </c>
      <c r="P165" s="4" t="s">
        <v>28</v>
      </c>
      <c r="Q165" s="7" t="s">
        <v>85</v>
      </c>
      <c r="R165" s="4" t="s">
        <v>579</v>
      </c>
      <c r="S165" s="43">
        <v>10</v>
      </c>
      <c r="T165" s="44"/>
      <c r="U165" s="7" t="s">
        <v>1</v>
      </c>
      <c r="V165" s="44"/>
      <c r="W165" s="43" t="s">
        <v>1</v>
      </c>
      <c r="X165" s="4" t="s">
        <v>586</v>
      </c>
      <c r="Y165" s="45" t="s">
        <v>220</v>
      </c>
      <c r="Z165" s="4" t="s">
        <v>581</v>
      </c>
      <c r="AA165" s="45" t="s">
        <v>582</v>
      </c>
      <c r="AB165" s="4" t="s">
        <v>206</v>
      </c>
      <c r="AC165" s="7" t="s">
        <v>480</v>
      </c>
      <c r="AE165" s="7">
        <v>0</v>
      </c>
      <c r="AI165" s="7" t="s">
        <v>215</v>
      </c>
      <c r="AJ165" s="7">
        <v>1</v>
      </c>
      <c r="AL165" s="40">
        <f>Table43[[#This Row],[Harga Jual Pcs GT
(-PPN)]]-(Table43[[#This Row],[Harga Jual Pcs GT
(-PPN)]]*6%)</f>
        <v>9145.9462000000003</v>
      </c>
      <c r="AM165" s="41">
        <f>Table43[[#This Row],[Harga Beli Pcs
(-PPN)]]*Table43[[#This Row],[ISI/CTN]]</f>
        <v>548756.772</v>
      </c>
      <c r="AN165" s="41">
        <f>Table43[[#This Row],[Harga Beli Pcs
(-PPN)]]*1.11</f>
        <v>10152.000282000001</v>
      </c>
      <c r="AO165" s="41">
        <f>Table43[[#This Row],[Harga Beli Krt
(- PPN)]]*1.11</f>
        <v>609120.01692000008</v>
      </c>
      <c r="AP165" s="41">
        <v>9729.73</v>
      </c>
      <c r="AQ165" s="41">
        <f>Table43[[#This Row],[Harga Jual Pcs GT
(-PPN)]]*Table43[[#This Row],[ISI/CTN]]</f>
        <v>583783.79999999993</v>
      </c>
      <c r="AR165" s="41">
        <f>Table43[[#This Row],[Harga Jual Pcs GT
(-PPN)]]*1.11</f>
        <v>10800.0003</v>
      </c>
      <c r="AS165" s="41">
        <f>Table43[[#This Row],[Harga Jual Krt GT
(- PPN)]]*1.11</f>
        <v>648000.01799999992</v>
      </c>
      <c r="AT165" s="41">
        <v>10216.219999999999</v>
      </c>
      <c r="AU165" s="41">
        <f>(Table43[[#This Row],[Harga Jual Pcs MT
(-PPN)]]*Table43[[#This Row],[ISI/CTN]])</f>
        <v>612973.19999999995</v>
      </c>
      <c r="AV165" s="41">
        <f>Table43[[#This Row],[Harga Jual Pcs MT
(-PPN)]]*1.11</f>
        <v>11340.004199999999</v>
      </c>
      <c r="AW165" s="41">
        <f>Table43[[#This Row],[Harga Jual Pcs MT
(+PPN)]]*Table43[[#This Row],[ISI/CTN]]</f>
        <v>680400.25199999998</v>
      </c>
      <c r="AX165" s="41"/>
      <c r="AY165" s="46">
        <v>45553</v>
      </c>
      <c r="AZ165" s="54">
        <v>45553</v>
      </c>
      <c r="BA165" s="7" t="str">
        <f ca="1">IF(TODAY()-Table43[[#This Row],[Efektif
Pembuatan]]&gt;60,"Lama","Baru")</f>
        <v>Lama</v>
      </c>
      <c r="BB165" s="7" t="str">
        <f ca="1">IF(TODAY()-Table43[[#This Row],[Efektif Naik Harga]]&lt;30,"Naik","Sama")</f>
        <v>Sama</v>
      </c>
      <c r="BC165" s="7" t="s">
        <v>235</v>
      </c>
      <c r="BD165" s="7" t="str">
        <f>IF(Table43[[#This Row],[Kode BARANG Win2]]&lt;&gt;"","IDR","")</f>
        <v>IDR</v>
      </c>
      <c r="BE165" s="7" t="str">
        <f>CONCATENATE(Table43[[#This Row],[kode  1 Digit
(Nomor)]],Table43[[#This Row],[kode  4 Digit                (Nomor)]])</f>
        <v>10155</v>
      </c>
      <c r="BF165" s="7" t="str">
        <f>Table43[[#This Row],[Nama            Gramasi atau Jumlah Pack per CTN]]</f>
        <v>155 GR</v>
      </c>
      <c r="BG165" s="7" t="s">
        <v>653</v>
      </c>
      <c r="BH165" s="51" t="s">
        <v>654</v>
      </c>
      <c r="BI165" s="4" t="str">
        <f>IF(Table43[[#This Row],[SATUAN Fix Win]]&lt;&gt;"","KRT")</f>
        <v>KRT</v>
      </c>
      <c r="BJ165" s="4" t="str">
        <f>IF(Table43[[#This Row],[SATUAN Fix Win]]&lt;&gt;"","GD01")</f>
        <v>GD01</v>
      </c>
      <c r="BK165" s="4">
        <f>IF(Table43[[#This Row],[SATUAN Fix Win]]&lt;&gt;"",11611)</f>
        <v>11611</v>
      </c>
      <c r="BL165" s="4">
        <f>IF(Table43[[#This Row],[SATUAN Fix Win]]&lt;&gt;"",11612)</f>
        <v>11612</v>
      </c>
      <c r="BM165" s="47" t="s">
        <v>655</v>
      </c>
      <c r="BN165" s="4">
        <f>IF(Table43[[#This Row],[SATUAN Fix Win]]&lt;&gt;"",1)</f>
        <v>1</v>
      </c>
      <c r="BO165" s="4" t="s">
        <v>656</v>
      </c>
      <c r="BP165" s="4">
        <f>IFERROR(VLOOKUP(Table43[[#This Row],[Kode Pcpl]],'[1]HEINZ ABC'!$A$4:$E$112,8,0),0)</f>
        <v>0</v>
      </c>
      <c r="BQ165" s="55">
        <f>Table43[[#This Row],[Harga Jual Pcs GT
(-PPN)]]-Table43[[#This Row],[HARGA NAIK GT]]</f>
        <v>9729.73</v>
      </c>
      <c r="BR165" s="4">
        <f>IF(Table43[[#This Row],[HARGA NAIK GT]]=0,Table43[[#This Row],[Harga Jual Pcs GT
(-PPN)]],Table43[[#This Row],[HARGA NAIK GT]])</f>
        <v>9729.73</v>
      </c>
      <c r="BS165">
        <f>IFERROR(VLOOKUP(Table43[[#This Row],[Kode Pcpl]],'[1]HEINZ ABC'!$A$4:$E$112,8,0),0)</f>
        <v>0</v>
      </c>
      <c r="BT165" s="58">
        <f>Table43[[#This Row],[Harga Jual Pcs GT
(-PPN)]]-BS165</f>
        <v>9729.73</v>
      </c>
      <c r="BU165">
        <f>IF(BS165=0,Table43[[#This Row],[Harga Jual Pcs MT
(-PPN)]])</f>
        <v>10216.219999999999</v>
      </c>
      <c r="BV165">
        <f>IFERROR(VLOOKUP(Table43[[#This Row],[Kode Pcpl]],[2]Pricelist!$A$4:$K$112,11,0),0)</f>
        <v>0</v>
      </c>
      <c r="BW165">
        <f>IFERROR(VLOOKUP(Table43[[#This Row],[Kode BARANG Win2]],[3]!RECKITT211216[[KDBRG]:[HRG_JL_PCS-PPN]],11,0),0)</f>
        <v>0</v>
      </c>
      <c r="BX165">
        <f t="shared" si="8"/>
        <v>0</v>
      </c>
    </row>
    <row r="166" spans="1:76" s="112" customFormat="1" x14ac:dyDescent="0.25">
      <c r="A166" s="96" t="str">
        <f>CONCATENATE(Table43[[#This Row],[Kode BARANG Win2]],Table43[[#This Row],[No. Urut
Item Sama]])</f>
        <v>A11000040155102</v>
      </c>
      <c r="B166" s="97">
        <v>2</v>
      </c>
      <c r="C166" s="96">
        <v>291</v>
      </c>
      <c r="D166" s="98">
        <v>612154</v>
      </c>
      <c r="E166" s="98"/>
      <c r="F166" s="98" t="s">
        <v>2991</v>
      </c>
      <c r="G166" s="98">
        <v>60</v>
      </c>
      <c r="H166" s="99">
        <v>7000003612</v>
      </c>
      <c r="I166" s="98" t="str">
        <f>Table43[[#This Row],[Nama Jenis Kemasan]]</f>
        <v>KLG</v>
      </c>
      <c r="J166" s="96" t="str">
        <f>TRIM(CONCATENATE(Table43[[#This Row],[Nama            KLP]]," ",Table43[[#This Row],[Nama            Sub KLP]]))</f>
        <v>SARDINES</v>
      </c>
      <c r="K166" s="96" t="str">
        <f>CONCATENATE(Table43[[#This Row],[kode  2 Digit                (hrf+No)]],Table43[[#This Row],[kode  2 Digit                (Nomor)]],Table43[[#This Row],[kode  1 Digit                (Nomor)]])</f>
        <v>A1100</v>
      </c>
      <c r="L166" s="96" t="str">
        <f>IF(AG166="",CONCATENATE(Q166,S166,U166,W166,Y166,AA166,AC166,AE166,Table43[[#This Row],[Tanda Kode Revisi]]),CONCATENATE(Q166,S166,U166,W166,Y166,AA166,AC166,AG166))</f>
        <v>A1100004015510</v>
      </c>
      <c r="M166" s="100">
        <f>LEN(L166)</f>
        <v>14</v>
      </c>
      <c r="N166" s="101" t="str">
        <f>IF(AF166&lt;&gt;"",TRIM(UPPER(CONCATENATE(P166," ",R166," ",T166," ",V166," ",X166," ",Z166," ","X"," ",Table43[[#This Row],[ISI/CTN]]," ",AF166," ",AB166," ",AD166," ",AH166))),TRIM(UPPER(CONCATENATE(P166," ",R166," ",T166," ",V166," ",X166," ",Z166," ","X"," ",Table43[[#This Row],[ISI/CTN]]," ",AB166," ",AD166," ",AH166))))</f>
        <v>ABC SARDINES EXTRA PEDAS DW 155 GR X 60 KLG</v>
      </c>
      <c r="O166" s="100">
        <f>LEN(N166)</f>
        <v>43</v>
      </c>
      <c r="P166" s="96" t="s">
        <v>28</v>
      </c>
      <c r="Q166" s="97" t="s">
        <v>85</v>
      </c>
      <c r="R166" s="96" t="s">
        <v>579</v>
      </c>
      <c r="S166" s="102">
        <v>10</v>
      </c>
      <c r="T166" s="103"/>
      <c r="U166" s="97" t="s">
        <v>1</v>
      </c>
      <c r="V166" s="103"/>
      <c r="W166" s="102" t="s">
        <v>1</v>
      </c>
      <c r="X166" s="96" t="s">
        <v>586</v>
      </c>
      <c r="Y166" s="104" t="s">
        <v>220</v>
      </c>
      <c r="Z166" s="96" t="s">
        <v>581</v>
      </c>
      <c r="AA166" s="104" t="s">
        <v>582</v>
      </c>
      <c r="AB166" s="96" t="s">
        <v>206</v>
      </c>
      <c r="AC166" s="97" t="s">
        <v>480</v>
      </c>
      <c r="AD166" s="96"/>
      <c r="AE166" s="97">
        <v>0</v>
      </c>
      <c r="AF166" s="97"/>
      <c r="AG166" s="97"/>
      <c r="AH166" s="97"/>
      <c r="AI166" s="97" t="s">
        <v>215</v>
      </c>
      <c r="AJ166" s="97">
        <v>1</v>
      </c>
      <c r="AK166" s="97"/>
      <c r="AL166" s="105">
        <f>Table43[[#This Row],[Harga Jual Pcs GT
(-PPN)]]-(Table43[[#This Row],[Harga Jual Pcs GT
(-PPN)]]*6%)</f>
        <v>0</v>
      </c>
      <c r="AM166" s="106">
        <f>Table43[[#This Row],[Harga Beli Pcs
(-PPN)]]*Table43[[#This Row],[ISI/CTN]]</f>
        <v>0</v>
      </c>
      <c r="AN166" s="106">
        <f>Table43[[#This Row],[Harga Beli Pcs
(-PPN)]]*1.11</f>
        <v>0</v>
      </c>
      <c r="AO166" s="106">
        <f>Table43[[#This Row],[Harga Beli Krt
(- PPN)]]*1.11</f>
        <v>0</v>
      </c>
      <c r="AP166" s="106"/>
      <c r="AQ166" s="106">
        <f>Table43[[#This Row],[Harga Jual Pcs GT
(-PPN)]]*Table43[[#This Row],[ISI/CTN]]</f>
        <v>0</v>
      </c>
      <c r="AR166" s="106">
        <f>Table43[[#This Row],[Harga Jual Pcs GT
(-PPN)]]*1.11</f>
        <v>0</v>
      </c>
      <c r="AS166" s="106">
        <f>Table43[[#This Row],[Harga Jual Krt GT
(- PPN)]]*1.11</f>
        <v>0</v>
      </c>
      <c r="AT166" s="106"/>
      <c r="AU166" s="106">
        <f>(Table43[[#This Row],[Harga Jual Pcs MT
(-PPN)]]*Table43[[#This Row],[ISI/CTN]])</f>
        <v>0</v>
      </c>
      <c r="AV166" s="106">
        <f>Table43[[#This Row],[Harga Jual Pcs MT
(-PPN)]]*1.11</f>
        <v>0</v>
      </c>
      <c r="AW166" s="106">
        <f>Table43[[#This Row],[Harga Jual Pcs MT
(+PPN)]]*Table43[[#This Row],[ISI/CTN]]</f>
        <v>0</v>
      </c>
      <c r="AX166" s="106"/>
      <c r="AY166" s="107"/>
      <c r="AZ166" s="108"/>
      <c r="BA166" s="97" t="str">
        <f ca="1">IF(TODAY()-Table43[[#This Row],[Efektif
Pembuatan]]&gt;60,"Lama","Baru")</f>
        <v>Lama</v>
      </c>
      <c r="BB166" s="97" t="str">
        <f ca="1">IF(TODAY()-Table43[[#This Row],[Efektif Naik Harga]]&lt;30,"Naik","Sama")</f>
        <v>Sama</v>
      </c>
      <c r="BC166" s="97"/>
      <c r="BD166" s="97" t="str">
        <f>IF(Table43[[#This Row],[Kode BARANG Win2]]&lt;&gt;"","IDR","")</f>
        <v>IDR</v>
      </c>
      <c r="BE166" s="97" t="str">
        <f>CONCATENATE(Table43[[#This Row],[kode  1 Digit
(Nomor)]],Table43[[#This Row],[kode  4 Digit                (Nomor)]])</f>
        <v>10155</v>
      </c>
      <c r="BF166" s="97" t="str">
        <f>Table43[[#This Row],[Nama            Gramasi atau Jumlah Pack per CTN]]</f>
        <v>155 GR</v>
      </c>
      <c r="BG166" s="97"/>
      <c r="BH166" s="109"/>
      <c r="BI166" s="96" t="str">
        <f>IF(Table43[[#This Row],[SATUAN Fix Win]]&lt;&gt;"","KRT")</f>
        <v>KRT</v>
      </c>
      <c r="BJ166" s="96" t="str">
        <f>IF(Table43[[#This Row],[SATUAN Fix Win]]&lt;&gt;"","GD01")</f>
        <v>GD01</v>
      </c>
      <c r="BK166" s="96">
        <f>IF(Table43[[#This Row],[SATUAN Fix Win]]&lt;&gt;"",11611)</f>
        <v>11611</v>
      </c>
      <c r="BL166" s="96">
        <f>IF(Table43[[#This Row],[SATUAN Fix Win]]&lt;&gt;"",11612)</f>
        <v>11612</v>
      </c>
      <c r="BM166" s="110"/>
      <c r="BN166" s="96">
        <f>IF(Table43[[#This Row],[SATUAN Fix Win]]&lt;&gt;"",1)</f>
        <v>1</v>
      </c>
      <c r="BO166" s="96"/>
      <c r="BP166" s="96">
        <f>IFERROR(VLOOKUP(Table43[[#This Row],[Kode Pcpl]],'[1]HEINZ ABC'!$A$4:$E$112,8,0),0)</f>
        <v>0</v>
      </c>
      <c r="BQ166" s="111">
        <f>Table43[[#This Row],[Harga Jual Pcs GT
(-PPN)]]-Table43[[#This Row],[HARGA NAIK GT]]</f>
        <v>0</v>
      </c>
      <c r="BR166" s="96">
        <f>IF(Table43[[#This Row],[HARGA NAIK GT]]=0,Table43[[#This Row],[Harga Jual Pcs GT
(-PPN)]],Table43[[#This Row],[HARGA NAIK GT]])</f>
        <v>0</v>
      </c>
      <c r="BT166" s="113"/>
    </row>
    <row r="167" spans="1:76" x14ac:dyDescent="0.25">
      <c r="A167" s="4" t="str">
        <f>CONCATENATE(Table43[[#This Row],[Kode BARANG Win2]],Table43[[#This Row],[No. Urut
Item Sama]])</f>
        <v>A11000040155122</v>
      </c>
      <c r="B167" s="7">
        <v>2</v>
      </c>
      <c r="C167" s="4">
        <v>145</v>
      </c>
      <c r="D167" s="27">
        <v>612159</v>
      </c>
      <c r="E167" s="27" t="s">
        <v>360</v>
      </c>
      <c r="F167" s="27" t="s">
        <v>989</v>
      </c>
      <c r="G167" s="27">
        <v>60</v>
      </c>
      <c r="H167" s="42" t="s">
        <v>2970</v>
      </c>
      <c r="I167" s="27" t="str">
        <f>Table43[[#This Row],[Nama Jenis Kemasan]]</f>
        <v>KLG</v>
      </c>
      <c r="J167" s="4" t="str">
        <f>TRIM(CONCATENATE(Table43[[#This Row],[Nama            KLP]]," ",Table43[[#This Row],[Nama            Sub KLP]]))</f>
        <v>SARDINES</v>
      </c>
      <c r="K167" s="4" t="str">
        <f>CONCATENATE(Table43[[#This Row],[kode  2 Digit                (hrf+No)]],Table43[[#This Row],[kode  2 Digit                (Nomor)]],Table43[[#This Row],[kode  1 Digit                (Nomor)]])</f>
        <v>A1100</v>
      </c>
      <c r="L167" s="4" t="str">
        <f>IF(AG167="",CONCATENATE(Q167,S167,U167,W167,Y167,AA167,AC167,AE167,Table43[[#This Row],[Tanda Kode Revisi]]),CONCATENATE(Q167,S167,U167,W167,Y167,AA167,AC167,AG167))</f>
        <v>A1100004015512</v>
      </c>
      <c r="M167" s="11">
        <f t="shared" si="6"/>
        <v>14</v>
      </c>
      <c r="N167" s="14" t="str">
        <f>IF(AF167&lt;&gt;"",TRIM(UPPER(CONCATENATE(P167," ",R167," ",T167," ",V167," ",X167," ",Z167," ","X"," ",Table43[[#This Row],[ISI/CTN]]," ",AF167," ",AB167," ",AD167," ",AH167))),TRIM(UPPER(CONCATENATE(P167," ",R167," ",T167," ",V167," ",X167," ",Z167," ","X"," ",Table43[[#This Row],[ISI/CTN]]," ",AB167," ",AD167," ",AH167))))</f>
        <v>ABC SARDINES EXTRA PEDAS DW 155 GR X 60 KLG PROMO</v>
      </c>
      <c r="O167" s="11">
        <f t="shared" si="7"/>
        <v>49</v>
      </c>
      <c r="P167" s="4" t="s">
        <v>28</v>
      </c>
      <c r="Q167" s="7" t="s">
        <v>85</v>
      </c>
      <c r="R167" s="4" t="s">
        <v>579</v>
      </c>
      <c r="S167" s="43">
        <v>10</v>
      </c>
      <c r="T167" s="44"/>
      <c r="U167" s="7" t="s">
        <v>1</v>
      </c>
      <c r="V167" s="44"/>
      <c r="W167" s="43" t="s">
        <v>1</v>
      </c>
      <c r="X167" s="4" t="s">
        <v>586</v>
      </c>
      <c r="Y167" s="45" t="s">
        <v>220</v>
      </c>
      <c r="Z167" s="4" t="s">
        <v>581</v>
      </c>
      <c r="AA167" s="45" t="s">
        <v>582</v>
      </c>
      <c r="AB167" s="4" t="s">
        <v>206</v>
      </c>
      <c r="AC167" s="7" t="s">
        <v>480</v>
      </c>
      <c r="AD167" s="4" t="s">
        <v>233</v>
      </c>
      <c r="AE167" s="7">
        <v>2</v>
      </c>
      <c r="AI167" s="7" t="s">
        <v>215</v>
      </c>
      <c r="AJ167" s="7">
        <v>1</v>
      </c>
      <c r="AL167" s="40">
        <f>Table43[[#This Row],[Harga Jual Pcs GT
(-PPN)]]-(Table43[[#This Row],[Harga Jual Pcs GT
(-PPN)]]*6%)</f>
        <v>7775.7740000000003</v>
      </c>
      <c r="AM167" s="41">
        <f>Table43[[#This Row],[Harga Beli Pcs
(-PPN)]]*Table43[[#This Row],[ISI/CTN]]</f>
        <v>466546.44</v>
      </c>
      <c r="AN167" s="41">
        <f>Table43[[#This Row],[Harga Beli Pcs
(-PPN)]]*1.11</f>
        <v>8631.1091400000005</v>
      </c>
      <c r="AO167" s="41">
        <f>Table43[[#This Row],[Harga Beli Krt
(- PPN)]]*1.11</f>
        <v>517866.54840000003</v>
      </c>
      <c r="AP167" s="41">
        <v>8272.1</v>
      </c>
      <c r="AQ167" s="41">
        <f>Table43[[#This Row],[Harga Jual Pcs GT
(-PPN)]]*Table43[[#This Row],[ISI/CTN]]</f>
        <v>496326</v>
      </c>
      <c r="AR167" s="41">
        <f>Table43[[#This Row],[Harga Jual Pcs GT
(-PPN)]]*1.11</f>
        <v>9182.0310000000009</v>
      </c>
      <c r="AS167" s="41">
        <f>Table43[[#This Row],[Harga Jual Krt GT
(- PPN)]]*1.11</f>
        <v>550921.8600000001</v>
      </c>
      <c r="AT167" s="41">
        <v>0</v>
      </c>
      <c r="AU167" s="41">
        <f>(Table43[[#This Row],[Harga Jual Pcs MT
(-PPN)]]*Table43[[#This Row],[ISI/CTN]])</f>
        <v>0</v>
      </c>
      <c r="AV167" s="41">
        <f>Table43[[#This Row],[Harga Jual Pcs MT
(-PPN)]]*1.11</f>
        <v>0</v>
      </c>
      <c r="AW167" s="41">
        <f>Table43[[#This Row],[Harga Jual Pcs MT
(+PPN)]]*Table43[[#This Row],[ISI/CTN]]</f>
        <v>0</v>
      </c>
      <c r="AX167" s="41"/>
      <c r="AY167" s="46">
        <v>45674</v>
      </c>
      <c r="AZ167" s="54">
        <v>45553</v>
      </c>
      <c r="BA167" s="7" t="str">
        <f ca="1">IF(TODAY()-Table43[[#This Row],[Efektif
Pembuatan]]&gt;60,"Lama","Baru")</f>
        <v>Lama</v>
      </c>
      <c r="BB167" s="7" t="str">
        <f ca="1">IF(TODAY()-Table43[[#This Row],[Efektif Naik Harga]]&lt;30,"Naik","Sama")</f>
        <v>Sama</v>
      </c>
      <c r="BC167" s="7" t="s">
        <v>235</v>
      </c>
      <c r="BD167" s="7" t="str">
        <f>IF(Table43[[#This Row],[Kode BARANG Win2]]&lt;&gt;"","IDR","")</f>
        <v>IDR</v>
      </c>
      <c r="BE167" s="7" t="str">
        <f>CONCATENATE(Table43[[#This Row],[kode  1 Digit
(Nomor)]],Table43[[#This Row],[kode  4 Digit                (Nomor)]])</f>
        <v>10155</v>
      </c>
      <c r="BF167" s="7" t="str">
        <f>Table43[[#This Row],[Nama            Gramasi atau Jumlah Pack per CTN]]</f>
        <v>155 GR</v>
      </c>
      <c r="BG167" s="7"/>
      <c r="BH167" s="51"/>
      <c r="BI167" s="4" t="str">
        <f>IF(Table43[[#This Row],[SATUAN Fix Win]]&lt;&gt;"","KRT")</f>
        <v>KRT</v>
      </c>
      <c r="BJ167" s="4" t="str">
        <f>IF(Table43[[#This Row],[SATUAN Fix Win]]&lt;&gt;"","GD01")</f>
        <v>GD01</v>
      </c>
      <c r="BK167" s="4">
        <f>IF(Table43[[#This Row],[SATUAN Fix Win]]&lt;&gt;"",11611)</f>
        <v>11611</v>
      </c>
      <c r="BL167" s="4">
        <f>IF(Table43[[#This Row],[SATUAN Fix Win]]&lt;&gt;"",11612)</f>
        <v>11612</v>
      </c>
      <c r="BM167" s="47"/>
      <c r="BN167" s="4">
        <f>IF(Table43[[#This Row],[SATUAN Fix Win]]&lt;&gt;"",1)</f>
        <v>1</v>
      </c>
      <c r="BP167" s="4">
        <f>IFERROR(VLOOKUP(Table43[[#This Row],[Kode Pcpl]],'[1]HEINZ ABC'!$A$4:$E$112,8,0),0)</f>
        <v>0</v>
      </c>
      <c r="BQ167" s="55">
        <f>Table43[[#This Row],[Harga Jual Pcs GT
(-PPN)]]-Table43[[#This Row],[HARGA NAIK GT]]</f>
        <v>8272.1</v>
      </c>
      <c r="BR167" s="4">
        <f>IF(Table43[[#This Row],[HARGA NAIK GT]]=0,Table43[[#This Row],[Harga Jual Pcs GT
(-PPN)]],Table43[[#This Row],[HARGA NAIK GT]])</f>
        <v>8272.1</v>
      </c>
      <c r="BS167">
        <f>IFERROR(VLOOKUP(Table43[[#This Row],[Kode Pcpl]],'[1]HEINZ ABC'!$A$4:$E$112,8,0),0)</f>
        <v>0</v>
      </c>
      <c r="BT167" s="58">
        <f>Table43[[#This Row],[Harga Jual Pcs GT
(-PPN)]]-BS167</f>
        <v>8272.1</v>
      </c>
      <c r="BU167">
        <f>IF(BS167=0,Table43[[#This Row],[Harga Jual Pcs MT
(-PPN)]])</f>
        <v>0</v>
      </c>
      <c r="BV167">
        <f>IFERROR(VLOOKUP(Table43[[#This Row],[Kode Pcpl]],[2]Pricelist!$A$4:$K$112,11,0),0)</f>
        <v>0</v>
      </c>
      <c r="BW167">
        <f>IFERROR(VLOOKUP(Table43[[#This Row],[Kode BARANG Win2]],[3]!RECKITT211216[[KDBRG]:[HRG_JL_PCS-PPN]],11,0),0)</f>
        <v>0</v>
      </c>
      <c r="BX167">
        <f t="shared" si="8"/>
        <v>0</v>
      </c>
    </row>
    <row r="168" spans="1:76" x14ac:dyDescent="0.25">
      <c r="A168" s="4" t="str">
        <f>CONCATENATE(Table43[[#This Row],[Kode BARANG Win2]],Table43[[#This Row],[No. Urut
Item Sama]])</f>
        <v>A11000040155121</v>
      </c>
      <c r="B168" s="7">
        <v>1</v>
      </c>
      <c r="D168" s="27">
        <v>612963</v>
      </c>
      <c r="E168" s="27" t="s">
        <v>360</v>
      </c>
      <c r="F168" s="27" t="s">
        <v>989</v>
      </c>
      <c r="G168" s="27">
        <v>60</v>
      </c>
      <c r="H168" s="42" t="s">
        <v>2953</v>
      </c>
      <c r="I168" s="27" t="str">
        <f>Table43[[#This Row],[Nama Jenis Kemasan]]</f>
        <v>KLG</v>
      </c>
      <c r="J168" s="4" t="str">
        <f>TRIM(CONCATENATE(Table43[[#This Row],[Nama            KLP]]," ",Table43[[#This Row],[Nama            Sub KLP]]))</f>
        <v>SARDINES</v>
      </c>
      <c r="K168" s="4" t="str">
        <f>CONCATENATE(Table43[[#This Row],[kode  2 Digit                (hrf+No)]],Table43[[#This Row],[kode  2 Digit                (Nomor)]],Table43[[#This Row],[kode  1 Digit                (Nomor)]])</f>
        <v>A1100</v>
      </c>
      <c r="L168" s="4" t="str">
        <f>IF(AG168="",CONCATENATE(Q168,S168,U168,W168,Y168,AA168,AC168,AE168,Table43[[#This Row],[Tanda Kode Revisi]]),CONCATENATE(Q168,S168,U168,W168,Y168,AA168,AC168,AG168))</f>
        <v>A1100004015512</v>
      </c>
      <c r="M168" s="11">
        <f t="shared" si="6"/>
        <v>14</v>
      </c>
      <c r="N168" s="14" t="str">
        <f>IF(AF168&lt;&gt;"",TRIM(UPPER(CONCATENATE(P168," ",R168," ",T168," ",V168," ",X168," ",Z168," ","X"," ",Table43[[#This Row],[ISI/CTN]]," ",AF168," ",AB168," ",AD168," ",AH168))),TRIM(UPPER(CONCATENATE(P168," ",R168," ",T168," ",V168," ",X168," ",Z168," ","X"," ",Table43[[#This Row],[ISI/CTN]]," ",AB168," ",AD168," ",AH168))))</f>
        <v>ABC SARDINES EXTRA PEDAS DW 155 GR X 60 KLG PROMO</v>
      </c>
      <c r="O168" s="11">
        <f t="shared" si="7"/>
        <v>49</v>
      </c>
      <c r="P168" s="4" t="s">
        <v>28</v>
      </c>
      <c r="Q168" s="7" t="s">
        <v>85</v>
      </c>
      <c r="R168" s="4" t="s">
        <v>579</v>
      </c>
      <c r="S168" s="43">
        <v>10</v>
      </c>
      <c r="T168" s="44"/>
      <c r="U168" s="7" t="s">
        <v>1</v>
      </c>
      <c r="V168" s="44"/>
      <c r="W168" s="43" t="s">
        <v>1</v>
      </c>
      <c r="X168" s="4" t="s">
        <v>586</v>
      </c>
      <c r="Y168" s="45" t="s">
        <v>220</v>
      </c>
      <c r="Z168" s="4" t="s">
        <v>581</v>
      </c>
      <c r="AA168" s="45" t="s">
        <v>582</v>
      </c>
      <c r="AB168" s="4" t="s">
        <v>206</v>
      </c>
      <c r="AC168" s="7" t="s">
        <v>480</v>
      </c>
      <c r="AD168" s="4" t="s">
        <v>233</v>
      </c>
      <c r="AE168" s="7">
        <v>2</v>
      </c>
      <c r="AL168" s="40">
        <f>Table43[[#This Row],[Harga Jual Pcs GT
(-PPN)]]-(Table43[[#This Row],[Harga Jual Pcs GT
(-PPN)]]*6%)</f>
        <v>0</v>
      </c>
      <c r="AM168" s="41">
        <f>Table43[[#This Row],[Harga Beli Pcs
(-PPN)]]*Table43[[#This Row],[ISI/CTN]]</f>
        <v>0</v>
      </c>
      <c r="AN168" s="41">
        <f>Table43[[#This Row],[Harga Beli Pcs
(-PPN)]]*1.11</f>
        <v>0</v>
      </c>
      <c r="AO168" s="41">
        <f>Table43[[#This Row],[Harga Beli Krt
(- PPN)]]*1.11</f>
        <v>0</v>
      </c>
      <c r="AP168" s="41"/>
      <c r="AQ168" s="41">
        <f>Table43[[#This Row],[Harga Jual Pcs GT
(-PPN)]]*Table43[[#This Row],[ISI/CTN]]</f>
        <v>0</v>
      </c>
      <c r="AR168" s="41">
        <f>Table43[[#This Row],[Harga Jual Pcs GT
(-PPN)]]*1.11</f>
        <v>0</v>
      </c>
      <c r="AS168" s="41">
        <f>Table43[[#This Row],[Harga Jual Krt GT
(- PPN)]]*1.11</f>
        <v>0</v>
      </c>
      <c r="AT168" s="41"/>
      <c r="AU168" s="41">
        <f>(Table43[[#This Row],[Harga Jual Pcs MT
(-PPN)]]*Table43[[#This Row],[ISI/CTN]])</f>
        <v>0</v>
      </c>
      <c r="AV168" s="41">
        <f>Table43[[#This Row],[Harga Jual Pcs MT
(-PPN)]]*1.11</f>
        <v>0</v>
      </c>
      <c r="AW168" s="41">
        <f>Table43[[#This Row],[Harga Jual Pcs MT
(+PPN)]]*Table43[[#This Row],[ISI/CTN]]</f>
        <v>0</v>
      </c>
      <c r="AX168" s="41"/>
      <c r="AY168" s="46"/>
      <c r="AZ168" s="54"/>
      <c r="BA168" s="7" t="str">
        <f ca="1">IF(TODAY()-Table43[[#This Row],[Efektif
Pembuatan]]&gt;60,"Lama","Baru")</f>
        <v>Lama</v>
      </c>
      <c r="BB168" s="7" t="str">
        <f ca="1">IF(TODAY()-Table43[[#This Row],[Efektif Naik Harga]]&lt;30,"Naik","Sama")</f>
        <v>Sama</v>
      </c>
      <c r="BC168" s="7"/>
      <c r="BD168" s="7" t="str">
        <f>IF(Table43[[#This Row],[Kode BARANG Win2]]&lt;&gt;"","IDR","")</f>
        <v>IDR</v>
      </c>
      <c r="BE168" s="7" t="str">
        <f>CONCATENATE(Table43[[#This Row],[kode  1 Digit
(Nomor)]],Table43[[#This Row],[kode  4 Digit                (Nomor)]])</f>
        <v>0155</v>
      </c>
      <c r="BF168" s="7" t="str">
        <f>Table43[[#This Row],[Nama            Gramasi atau Jumlah Pack per CTN]]</f>
        <v>155 GR</v>
      </c>
      <c r="BG168" s="7"/>
      <c r="BH168" s="51"/>
      <c r="BI168" s="4" t="str">
        <f>IF(Table43[[#This Row],[SATUAN Fix Win]]&lt;&gt;"","KRT")</f>
        <v>KRT</v>
      </c>
      <c r="BJ168" s="4" t="str">
        <f>IF(Table43[[#This Row],[SATUAN Fix Win]]&lt;&gt;"","GD01")</f>
        <v>GD01</v>
      </c>
      <c r="BK168" s="4">
        <f>IF(Table43[[#This Row],[SATUAN Fix Win]]&lt;&gt;"",11611)</f>
        <v>11611</v>
      </c>
      <c r="BL168" s="4">
        <f>IF(Table43[[#This Row],[SATUAN Fix Win]]&lt;&gt;"",11612)</f>
        <v>11612</v>
      </c>
      <c r="BM168" s="47"/>
      <c r="BN168" s="4">
        <f>IF(Table43[[#This Row],[SATUAN Fix Win]]&lt;&gt;"",1)</f>
        <v>1</v>
      </c>
      <c r="BP168" s="4">
        <f>IFERROR(VLOOKUP(Table43[[#This Row],[Kode Pcpl]],'[1]HEINZ ABC'!$A$4:$E$112,8,0),0)</f>
        <v>0</v>
      </c>
      <c r="BQ168" s="55">
        <f>Table43[[#This Row],[Harga Jual Pcs GT
(-PPN)]]-Table43[[#This Row],[HARGA NAIK GT]]</f>
        <v>0</v>
      </c>
      <c r="BR168" s="4">
        <f>IF(Table43[[#This Row],[HARGA NAIK GT]]=0,Table43[[#This Row],[Harga Jual Pcs GT
(-PPN)]],Table43[[#This Row],[HARGA NAIK GT]])</f>
        <v>0</v>
      </c>
      <c r="BT168" s="58"/>
    </row>
    <row r="169" spans="1:76" x14ac:dyDescent="0.25">
      <c r="A169" s="4" t="str">
        <f>CONCATENATE(Table43[[#This Row],[Kode BARANG Win2]],Table43[[#This Row],[No. Urut
Item Sama]])</f>
        <v>A11000040425101</v>
      </c>
      <c r="B169" s="7">
        <v>1</v>
      </c>
      <c r="C169" s="4">
        <v>146</v>
      </c>
      <c r="D169" s="27">
        <v>612044</v>
      </c>
      <c r="E169" s="27" t="s">
        <v>360</v>
      </c>
      <c r="F169" s="27" t="s">
        <v>365</v>
      </c>
      <c r="G169" s="27">
        <v>24</v>
      </c>
      <c r="H169" s="42" t="s">
        <v>2959</v>
      </c>
      <c r="I169" s="27" t="str">
        <f>Table43[[#This Row],[Nama Jenis Kemasan]]</f>
        <v>KLG</v>
      </c>
      <c r="J169" s="4" t="str">
        <f>TRIM(CONCATENATE(Table43[[#This Row],[Nama            KLP]]," ",Table43[[#This Row],[Nama            Sub KLP]]))</f>
        <v>SARDINES</v>
      </c>
      <c r="K169" s="4" t="str">
        <f>CONCATENATE(Table43[[#This Row],[kode  2 Digit                (hrf+No)]],Table43[[#This Row],[kode  2 Digit                (Nomor)]],Table43[[#This Row],[kode  1 Digit                (Nomor)]])</f>
        <v>A1100</v>
      </c>
      <c r="L169" s="4" t="str">
        <f>IF(AG169="",CONCATENATE(Q169,S169,U169,W169,Y169,AA169,AC169,AE169,Table43[[#This Row],[Tanda Kode Revisi]]),CONCATENATE(Q169,S169,U169,W169,Y169,AA169,AC169,AG169))</f>
        <v>A1100004042510</v>
      </c>
      <c r="M169" s="11">
        <f t="shared" si="6"/>
        <v>14</v>
      </c>
      <c r="N169" s="14" t="str">
        <f>IF(AF169&lt;&gt;"",TRIM(UPPER(CONCATENATE(P169," ",R169," ",T169," ",V169," ",X169," ",Z169," ","X"," ",Table43[[#This Row],[ISI/CTN]]," ",AF169," ",AB169," ",AD169," ",AH169))),TRIM(UPPER(CONCATENATE(P169," ",R169," ",T169," ",V169," ",X169," ",Z169," ","X"," ",Table43[[#This Row],[ISI/CTN]]," ",AB169," ",AD169," ",AH169))))</f>
        <v>ABC SARDINES EXTRA PEDAS DW 425 GR X 24 KLG</v>
      </c>
      <c r="O169" s="11">
        <f t="shared" si="7"/>
        <v>43</v>
      </c>
      <c r="P169" s="4" t="s">
        <v>28</v>
      </c>
      <c r="Q169" s="7" t="s">
        <v>85</v>
      </c>
      <c r="R169" s="4" t="s">
        <v>579</v>
      </c>
      <c r="S169" s="43">
        <v>10</v>
      </c>
      <c r="T169" s="44"/>
      <c r="U169" s="7" t="s">
        <v>1</v>
      </c>
      <c r="V169" s="44"/>
      <c r="W169" s="43" t="s">
        <v>1</v>
      </c>
      <c r="X169" s="4" t="s">
        <v>586</v>
      </c>
      <c r="Y169" s="45" t="s">
        <v>220</v>
      </c>
      <c r="Z169" s="4" t="s">
        <v>583</v>
      </c>
      <c r="AA169" s="45" t="s">
        <v>584</v>
      </c>
      <c r="AB169" s="4" t="s">
        <v>206</v>
      </c>
      <c r="AC169" s="7" t="s">
        <v>480</v>
      </c>
      <c r="AE169" s="7" t="s">
        <v>1</v>
      </c>
      <c r="AI169" s="7" t="s">
        <v>215</v>
      </c>
      <c r="AJ169" s="7">
        <v>1</v>
      </c>
      <c r="AL169" s="40">
        <f>Table43[[#This Row],[Harga Jual Pcs GT
(-PPN)]]-(Table43[[#This Row],[Harga Jual Pcs GT
(-PPN)]]*6%)</f>
        <v>20705.408199999998</v>
      </c>
      <c r="AM169" s="41">
        <f>Table43[[#This Row],[Harga Beli Pcs
(-PPN)]]*Table43[[#This Row],[ISI/CTN]]</f>
        <v>496929.79679999995</v>
      </c>
      <c r="AN169" s="41">
        <f>Table43[[#This Row],[Harga Beli Pcs
(-PPN)]]*1.11</f>
        <v>22983.003101999999</v>
      </c>
      <c r="AO169" s="41">
        <f>Table43[[#This Row],[Harga Beli Krt
(- PPN)]]*1.11</f>
        <v>551592.07444799994</v>
      </c>
      <c r="AP169" s="41">
        <v>22027.03</v>
      </c>
      <c r="AQ169" s="41">
        <f>Table43[[#This Row],[Harga Jual Pcs GT
(-PPN)]]*Table43[[#This Row],[ISI/CTN]]</f>
        <v>528648.72</v>
      </c>
      <c r="AR169" s="41">
        <f>Table43[[#This Row],[Harga Jual Pcs GT
(-PPN)]]*1.11</f>
        <v>24450.0033</v>
      </c>
      <c r="AS169" s="41">
        <f>Table43[[#This Row],[Harga Jual Krt GT
(- PPN)]]*1.11</f>
        <v>586800.07920000004</v>
      </c>
      <c r="AT169" s="41">
        <v>23128.38</v>
      </c>
      <c r="AU169" s="41">
        <f>(Table43[[#This Row],[Harga Jual Pcs MT
(-PPN)]]*Table43[[#This Row],[ISI/CTN]])</f>
        <v>555081.12</v>
      </c>
      <c r="AV169" s="41">
        <f>Table43[[#This Row],[Harga Jual Pcs MT
(-PPN)]]*1.11</f>
        <v>25672.501800000002</v>
      </c>
      <c r="AW169" s="41">
        <f>Table43[[#This Row],[Harga Jual Pcs MT
(+PPN)]]*Table43[[#This Row],[ISI/CTN]]</f>
        <v>616140.04320000007</v>
      </c>
      <c r="AX169" s="41"/>
      <c r="AY169" s="46">
        <v>45553</v>
      </c>
      <c r="AZ169" s="54">
        <v>45553</v>
      </c>
      <c r="BA169" s="7" t="str">
        <f ca="1">IF(TODAY()-Table43[[#This Row],[Efektif
Pembuatan]]&gt;60,"Lama","Baru")</f>
        <v>Lama</v>
      </c>
      <c r="BB169" s="7" t="str">
        <f ca="1">IF(TODAY()-Table43[[#This Row],[Efektif Naik Harga]]&lt;30,"Naik","Sama")</f>
        <v>Sama</v>
      </c>
      <c r="BC169" s="7" t="s">
        <v>235</v>
      </c>
      <c r="BD169" s="7" t="str">
        <f>IF(Table43[[#This Row],[Kode BARANG Win2]]&lt;&gt;"","IDR","")</f>
        <v>IDR</v>
      </c>
      <c r="BE169" s="7" t="str">
        <f>CONCATENATE(Table43[[#This Row],[kode  1 Digit
(Nomor)]],Table43[[#This Row],[kode  4 Digit                (Nomor)]])</f>
        <v>10425</v>
      </c>
      <c r="BF169" s="7" t="str">
        <f>Table43[[#This Row],[Nama            Gramasi atau Jumlah Pack per CTN]]</f>
        <v>425 GR</v>
      </c>
      <c r="BG169" s="7" t="s">
        <v>653</v>
      </c>
      <c r="BH169" s="51" t="s">
        <v>654</v>
      </c>
      <c r="BI169" s="4" t="str">
        <f>IF(Table43[[#This Row],[SATUAN Fix Win]]&lt;&gt;"","KRT")</f>
        <v>KRT</v>
      </c>
      <c r="BJ169" s="4" t="str">
        <f>IF(Table43[[#This Row],[SATUAN Fix Win]]&lt;&gt;"","GD01")</f>
        <v>GD01</v>
      </c>
      <c r="BK169" s="4">
        <f>IF(Table43[[#This Row],[SATUAN Fix Win]]&lt;&gt;"",11611)</f>
        <v>11611</v>
      </c>
      <c r="BL169" s="4">
        <f>IF(Table43[[#This Row],[SATUAN Fix Win]]&lt;&gt;"",11612)</f>
        <v>11612</v>
      </c>
      <c r="BM169" s="47" t="s">
        <v>655</v>
      </c>
      <c r="BN169" s="4">
        <f>IF(Table43[[#This Row],[SATUAN Fix Win]]&lt;&gt;"",1)</f>
        <v>1</v>
      </c>
      <c r="BO169" s="4" t="s">
        <v>656</v>
      </c>
      <c r="BP169" s="4">
        <f>IFERROR(VLOOKUP(Table43[[#This Row],[Kode Pcpl]],'[1]HEINZ ABC'!$A$4:$E$112,8,0),0)</f>
        <v>0</v>
      </c>
      <c r="BQ169" s="55">
        <f>Table43[[#This Row],[Harga Jual Pcs GT
(-PPN)]]-Table43[[#This Row],[HARGA NAIK GT]]</f>
        <v>22027.03</v>
      </c>
      <c r="BR169" s="4">
        <f>IF(Table43[[#This Row],[HARGA NAIK GT]]=0,Table43[[#This Row],[Harga Jual Pcs GT
(-PPN)]],Table43[[#This Row],[HARGA NAIK GT]])</f>
        <v>22027.03</v>
      </c>
      <c r="BS169">
        <f>IFERROR(VLOOKUP(Table43[[#This Row],[Kode Pcpl]],'[1]HEINZ ABC'!$A$4:$E$112,8,0),0)</f>
        <v>0</v>
      </c>
      <c r="BT169" s="58">
        <f>Table43[[#This Row],[Harga Jual Pcs GT
(-PPN)]]-BS169</f>
        <v>22027.03</v>
      </c>
      <c r="BU169">
        <f>IF(BS169=0,Table43[[#This Row],[Harga Jual Pcs MT
(-PPN)]])</f>
        <v>23128.38</v>
      </c>
      <c r="BV169">
        <f>IFERROR(VLOOKUP(Table43[[#This Row],[Kode Pcpl]],[2]Pricelist!$A$4:$K$112,11,0),0)</f>
        <v>0</v>
      </c>
      <c r="BW169">
        <f>IFERROR(VLOOKUP(Table43[[#This Row],[Kode BARANG Win2]],[3]!RECKITT211216[[KDBRG]:[HRG_JL_PCS-PPN]],11,0),0)</f>
        <v>0</v>
      </c>
      <c r="BX169">
        <f t="shared" si="8"/>
        <v>0</v>
      </c>
    </row>
    <row r="170" spans="1:76" s="112" customFormat="1" x14ac:dyDescent="0.25">
      <c r="A170" s="96" t="str">
        <f>CONCATENATE(Table43[[#This Row],[Kode BARANG Win2]],Table43[[#This Row],[No. Urut
Item Sama]])</f>
        <v>A11000040425102</v>
      </c>
      <c r="B170" s="97">
        <v>2</v>
      </c>
      <c r="C170" s="96"/>
      <c r="D170" s="98">
        <v>612151</v>
      </c>
      <c r="E170" s="27"/>
      <c r="F170" s="98" t="s">
        <v>2990</v>
      </c>
      <c r="G170" s="98">
        <v>24</v>
      </c>
      <c r="H170" s="99" t="s">
        <v>2959</v>
      </c>
      <c r="I170" s="98" t="str">
        <f>Table43[[#This Row],[Nama Jenis Kemasan]]</f>
        <v>KLG</v>
      </c>
      <c r="J170" s="96" t="str">
        <f>TRIM(CONCATENATE(Table43[[#This Row],[Nama            KLP]]," ",Table43[[#This Row],[Nama            Sub KLP]]))</f>
        <v>SARDINES</v>
      </c>
      <c r="K170" s="96" t="str">
        <f>CONCATENATE(Table43[[#This Row],[kode  2 Digit                (hrf+No)]],Table43[[#This Row],[kode  2 Digit                (Nomor)]],Table43[[#This Row],[kode  1 Digit                (Nomor)]])</f>
        <v>A1100</v>
      </c>
      <c r="L170" s="96" t="str">
        <f>IF(AG170="",CONCATENATE(Q170,S170,U170,W170,Y170,AA170,AC170,AE170,Table43[[#This Row],[Tanda Kode Revisi]]),CONCATENATE(Q170,S170,U170,W170,Y170,AA170,AC170,AG170))</f>
        <v>A1100004042510</v>
      </c>
      <c r="M170" s="100">
        <f>LEN(L170)</f>
        <v>14</v>
      </c>
      <c r="N170" s="101" t="str">
        <f>IF(AF170&lt;&gt;"",TRIM(UPPER(CONCATENATE(P170," ",R170," ",T170," ",V170," ",X170," ",Z170," ","X"," ",Table43[[#This Row],[ISI/CTN]]," ",AF170," ",AB170," ",AD170," ",AH170))),TRIM(UPPER(CONCATENATE(P170," ",R170," ",T170," ",V170," ",X170," ",Z170," ","X"," ",Table43[[#This Row],[ISI/CTN]]," ",AB170," ",AD170," ",AH170))))</f>
        <v>ABC SARDINES EXTRA PEDAS DW 425 GR X 24 KLG</v>
      </c>
      <c r="O170" s="100">
        <f>LEN(N170)</f>
        <v>43</v>
      </c>
      <c r="P170" s="96" t="s">
        <v>28</v>
      </c>
      <c r="Q170" s="97" t="s">
        <v>85</v>
      </c>
      <c r="R170" s="96" t="s">
        <v>579</v>
      </c>
      <c r="S170" s="102">
        <v>10</v>
      </c>
      <c r="T170" s="103"/>
      <c r="U170" s="97" t="s">
        <v>1</v>
      </c>
      <c r="V170" s="103"/>
      <c r="W170" s="102" t="s">
        <v>1</v>
      </c>
      <c r="X170" s="96" t="s">
        <v>586</v>
      </c>
      <c r="Y170" s="104" t="s">
        <v>220</v>
      </c>
      <c r="Z170" s="96" t="s">
        <v>583</v>
      </c>
      <c r="AA170" s="104" t="s">
        <v>584</v>
      </c>
      <c r="AB170" s="96" t="s">
        <v>206</v>
      </c>
      <c r="AC170" s="97" t="s">
        <v>480</v>
      </c>
      <c r="AD170" s="96"/>
      <c r="AE170" s="97" t="s">
        <v>1</v>
      </c>
      <c r="AF170" s="97"/>
      <c r="AG170" s="97"/>
      <c r="AH170" s="97"/>
      <c r="AI170" s="97"/>
      <c r="AJ170" s="97"/>
      <c r="AK170" s="97"/>
      <c r="AL170" s="105">
        <f>Table43[[#This Row],[Harga Jual Pcs GT
(-PPN)]]-(Table43[[#This Row],[Harga Jual Pcs GT
(-PPN)]]*6%)</f>
        <v>20705.408199999998</v>
      </c>
      <c r="AM170" s="106">
        <f>Table43[[#This Row],[Harga Beli Pcs
(-PPN)]]*Table43[[#This Row],[ISI/CTN]]</f>
        <v>496929.79679999995</v>
      </c>
      <c r="AN170" s="106">
        <f>Table43[[#This Row],[Harga Beli Pcs
(-PPN)]]*1.11</f>
        <v>22983.003101999999</v>
      </c>
      <c r="AO170" s="106">
        <f>Table43[[#This Row],[Harga Beli Krt
(- PPN)]]*1.11</f>
        <v>551592.07444799994</v>
      </c>
      <c r="AP170" s="106">
        <v>22027.03</v>
      </c>
      <c r="AQ170" s="106">
        <f>Table43[[#This Row],[Harga Jual Pcs GT
(-PPN)]]*Table43[[#This Row],[ISI/CTN]]</f>
        <v>528648.72</v>
      </c>
      <c r="AR170" s="106">
        <f>Table43[[#This Row],[Harga Jual Pcs GT
(-PPN)]]*1.11</f>
        <v>24450.0033</v>
      </c>
      <c r="AS170" s="106">
        <f>Table43[[#This Row],[Harga Jual Krt GT
(- PPN)]]*1.11</f>
        <v>586800.07920000004</v>
      </c>
      <c r="AT170" s="106">
        <v>23128.38</v>
      </c>
      <c r="AU170" s="106">
        <f>(Table43[[#This Row],[Harga Jual Pcs MT
(-PPN)]]*Table43[[#This Row],[ISI/CTN]])</f>
        <v>555081.12</v>
      </c>
      <c r="AV170" s="106">
        <f>Table43[[#This Row],[Harga Jual Pcs MT
(-PPN)]]*1.11</f>
        <v>25672.501800000002</v>
      </c>
      <c r="AW170" s="106">
        <f>Table43[[#This Row],[Harga Jual Pcs MT
(+PPN)]]*Table43[[#This Row],[ISI/CTN]]</f>
        <v>616140.04320000007</v>
      </c>
      <c r="AX170" s="106"/>
      <c r="AY170" s="107">
        <v>46162</v>
      </c>
      <c r="AZ170" s="108"/>
      <c r="BA170" s="97" t="str">
        <f ca="1">IF(TODAY()-Table43[[#This Row],[Efektif
Pembuatan]]&gt;60,"Lama","Baru")</f>
        <v>Baru</v>
      </c>
      <c r="BB170" s="97" t="str">
        <f ca="1">IF(TODAY()-Table43[[#This Row],[Efektif Naik Harga]]&lt;30,"Naik","Sama")</f>
        <v>Sama</v>
      </c>
      <c r="BC170" s="97"/>
      <c r="BD170" s="97" t="str">
        <f>IF(Table43[[#This Row],[Kode BARANG Win2]]&lt;&gt;"","IDR","")</f>
        <v>IDR</v>
      </c>
      <c r="BE170" s="97" t="str">
        <f>CONCATENATE(Table43[[#This Row],[kode  1 Digit
(Nomor)]],Table43[[#This Row],[kode  4 Digit                (Nomor)]])</f>
        <v>0425</v>
      </c>
      <c r="BF170" s="97" t="str">
        <f>Table43[[#This Row],[Nama            Gramasi atau Jumlah Pack per CTN]]</f>
        <v>425 GR</v>
      </c>
      <c r="BG170" s="97"/>
      <c r="BH170" s="109"/>
      <c r="BI170" s="96" t="str">
        <f>IF(Table43[[#This Row],[SATUAN Fix Win]]&lt;&gt;"","KRT")</f>
        <v>KRT</v>
      </c>
      <c r="BJ170" s="96" t="str">
        <f>IF(Table43[[#This Row],[SATUAN Fix Win]]&lt;&gt;"","GD01")</f>
        <v>GD01</v>
      </c>
      <c r="BK170" s="96">
        <f>IF(Table43[[#This Row],[SATUAN Fix Win]]&lt;&gt;"",11611)</f>
        <v>11611</v>
      </c>
      <c r="BL170" s="96">
        <f>IF(Table43[[#This Row],[SATUAN Fix Win]]&lt;&gt;"",11612)</f>
        <v>11612</v>
      </c>
      <c r="BM170" s="110"/>
      <c r="BN170" s="96">
        <f>IF(Table43[[#This Row],[SATUAN Fix Win]]&lt;&gt;"",1)</f>
        <v>1</v>
      </c>
      <c r="BO170" s="96"/>
      <c r="BP170" s="96">
        <f>IFERROR(VLOOKUP(Table43[[#This Row],[Kode Pcpl]],'[1]HEINZ ABC'!$A$4:$E$112,8,0),0)</f>
        <v>0</v>
      </c>
      <c r="BQ170" s="111">
        <f>Table43[[#This Row],[Harga Jual Pcs GT
(-PPN)]]-Table43[[#This Row],[HARGA NAIK GT]]</f>
        <v>22027.03</v>
      </c>
      <c r="BR170" s="96">
        <f>IF(Table43[[#This Row],[HARGA NAIK GT]]=0,Table43[[#This Row],[Harga Jual Pcs GT
(-PPN)]],Table43[[#This Row],[HARGA NAIK GT]])</f>
        <v>22027.03</v>
      </c>
      <c r="BT170" s="113"/>
    </row>
    <row r="171" spans="1:76" x14ac:dyDescent="0.25">
      <c r="A171" s="4" t="str">
        <f>CONCATENATE(Table43[[#This Row],[Kode BARANG Win2]],Table43[[#This Row],[No. Urut
Item Sama]])</f>
        <v>A11000050155101</v>
      </c>
      <c r="B171" s="7">
        <v>1</v>
      </c>
      <c r="C171" s="4">
        <v>147</v>
      </c>
      <c r="D171" s="27">
        <v>612134</v>
      </c>
      <c r="E171" s="27" t="s">
        <v>360</v>
      </c>
      <c r="F171" s="27" t="s">
        <v>366</v>
      </c>
      <c r="G171" s="27">
        <v>60</v>
      </c>
      <c r="H171" s="42">
        <v>0</v>
      </c>
      <c r="I171" s="27" t="str">
        <f>Table43[[#This Row],[Nama Jenis Kemasan]]</f>
        <v>KLG</v>
      </c>
      <c r="J171" s="4" t="str">
        <f>TRIM(CONCATENATE(Table43[[#This Row],[Nama            KLP]]," ",Table43[[#This Row],[Nama            Sub KLP]]))</f>
        <v>SARDINES</v>
      </c>
      <c r="K171" s="4" t="str">
        <f>CONCATENATE(Table43[[#This Row],[kode  2 Digit                (hrf+No)]],Table43[[#This Row],[kode  2 Digit                (Nomor)]],Table43[[#This Row],[kode  1 Digit                (Nomor)]])</f>
        <v>A1100</v>
      </c>
      <c r="L171" s="4" t="str">
        <f>IF(AG171="",CONCATENATE(Q171,S171,U171,W171,Y171,AA171,AC171,AE171,Table43[[#This Row],[Tanda Kode Revisi]]),CONCATENATE(Q171,S171,U171,W171,Y171,AA171,AC171,AG171))</f>
        <v>A1100005015510</v>
      </c>
      <c r="M171" s="11">
        <f t="shared" si="6"/>
        <v>14</v>
      </c>
      <c r="N171" s="14" t="str">
        <f>IF(AF171&lt;&gt;"",TRIM(UPPER(CONCATENATE(P171," ",R171," ",T171," ",V171," ",X171," ",Z171," ","X"," ",Table43[[#This Row],[ISI/CTN]]," ",AF171," ",AB171," ",AD171," ",AH171))),TRIM(UPPER(CONCATENATE(P171," ",R171," ",T171," ",V171," ",X171," ",Z171," ","X"," ",Table43[[#This Row],[ISI/CTN]]," ",AB171," ",AD171," ",AH171))))</f>
        <v>ABC SARDINES SARUNDENG 155 GR X 60 KLG</v>
      </c>
      <c r="O171" s="11">
        <f t="shared" si="7"/>
        <v>38</v>
      </c>
      <c r="P171" s="4" t="s">
        <v>28</v>
      </c>
      <c r="Q171" s="7" t="s">
        <v>85</v>
      </c>
      <c r="R171" s="4" t="s">
        <v>579</v>
      </c>
      <c r="S171" s="43">
        <v>10</v>
      </c>
      <c r="T171" s="44"/>
      <c r="U171" s="7" t="s">
        <v>1</v>
      </c>
      <c r="V171" s="44"/>
      <c r="W171" s="43" t="s">
        <v>1</v>
      </c>
      <c r="X171" s="4" t="s">
        <v>587</v>
      </c>
      <c r="Y171" s="45" t="s">
        <v>223</v>
      </c>
      <c r="Z171" s="4" t="s">
        <v>581</v>
      </c>
      <c r="AA171" s="45" t="s">
        <v>582</v>
      </c>
      <c r="AB171" s="4" t="s">
        <v>206</v>
      </c>
      <c r="AC171" s="7" t="s">
        <v>480</v>
      </c>
      <c r="AE171" s="7" t="s">
        <v>1</v>
      </c>
      <c r="AI171" s="7" t="s">
        <v>215</v>
      </c>
      <c r="AJ171" s="7">
        <v>1</v>
      </c>
      <c r="AL171" s="40">
        <f>Table43[[#This Row],[Harga Jual Pcs GT
(-PPN)]]-(Table43[[#This Row],[Harga Jual Pcs GT
(-PPN)]]*6%)</f>
        <v>9145.9462000000003</v>
      </c>
      <c r="AM171" s="41">
        <f>Table43[[#This Row],[Harga Beli Pcs
(-PPN)]]*Table43[[#This Row],[ISI/CTN]]</f>
        <v>548756.772</v>
      </c>
      <c r="AN171" s="41">
        <f>Table43[[#This Row],[Harga Beli Pcs
(-PPN)]]*1.11</f>
        <v>10152.000282000001</v>
      </c>
      <c r="AO171" s="41">
        <f>Table43[[#This Row],[Harga Beli Krt
(- PPN)]]*1.11</f>
        <v>609120.01692000008</v>
      </c>
      <c r="AP171" s="41">
        <v>9729.73</v>
      </c>
      <c r="AQ171" s="41">
        <f>Table43[[#This Row],[Harga Jual Pcs GT
(-PPN)]]*Table43[[#This Row],[ISI/CTN]]</f>
        <v>583783.79999999993</v>
      </c>
      <c r="AR171" s="41">
        <f>Table43[[#This Row],[Harga Jual Pcs GT
(-PPN)]]*1.11</f>
        <v>10800.0003</v>
      </c>
      <c r="AS171" s="41">
        <f>Table43[[#This Row],[Harga Jual Krt GT
(- PPN)]]*1.11</f>
        <v>648000.01799999992</v>
      </c>
      <c r="AT171" s="41">
        <v>10216.219999999999</v>
      </c>
      <c r="AU171" s="41">
        <f>(Table43[[#This Row],[Harga Jual Pcs MT
(-PPN)]]*Table43[[#This Row],[ISI/CTN]])</f>
        <v>612973.19999999995</v>
      </c>
      <c r="AV171" s="41">
        <f>Table43[[#This Row],[Harga Jual Pcs MT
(-PPN)]]*1.11</f>
        <v>11340.004199999999</v>
      </c>
      <c r="AW171" s="41">
        <f>Table43[[#This Row],[Harga Jual Pcs MT
(+PPN)]]*Table43[[#This Row],[ISI/CTN]]</f>
        <v>680400.25199999998</v>
      </c>
      <c r="AX171" s="41"/>
      <c r="AY171" s="46">
        <v>45553</v>
      </c>
      <c r="AZ171" s="54">
        <v>45553</v>
      </c>
      <c r="BA171" s="7" t="str">
        <f ca="1">IF(TODAY()-Table43[[#This Row],[Efektif
Pembuatan]]&gt;60,"Lama","Baru")</f>
        <v>Lama</v>
      </c>
      <c r="BB171" s="7" t="str">
        <f ca="1">IF(TODAY()-Table43[[#This Row],[Efektif Naik Harga]]&lt;30,"Naik","Sama")</f>
        <v>Sama</v>
      </c>
      <c r="BC171" s="7" t="s">
        <v>235</v>
      </c>
      <c r="BD171" s="7" t="str">
        <f>IF(Table43[[#This Row],[Kode BARANG Win2]]&lt;&gt;"","IDR","")</f>
        <v>IDR</v>
      </c>
      <c r="BE171" s="7" t="str">
        <f>CONCATENATE(Table43[[#This Row],[kode  1 Digit
(Nomor)]],Table43[[#This Row],[kode  4 Digit                (Nomor)]])</f>
        <v>10155</v>
      </c>
      <c r="BF171" s="7" t="str">
        <f>Table43[[#This Row],[Nama            Gramasi atau Jumlah Pack per CTN]]</f>
        <v>155 GR</v>
      </c>
      <c r="BG171" s="7" t="s">
        <v>653</v>
      </c>
      <c r="BH171" s="51" t="s">
        <v>654</v>
      </c>
      <c r="BI171" s="4" t="str">
        <f>IF(Table43[[#This Row],[SATUAN Fix Win]]&lt;&gt;"","KRT")</f>
        <v>KRT</v>
      </c>
      <c r="BJ171" s="4" t="str">
        <f>IF(Table43[[#This Row],[SATUAN Fix Win]]&lt;&gt;"","GD01")</f>
        <v>GD01</v>
      </c>
      <c r="BK171" s="4">
        <f>IF(Table43[[#This Row],[SATUAN Fix Win]]&lt;&gt;"",11611)</f>
        <v>11611</v>
      </c>
      <c r="BL171" s="4">
        <f>IF(Table43[[#This Row],[SATUAN Fix Win]]&lt;&gt;"",11612)</f>
        <v>11612</v>
      </c>
      <c r="BM171" s="47" t="s">
        <v>655</v>
      </c>
      <c r="BN171" s="4">
        <f>IF(Table43[[#This Row],[SATUAN Fix Win]]&lt;&gt;"",1)</f>
        <v>1</v>
      </c>
      <c r="BO171" s="4" t="s">
        <v>656</v>
      </c>
      <c r="BP171" s="4">
        <f>IFERROR(VLOOKUP(Table43[[#This Row],[Kode Pcpl]],'[1]HEINZ ABC'!$A$4:$E$112,8,0),0)</f>
        <v>0</v>
      </c>
      <c r="BQ171" s="55">
        <f>Table43[[#This Row],[Harga Jual Pcs GT
(-PPN)]]-Table43[[#This Row],[HARGA NAIK GT]]</f>
        <v>9729.73</v>
      </c>
      <c r="BR171" s="4">
        <f>IF(Table43[[#This Row],[HARGA NAIK GT]]=0,Table43[[#This Row],[Harga Jual Pcs GT
(-PPN)]],Table43[[#This Row],[HARGA NAIK GT]])</f>
        <v>9729.73</v>
      </c>
      <c r="BS171">
        <f>IFERROR(VLOOKUP(Table43[[#This Row],[Kode Pcpl]],'[1]HEINZ ABC'!$A$4:$E$112,8,0),0)</f>
        <v>0</v>
      </c>
      <c r="BT171" s="58">
        <f>Table43[[#This Row],[Harga Jual Pcs GT
(-PPN)]]-BS171</f>
        <v>9729.73</v>
      </c>
      <c r="BU171">
        <f>IF(BS171=0,Table43[[#This Row],[Harga Jual Pcs MT
(-PPN)]])</f>
        <v>10216.219999999999</v>
      </c>
      <c r="BV171">
        <f>IFERROR(VLOOKUP(Table43[[#This Row],[Kode Pcpl]],[2]Pricelist!$A$4:$K$112,11,0),0)</f>
        <v>0</v>
      </c>
      <c r="BW171">
        <f>IFERROR(VLOOKUP(Table43[[#This Row],[Kode BARANG Win2]],[3]!RECKITT211216[[KDBRG]:[HRG_JL_PCS-PPN]],11,0),0)</f>
        <v>0</v>
      </c>
      <c r="BX171">
        <f t="shared" si="8"/>
        <v>0</v>
      </c>
    </row>
    <row r="172" spans="1:76" x14ac:dyDescent="0.25">
      <c r="A172" s="4" t="str">
        <f>CONCATENATE(Table43[[#This Row],[Kode BARANG Win2]],Table43[[#This Row],[No. Urut
Item Sama]])</f>
        <v>A11000050155111</v>
      </c>
      <c r="B172" s="7">
        <v>1</v>
      </c>
      <c r="C172" s="4">
        <v>148</v>
      </c>
      <c r="D172" s="27">
        <v>612958</v>
      </c>
      <c r="E172" s="27" t="s">
        <v>360</v>
      </c>
      <c r="F172" s="27" t="s">
        <v>367</v>
      </c>
      <c r="G172" s="27">
        <v>60</v>
      </c>
      <c r="H172" s="42">
        <v>0</v>
      </c>
      <c r="I172" s="27" t="str">
        <f>Table43[[#This Row],[Nama Jenis Kemasan]]</f>
        <v>KLG</v>
      </c>
      <c r="J172" s="4" t="str">
        <f>TRIM(CONCATENATE(Table43[[#This Row],[Nama            KLP]]," ",Table43[[#This Row],[Nama            Sub KLP]]))</f>
        <v>SARDINES</v>
      </c>
      <c r="K172" s="4" t="str">
        <f>CONCATENATE(Table43[[#This Row],[kode  2 Digit                (hrf+No)]],Table43[[#This Row],[kode  2 Digit                (Nomor)]],Table43[[#This Row],[kode  1 Digit                (Nomor)]])</f>
        <v>A1100</v>
      </c>
      <c r="L172" s="4" t="str">
        <f>IF(AG172="",CONCATENATE(Q172,S172,U172,W172,Y172,AA172,AC172,AE172,Table43[[#This Row],[Tanda Kode Revisi]]),CONCATENATE(Q172,S172,U172,W172,Y172,AA172,AC172,AG172))</f>
        <v>A1100005015511</v>
      </c>
      <c r="M172" s="11">
        <f t="shared" si="6"/>
        <v>14</v>
      </c>
      <c r="N172" s="14" t="str">
        <f>IF(AF172&lt;&gt;"",TRIM(UPPER(CONCATENATE(P172," ",R172," ",T172," ",V172," ",X172," ",Z172," ","X"," ",Table43[[#This Row],[ISI/CTN]]," ",AF172," ",AB172," ",AD172," ",AH172))),TRIM(UPPER(CONCATENATE(P172," ",R172," ",T172," ",V172," ",X172," ",Z172," ","X"," ",Table43[[#This Row],[ISI/CTN]]," ",AB172," ",AD172," ",AH172))))</f>
        <v>ABC SARDINES SARUNDENG 155 GR X 60 KLG BANDED</v>
      </c>
      <c r="O172" s="11">
        <f t="shared" si="7"/>
        <v>45</v>
      </c>
      <c r="P172" s="4" t="s">
        <v>28</v>
      </c>
      <c r="Q172" s="7" t="s">
        <v>85</v>
      </c>
      <c r="R172" s="4" t="s">
        <v>579</v>
      </c>
      <c r="S172" s="43">
        <v>10</v>
      </c>
      <c r="T172" s="44"/>
      <c r="U172" s="7" t="s">
        <v>1</v>
      </c>
      <c r="V172" s="44"/>
      <c r="W172" s="43" t="s">
        <v>1</v>
      </c>
      <c r="X172" s="4" t="s">
        <v>587</v>
      </c>
      <c r="Y172" s="45" t="s">
        <v>223</v>
      </c>
      <c r="Z172" s="4" t="s">
        <v>581</v>
      </c>
      <c r="AA172" s="45" t="s">
        <v>582</v>
      </c>
      <c r="AB172" s="4" t="s">
        <v>206</v>
      </c>
      <c r="AC172" s="7" t="s">
        <v>480</v>
      </c>
      <c r="AD172" s="4" t="s">
        <v>496</v>
      </c>
      <c r="AE172" s="7">
        <v>1</v>
      </c>
      <c r="AI172" s="7" t="s">
        <v>215</v>
      </c>
      <c r="AJ172" s="7">
        <v>1</v>
      </c>
      <c r="AL172" s="40">
        <f>Table43[[#This Row],[Harga Jual Pcs GT
(-PPN)]]-(Table43[[#This Row],[Harga Jual Pcs GT
(-PPN)]]*6%)</f>
        <v>9145.9462000000003</v>
      </c>
      <c r="AM172" s="41">
        <f>Table43[[#This Row],[Harga Beli Pcs
(-PPN)]]*Table43[[#This Row],[ISI/CTN]]</f>
        <v>548756.772</v>
      </c>
      <c r="AN172" s="41">
        <f>Table43[[#This Row],[Harga Beli Pcs
(-PPN)]]*1.11</f>
        <v>10152.000282000001</v>
      </c>
      <c r="AO172" s="41">
        <f>Table43[[#This Row],[Harga Beli Krt
(- PPN)]]*1.11</f>
        <v>609120.01692000008</v>
      </c>
      <c r="AP172" s="41">
        <v>9729.73</v>
      </c>
      <c r="AQ172" s="41">
        <f>Table43[[#This Row],[Harga Jual Pcs GT
(-PPN)]]*Table43[[#This Row],[ISI/CTN]]</f>
        <v>583783.79999999993</v>
      </c>
      <c r="AR172" s="41">
        <f>Table43[[#This Row],[Harga Jual Pcs GT
(-PPN)]]*1.11</f>
        <v>10800.0003</v>
      </c>
      <c r="AS172" s="41">
        <f>Table43[[#This Row],[Harga Jual Krt GT
(- PPN)]]*1.11</f>
        <v>648000.01799999992</v>
      </c>
      <c r="AT172" s="41">
        <v>10216.219999999999</v>
      </c>
      <c r="AU172" s="41">
        <f>(Table43[[#This Row],[Harga Jual Pcs MT
(-PPN)]]*Table43[[#This Row],[ISI/CTN]])</f>
        <v>612973.19999999995</v>
      </c>
      <c r="AV172" s="41">
        <f>Table43[[#This Row],[Harga Jual Pcs MT
(-PPN)]]*1.11</f>
        <v>11340.004199999999</v>
      </c>
      <c r="AW172" s="41">
        <f>Table43[[#This Row],[Harga Jual Pcs MT
(+PPN)]]*Table43[[#This Row],[ISI/CTN]]</f>
        <v>680400.25199999998</v>
      </c>
      <c r="AX172" s="41"/>
      <c r="AY172" s="46">
        <v>45553</v>
      </c>
      <c r="AZ172" s="54">
        <v>45553</v>
      </c>
      <c r="BA172" s="7" t="str">
        <f ca="1">IF(TODAY()-Table43[[#This Row],[Efektif
Pembuatan]]&gt;60,"Lama","Baru")</f>
        <v>Lama</v>
      </c>
      <c r="BB172" s="7" t="str">
        <f ca="1">IF(TODAY()-Table43[[#This Row],[Efektif Naik Harga]]&lt;30,"Naik","Sama")</f>
        <v>Sama</v>
      </c>
      <c r="BC172" s="7" t="s">
        <v>235</v>
      </c>
      <c r="BD172" s="7" t="str">
        <f>IF(Table43[[#This Row],[Kode BARANG Win2]]&lt;&gt;"","IDR","")</f>
        <v>IDR</v>
      </c>
      <c r="BE172" s="7" t="str">
        <f>CONCATENATE(Table43[[#This Row],[kode  1 Digit
(Nomor)]],Table43[[#This Row],[kode  4 Digit                (Nomor)]])</f>
        <v>10155</v>
      </c>
      <c r="BF172" s="7" t="str">
        <f>Table43[[#This Row],[Nama            Gramasi atau Jumlah Pack per CTN]]</f>
        <v>155 GR</v>
      </c>
      <c r="BG172" s="7" t="s">
        <v>653</v>
      </c>
      <c r="BH172" s="51" t="s">
        <v>654</v>
      </c>
      <c r="BI172" s="4" t="str">
        <f>IF(Table43[[#This Row],[SATUAN Fix Win]]&lt;&gt;"","KRT")</f>
        <v>KRT</v>
      </c>
      <c r="BJ172" s="4" t="str">
        <f>IF(Table43[[#This Row],[SATUAN Fix Win]]&lt;&gt;"","GD01")</f>
        <v>GD01</v>
      </c>
      <c r="BK172" s="4">
        <f>IF(Table43[[#This Row],[SATUAN Fix Win]]&lt;&gt;"",11611)</f>
        <v>11611</v>
      </c>
      <c r="BL172" s="4">
        <f>IF(Table43[[#This Row],[SATUAN Fix Win]]&lt;&gt;"",11612)</f>
        <v>11612</v>
      </c>
      <c r="BM172" s="47" t="s">
        <v>655</v>
      </c>
      <c r="BN172" s="4">
        <f>IF(Table43[[#This Row],[SATUAN Fix Win]]&lt;&gt;"",1)</f>
        <v>1</v>
      </c>
      <c r="BO172" s="4" t="s">
        <v>656</v>
      </c>
      <c r="BP172" s="4">
        <f>IFERROR(VLOOKUP(Table43[[#This Row],[Kode Pcpl]],'[1]HEINZ ABC'!$A$4:$E$112,8,0),0)</f>
        <v>0</v>
      </c>
      <c r="BQ172" s="55">
        <f>Table43[[#This Row],[Harga Jual Pcs GT
(-PPN)]]-Table43[[#This Row],[HARGA NAIK GT]]</f>
        <v>9729.73</v>
      </c>
      <c r="BR172" s="4">
        <f>IF(Table43[[#This Row],[HARGA NAIK GT]]=0,Table43[[#This Row],[Harga Jual Pcs GT
(-PPN)]],Table43[[#This Row],[HARGA NAIK GT]])</f>
        <v>9729.73</v>
      </c>
      <c r="BS172">
        <f>IFERROR(VLOOKUP(Table43[[#This Row],[Kode Pcpl]],'[1]HEINZ ABC'!$A$4:$E$112,8,0),0)</f>
        <v>0</v>
      </c>
      <c r="BT172" s="58">
        <f>Table43[[#This Row],[Harga Jual Pcs GT
(-PPN)]]-BS172</f>
        <v>9729.73</v>
      </c>
      <c r="BU172">
        <f>IF(BS172=0,Table43[[#This Row],[Harga Jual Pcs MT
(-PPN)]])</f>
        <v>10216.219999999999</v>
      </c>
      <c r="BV172">
        <f>IFERROR(VLOOKUP(Table43[[#This Row],[Kode Pcpl]],[2]Pricelist!$A$4:$K$112,11,0),0)</f>
        <v>0</v>
      </c>
      <c r="BW172">
        <f>IFERROR(VLOOKUP(Table43[[#This Row],[Kode BARANG Win2]],[3]!RECKITT211216[[KDBRG]:[HRG_JL_PCS-PPN]],11,0),0)</f>
        <v>0</v>
      </c>
      <c r="BX172">
        <f t="shared" si="8"/>
        <v>0</v>
      </c>
    </row>
    <row r="173" spans="1:76" x14ac:dyDescent="0.25">
      <c r="A173" s="4" t="str">
        <f>CONCATENATE(Table43[[#This Row],[Kode BARANG Win2]],Table43[[#This Row],[No. Urut
Item Sama]])</f>
        <v>A11000050400101</v>
      </c>
      <c r="B173" s="7">
        <v>1</v>
      </c>
      <c r="C173" s="4">
        <v>149</v>
      </c>
      <c r="D173" s="27">
        <v>612091</v>
      </c>
      <c r="E173" s="27" t="s">
        <v>360</v>
      </c>
      <c r="F173" s="27" t="s">
        <v>368</v>
      </c>
      <c r="G173" s="27">
        <v>24</v>
      </c>
      <c r="H173" s="42">
        <v>0</v>
      </c>
      <c r="I173" s="27" t="str">
        <f>Table43[[#This Row],[Nama Jenis Kemasan]]</f>
        <v>KLG</v>
      </c>
      <c r="J173" s="4" t="str">
        <f>TRIM(CONCATENATE(Table43[[#This Row],[Nama            KLP]]," ",Table43[[#This Row],[Nama            Sub KLP]]))</f>
        <v>SARDINES</v>
      </c>
      <c r="K173" s="4" t="str">
        <f>CONCATENATE(Table43[[#This Row],[kode  2 Digit                (hrf+No)]],Table43[[#This Row],[kode  2 Digit                (Nomor)]],Table43[[#This Row],[kode  1 Digit                (Nomor)]])</f>
        <v>A1100</v>
      </c>
      <c r="L173" s="4" t="str">
        <f>IF(AG173="",CONCATENATE(Q173,S173,U173,W173,Y173,AA173,AC173,AE173,Table43[[#This Row],[Tanda Kode Revisi]]),CONCATENATE(Q173,S173,U173,W173,Y173,AA173,AC173,AG173))</f>
        <v>A1100005040010</v>
      </c>
      <c r="M173" s="11">
        <f t="shared" si="6"/>
        <v>14</v>
      </c>
      <c r="N173" s="14" t="str">
        <f>IF(AF173&lt;&gt;"",TRIM(UPPER(CONCATENATE(P173," ",R173," ",T173," ",V173," ",X173," ",Z173," ","X"," ",Table43[[#This Row],[ISI/CTN]]," ",AF173," ",AB173," ",AD173," ",AH173))),TRIM(UPPER(CONCATENATE(P173," ",R173," ",T173," ",V173," ",X173," ",Z173," ","X"," ",Table43[[#This Row],[ISI/CTN]]," ",AB173," ",AD173," ",AH173))))</f>
        <v>ABC SARDINES SARUNDENG 400 GR X 24 KLG</v>
      </c>
      <c r="O173" s="11">
        <f t="shared" si="7"/>
        <v>38</v>
      </c>
      <c r="P173" s="4" t="s">
        <v>28</v>
      </c>
      <c r="Q173" s="7" t="s">
        <v>85</v>
      </c>
      <c r="R173" s="4" t="s">
        <v>579</v>
      </c>
      <c r="S173" s="43">
        <v>10</v>
      </c>
      <c r="T173" s="44"/>
      <c r="U173" s="7" t="s">
        <v>1</v>
      </c>
      <c r="V173" s="44"/>
      <c r="W173" s="43" t="s">
        <v>1</v>
      </c>
      <c r="X173" s="4" t="s">
        <v>587</v>
      </c>
      <c r="Y173" s="45" t="s">
        <v>223</v>
      </c>
      <c r="Z173" s="4" t="s">
        <v>588</v>
      </c>
      <c r="AA173" s="45" t="s">
        <v>208</v>
      </c>
      <c r="AB173" s="4" t="s">
        <v>206</v>
      </c>
      <c r="AC173" s="7" t="s">
        <v>480</v>
      </c>
      <c r="AE173" s="7" t="s">
        <v>1</v>
      </c>
      <c r="AI173" s="7" t="s">
        <v>215</v>
      </c>
      <c r="AJ173" s="7">
        <v>1</v>
      </c>
      <c r="AL173" s="40">
        <f>Table43[[#This Row],[Harga Jual Pcs GT
(-PPN)]]-(Table43[[#This Row],[Harga Jual Pcs GT
(-PPN)]]*6%)</f>
        <v>20705.408199999998</v>
      </c>
      <c r="AM173" s="41">
        <f>Table43[[#This Row],[Harga Beli Pcs
(-PPN)]]*Table43[[#This Row],[ISI/CTN]]</f>
        <v>496929.79679999995</v>
      </c>
      <c r="AN173" s="41">
        <f>Table43[[#This Row],[Harga Beli Pcs
(-PPN)]]*1.11</f>
        <v>22983.003101999999</v>
      </c>
      <c r="AO173" s="41">
        <f>Table43[[#This Row],[Harga Beli Krt
(- PPN)]]*1.11</f>
        <v>551592.07444799994</v>
      </c>
      <c r="AP173" s="41">
        <v>22027.03</v>
      </c>
      <c r="AQ173" s="41">
        <f>Table43[[#This Row],[Harga Jual Pcs GT
(-PPN)]]*Table43[[#This Row],[ISI/CTN]]</f>
        <v>528648.72</v>
      </c>
      <c r="AR173" s="41">
        <f>Table43[[#This Row],[Harga Jual Pcs GT
(-PPN)]]*1.11</f>
        <v>24450.0033</v>
      </c>
      <c r="AS173" s="41">
        <f>Table43[[#This Row],[Harga Jual Krt GT
(- PPN)]]*1.11</f>
        <v>586800.07920000004</v>
      </c>
      <c r="AT173" s="41">
        <v>23128.38</v>
      </c>
      <c r="AU173" s="41">
        <f>(Table43[[#This Row],[Harga Jual Pcs MT
(-PPN)]]*Table43[[#This Row],[ISI/CTN]])</f>
        <v>555081.12</v>
      </c>
      <c r="AV173" s="41">
        <f>Table43[[#This Row],[Harga Jual Pcs MT
(-PPN)]]*1.11</f>
        <v>25672.501800000002</v>
      </c>
      <c r="AW173" s="41">
        <f>Table43[[#This Row],[Harga Jual Pcs MT
(+PPN)]]*Table43[[#This Row],[ISI/CTN]]</f>
        <v>616140.04320000007</v>
      </c>
      <c r="AX173" s="41"/>
      <c r="AY173" s="46">
        <v>45553</v>
      </c>
      <c r="AZ173" s="54">
        <v>45553</v>
      </c>
      <c r="BA173" s="7" t="str">
        <f ca="1">IF(TODAY()-Table43[[#This Row],[Efektif
Pembuatan]]&gt;60,"Lama","Baru")</f>
        <v>Lama</v>
      </c>
      <c r="BB173" s="7" t="str">
        <f ca="1">IF(TODAY()-Table43[[#This Row],[Efektif Naik Harga]]&lt;30,"Naik","Sama")</f>
        <v>Sama</v>
      </c>
      <c r="BC173" s="7" t="s">
        <v>235</v>
      </c>
      <c r="BD173" s="7" t="str">
        <f>IF(Table43[[#This Row],[Kode BARANG Win2]]&lt;&gt;"","IDR","")</f>
        <v>IDR</v>
      </c>
      <c r="BE173" s="7" t="str">
        <f>CONCATENATE(Table43[[#This Row],[kode  1 Digit
(Nomor)]],Table43[[#This Row],[kode  4 Digit                (Nomor)]])</f>
        <v>10400</v>
      </c>
      <c r="BF173" s="7" t="str">
        <f>Table43[[#This Row],[Nama            Gramasi atau Jumlah Pack per CTN]]</f>
        <v>400 GR</v>
      </c>
      <c r="BG173" s="7" t="s">
        <v>653</v>
      </c>
      <c r="BH173" s="51" t="s">
        <v>654</v>
      </c>
      <c r="BI173" s="4" t="str">
        <f>IF(Table43[[#This Row],[SATUAN Fix Win]]&lt;&gt;"","KRT")</f>
        <v>KRT</v>
      </c>
      <c r="BJ173" s="4" t="str">
        <f>IF(Table43[[#This Row],[SATUAN Fix Win]]&lt;&gt;"","GD01")</f>
        <v>GD01</v>
      </c>
      <c r="BK173" s="4">
        <f>IF(Table43[[#This Row],[SATUAN Fix Win]]&lt;&gt;"",11611)</f>
        <v>11611</v>
      </c>
      <c r="BL173" s="4">
        <f>IF(Table43[[#This Row],[SATUAN Fix Win]]&lt;&gt;"",11612)</f>
        <v>11612</v>
      </c>
      <c r="BM173" s="47" t="s">
        <v>655</v>
      </c>
      <c r="BN173" s="4">
        <f>IF(Table43[[#This Row],[SATUAN Fix Win]]&lt;&gt;"",1)</f>
        <v>1</v>
      </c>
      <c r="BO173" s="4" t="s">
        <v>656</v>
      </c>
      <c r="BP173" s="4">
        <f>IFERROR(VLOOKUP(Table43[[#This Row],[Kode Pcpl]],'[1]HEINZ ABC'!$A$4:$E$112,8,0),0)</f>
        <v>0</v>
      </c>
      <c r="BQ173" s="55">
        <f>Table43[[#This Row],[Harga Jual Pcs GT
(-PPN)]]-Table43[[#This Row],[HARGA NAIK GT]]</f>
        <v>22027.03</v>
      </c>
      <c r="BR173" s="4">
        <f>IF(Table43[[#This Row],[HARGA NAIK GT]]=0,Table43[[#This Row],[Harga Jual Pcs GT
(-PPN)]],Table43[[#This Row],[HARGA NAIK GT]])</f>
        <v>22027.03</v>
      </c>
      <c r="BS173">
        <f>IFERROR(VLOOKUP(Table43[[#This Row],[Kode Pcpl]],'[1]HEINZ ABC'!$A$4:$E$112,8,0),0)</f>
        <v>0</v>
      </c>
      <c r="BT173" s="58">
        <f>Table43[[#This Row],[Harga Jual Pcs GT
(-PPN)]]-BS173</f>
        <v>22027.03</v>
      </c>
      <c r="BU173">
        <f>IF(BS173=0,Table43[[#This Row],[Harga Jual Pcs MT
(-PPN)]])</f>
        <v>23128.38</v>
      </c>
      <c r="BV173">
        <f>IFERROR(VLOOKUP(Table43[[#This Row],[Kode Pcpl]],[2]Pricelist!$A$4:$K$112,11,0),0)</f>
        <v>0</v>
      </c>
      <c r="BW173">
        <f>IFERROR(VLOOKUP(Table43[[#This Row],[Kode BARANG Win2]],[3]!RECKITT211216[[KDBRG]:[HRG_JL_PCS-PPN]],11,0),0)</f>
        <v>0</v>
      </c>
      <c r="BX173">
        <f t="shared" si="8"/>
        <v>0</v>
      </c>
    </row>
    <row r="174" spans="1:76" x14ac:dyDescent="0.25">
      <c r="A174" s="4" t="str">
        <f>CONCATENATE(Table43[[#This Row],[Kode BARANG Win2]],Table43[[#This Row],[No. Urut
Item Sama]])</f>
        <v>A11100000008101</v>
      </c>
      <c r="B174" s="7">
        <v>1</v>
      </c>
      <c r="C174" s="4">
        <v>150</v>
      </c>
      <c r="D174" s="27">
        <v>190034</v>
      </c>
      <c r="E174" s="27" t="s">
        <v>369</v>
      </c>
      <c r="F174" s="27" t="s">
        <v>370</v>
      </c>
      <c r="G174" s="27">
        <v>21</v>
      </c>
      <c r="H174" s="42" t="s">
        <v>2830</v>
      </c>
      <c r="I174" s="27" t="str">
        <f>Table43[[#This Row],[Nama Jenis Kemasan]]</f>
        <v>PCSX22</v>
      </c>
      <c r="J174" s="4" t="str">
        <f>TRIM(CONCATENATE(Table43[[#This Row],[Nama            KLP]]," ",Table43[[#This Row],[Nama            Sub KLP]]))</f>
        <v>TOMAT</v>
      </c>
      <c r="K174" s="4" t="str">
        <f>CONCATENATE(Table43[[#This Row],[kode  2 Digit                (hrf+No)]],Table43[[#This Row],[kode  2 Digit                (Nomor)]],Table43[[#This Row],[kode  1 Digit                (Nomor)]])</f>
        <v>A1110</v>
      </c>
      <c r="L174" s="4" t="str">
        <f>IF(AG174="",CONCATENATE(Q174,S174,U174,W174,Y174,AA174,AC174,AE174,Table43[[#This Row],[Tanda Kode Revisi]]),CONCATENATE(Q174,S174,U174,W174,Y174,AA174,AC174,AG174))</f>
        <v>A1110000000810</v>
      </c>
      <c r="M174" s="11">
        <f t="shared" si="6"/>
        <v>14</v>
      </c>
      <c r="N174" s="14" t="str">
        <f>IF(AF174&lt;&gt;"",TRIM(UPPER(CONCATENATE(P174," ",R174," ",T174," ",V174," ",X174," ",Z174," ","X"," ",Table43[[#This Row],[ISI/CTN]]," ",AF174," ",AB174," ",AD174," ",AH174))),TRIM(UPPER(CONCATENATE(P174," ",R174," ",T174," ",V174," ",X174," ",Z174," ","X"," ",Table43[[#This Row],[ISI/CTN]]," ",AB174," ",AD174," ",AH174))))</f>
        <v>ABC TOMAT 8 GR X 21 PACK PCSX22</v>
      </c>
      <c r="O174" s="11">
        <f t="shared" si="7"/>
        <v>31</v>
      </c>
      <c r="P174" s="4" t="s">
        <v>28</v>
      </c>
      <c r="Q174" s="7" t="s">
        <v>85</v>
      </c>
      <c r="R174" s="4" t="s">
        <v>580</v>
      </c>
      <c r="S174" s="43">
        <v>11</v>
      </c>
      <c r="T174" s="44"/>
      <c r="U174" s="7" t="s">
        <v>1</v>
      </c>
      <c r="V174" s="44"/>
      <c r="W174" s="43" t="s">
        <v>1</v>
      </c>
      <c r="Y174" s="45" t="s">
        <v>476</v>
      </c>
      <c r="Z174" s="4" t="s">
        <v>589</v>
      </c>
      <c r="AA174" s="45" t="s">
        <v>590</v>
      </c>
      <c r="AB174" s="4" t="s">
        <v>591</v>
      </c>
      <c r="AC174" s="7" t="s">
        <v>480</v>
      </c>
      <c r="AE174" s="7" t="s">
        <v>1</v>
      </c>
      <c r="AF174" s="7" t="s">
        <v>546</v>
      </c>
      <c r="AI174" s="7" t="s">
        <v>215</v>
      </c>
      <c r="AJ174" s="7">
        <v>1</v>
      </c>
      <c r="AL174" s="40">
        <f>Table43[[#This Row],[Harga Jual Pcs GT
(-PPN)]]-(Table43[[#This Row],[Harga Jual Pcs GT
(-PPN)]]*6%)</f>
        <v>5137.5657657657639</v>
      </c>
      <c r="AM174" s="41">
        <f>Table43[[#This Row],[Harga Beli Pcs
(-PPN)]]*Table43[[#This Row],[ISI/CTN]]</f>
        <v>107888.88108108104</v>
      </c>
      <c r="AN174" s="41">
        <f>Table43[[#This Row],[Harga Beli Pcs
(-PPN)]]*1.11</f>
        <v>5702.6979999999985</v>
      </c>
      <c r="AO174" s="41">
        <f>Table43[[#This Row],[Harga Beli Krt
(- PPN)]]*1.11</f>
        <v>119756.65799999997</v>
      </c>
      <c r="AP174" s="41">
        <v>5465.4954954954937</v>
      </c>
      <c r="AQ174" s="41">
        <f>Table43[[#This Row],[Harga Jual Pcs GT
(-PPN)]]*Table43[[#This Row],[ISI/CTN]]</f>
        <v>114775.40540540537</v>
      </c>
      <c r="AR174" s="41">
        <f>Table43[[#This Row],[Harga Jual Pcs GT
(-PPN)]]*1.11</f>
        <v>6066.6999999999989</v>
      </c>
      <c r="AS174" s="41">
        <f>Table43[[#This Row],[Harga Jual Krt GT
(- PPN)]]*1.11</f>
        <v>127400.69999999997</v>
      </c>
      <c r="AT174" s="41">
        <v>5902.7351351351335</v>
      </c>
      <c r="AU174" s="41">
        <f>(Table43[[#This Row],[Harga Jual Pcs MT
(-PPN)]]*Table43[[#This Row],[ISI/CTN]])</f>
        <v>123957.4378378378</v>
      </c>
      <c r="AV174" s="41">
        <f>Table43[[#This Row],[Harga Jual Pcs MT
(-PPN)]]*1.11</f>
        <v>6552.0359999999991</v>
      </c>
      <c r="AW174" s="41">
        <f>Table43[[#This Row],[Harga Jual Pcs MT
(+PPN)]]*Table43[[#This Row],[ISI/CTN]]</f>
        <v>137592.75599999999</v>
      </c>
      <c r="AX174" s="41"/>
      <c r="AY174" s="46">
        <v>45553</v>
      </c>
      <c r="AZ174" s="54">
        <v>45839</v>
      </c>
      <c r="BA174" s="7" t="str">
        <f ca="1">IF(TODAY()-Table43[[#This Row],[Efektif
Pembuatan]]&gt;60,"Lama","Baru")</f>
        <v>Lama</v>
      </c>
      <c r="BB174" s="7" t="str">
        <f ca="1">IF(TODAY()-Table43[[#This Row],[Efektif Naik Harga]]&lt;30,"Naik","Sama")</f>
        <v>Sama</v>
      </c>
      <c r="BC174" s="7" t="s">
        <v>235</v>
      </c>
      <c r="BD174" s="7" t="str">
        <f>IF(Table43[[#This Row],[Kode BARANG Win2]]&lt;&gt;"","IDR","")</f>
        <v>IDR</v>
      </c>
      <c r="BE174" s="7" t="str">
        <f>CONCATENATE(Table43[[#This Row],[kode  1 Digit
(Nomor)]],Table43[[#This Row],[kode  4 Digit                (Nomor)]])</f>
        <v>10008</v>
      </c>
      <c r="BF174" s="7" t="str">
        <f>Table43[[#This Row],[Nama            Gramasi atau Jumlah Pack per CTN]]</f>
        <v>8 GR</v>
      </c>
      <c r="BG174" s="7" t="s">
        <v>653</v>
      </c>
      <c r="BH174" s="51" t="s">
        <v>654</v>
      </c>
      <c r="BI174" s="4" t="str">
        <f>IF(Table43[[#This Row],[SATUAN Fix Win]]&lt;&gt;"","KRT")</f>
        <v>KRT</v>
      </c>
      <c r="BJ174" s="4" t="str">
        <f>IF(Table43[[#This Row],[SATUAN Fix Win]]&lt;&gt;"","GD01")</f>
        <v>GD01</v>
      </c>
      <c r="BK174" s="4">
        <f>IF(Table43[[#This Row],[SATUAN Fix Win]]&lt;&gt;"",11611)</f>
        <v>11611</v>
      </c>
      <c r="BL174" s="4">
        <f>IF(Table43[[#This Row],[SATUAN Fix Win]]&lt;&gt;"",11612)</f>
        <v>11612</v>
      </c>
      <c r="BM174" s="47" t="s">
        <v>655</v>
      </c>
      <c r="BN174" s="4">
        <f>IF(Table43[[#This Row],[SATUAN Fix Win]]&lt;&gt;"",1)</f>
        <v>1</v>
      </c>
      <c r="BO174" s="4" t="s">
        <v>656</v>
      </c>
      <c r="BP174" s="4">
        <f>IFERROR(VLOOKUP(Table43[[#This Row],[Kode Pcpl]],'[1]HEINZ ABC'!$A$4:$E$112,8,0),0)</f>
        <v>0</v>
      </c>
      <c r="BQ174" s="55">
        <f>Table43[[#This Row],[Harga Jual Pcs GT
(-PPN)]]-Table43[[#This Row],[HARGA NAIK GT]]</f>
        <v>5465.4954954954937</v>
      </c>
      <c r="BR174" s="4">
        <f>IF(Table43[[#This Row],[HARGA NAIK GT]]=0,Table43[[#This Row],[Harga Jual Pcs GT
(-PPN)]],Table43[[#This Row],[HARGA NAIK GT]])</f>
        <v>5465.4954954954937</v>
      </c>
      <c r="BS174">
        <f>IFERROR(VLOOKUP(Table43[[#This Row],[Kode Pcpl]],'[1]HEINZ ABC'!$A$4:$E$112,8,0),0)</f>
        <v>0</v>
      </c>
      <c r="BT174" s="58">
        <f>Table43[[#This Row],[Harga Jual Pcs GT
(-PPN)]]-BS174</f>
        <v>5465.4954954954937</v>
      </c>
      <c r="BU174">
        <f>IF(BS174=0,Table43[[#This Row],[Harga Jual Pcs MT
(-PPN)]])</f>
        <v>5902.7351351351335</v>
      </c>
      <c r="BV174">
        <f>IFERROR(VLOOKUP(Table43[[#This Row],[Kode Pcpl]],[2]Pricelist!$A$4:$K$112,11,0),0)</f>
        <v>6552.0359999999991</v>
      </c>
      <c r="BW174">
        <f>IFERROR(VLOOKUP(Table43[[#This Row],[Kode BARANG Win2]],[3]!RECKITT211216[[KDBRG]:[HRG_JL_PCS-PPN]],11,0),0)</f>
        <v>0</v>
      </c>
      <c r="BX174">
        <f t="shared" si="8"/>
        <v>5902.7351351351335</v>
      </c>
    </row>
    <row r="175" spans="1:76" s="56" customFormat="1" x14ac:dyDescent="0.25">
      <c r="A175" s="4" t="str">
        <f>CONCATENATE(Table43[[#This Row],[Kode BARANG Win2]],Table43[[#This Row],[No. Urut
Item Sama]])</f>
        <v>A11100000008102</v>
      </c>
      <c r="B175" s="7">
        <v>2</v>
      </c>
      <c r="C175" s="4">
        <v>151</v>
      </c>
      <c r="D175" s="27">
        <v>190050</v>
      </c>
      <c r="E175" s="27" t="s">
        <v>369</v>
      </c>
      <c r="F175" s="27" t="s">
        <v>371</v>
      </c>
      <c r="G175" s="27">
        <v>21</v>
      </c>
      <c r="H175" s="42" t="s">
        <v>2831</v>
      </c>
      <c r="I175" s="27" t="str">
        <f>Table43[[#This Row],[Nama Jenis Kemasan]]</f>
        <v>PCSX22</v>
      </c>
      <c r="J175" s="4" t="str">
        <f>TRIM(CONCATENATE(Table43[[#This Row],[Nama            KLP]]," ",Table43[[#This Row],[Nama            Sub KLP]]))</f>
        <v>TOMAT</v>
      </c>
      <c r="K175" s="4" t="str">
        <f>CONCATENATE(Table43[[#This Row],[kode  2 Digit                (hrf+No)]],Table43[[#This Row],[kode  2 Digit                (Nomor)]],Table43[[#This Row],[kode  1 Digit                (Nomor)]])</f>
        <v>A1110</v>
      </c>
      <c r="L175" s="4" t="str">
        <f>IF(AG175="",CONCATENATE(Q175,S175,U175,W175,Y175,AA175,AC175,AE175,Table43[[#This Row],[Tanda Kode Revisi]]),CONCATENATE(Q175,S175,U175,W175,Y175,AA175,AC175,AG175))</f>
        <v>A1110000000810</v>
      </c>
      <c r="M175" s="11">
        <f t="shared" si="6"/>
        <v>14</v>
      </c>
      <c r="N175" s="14" t="str">
        <f>IF(AF175&lt;&gt;"",TRIM(UPPER(CONCATENATE(P175," ",R175," ",T175," ",V175," ",X175," ",Z175," ","X"," ",Table43[[#This Row],[ISI/CTN]]," ",AF175," ",AB175," ",AD175," ",AH175))),TRIM(UPPER(CONCATENATE(P175," ",R175," ",T175," ",V175," ",X175," ",Z175," ","X"," ",Table43[[#This Row],[ISI/CTN]]," ",AB175," ",AD175," ",AH175))))</f>
        <v>ABC TOMAT 8 GR X 21 PACK PCSX22</v>
      </c>
      <c r="O175" s="11">
        <f t="shared" si="7"/>
        <v>31</v>
      </c>
      <c r="P175" s="4" t="s">
        <v>28</v>
      </c>
      <c r="Q175" s="7" t="s">
        <v>85</v>
      </c>
      <c r="R175" s="4" t="s">
        <v>580</v>
      </c>
      <c r="S175" s="43">
        <v>11</v>
      </c>
      <c r="T175" s="44"/>
      <c r="U175" s="7" t="s">
        <v>1</v>
      </c>
      <c r="V175" s="44"/>
      <c r="W175" s="43" t="s">
        <v>1</v>
      </c>
      <c r="X175" s="4"/>
      <c r="Y175" s="45" t="s">
        <v>476</v>
      </c>
      <c r="Z175" s="4" t="s">
        <v>589</v>
      </c>
      <c r="AA175" s="45" t="s">
        <v>590</v>
      </c>
      <c r="AB175" s="4" t="s">
        <v>591</v>
      </c>
      <c r="AC175" s="7" t="s">
        <v>480</v>
      </c>
      <c r="AD175" s="4"/>
      <c r="AE175" s="7" t="s">
        <v>1</v>
      </c>
      <c r="AF175" s="7" t="s">
        <v>546</v>
      </c>
      <c r="AG175" s="7"/>
      <c r="AH175" s="7"/>
      <c r="AI175" s="7" t="s">
        <v>215</v>
      </c>
      <c r="AJ175" s="7">
        <v>1</v>
      </c>
      <c r="AK175" s="7"/>
      <c r="AL175" s="40">
        <f>Table43[[#This Row],[Harga Jual Pcs GT
(-PPN)]]-(Table43[[#This Row],[Harga Jual Pcs GT
(-PPN)]]*6%)</f>
        <v>5137.5657657657639</v>
      </c>
      <c r="AM175" s="41">
        <f>Table43[[#This Row],[Harga Beli Pcs
(-PPN)]]*Table43[[#This Row],[ISI/CTN]]</f>
        <v>107888.88108108104</v>
      </c>
      <c r="AN175" s="41">
        <f>Table43[[#This Row],[Harga Beli Pcs
(-PPN)]]*1.11</f>
        <v>5702.6979999999985</v>
      </c>
      <c r="AO175" s="41">
        <f>Table43[[#This Row],[Harga Beli Krt
(- PPN)]]*1.11</f>
        <v>119756.65799999997</v>
      </c>
      <c r="AP175" s="41">
        <v>5465.4954954954937</v>
      </c>
      <c r="AQ175" s="41">
        <f>Table43[[#This Row],[Harga Jual Pcs GT
(-PPN)]]*Table43[[#This Row],[ISI/CTN]]</f>
        <v>114775.40540540537</v>
      </c>
      <c r="AR175" s="41">
        <f>Table43[[#This Row],[Harga Jual Pcs GT
(-PPN)]]*1.11</f>
        <v>6066.6999999999989</v>
      </c>
      <c r="AS175" s="41">
        <f>Table43[[#This Row],[Harga Jual Krt GT
(- PPN)]]*1.11</f>
        <v>127400.69999999997</v>
      </c>
      <c r="AT175" s="41">
        <v>5902.7351351351335</v>
      </c>
      <c r="AU175" s="41">
        <f>(Table43[[#This Row],[Harga Jual Pcs MT
(-PPN)]]*Table43[[#This Row],[ISI/CTN]])</f>
        <v>123957.4378378378</v>
      </c>
      <c r="AV175" s="41">
        <f>Table43[[#This Row],[Harga Jual Pcs MT
(-PPN)]]*1.11</f>
        <v>6552.0359999999991</v>
      </c>
      <c r="AW175" s="41">
        <f>Table43[[#This Row],[Harga Jual Pcs MT
(+PPN)]]*Table43[[#This Row],[ISI/CTN]]</f>
        <v>137592.75599999999</v>
      </c>
      <c r="AX175" s="41"/>
      <c r="AY175" s="46">
        <v>45553</v>
      </c>
      <c r="AZ175" s="54">
        <v>45839</v>
      </c>
      <c r="BA175" s="7" t="str">
        <f ca="1">IF(TODAY()-Table43[[#This Row],[Efektif
Pembuatan]]&gt;60,"Lama","Baru")</f>
        <v>Lama</v>
      </c>
      <c r="BB175" s="7" t="str">
        <f ca="1">IF(TODAY()-Table43[[#This Row],[Efektif Naik Harga]]&lt;30,"Naik","Sama")</f>
        <v>Sama</v>
      </c>
      <c r="BC175" s="7" t="s">
        <v>235</v>
      </c>
      <c r="BD175" s="7" t="str">
        <f>IF(Table43[[#This Row],[Kode BARANG Win2]]&lt;&gt;"","IDR","")</f>
        <v>IDR</v>
      </c>
      <c r="BE175" s="7" t="str">
        <f>CONCATENATE(Table43[[#This Row],[kode  1 Digit
(Nomor)]],Table43[[#This Row],[kode  4 Digit                (Nomor)]])</f>
        <v>10008</v>
      </c>
      <c r="BF175" s="7" t="str">
        <f>Table43[[#This Row],[Nama            Gramasi atau Jumlah Pack per CTN]]</f>
        <v>8 GR</v>
      </c>
      <c r="BG175" s="7" t="s">
        <v>653</v>
      </c>
      <c r="BH175" s="51" t="s">
        <v>654</v>
      </c>
      <c r="BI175" s="4" t="str">
        <f>IF(Table43[[#This Row],[SATUAN Fix Win]]&lt;&gt;"","KRT")</f>
        <v>KRT</v>
      </c>
      <c r="BJ175" s="4" t="str">
        <f>IF(Table43[[#This Row],[SATUAN Fix Win]]&lt;&gt;"","GD01")</f>
        <v>GD01</v>
      </c>
      <c r="BK175" s="4">
        <f>IF(Table43[[#This Row],[SATUAN Fix Win]]&lt;&gt;"",11611)</f>
        <v>11611</v>
      </c>
      <c r="BL175" s="4">
        <f>IF(Table43[[#This Row],[SATUAN Fix Win]]&lt;&gt;"",11612)</f>
        <v>11612</v>
      </c>
      <c r="BM175" s="47" t="s">
        <v>655</v>
      </c>
      <c r="BN175" s="4">
        <f>IF(Table43[[#This Row],[SATUAN Fix Win]]&lt;&gt;"",1)</f>
        <v>1</v>
      </c>
      <c r="BO175" s="4" t="s">
        <v>656</v>
      </c>
      <c r="BP175" s="4">
        <f>IFERROR(VLOOKUP(Table43[[#This Row],[Kode Pcpl]],'[1]HEINZ ABC'!$A$4:$E$112,8,0),0)</f>
        <v>0</v>
      </c>
      <c r="BQ175" s="55">
        <f>Table43[[#This Row],[Harga Jual Pcs GT
(-PPN)]]-Table43[[#This Row],[HARGA NAIK GT]]</f>
        <v>5465.4954954954937</v>
      </c>
      <c r="BR175" s="4">
        <f>IF(Table43[[#This Row],[HARGA NAIK GT]]=0,Table43[[#This Row],[Harga Jual Pcs GT
(-PPN)]],Table43[[#This Row],[HARGA NAIK GT]])</f>
        <v>5465.4954954954937</v>
      </c>
      <c r="BS175">
        <f>IFERROR(VLOOKUP(Table43[[#This Row],[Kode Pcpl]],'[1]HEINZ ABC'!$A$4:$E$112,8,0),0)</f>
        <v>0</v>
      </c>
      <c r="BT175" s="58">
        <f>Table43[[#This Row],[Harga Jual Pcs GT
(-PPN)]]-BS175</f>
        <v>5465.4954954954937</v>
      </c>
      <c r="BU175">
        <f>IF(BS175=0,Table43[[#This Row],[Harga Jual Pcs MT
(-PPN)]])</f>
        <v>5902.7351351351335</v>
      </c>
      <c r="BV175">
        <f>IFERROR(VLOOKUP(Table43[[#This Row],[Kode Pcpl]],[2]Pricelist!$A$4:$K$112,11,0),0)</f>
        <v>6552.0359999999991</v>
      </c>
      <c r="BW175">
        <f>IFERROR(VLOOKUP(Table43[[#This Row],[Kode BARANG Win2]],[3]!RECKITT211216[[KDBRG]:[HRG_JL_PCS-PPN]],11,0),0)</f>
        <v>0</v>
      </c>
      <c r="BX175">
        <f t="shared" si="8"/>
        <v>5902.7351351351335</v>
      </c>
    </row>
    <row r="176" spans="1:76" x14ac:dyDescent="0.25">
      <c r="A176" s="60" t="str">
        <f>CONCATENATE(Table43[[#This Row],[Kode BARANG Win2]],Table43[[#This Row],[No. Urut
Item Sama]])</f>
        <v>A11100000008103</v>
      </c>
      <c r="B176" s="61">
        <v>3</v>
      </c>
      <c r="C176" s="4">
        <v>152</v>
      </c>
      <c r="D176" s="62">
        <v>190065</v>
      </c>
      <c r="E176" s="62" t="s">
        <v>369</v>
      </c>
      <c r="F176" s="62" t="s">
        <v>1028</v>
      </c>
      <c r="G176" s="62">
        <v>21</v>
      </c>
      <c r="H176" s="63" t="s">
        <v>2828</v>
      </c>
      <c r="I176" s="62" t="str">
        <f>Table43[[#This Row],[Nama Jenis Kemasan]]</f>
        <v>PCSX22</v>
      </c>
      <c r="J176" s="60" t="str">
        <f>TRIM(CONCATENATE(Table43[[#This Row],[Nama            KLP]]," ",Table43[[#This Row],[Nama            Sub KLP]]))</f>
        <v>TOMAT</v>
      </c>
      <c r="K176" s="60" t="str">
        <f>CONCATENATE(Table43[[#This Row],[kode  2 Digit                (hrf+No)]],Table43[[#This Row],[kode  2 Digit                (Nomor)]],Table43[[#This Row],[kode  1 Digit                (Nomor)]])</f>
        <v>A1110</v>
      </c>
      <c r="L176" s="60" t="str">
        <f>IF(AG176="",CONCATENATE(Q176,S176,U176,W176,Y176,AA176,AC176,AE176,Table43[[#This Row],[Tanda Kode Revisi]]),CONCATENATE(Q176,S176,U176,W176,Y176,AA176,AC176,AG176))</f>
        <v>A1110000000810</v>
      </c>
      <c r="M176" s="64">
        <f t="shared" si="6"/>
        <v>14</v>
      </c>
      <c r="N176" s="65" t="str">
        <f>IF(AF176&lt;&gt;"",TRIM(UPPER(CONCATENATE(P176," ",R176," ",T176," ",V176," ",X176," ",Z176," ","X"," ",Table43[[#This Row],[ISI/CTN]]," ",AF176," ",AB176," ",AD176," ",AH176))),TRIM(UPPER(CONCATENATE(P176," ",R176," ",T176," ",V176," ",X176," ",Z176," ","X"," ",Table43[[#This Row],[ISI/CTN]]," ",AB176," ",AD176," ",AH176))))</f>
        <v>ABC TOMAT 8 GR X 21 PACK PCSX22</v>
      </c>
      <c r="O176" s="64">
        <f t="shared" si="7"/>
        <v>31</v>
      </c>
      <c r="P176" s="60" t="s">
        <v>28</v>
      </c>
      <c r="Q176" s="61" t="s">
        <v>85</v>
      </c>
      <c r="R176" s="60" t="s">
        <v>580</v>
      </c>
      <c r="S176" s="66">
        <v>11</v>
      </c>
      <c r="T176" s="67"/>
      <c r="U176" s="61" t="s">
        <v>1</v>
      </c>
      <c r="V176" s="67"/>
      <c r="W176" s="66" t="s">
        <v>1</v>
      </c>
      <c r="X176" s="60"/>
      <c r="Y176" s="68" t="s">
        <v>476</v>
      </c>
      <c r="Z176" s="60" t="s">
        <v>589</v>
      </c>
      <c r="AA176" s="68" t="s">
        <v>590</v>
      </c>
      <c r="AB176" s="60" t="s">
        <v>591</v>
      </c>
      <c r="AC176" s="61" t="s">
        <v>480</v>
      </c>
      <c r="AD176" s="60"/>
      <c r="AE176" s="61" t="s">
        <v>1</v>
      </c>
      <c r="AF176" s="61" t="s">
        <v>546</v>
      </c>
      <c r="AG176" s="61"/>
      <c r="AH176" s="61"/>
      <c r="AI176" s="61" t="s">
        <v>215</v>
      </c>
      <c r="AJ176" s="61">
        <v>1</v>
      </c>
      <c r="AK176" s="61"/>
      <c r="AL176" s="69">
        <f>Table43[[#This Row],[Harga Jual Pcs GT
(-PPN)]]-(Table43[[#This Row],[Harga Jual Pcs GT
(-PPN)]]*6%)</f>
        <v>5137.5657657657639</v>
      </c>
      <c r="AM176" s="70">
        <f>Table43[[#This Row],[Harga Beli Pcs
(-PPN)]]*Table43[[#This Row],[ISI/CTN]]</f>
        <v>107888.88108108104</v>
      </c>
      <c r="AN176" s="70">
        <f>Table43[[#This Row],[Harga Beli Pcs
(-PPN)]]*1.11</f>
        <v>5702.6979999999985</v>
      </c>
      <c r="AO176" s="70">
        <f>Table43[[#This Row],[Harga Beli Krt
(- PPN)]]*1.11</f>
        <v>119756.65799999997</v>
      </c>
      <c r="AP176" s="70">
        <v>5465.4954954954937</v>
      </c>
      <c r="AQ176" s="70">
        <f>Table43[[#This Row],[Harga Jual Pcs GT
(-PPN)]]*Table43[[#This Row],[ISI/CTN]]</f>
        <v>114775.40540540537</v>
      </c>
      <c r="AR176" s="70">
        <f>Table43[[#This Row],[Harga Jual Pcs GT
(-PPN)]]*1.11</f>
        <v>6066.6999999999989</v>
      </c>
      <c r="AS176" s="70">
        <f>Table43[[#This Row],[Harga Jual Krt GT
(- PPN)]]*1.11</f>
        <v>127400.69999999997</v>
      </c>
      <c r="AT176" s="70">
        <v>5902.7351351351335</v>
      </c>
      <c r="AU176" s="70">
        <f>(Table43[[#This Row],[Harga Jual Pcs MT
(-PPN)]]*Table43[[#This Row],[ISI/CTN]])</f>
        <v>123957.4378378378</v>
      </c>
      <c r="AV176" s="70">
        <f>Table43[[#This Row],[Harga Jual Pcs MT
(-PPN)]]*1.11</f>
        <v>6552.0359999999991</v>
      </c>
      <c r="AW176" s="70">
        <f>Table43[[#This Row],[Harga Jual Pcs MT
(+PPN)]]*Table43[[#This Row],[ISI/CTN]]</f>
        <v>137592.75599999999</v>
      </c>
      <c r="AX176" s="70"/>
      <c r="AY176" s="71">
        <v>45475</v>
      </c>
      <c r="AZ176" s="72">
        <v>45839</v>
      </c>
      <c r="BA176" s="61" t="str">
        <f ca="1">IF(TODAY()-Table43[[#This Row],[Efektif
Pembuatan]]&gt;60,"Lama","Baru")</f>
        <v>Lama</v>
      </c>
      <c r="BB176" s="61" t="str">
        <f ca="1">IF(TODAY()-Table43[[#This Row],[Efektif Naik Harga]]&lt;30,"Naik","Sama")</f>
        <v>Sama</v>
      </c>
      <c r="BC176" s="61" t="s">
        <v>235</v>
      </c>
      <c r="BD176" s="61" t="str">
        <f>IF(Table43[[#This Row],[Kode BARANG Win2]]&lt;&gt;"","IDR","")</f>
        <v>IDR</v>
      </c>
      <c r="BE176" s="61" t="str">
        <f>CONCATENATE(Table43[[#This Row],[kode  1 Digit
(Nomor)]],Table43[[#This Row],[kode  4 Digit                (Nomor)]])</f>
        <v>10008</v>
      </c>
      <c r="BF176" s="61" t="str">
        <f>Table43[[#This Row],[Nama            Gramasi atau Jumlah Pack per CTN]]</f>
        <v>8 GR</v>
      </c>
      <c r="BG176" s="61" t="s">
        <v>653</v>
      </c>
      <c r="BH176" s="73" t="s">
        <v>654</v>
      </c>
      <c r="BI176" s="60" t="str">
        <f>IF(Table43[[#This Row],[SATUAN Fix Win]]&lt;&gt;"","KRT")</f>
        <v>KRT</v>
      </c>
      <c r="BJ176" s="60" t="str">
        <f>IF(Table43[[#This Row],[SATUAN Fix Win]]&lt;&gt;"","GD01")</f>
        <v>GD01</v>
      </c>
      <c r="BK176" s="60">
        <f>IF(Table43[[#This Row],[SATUAN Fix Win]]&lt;&gt;"",11611)</f>
        <v>11611</v>
      </c>
      <c r="BL176" s="60">
        <f>IF(Table43[[#This Row],[SATUAN Fix Win]]&lt;&gt;"",11612)</f>
        <v>11612</v>
      </c>
      <c r="BM176" s="74"/>
      <c r="BN176" s="60">
        <f>IF(Table43[[#This Row],[SATUAN Fix Win]]&lt;&gt;"",1)</f>
        <v>1</v>
      </c>
      <c r="BO176" s="4" t="s">
        <v>656</v>
      </c>
      <c r="BP176" s="60">
        <f>IFERROR(VLOOKUP(Table43[[#This Row],[Kode Pcpl]],'[1]HEINZ ABC'!$A$4:$E$112,8,0),0)</f>
        <v>0</v>
      </c>
      <c r="BQ176" s="75">
        <f>Table43[[#This Row],[Harga Jual Pcs GT
(-PPN)]]-Table43[[#This Row],[HARGA NAIK GT]]</f>
        <v>5465.4954954954937</v>
      </c>
      <c r="BR176" s="60">
        <f>IF(Table43[[#This Row],[HARGA NAIK GT]]=0,Table43[[#This Row],[Harga Jual Pcs GT
(-PPN)]],Table43[[#This Row],[HARGA NAIK GT]])</f>
        <v>5465.4954954954937</v>
      </c>
      <c r="BS176">
        <f>IFERROR(VLOOKUP(Table43[[#This Row],[Kode Pcpl]],'[1]HEINZ ABC'!$A$4:$E$112,8,0),0)</f>
        <v>0</v>
      </c>
      <c r="BT176" s="58">
        <f>Table43[[#This Row],[Harga Jual Pcs GT
(-PPN)]]-BS176</f>
        <v>5465.4954954954937</v>
      </c>
      <c r="BU176">
        <f>IF(BS176=0,Table43[[#This Row],[Harga Jual Pcs MT
(-PPN)]])</f>
        <v>5902.7351351351335</v>
      </c>
      <c r="BV176">
        <f>IFERROR(VLOOKUP(Table43[[#This Row],[Kode Pcpl]],[2]Pricelist!$A$4:$K$112,11,0),0)</f>
        <v>6552.0359999999991</v>
      </c>
      <c r="BW176">
        <f>IFERROR(VLOOKUP(Table43[[#This Row],[Kode BARANG Win2]],[3]!RECKITT211216[[KDBRG]:[HRG_JL_PCS-PPN]],11,0),0)</f>
        <v>0</v>
      </c>
      <c r="BX176">
        <f t="shared" si="8"/>
        <v>5902.7351351351335</v>
      </c>
    </row>
    <row r="177" spans="1:76" x14ac:dyDescent="0.25">
      <c r="A177" s="4" t="str">
        <f>CONCATENATE(Table43[[#This Row],[Kode BARANG Win2]],Table43[[#This Row],[No. Urut
Item Sama]])</f>
        <v>A11100000135101</v>
      </c>
      <c r="B177" s="7">
        <v>1</v>
      </c>
      <c r="C177" s="4">
        <v>153</v>
      </c>
      <c r="D177" s="27">
        <v>190040</v>
      </c>
      <c r="E177" s="27" t="s">
        <v>369</v>
      </c>
      <c r="F177" s="27" t="s">
        <v>1067</v>
      </c>
      <c r="G177" s="27">
        <v>48</v>
      </c>
      <c r="H177" s="42" t="s">
        <v>2852</v>
      </c>
      <c r="I177" s="27" t="str">
        <f>Table43[[#This Row],[Nama Jenis Kemasan]]</f>
        <v>BTL</v>
      </c>
      <c r="J177" s="4" t="str">
        <f>TRIM(CONCATENATE(Table43[[#This Row],[Nama            KLP]]," ",Table43[[#This Row],[Nama            Sub KLP]]))</f>
        <v>TOMAT</v>
      </c>
      <c r="K177" s="4" t="str">
        <f>CONCATENATE(Table43[[#This Row],[kode  2 Digit                (hrf+No)]],Table43[[#This Row],[kode  2 Digit                (Nomor)]],Table43[[#This Row],[kode  1 Digit                (Nomor)]])</f>
        <v>A1110</v>
      </c>
      <c r="L177" s="4" t="str">
        <f>IF(AG177="",CONCATENATE(Q177,S177,U177,W177,Y177,AA177,AC177,AE177,Table43[[#This Row],[Tanda Kode Revisi]]),CONCATENATE(Q177,S177,U177,W177,Y177,AA177,AC177,AG177))</f>
        <v>A1110000013510</v>
      </c>
      <c r="M177" s="11">
        <f t="shared" si="6"/>
        <v>14</v>
      </c>
      <c r="N177" s="14" t="str">
        <f>IF(AF177&lt;&gt;"",TRIM(UPPER(CONCATENATE(P177," ",R177," ",T177," ",V177," ",X177," ",Z177," ","X"," ",Table43[[#This Row],[ISI/CTN]]," ",AF177," ",AB177," ",AD177," ",AH177))),TRIM(UPPER(CONCATENATE(P177," ",R177," ",T177," ",V177," ",X177," ",Z177," ","X"," ",Table43[[#This Row],[ISI/CTN]]," ",AB177," ",AD177," ",AH177))))</f>
        <v>ABC TOMAT 135 ML X 48 BTL</v>
      </c>
      <c r="O177" s="11">
        <f t="shared" si="7"/>
        <v>25</v>
      </c>
      <c r="P177" s="4" t="s">
        <v>28</v>
      </c>
      <c r="Q177" s="7" t="s">
        <v>85</v>
      </c>
      <c r="R177" s="4" t="s">
        <v>580</v>
      </c>
      <c r="S177" s="43">
        <v>11</v>
      </c>
      <c r="T177" s="44"/>
      <c r="U177" s="7" t="s">
        <v>1</v>
      </c>
      <c r="V177" s="44"/>
      <c r="W177" s="43" t="s">
        <v>1</v>
      </c>
      <c r="Y177" s="45" t="s">
        <v>476</v>
      </c>
      <c r="Z177" s="4" t="s">
        <v>484</v>
      </c>
      <c r="AA177" s="45" t="s">
        <v>487</v>
      </c>
      <c r="AB177" s="4" t="s">
        <v>486</v>
      </c>
      <c r="AC177" s="7" t="s">
        <v>480</v>
      </c>
      <c r="AE177" s="7" t="s">
        <v>1</v>
      </c>
      <c r="AI177" s="7" t="s">
        <v>214</v>
      </c>
      <c r="AJ177" s="7">
        <v>2</v>
      </c>
      <c r="AL177" s="40">
        <f>Table43[[#This Row],[Harga Jual Pcs GT
(-PPN)]]-(Table43[[#This Row],[Harga Jual Pcs GT
(-PPN)]]*6%)</f>
        <v>6428.4990990990991</v>
      </c>
      <c r="AM177" s="41">
        <f>Table43[[#This Row],[Harga Beli Pcs
(-PPN)]]*Table43[[#This Row],[ISI/CTN]]</f>
        <v>308567.95675675676</v>
      </c>
      <c r="AN177" s="41">
        <f>Table43[[#This Row],[Harga Beli Pcs
(-PPN)]]*1.11</f>
        <v>7135.6340000000009</v>
      </c>
      <c r="AO177" s="41">
        <f>Table43[[#This Row],[Harga Beli Krt
(- PPN)]]*1.11</f>
        <v>342510.43200000003</v>
      </c>
      <c r="AP177" s="41">
        <v>6838.8288288288286</v>
      </c>
      <c r="AQ177" s="41">
        <f>Table43[[#This Row],[Harga Jual Pcs GT
(-PPN)]]*Table43[[#This Row],[ISI/CTN]]</f>
        <v>328263.78378378379</v>
      </c>
      <c r="AR177" s="41">
        <f>Table43[[#This Row],[Harga Jual Pcs GT
(-PPN)]]*1.11</f>
        <v>7591.1</v>
      </c>
      <c r="AS177" s="41">
        <f>Table43[[#This Row],[Harga Jual Krt GT
(- PPN)]]*1.11</f>
        <v>364372.80000000005</v>
      </c>
      <c r="AT177" s="41">
        <v>7385.9351351351352</v>
      </c>
      <c r="AU177" s="41">
        <f>(Table43[[#This Row],[Harga Jual Pcs MT
(-PPN)]]*Table43[[#This Row],[ISI/CTN]])</f>
        <v>354524.88648648647</v>
      </c>
      <c r="AV177" s="41">
        <f>Table43[[#This Row],[Harga Jual Pcs MT
(-PPN)]]*1.11</f>
        <v>8198.3880000000008</v>
      </c>
      <c r="AW177" s="41">
        <f>Table43[[#This Row],[Harga Jual Pcs MT
(+PPN)]]*Table43[[#This Row],[ISI/CTN]]</f>
        <v>393522.62400000007</v>
      </c>
      <c r="AX177" s="41"/>
      <c r="AY177" s="46">
        <v>45553</v>
      </c>
      <c r="AZ177" s="54">
        <v>45839</v>
      </c>
      <c r="BA177" s="7" t="str">
        <f ca="1">IF(TODAY()-Table43[[#This Row],[Efektif
Pembuatan]]&gt;60,"Lama","Baru")</f>
        <v>Lama</v>
      </c>
      <c r="BB177" s="7" t="str">
        <f ca="1">IF(TODAY()-Table43[[#This Row],[Efektif Naik Harga]]&lt;30,"Naik","Sama")</f>
        <v>Sama</v>
      </c>
      <c r="BC177" s="7" t="s">
        <v>235</v>
      </c>
      <c r="BD177" s="7" t="str">
        <f>IF(Table43[[#This Row],[Kode BARANG Win2]]&lt;&gt;"","IDR","")</f>
        <v>IDR</v>
      </c>
      <c r="BE177" s="7" t="str">
        <f>CONCATENATE(Table43[[#This Row],[kode  1 Digit
(Nomor)]],Table43[[#This Row],[kode  4 Digit                (Nomor)]])</f>
        <v>20135</v>
      </c>
      <c r="BF177" s="7" t="str">
        <f>Table43[[#This Row],[Nama            Gramasi atau Jumlah Pack per CTN]]</f>
        <v>135 ML</v>
      </c>
      <c r="BG177" s="7" t="s">
        <v>653</v>
      </c>
      <c r="BH177" s="51" t="s">
        <v>654</v>
      </c>
      <c r="BI177" s="4" t="str">
        <f>IF(Table43[[#This Row],[SATUAN Fix Win]]&lt;&gt;"","KRT")</f>
        <v>KRT</v>
      </c>
      <c r="BJ177" s="4" t="str">
        <f>IF(Table43[[#This Row],[SATUAN Fix Win]]&lt;&gt;"","GD01")</f>
        <v>GD01</v>
      </c>
      <c r="BK177" s="4">
        <f>IF(Table43[[#This Row],[SATUAN Fix Win]]&lt;&gt;"",11611)</f>
        <v>11611</v>
      </c>
      <c r="BL177" s="4">
        <f>IF(Table43[[#This Row],[SATUAN Fix Win]]&lt;&gt;"",11612)</f>
        <v>11612</v>
      </c>
      <c r="BM177" s="47" t="s">
        <v>655</v>
      </c>
      <c r="BN177" s="4">
        <f>IF(Table43[[#This Row],[SATUAN Fix Win]]&lt;&gt;"",1)</f>
        <v>1</v>
      </c>
      <c r="BO177" s="4" t="s">
        <v>656</v>
      </c>
      <c r="BP177" s="4">
        <f>IFERROR(VLOOKUP(Table43[[#This Row],[Kode Pcpl]],'[1]HEINZ ABC'!$A$4:$E$112,8,0),0)</f>
        <v>0</v>
      </c>
      <c r="BQ177" s="55">
        <f>Table43[[#This Row],[Harga Jual Pcs GT
(-PPN)]]-Table43[[#This Row],[HARGA NAIK GT]]</f>
        <v>6838.8288288288286</v>
      </c>
      <c r="BR177" s="4">
        <f>IF(Table43[[#This Row],[HARGA NAIK GT]]=0,Table43[[#This Row],[Harga Jual Pcs GT
(-PPN)]],Table43[[#This Row],[HARGA NAIK GT]])</f>
        <v>6838.8288288288286</v>
      </c>
      <c r="BS177">
        <f>IFERROR(VLOOKUP(Table43[[#This Row],[Kode Pcpl]],'[1]HEINZ ABC'!$A$4:$E$112,8,0),0)</f>
        <v>0</v>
      </c>
      <c r="BT177" s="58">
        <f>Table43[[#This Row],[Harga Jual Pcs GT
(-PPN)]]-BS177</f>
        <v>6838.8288288288286</v>
      </c>
      <c r="BU177">
        <f>IF(BS177=0,Table43[[#This Row],[Harga Jual Pcs MT
(-PPN)]])</f>
        <v>7385.9351351351352</v>
      </c>
      <c r="BV177">
        <f>IFERROR(VLOOKUP(Table43[[#This Row],[Kode Pcpl]],[2]Pricelist!$A$4:$K$112,11,0),0)</f>
        <v>8198.3880000000008</v>
      </c>
      <c r="BW177">
        <f>IFERROR(VLOOKUP(Table43[[#This Row],[Kode BARANG Win2]],[3]!RECKITT211216[[KDBRG]:[HRG_JL_PCS-PPN]],11,0),0)</f>
        <v>0</v>
      </c>
      <c r="BX177">
        <f t="shared" si="8"/>
        <v>7385.9351351351352</v>
      </c>
    </row>
    <row r="178" spans="1:76" x14ac:dyDescent="0.25">
      <c r="A178" s="114" t="str">
        <f>CONCATENATE(Table43[[#This Row],[Kode BARANG Win2]],Table43[[#This Row],[No. Urut
Item Sama]])</f>
        <v>A11100000135102</v>
      </c>
      <c r="B178" s="115">
        <v>2</v>
      </c>
      <c r="C178" s="4">
        <v>154</v>
      </c>
      <c r="D178" s="116">
        <v>190067</v>
      </c>
      <c r="E178" s="116" t="s">
        <v>369</v>
      </c>
      <c r="F178" s="116" t="s">
        <v>1052</v>
      </c>
      <c r="G178" s="116">
        <v>48</v>
      </c>
      <c r="H178" s="117" t="s">
        <v>2848</v>
      </c>
      <c r="I178" s="116" t="str">
        <f>Table43[[#This Row],[Nama Jenis Kemasan]]</f>
        <v>BTL</v>
      </c>
      <c r="J178" s="114" t="str">
        <f>TRIM(CONCATENATE(Table43[[#This Row],[Nama            KLP]]," ",Table43[[#This Row],[Nama            Sub KLP]]))</f>
        <v>TOMAT</v>
      </c>
      <c r="K178" s="114" t="str">
        <f>CONCATENATE(Table43[[#This Row],[kode  2 Digit                (hrf+No)]],Table43[[#This Row],[kode  2 Digit                (Nomor)]],Table43[[#This Row],[kode  1 Digit                (Nomor)]])</f>
        <v>A1110</v>
      </c>
      <c r="L178" s="114" t="str">
        <f>IF(AG178="",CONCATENATE(Q178,S178,U178,W178,Y178,AA178,AC178,AE178,Table43[[#This Row],[Tanda Kode Revisi]]),CONCATENATE(Q178,S178,U178,W178,Y178,AA178,AC178,AG178))</f>
        <v>A1110000013510</v>
      </c>
      <c r="M178" s="118">
        <f t="shared" si="6"/>
        <v>14</v>
      </c>
      <c r="N178" s="119" t="str">
        <f>IF(AF178&lt;&gt;"",TRIM(UPPER(CONCATENATE(P178," ",R178," ",T178," ",V178," ",X178," ",Z178," ","X"," ",Table43[[#This Row],[ISI/CTN]]," ",AF178," ",AB178," ",AD178," ",AH178))),TRIM(UPPER(CONCATENATE(P178," ",R178," ",T178," ",V178," ",X178," ",Z178," ","X"," ",Table43[[#This Row],[ISI/CTN]]," ",AB178," ",AD178," ",AH178))))</f>
        <v>ABC TOMAT 135/130 ML X 48 BTL</v>
      </c>
      <c r="O178" s="118">
        <f t="shared" si="7"/>
        <v>29</v>
      </c>
      <c r="P178" s="114" t="s">
        <v>28</v>
      </c>
      <c r="Q178" s="115" t="s">
        <v>85</v>
      </c>
      <c r="R178" s="114" t="s">
        <v>580</v>
      </c>
      <c r="S178" s="120">
        <v>11</v>
      </c>
      <c r="T178" s="121"/>
      <c r="U178" s="115" t="s">
        <v>1</v>
      </c>
      <c r="V178" s="121"/>
      <c r="W178" s="120" t="s">
        <v>1</v>
      </c>
      <c r="X178" s="114"/>
      <c r="Y178" s="122" t="s">
        <v>476</v>
      </c>
      <c r="Z178" s="114" t="s">
        <v>1068</v>
      </c>
      <c r="AA178" s="122" t="s">
        <v>487</v>
      </c>
      <c r="AB178" s="114" t="s">
        <v>486</v>
      </c>
      <c r="AC178" s="115" t="s">
        <v>480</v>
      </c>
      <c r="AD178" s="114"/>
      <c r="AE178" s="115" t="s">
        <v>1</v>
      </c>
      <c r="AF178" s="115"/>
      <c r="AG178" s="115"/>
      <c r="AH178" s="115"/>
      <c r="AI178" s="115" t="s">
        <v>214</v>
      </c>
      <c r="AJ178" s="115">
        <v>2</v>
      </c>
      <c r="AK178" s="115"/>
      <c r="AL178" s="123">
        <f>Table43[[#This Row],[Harga Jual Pcs GT
(-PPN)]]-(Table43[[#This Row],[Harga Jual Pcs GT
(-PPN)]]*6%)</f>
        <v>0</v>
      </c>
      <c r="AM178" s="124">
        <f>Table43[[#This Row],[Harga Beli Pcs
(-PPN)]]*Table43[[#This Row],[ISI/CTN]]</f>
        <v>0</v>
      </c>
      <c r="AN178" s="124">
        <f>Table43[[#This Row],[Harga Beli Pcs
(-PPN)]]*1.11</f>
        <v>0</v>
      </c>
      <c r="AO178" s="124">
        <f>Table43[[#This Row],[Harga Beli Krt
(- PPN)]]*1.11</f>
        <v>0</v>
      </c>
      <c r="AP178" s="124"/>
      <c r="AQ178" s="124">
        <f>Table43[[#This Row],[Harga Jual Pcs GT
(-PPN)]]*Table43[[#This Row],[ISI/CTN]]</f>
        <v>0</v>
      </c>
      <c r="AR178" s="124">
        <f>Table43[[#This Row],[Harga Jual Pcs GT
(-PPN)]]*1.11</f>
        <v>0</v>
      </c>
      <c r="AS178" s="124">
        <f>Table43[[#This Row],[Harga Jual Krt GT
(- PPN)]]*1.11</f>
        <v>0</v>
      </c>
      <c r="AT178" s="124"/>
      <c r="AU178" s="124">
        <f>(Table43[[#This Row],[Harga Jual Pcs MT
(-PPN)]]*Table43[[#This Row],[ISI/CTN]])</f>
        <v>0</v>
      </c>
      <c r="AV178" s="124">
        <f>Table43[[#This Row],[Harga Jual Pcs MT
(-PPN)]]*1.11</f>
        <v>0</v>
      </c>
      <c r="AW178" s="124">
        <f>Table43[[#This Row],[Harga Jual Pcs MT
(+PPN)]]*Table43[[#This Row],[ISI/CTN]]</f>
        <v>0</v>
      </c>
      <c r="AX178" s="124"/>
      <c r="AY178" s="125"/>
      <c r="AZ178" s="126"/>
      <c r="BA178" s="115" t="str">
        <f ca="1">IF(TODAY()-Table43[[#This Row],[Efektif
Pembuatan]]&gt;60,"Lama","Baru")</f>
        <v>Lama</v>
      </c>
      <c r="BB178" s="115" t="str">
        <f ca="1">IF(TODAY()-Table43[[#This Row],[Efektif Naik Harga]]&lt;30,"Naik","Sama")</f>
        <v>Sama</v>
      </c>
      <c r="BC178" s="115"/>
      <c r="BD178" s="115" t="str">
        <f>IF(Table43[[#This Row],[Kode BARANG Win2]]&lt;&gt;"","IDR","")</f>
        <v>IDR</v>
      </c>
      <c r="BE178" s="115" t="str">
        <f>CONCATENATE(Table43[[#This Row],[kode  1 Digit
(Nomor)]],Table43[[#This Row],[kode  4 Digit                (Nomor)]])</f>
        <v>20135</v>
      </c>
      <c r="BF178" s="115" t="str">
        <f>Table43[[#This Row],[Nama            Gramasi atau Jumlah Pack per CTN]]</f>
        <v>135/130 ML</v>
      </c>
      <c r="BG178" s="115"/>
      <c r="BH178" s="127"/>
      <c r="BI178" s="114" t="str">
        <f>IF(Table43[[#This Row],[SATUAN Fix Win]]&lt;&gt;"","KRT")</f>
        <v>KRT</v>
      </c>
      <c r="BJ178" s="114" t="str">
        <f>IF(Table43[[#This Row],[SATUAN Fix Win]]&lt;&gt;"","GD01")</f>
        <v>GD01</v>
      </c>
      <c r="BK178" s="114">
        <f>IF(Table43[[#This Row],[SATUAN Fix Win]]&lt;&gt;"",11611)</f>
        <v>11611</v>
      </c>
      <c r="BL178" s="114">
        <f>IF(Table43[[#This Row],[SATUAN Fix Win]]&lt;&gt;"",11612)</f>
        <v>11612</v>
      </c>
      <c r="BM178" s="128"/>
      <c r="BN178" s="114">
        <f>IF(Table43[[#This Row],[SATUAN Fix Win]]&lt;&gt;"",1)</f>
        <v>1</v>
      </c>
      <c r="BO178" s="114"/>
      <c r="BP178" s="114">
        <f>IFERROR(VLOOKUP(Table43[[#This Row],[Kode Pcpl]],'[1]HEINZ ABC'!$A$4:$E$112,8,0),0)</f>
        <v>0</v>
      </c>
      <c r="BQ178" s="129">
        <f>Table43[[#This Row],[Harga Jual Pcs GT
(-PPN)]]-Table43[[#This Row],[HARGA NAIK GT]]</f>
        <v>0</v>
      </c>
      <c r="BR178" s="114">
        <f>IF(Table43[[#This Row],[HARGA NAIK GT]]=0,Table43[[#This Row],[Harga Jual Pcs GT
(-PPN)]],Table43[[#This Row],[HARGA NAIK GT]])</f>
        <v>0</v>
      </c>
      <c r="BS178">
        <f>IFERROR(VLOOKUP(Table43[[#This Row],[Kode Pcpl]],'[1]HEINZ ABC'!$A$4:$E$112,8,0),0)</f>
        <v>0</v>
      </c>
      <c r="BT178" s="58">
        <f>Table43[[#This Row],[Harga Jual Pcs GT
(-PPN)]]-BS178</f>
        <v>0</v>
      </c>
      <c r="BU178">
        <f>IF(BS178=0,Table43[[#This Row],[Harga Jual Pcs MT
(-PPN)]])</f>
        <v>0</v>
      </c>
      <c r="BV178">
        <f>IFERROR(VLOOKUP(Table43[[#This Row],[Kode Pcpl]],[2]Pricelist!$A$4:$K$112,11,0),0)</f>
        <v>0</v>
      </c>
      <c r="BW178">
        <f>IFERROR(VLOOKUP(Table43[[#This Row],[Kode BARANG Win2]],[3]!RECKITT211216[[KDBRG]:[HRG_JL_PCS-PPN]],11,0),0)</f>
        <v>0</v>
      </c>
      <c r="BX178">
        <f t="shared" si="8"/>
        <v>0</v>
      </c>
    </row>
    <row r="179" spans="1:76" x14ac:dyDescent="0.25">
      <c r="A179" s="4" t="str">
        <f>CONCATENATE(Table43[[#This Row],[Kode BARANG Win2]],Table43[[#This Row],[No. Urut
Item Sama]])</f>
        <v>A11100000275101</v>
      </c>
      <c r="B179" s="7">
        <v>1</v>
      </c>
      <c r="C179" s="4">
        <v>155</v>
      </c>
      <c r="D179" s="27">
        <v>190041</v>
      </c>
      <c r="E179" s="27" t="s">
        <v>369</v>
      </c>
      <c r="F179" s="27" t="s">
        <v>372</v>
      </c>
      <c r="G179" s="27">
        <v>24</v>
      </c>
      <c r="H179" s="42" t="s">
        <v>2851</v>
      </c>
      <c r="I179" s="27" t="str">
        <f>Table43[[#This Row],[Nama Jenis Kemasan]]</f>
        <v>BTL</v>
      </c>
      <c r="J179" s="4" t="str">
        <f>TRIM(CONCATENATE(Table43[[#This Row],[Nama            KLP]]," ",Table43[[#This Row],[Nama            Sub KLP]]))</f>
        <v>TOMAT</v>
      </c>
      <c r="K179" s="4" t="str">
        <f>CONCATENATE(Table43[[#This Row],[kode  2 Digit                (hrf+No)]],Table43[[#This Row],[kode  2 Digit                (Nomor)]],Table43[[#This Row],[kode  1 Digit                (Nomor)]])</f>
        <v>A1110</v>
      </c>
      <c r="L179" s="4" t="str">
        <f>IF(AG179="",CONCATENATE(Q179,S179,U179,W179,Y179,AA179,AC179,AE179,Table43[[#This Row],[Tanda Kode Revisi]]),CONCATENATE(Q179,S179,U179,W179,Y179,AA179,AC179,AG179))</f>
        <v>A1110000027510</v>
      </c>
      <c r="M179" s="11">
        <f t="shared" si="6"/>
        <v>14</v>
      </c>
      <c r="N179" s="14" t="str">
        <f>IF(AF179&lt;&gt;"",TRIM(UPPER(CONCATENATE(P179," ",R179," ",T179," ",V179," ",X179," ",Z179," ","X"," ",Table43[[#This Row],[ISI/CTN]]," ",AF179," ",AB179," ",AD179," ",AH179))),TRIM(UPPER(CONCATENATE(P179," ",R179," ",T179," ",V179," ",X179," ",Z179," ","X"," ",Table43[[#This Row],[ISI/CTN]]," ",AB179," ",AD179," ",AH179))))</f>
        <v>ABC TOMAT 275 ML X 24 BTL</v>
      </c>
      <c r="O179" s="11">
        <f t="shared" si="7"/>
        <v>25</v>
      </c>
      <c r="P179" s="4" t="s">
        <v>28</v>
      </c>
      <c r="Q179" s="7" t="s">
        <v>85</v>
      </c>
      <c r="R179" s="4" t="s">
        <v>580</v>
      </c>
      <c r="S179" s="43">
        <v>11</v>
      </c>
      <c r="T179" s="44"/>
      <c r="U179" s="7" t="s">
        <v>1</v>
      </c>
      <c r="V179" s="44"/>
      <c r="W179" s="43" t="s">
        <v>1</v>
      </c>
      <c r="Y179" s="45" t="s">
        <v>476</v>
      </c>
      <c r="Z179" s="4" t="s">
        <v>490</v>
      </c>
      <c r="AA179" s="45" t="s">
        <v>491</v>
      </c>
      <c r="AB179" s="4" t="s">
        <v>486</v>
      </c>
      <c r="AC179" s="7" t="s">
        <v>480</v>
      </c>
      <c r="AE179" s="7" t="s">
        <v>1</v>
      </c>
      <c r="AI179" s="7" t="s">
        <v>214</v>
      </c>
      <c r="AJ179" s="7">
        <v>2</v>
      </c>
      <c r="AL179" s="40">
        <f>Table43[[#This Row],[Harga Jual Pcs GT
(-PPN)]]-(Table43[[#This Row],[Harga Jual Pcs GT
(-PPN)]]*6%)</f>
        <v>11278.221621621626</v>
      </c>
      <c r="AM179" s="41">
        <f>Table43[[#This Row],[Harga Beli Pcs
(-PPN)]]*Table43[[#This Row],[ISI/CTN]]</f>
        <v>270677.31891891902</v>
      </c>
      <c r="AN179" s="41">
        <f>Table43[[#This Row],[Harga Beli Pcs
(-PPN)]]*1.11</f>
        <v>12518.826000000006</v>
      </c>
      <c r="AO179" s="41">
        <f>Table43[[#This Row],[Harga Beli Krt
(- PPN)]]*1.11</f>
        <v>300451.82400000014</v>
      </c>
      <c r="AP179" s="41">
        <v>11998.108108108112</v>
      </c>
      <c r="AQ179" s="41">
        <f>Table43[[#This Row],[Harga Jual Pcs GT
(-PPN)]]*Table43[[#This Row],[ISI/CTN]]</f>
        <v>287954.59459459467</v>
      </c>
      <c r="AR179" s="41">
        <f>Table43[[#This Row],[Harga Jual Pcs GT
(-PPN)]]*1.11</f>
        <v>13317.900000000005</v>
      </c>
      <c r="AS179" s="41">
        <f>Table43[[#This Row],[Harga Jual Krt GT
(- PPN)]]*1.11</f>
        <v>319629.60000000009</v>
      </c>
      <c r="AT179" s="41">
        <v>12957.956756756761</v>
      </c>
      <c r="AU179" s="41">
        <f>(Table43[[#This Row],[Harga Jual Pcs MT
(-PPN)]]*Table43[[#This Row],[ISI/CTN]])</f>
        <v>310990.96216216229</v>
      </c>
      <c r="AV179" s="41">
        <f>Table43[[#This Row],[Harga Jual Pcs MT
(-PPN)]]*1.11</f>
        <v>14383.332000000006</v>
      </c>
      <c r="AW179" s="41">
        <f>Table43[[#This Row],[Harga Jual Pcs MT
(+PPN)]]*Table43[[#This Row],[ISI/CTN]]</f>
        <v>345199.96800000011</v>
      </c>
      <c r="AX179" s="41"/>
      <c r="AY179" s="46">
        <v>45553</v>
      </c>
      <c r="AZ179" s="54">
        <v>45839</v>
      </c>
      <c r="BA179" s="7" t="str">
        <f ca="1">IF(TODAY()-Table43[[#This Row],[Efektif
Pembuatan]]&gt;60,"Lama","Baru")</f>
        <v>Lama</v>
      </c>
      <c r="BB179" s="7" t="str">
        <f ca="1">IF(TODAY()-Table43[[#This Row],[Efektif Naik Harga]]&lt;30,"Naik","Sama")</f>
        <v>Sama</v>
      </c>
      <c r="BC179" s="7" t="s">
        <v>235</v>
      </c>
      <c r="BD179" s="7" t="str">
        <f>IF(Table43[[#This Row],[Kode BARANG Win2]]&lt;&gt;"","IDR","")</f>
        <v>IDR</v>
      </c>
      <c r="BE179" s="7" t="str">
        <f>CONCATENATE(Table43[[#This Row],[kode  1 Digit
(Nomor)]],Table43[[#This Row],[kode  4 Digit                (Nomor)]])</f>
        <v>20275</v>
      </c>
      <c r="BF179" s="7" t="str">
        <f>Table43[[#This Row],[Nama            Gramasi atau Jumlah Pack per CTN]]</f>
        <v>275 ML</v>
      </c>
      <c r="BG179" s="7" t="s">
        <v>653</v>
      </c>
      <c r="BH179" s="51" t="s">
        <v>654</v>
      </c>
      <c r="BI179" s="4" t="str">
        <f>IF(Table43[[#This Row],[SATUAN Fix Win]]&lt;&gt;"","KRT")</f>
        <v>KRT</v>
      </c>
      <c r="BJ179" s="4" t="str">
        <f>IF(Table43[[#This Row],[SATUAN Fix Win]]&lt;&gt;"","GD01")</f>
        <v>GD01</v>
      </c>
      <c r="BK179" s="4">
        <f>IF(Table43[[#This Row],[SATUAN Fix Win]]&lt;&gt;"",11611)</f>
        <v>11611</v>
      </c>
      <c r="BL179" s="4">
        <f>IF(Table43[[#This Row],[SATUAN Fix Win]]&lt;&gt;"",11612)</f>
        <v>11612</v>
      </c>
      <c r="BM179" s="47" t="s">
        <v>655</v>
      </c>
      <c r="BN179" s="4">
        <f>IF(Table43[[#This Row],[SATUAN Fix Win]]&lt;&gt;"",1)</f>
        <v>1</v>
      </c>
      <c r="BO179" s="4" t="s">
        <v>656</v>
      </c>
      <c r="BP179" s="4">
        <f>IFERROR(VLOOKUP(Table43[[#This Row],[Kode Pcpl]],'[1]HEINZ ABC'!$A$4:$E$112,8,0),0)</f>
        <v>0</v>
      </c>
      <c r="BQ179" s="55">
        <f>Table43[[#This Row],[Harga Jual Pcs GT
(-PPN)]]-Table43[[#This Row],[HARGA NAIK GT]]</f>
        <v>11998.108108108112</v>
      </c>
      <c r="BR179" s="4">
        <f>IF(Table43[[#This Row],[HARGA NAIK GT]]=0,Table43[[#This Row],[Harga Jual Pcs GT
(-PPN)]],Table43[[#This Row],[HARGA NAIK GT]])</f>
        <v>11998.108108108112</v>
      </c>
      <c r="BS179">
        <f>IFERROR(VLOOKUP(Table43[[#This Row],[Kode Pcpl]],'[1]HEINZ ABC'!$A$4:$E$112,8,0),0)</f>
        <v>0</v>
      </c>
      <c r="BT179" s="58">
        <f>Table43[[#This Row],[Harga Jual Pcs GT
(-PPN)]]-BS179</f>
        <v>11998.108108108112</v>
      </c>
      <c r="BU179">
        <f>IF(BS179=0,Table43[[#This Row],[Harga Jual Pcs MT
(-PPN)]])</f>
        <v>12957.956756756761</v>
      </c>
      <c r="BV179">
        <f>IFERROR(VLOOKUP(Table43[[#This Row],[Kode Pcpl]],[2]Pricelist!$A$4:$K$112,11,0),0)</f>
        <v>14383.332000000006</v>
      </c>
      <c r="BW179">
        <f>IFERROR(VLOOKUP(Table43[[#This Row],[Kode BARANG Win2]],[3]!RECKITT211216[[KDBRG]:[HRG_JL_PCS-PPN]],11,0),0)</f>
        <v>0</v>
      </c>
      <c r="BX179">
        <f t="shared" si="8"/>
        <v>12957.956756756761</v>
      </c>
    </row>
    <row r="180" spans="1:76" x14ac:dyDescent="0.25">
      <c r="A180" s="4" t="str">
        <f>CONCATENATE(Table43[[#This Row],[Kode BARANG Win2]],Table43[[#This Row],[No. Urut
Item Sama]])</f>
        <v>A11100000275102</v>
      </c>
      <c r="B180" s="7">
        <v>2</v>
      </c>
      <c r="C180" s="4">
        <v>156</v>
      </c>
      <c r="D180" s="27">
        <v>190068</v>
      </c>
      <c r="E180" s="27" t="s">
        <v>369</v>
      </c>
      <c r="F180" s="27" t="s">
        <v>1031</v>
      </c>
      <c r="G180" s="27">
        <v>24</v>
      </c>
      <c r="H180" s="42" t="s">
        <v>2849</v>
      </c>
      <c r="I180" s="27" t="str">
        <f>Table43[[#This Row],[Nama Jenis Kemasan]]</f>
        <v>BTL</v>
      </c>
      <c r="J180" s="4" t="str">
        <f>TRIM(CONCATENATE(Table43[[#This Row],[Nama            KLP]]," ",Table43[[#This Row],[Nama            Sub KLP]]))</f>
        <v>TOMAT</v>
      </c>
      <c r="K180" s="4" t="str">
        <f>CONCATENATE(Table43[[#This Row],[kode  2 Digit                (hrf+No)]],Table43[[#This Row],[kode  2 Digit                (Nomor)]],Table43[[#This Row],[kode  1 Digit                (Nomor)]])</f>
        <v>A1110</v>
      </c>
      <c r="L180" s="4" t="str">
        <f>IF(AG180="",CONCATENATE(Q180,S180,U180,W180,Y180,AA180,AC180,AE180,Table43[[#This Row],[Tanda Kode Revisi]]),CONCATENATE(Q180,S180,U180,W180,Y180,AA180,AC180,AG180))</f>
        <v>A1110000027510</v>
      </c>
      <c r="M180" s="11">
        <f t="shared" si="6"/>
        <v>14</v>
      </c>
      <c r="N180" s="14" t="str">
        <f>IF(AF180&lt;&gt;"",TRIM(UPPER(CONCATENATE(P180," ",R180," ",T180," ",V180," ",X180," ",Z180," ","X"," ",Table43[[#This Row],[ISI/CTN]]," ",AF180," ",AB180," ",AD180," ",AH180))),TRIM(UPPER(CONCATENATE(P180," ",R180," ",T180," ",V180," ",X180," ",Z180," ","X"," ",Table43[[#This Row],[ISI/CTN]]," ",AB180," ",AD180," ",AH180))))</f>
        <v>ABC TOMAT 270 ML X 24 BTL</v>
      </c>
      <c r="O180" s="11">
        <f t="shared" si="7"/>
        <v>25</v>
      </c>
      <c r="P180" s="4" t="s">
        <v>28</v>
      </c>
      <c r="Q180" s="7" t="s">
        <v>85</v>
      </c>
      <c r="R180" s="4" t="s">
        <v>580</v>
      </c>
      <c r="S180" s="43">
        <v>11</v>
      </c>
      <c r="T180" s="44"/>
      <c r="U180" s="7" t="s">
        <v>1</v>
      </c>
      <c r="V180" s="44"/>
      <c r="W180" s="43" t="s">
        <v>1</v>
      </c>
      <c r="Y180" s="45" t="s">
        <v>476</v>
      </c>
      <c r="Z180" s="4" t="s">
        <v>607</v>
      </c>
      <c r="AA180" s="45" t="s">
        <v>491</v>
      </c>
      <c r="AB180" s="4" t="s">
        <v>486</v>
      </c>
      <c r="AC180" s="7" t="s">
        <v>480</v>
      </c>
      <c r="AE180" s="7" t="s">
        <v>1</v>
      </c>
      <c r="AI180" s="7" t="s">
        <v>214</v>
      </c>
      <c r="AJ180" s="7">
        <v>2</v>
      </c>
      <c r="AL180" s="40">
        <f>Table43[[#This Row],[Harga Jual Pcs GT
(-PPN)]]-(Table43[[#This Row],[Harga Jual Pcs GT
(-PPN)]]*6%)</f>
        <v>11278.221621621626</v>
      </c>
      <c r="AM180" s="41">
        <f>Table43[[#This Row],[Harga Beli Pcs
(-PPN)]]*Table43[[#This Row],[ISI/CTN]]</f>
        <v>270677.31891891902</v>
      </c>
      <c r="AN180" s="41">
        <f>Table43[[#This Row],[Harga Beli Pcs
(-PPN)]]*1.11</f>
        <v>12518.826000000006</v>
      </c>
      <c r="AO180" s="41">
        <f>Table43[[#This Row],[Harga Beli Krt
(- PPN)]]*1.11</f>
        <v>300451.82400000014</v>
      </c>
      <c r="AP180" s="41">
        <v>11998.108108108112</v>
      </c>
      <c r="AQ180" s="41">
        <f>Table43[[#This Row],[Harga Jual Pcs GT
(-PPN)]]*Table43[[#This Row],[ISI/CTN]]</f>
        <v>287954.59459459467</v>
      </c>
      <c r="AR180" s="41">
        <f>Table43[[#This Row],[Harga Jual Pcs GT
(-PPN)]]*1.11</f>
        <v>13317.900000000005</v>
      </c>
      <c r="AS180" s="41">
        <f>Table43[[#This Row],[Harga Jual Krt GT
(- PPN)]]*1.11</f>
        <v>319629.60000000009</v>
      </c>
      <c r="AT180" s="41">
        <v>12957.956756756761</v>
      </c>
      <c r="AU180" s="41">
        <f>(Table43[[#This Row],[Harga Jual Pcs MT
(-PPN)]]*Table43[[#This Row],[ISI/CTN]])</f>
        <v>310990.96216216229</v>
      </c>
      <c r="AV180" s="41">
        <f>Table43[[#This Row],[Harga Jual Pcs MT
(-PPN)]]*1.11</f>
        <v>14383.332000000006</v>
      </c>
      <c r="AW180" s="41">
        <f>Table43[[#This Row],[Harga Jual Pcs MT
(+PPN)]]*Table43[[#This Row],[ISI/CTN]]</f>
        <v>345199.96800000011</v>
      </c>
      <c r="AX180" s="41"/>
      <c r="AY180" s="46"/>
      <c r="AZ180" s="54"/>
      <c r="BA180" s="7" t="str">
        <f ca="1">IF(TODAY()-Table43[[#This Row],[Efektif
Pembuatan]]&gt;60,"Lama","Baru")</f>
        <v>Lama</v>
      </c>
      <c r="BB180" s="7" t="str">
        <f ca="1">IF(TODAY()-Table43[[#This Row],[Efektif Naik Harga]]&lt;30,"Naik","Sama")</f>
        <v>Sama</v>
      </c>
      <c r="BC180" s="7"/>
      <c r="BD180" s="7" t="str">
        <f>IF(Table43[[#This Row],[Kode BARANG Win2]]&lt;&gt;"","IDR","")</f>
        <v>IDR</v>
      </c>
      <c r="BE180" s="7" t="str">
        <f>CONCATENATE(Table43[[#This Row],[kode  1 Digit
(Nomor)]],Table43[[#This Row],[kode  4 Digit                (Nomor)]])</f>
        <v>20275</v>
      </c>
      <c r="BF180" s="7" t="str">
        <f>Table43[[#This Row],[Nama            Gramasi atau Jumlah Pack per CTN]]</f>
        <v>270 ML</v>
      </c>
      <c r="BG180" s="7"/>
      <c r="BH180" s="51"/>
      <c r="BI180" s="4" t="str">
        <f>IF(Table43[[#This Row],[SATUAN Fix Win]]&lt;&gt;"","KRT")</f>
        <v>KRT</v>
      </c>
      <c r="BJ180" s="4" t="str">
        <f>IF(Table43[[#This Row],[SATUAN Fix Win]]&lt;&gt;"","GD01")</f>
        <v>GD01</v>
      </c>
      <c r="BK180" s="4">
        <f>IF(Table43[[#This Row],[SATUAN Fix Win]]&lt;&gt;"",11611)</f>
        <v>11611</v>
      </c>
      <c r="BL180" s="4">
        <f>IF(Table43[[#This Row],[SATUAN Fix Win]]&lt;&gt;"",11612)</f>
        <v>11612</v>
      </c>
      <c r="BM180" s="47"/>
      <c r="BN180" s="4">
        <f>IF(Table43[[#This Row],[SATUAN Fix Win]]&lt;&gt;"",1)</f>
        <v>1</v>
      </c>
      <c r="BP180" s="4">
        <f>IFERROR(VLOOKUP(Table43[[#This Row],[Kode Pcpl]],'[1]HEINZ ABC'!$A$4:$E$112,8,0),0)</f>
        <v>0</v>
      </c>
      <c r="BQ180" s="55">
        <f>Table43[[#This Row],[Harga Jual Pcs GT
(-PPN)]]-Table43[[#This Row],[HARGA NAIK GT]]</f>
        <v>11998.108108108112</v>
      </c>
      <c r="BR180" s="4">
        <f>IF(Table43[[#This Row],[HARGA NAIK GT]]=0,Table43[[#This Row],[Harga Jual Pcs GT
(-PPN)]],Table43[[#This Row],[HARGA NAIK GT]])</f>
        <v>11998.108108108112</v>
      </c>
      <c r="BS180">
        <f>IFERROR(VLOOKUP(Table43[[#This Row],[Kode Pcpl]],'[1]HEINZ ABC'!$A$4:$E$112,8,0),0)</f>
        <v>0</v>
      </c>
      <c r="BT180" s="58">
        <f>Table43[[#This Row],[Harga Jual Pcs GT
(-PPN)]]-BS180</f>
        <v>11998.108108108112</v>
      </c>
      <c r="BU180">
        <f>IF(BS180=0,Table43[[#This Row],[Harga Jual Pcs MT
(-PPN)]])</f>
        <v>12957.956756756761</v>
      </c>
      <c r="BV180">
        <f>IFERROR(VLOOKUP(Table43[[#This Row],[Kode Pcpl]],[2]Pricelist!$A$4:$K$112,11,0),0)</f>
        <v>14383.332000000006</v>
      </c>
      <c r="BW180">
        <f>IFERROR(VLOOKUP(Table43[[#This Row],[Kode BARANG Win2]],[3]!RECKITT211216[[KDBRG]:[HRG_JL_PCS-PPN]],11,0),0)</f>
        <v>0</v>
      </c>
      <c r="BX180">
        <f t="shared" si="8"/>
        <v>12957.956756756761</v>
      </c>
    </row>
    <row r="181" spans="1:76" x14ac:dyDescent="0.25">
      <c r="A181" s="4" t="str">
        <f>CONCATENATE(Table43[[#This Row],[Kode BARANG Win2]],Table43[[#This Row],[No. Urut
Item Sama]])</f>
        <v>A11100000335101</v>
      </c>
      <c r="B181" s="7">
        <v>1</v>
      </c>
      <c r="C181" s="4">
        <v>157</v>
      </c>
      <c r="D181" s="27">
        <v>190031</v>
      </c>
      <c r="E181" s="27" t="s">
        <v>369</v>
      </c>
      <c r="F181" s="27" t="s">
        <v>373</v>
      </c>
      <c r="G181" s="27">
        <v>24</v>
      </c>
      <c r="H181" s="42" t="s">
        <v>2857</v>
      </c>
      <c r="I181" s="27" t="str">
        <f>Table43[[#This Row],[Nama Jenis Kemasan]]</f>
        <v>BTL</v>
      </c>
      <c r="J181" s="4" t="str">
        <f>TRIM(CONCATENATE(Table43[[#This Row],[Nama            KLP]]," ",Table43[[#This Row],[Nama            Sub KLP]]))</f>
        <v>TOMAT</v>
      </c>
      <c r="K181" s="4" t="str">
        <f>CONCATENATE(Table43[[#This Row],[kode  2 Digit                (hrf+No)]],Table43[[#This Row],[kode  2 Digit                (Nomor)]],Table43[[#This Row],[kode  1 Digit                (Nomor)]])</f>
        <v>A1110</v>
      </c>
      <c r="L181" s="4" t="str">
        <f>IF(AG181="",CONCATENATE(Q181,S181,U181,W181,Y181,AA181,AC181,AE181,Table43[[#This Row],[Tanda Kode Revisi]]),CONCATENATE(Q181,S181,U181,W181,Y181,AA181,AC181,AG181))</f>
        <v>A1110000033510</v>
      </c>
      <c r="M181" s="11">
        <f t="shared" si="6"/>
        <v>14</v>
      </c>
      <c r="N181" s="14" t="str">
        <f>IF(AF181&lt;&gt;"",TRIM(UPPER(CONCATENATE(P181," ",R181," ",T181," ",V181," ",X181," ",Z181," ","X"," ",Table43[[#This Row],[ISI/CTN]]," ",AF181," ",AB181," ",AD181," ",AH181))),TRIM(UPPER(CONCATENATE(P181," ",R181," ",T181," ",V181," ",X181," ",Z181," ","X"," ",Table43[[#This Row],[ISI/CTN]]," ",AB181," ",AD181," ",AH181))))</f>
        <v>ABC TOMAT 335 ML X 24 BTL</v>
      </c>
      <c r="O181" s="11">
        <f t="shared" si="7"/>
        <v>25</v>
      </c>
      <c r="P181" s="4" t="s">
        <v>28</v>
      </c>
      <c r="Q181" s="7" t="s">
        <v>85</v>
      </c>
      <c r="R181" s="4" t="s">
        <v>580</v>
      </c>
      <c r="S181" s="43">
        <v>11</v>
      </c>
      <c r="T181" s="44"/>
      <c r="U181" s="7" t="s">
        <v>1</v>
      </c>
      <c r="V181" s="44"/>
      <c r="W181" s="43" t="s">
        <v>1</v>
      </c>
      <c r="Y181" s="45" t="s">
        <v>476</v>
      </c>
      <c r="Z181" s="4" t="s">
        <v>592</v>
      </c>
      <c r="AA181" s="45" t="s">
        <v>593</v>
      </c>
      <c r="AB181" s="4" t="s">
        <v>486</v>
      </c>
      <c r="AC181" s="7" t="s">
        <v>480</v>
      </c>
      <c r="AE181" s="7" t="s">
        <v>1</v>
      </c>
      <c r="AI181" s="7" t="s">
        <v>214</v>
      </c>
      <c r="AJ181" s="7">
        <v>2</v>
      </c>
      <c r="AL181" s="40">
        <f>Table43[[#This Row],[Harga Jual Pcs GT
(-PPN)]]-(Table43[[#This Row],[Harga Jual Pcs GT
(-PPN)]]*6%)</f>
        <v>14540.445045045046</v>
      </c>
      <c r="AM181" s="41">
        <f>Table43[[#This Row],[Harga Beli Pcs
(-PPN)]]*Table43[[#This Row],[ISI/CTN]]</f>
        <v>348970.6810810811</v>
      </c>
      <c r="AN181" s="41">
        <f>Table43[[#This Row],[Harga Beli Pcs
(-PPN)]]*1.11</f>
        <v>16139.894000000002</v>
      </c>
      <c r="AO181" s="41">
        <f>Table43[[#This Row],[Harga Beli Krt
(- PPN)]]*1.11</f>
        <v>387357.45600000006</v>
      </c>
      <c r="AP181" s="41">
        <v>15468.55855855856</v>
      </c>
      <c r="AQ181" s="41">
        <f>Table43[[#This Row],[Harga Jual Pcs GT
(-PPN)]]*Table43[[#This Row],[ISI/CTN]]</f>
        <v>371245.40540540544</v>
      </c>
      <c r="AR181" s="41">
        <f>Table43[[#This Row],[Harga Jual Pcs GT
(-PPN)]]*1.11</f>
        <v>17170.100000000002</v>
      </c>
      <c r="AS181" s="41">
        <f>Table43[[#This Row],[Harga Jual Krt GT
(- PPN)]]*1.11</f>
        <v>412082.40000000008</v>
      </c>
      <c r="AT181" s="41">
        <v>16706.043243243246</v>
      </c>
      <c r="AU181" s="41">
        <f>(Table43[[#This Row],[Harga Jual Pcs MT
(-PPN)]]*Table43[[#This Row],[ISI/CTN]])</f>
        <v>400945.03783783794</v>
      </c>
      <c r="AV181" s="41">
        <f>Table43[[#This Row],[Harga Jual Pcs MT
(-PPN)]]*1.11</f>
        <v>18543.708000000006</v>
      </c>
      <c r="AW181" s="41">
        <f>Table43[[#This Row],[Harga Jual Pcs MT
(+PPN)]]*Table43[[#This Row],[ISI/CTN]]</f>
        <v>445048.99200000014</v>
      </c>
      <c r="AX181" s="41"/>
      <c r="AY181" s="46">
        <v>45553</v>
      </c>
      <c r="AZ181" s="54">
        <v>45839</v>
      </c>
      <c r="BA181" s="7" t="str">
        <f ca="1">IF(TODAY()-Table43[[#This Row],[Efektif
Pembuatan]]&gt;60,"Lama","Baru")</f>
        <v>Lama</v>
      </c>
      <c r="BB181" s="7" t="str">
        <f ca="1">IF(TODAY()-Table43[[#This Row],[Efektif Naik Harga]]&lt;30,"Naik","Sama")</f>
        <v>Sama</v>
      </c>
      <c r="BC181" s="7" t="s">
        <v>235</v>
      </c>
      <c r="BD181" s="7" t="str">
        <f>IF(Table43[[#This Row],[Kode BARANG Win2]]&lt;&gt;"","IDR","")</f>
        <v>IDR</v>
      </c>
      <c r="BE181" s="7" t="str">
        <f>CONCATENATE(Table43[[#This Row],[kode  1 Digit
(Nomor)]],Table43[[#This Row],[kode  4 Digit                (Nomor)]])</f>
        <v>20335</v>
      </c>
      <c r="BF181" s="7" t="str">
        <f>Table43[[#This Row],[Nama            Gramasi atau Jumlah Pack per CTN]]</f>
        <v>335 ML</v>
      </c>
      <c r="BG181" s="7" t="s">
        <v>653</v>
      </c>
      <c r="BH181" s="51" t="s">
        <v>654</v>
      </c>
      <c r="BI181" s="4" t="str">
        <f>IF(Table43[[#This Row],[SATUAN Fix Win]]&lt;&gt;"","KRT")</f>
        <v>KRT</v>
      </c>
      <c r="BJ181" s="4" t="str">
        <f>IF(Table43[[#This Row],[SATUAN Fix Win]]&lt;&gt;"","GD01")</f>
        <v>GD01</v>
      </c>
      <c r="BK181" s="4">
        <f>IF(Table43[[#This Row],[SATUAN Fix Win]]&lt;&gt;"",11611)</f>
        <v>11611</v>
      </c>
      <c r="BL181" s="4">
        <f>IF(Table43[[#This Row],[SATUAN Fix Win]]&lt;&gt;"",11612)</f>
        <v>11612</v>
      </c>
      <c r="BM181" s="47" t="s">
        <v>655</v>
      </c>
      <c r="BN181" s="4">
        <f>IF(Table43[[#This Row],[SATUAN Fix Win]]&lt;&gt;"",1)</f>
        <v>1</v>
      </c>
      <c r="BO181" s="4" t="s">
        <v>656</v>
      </c>
      <c r="BP181" s="4">
        <f>IFERROR(VLOOKUP(Table43[[#This Row],[Kode Pcpl]],'[1]HEINZ ABC'!$A$4:$E$112,8,0),0)</f>
        <v>0</v>
      </c>
      <c r="BQ181" s="55">
        <f>Table43[[#This Row],[Harga Jual Pcs GT
(-PPN)]]-Table43[[#This Row],[HARGA NAIK GT]]</f>
        <v>15468.55855855856</v>
      </c>
      <c r="BR181" s="4">
        <f>IF(Table43[[#This Row],[HARGA NAIK GT]]=0,Table43[[#This Row],[Harga Jual Pcs GT
(-PPN)]],Table43[[#This Row],[HARGA NAIK GT]])</f>
        <v>15468.55855855856</v>
      </c>
      <c r="BS181">
        <f>IFERROR(VLOOKUP(Table43[[#This Row],[Kode Pcpl]],'[1]HEINZ ABC'!$A$4:$E$112,8,0),0)</f>
        <v>0</v>
      </c>
      <c r="BT181" s="58">
        <f>Table43[[#This Row],[Harga Jual Pcs GT
(-PPN)]]-BS181</f>
        <v>15468.55855855856</v>
      </c>
      <c r="BU181">
        <f>IF(BS181=0,Table43[[#This Row],[Harga Jual Pcs MT
(-PPN)]])</f>
        <v>16706.043243243246</v>
      </c>
      <c r="BV181">
        <f>IFERROR(VLOOKUP(Table43[[#This Row],[Kode Pcpl]],[2]Pricelist!$A$4:$K$112,11,0),0)</f>
        <v>18543.708000000006</v>
      </c>
      <c r="BW181">
        <f>IFERROR(VLOOKUP(Table43[[#This Row],[Kode BARANG Win2]],[3]!RECKITT211216[[KDBRG]:[HRG_JL_PCS-PPN]],11,0),0)</f>
        <v>0</v>
      </c>
      <c r="BX181">
        <f t="shared" si="8"/>
        <v>16706.043243243246</v>
      </c>
    </row>
    <row r="182" spans="1:76" x14ac:dyDescent="0.25">
      <c r="A182" s="60" t="str">
        <f>CONCATENATE(Table43[[#This Row],[Kode BARANG Win2]],Table43[[#This Row],[No. Urut
Item Sama]])</f>
        <v>A11100000335102</v>
      </c>
      <c r="B182" s="61">
        <v>2</v>
      </c>
      <c r="C182" s="4">
        <v>158</v>
      </c>
      <c r="D182" s="62">
        <v>190066</v>
      </c>
      <c r="E182" s="62" t="s">
        <v>369</v>
      </c>
      <c r="F182" s="62" t="s">
        <v>1036</v>
      </c>
      <c r="G182" s="62">
        <v>24</v>
      </c>
      <c r="H182" s="63" t="s">
        <v>2850</v>
      </c>
      <c r="I182" s="62" t="str">
        <f>Table43[[#This Row],[Nama Jenis Kemasan]]</f>
        <v>BTL</v>
      </c>
      <c r="J182" s="60" t="str">
        <f>TRIM(CONCATENATE(Table43[[#This Row],[Nama            KLP]]," ",Table43[[#This Row],[Nama            Sub KLP]]))</f>
        <v>TOMAT</v>
      </c>
      <c r="K182" s="60" t="str">
        <f>CONCATENATE(Table43[[#This Row],[kode  2 Digit                (hrf+No)]],Table43[[#This Row],[kode  2 Digit                (Nomor)]],Table43[[#This Row],[kode  1 Digit                (Nomor)]])</f>
        <v>A1110</v>
      </c>
      <c r="L182" s="60" t="str">
        <f>IF(AG182="",CONCATENATE(Q182,S182,U182,W182,Y182,AA182,AC182,AE182,Table43[[#This Row],[Tanda Kode Revisi]]),CONCATENATE(Q182,S182,U182,W182,Y182,AA182,AC182,AG182))</f>
        <v>A1110000033510</v>
      </c>
      <c r="M182" s="64">
        <f t="shared" si="6"/>
        <v>14</v>
      </c>
      <c r="N182" s="65" t="str">
        <f>IF(AF182&lt;&gt;"",TRIM(UPPER(CONCATENATE(P182," ",R182," ",T182," ",V182," ",X182," ",Z182," ","X"," ",Table43[[#This Row],[ISI/CTN]]," ",AF182," ",AB182," ",AD182," ",AH182))),TRIM(UPPER(CONCATENATE(P182," ",R182," ",T182," ",V182," ",X182," ",Z182," ","X"," ",Table43[[#This Row],[ISI/CTN]]," ",AB182," ",AD182," ",AH182))))</f>
        <v>ABC TOMAT 335 ML X 24 BTL</v>
      </c>
      <c r="O182" s="64">
        <f t="shared" si="7"/>
        <v>25</v>
      </c>
      <c r="P182" s="60" t="s">
        <v>28</v>
      </c>
      <c r="Q182" s="61" t="s">
        <v>85</v>
      </c>
      <c r="R182" s="60" t="s">
        <v>580</v>
      </c>
      <c r="S182" s="66">
        <v>11</v>
      </c>
      <c r="T182" s="67"/>
      <c r="U182" s="61" t="s">
        <v>1</v>
      </c>
      <c r="V182" s="67"/>
      <c r="W182" s="66" t="s">
        <v>1</v>
      </c>
      <c r="X182" s="60"/>
      <c r="Y182" s="68" t="s">
        <v>476</v>
      </c>
      <c r="Z182" s="60" t="s">
        <v>592</v>
      </c>
      <c r="AA182" s="68" t="s">
        <v>593</v>
      </c>
      <c r="AB182" s="60" t="s">
        <v>486</v>
      </c>
      <c r="AC182" s="61" t="s">
        <v>480</v>
      </c>
      <c r="AD182" s="60"/>
      <c r="AE182" s="61" t="s">
        <v>1</v>
      </c>
      <c r="AF182" s="61"/>
      <c r="AG182" s="61"/>
      <c r="AH182" s="61"/>
      <c r="AI182" s="61" t="s">
        <v>214</v>
      </c>
      <c r="AJ182" s="61">
        <v>2</v>
      </c>
      <c r="AK182" s="61"/>
      <c r="AL182" s="69">
        <f>Table43[[#This Row],[Harga Jual Pcs GT
(-PPN)]]-(Table43[[#This Row],[Harga Jual Pcs GT
(-PPN)]]*6%)</f>
        <v>14540.445045045046</v>
      </c>
      <c r="AM182" s="70">
        <f>Table43[[#This Row],[Harga Beli Pcs
(-PPN)]]*Table43[[#This Row],[ISI/CTN]]</f>
        <v>348970.6810810811</v>
      </c>
      <c r="AN182" s="70">
        <f>Table43[[#This Row],[Harga Beli Pcs
(-PPN)]]*1.11</f>
        <v>16139.894000000002</v>
      </c>
      <c r="AO182" s="70">
        <f>Table43[[#This Row],[Harga Beli Krt
(- PPN)]]*1.11</f>
        <v>387357.45600000006</v>
      </c>
      <c r="AP182" s="70">
        <v>15468.55855855856</v>
      </c>
      <c r="AQ182" s="70">
        <f>Table43[[#This Row],[Harga Jual Pcs GT
(-PPN)]]*Table43[[#This Row],[ISI/CTN]]</f>
        <v>371245.40540540544</v>
      </c>
      <c r="AR182" s="70">
        <f>Table43[[#This Row],[Harga Jual Pcs GT
(-PPN)]]*1.11</f>
        <v>17170.100000000002</v>
      </c>
      <c r="AS182" s="70">
        <f>Table43[[#This Row],[Harga Jual Krt GT
(- PPN)]]*1.11</f>
        <v>412082.40000000008</v>
      </c>
      <c r="AT182" s="70">
        <v>16706.043243243246</v>
      </c>
      <c r="AU182" s="70">
        <f>(Table43[[#This Row],[Harga Jual Pcs MT
(-PPN)]]*Table43[[#This Row],[ISI/CTN]])</f>
        <v>400945.03783783794</v>
      </c>
      <c r="AV182" s="70">
        <f>Table43[[#This Row],[Harga Jual Pcs MT
(-PPN)]]*1.11</f>
        <v>18543.708000000006</v>
      </c>
      <c r="AW182" s="70">
        <f>Table43[[#This Row],[Harga Jual Pcs MT
(+PPN)]]*Table43[[#This Row],[ISI/CTN]]</f>
        <v>445048.99200000014</v>
      </c>
      <c r="AX182" s="70"/>
      <c r="AY182" s="71"/>
      <c r="AZ182" s="72">
        <v>45849</v>
      </c>
      <c r="BA182" s="61" t="str">
        <f ca="1">IF(TODAY()-Table43[[#This Row],[Efektif
Pembuatan]]&gt;60,"Lama","Baru")</f>
        <v>Lama</v>
      </c>
      <c r="BB182" s="61" t="str">
        <f ca="1">IF(TODAY()-Table43[[#This Row],[Efektif Naik Harga]]&lt;30,"Naik","Sama")</f>
        <v>Sama</v>
      </c>
      <c r="BC182" s="61" t="s">
        <v>235</v>
      </c>
      <c r="BD182" s="61" t="str">
        <f>IF(Table43[[#This Row],[Kode BARANG Win2]]&lt;&gt;"","IDR","")</f>
        <v>IDR</v>
      </c>
      <c r="BE182" s="61" t="str">
        <f>CONCATENATE(Table43[[#This Row],[kode  1 Digit
(Nomor)]],Table43[[#This Row],[kode  4 Digit                (Nomor)]])</f>
        <v>20335</v>
      </c>
      <c r="BF182" s="61" t="str">
        <f>Table43[[#This Row],[Nama            Gramasi atau Jumlah Pack per CTN]]</f>
        <v>335 ML</v>
      </c>
      <c r="BG182" s="61" t="s">
        <v>653</v>
      </c>
      <c r="BH182" s="73" t="s">
        <v>654</v>
      </c>
      <c r="BI182" s="60" t="str">
        <f>IF(Table43[[#This Row],[SATUAN Fix Win]]&lt;&gt;"","KRT")</f>
        <v>KRT</v>
      </c>
      <c r="BJ182" s="60" t="str">
        <f>IF(Table43[[#This Row],[SATUAN Fix Win]]&lt;&gt;"","GD01")</f>
        <v>GD01</v>
      </c>
      <c r="BK182" s="60">
        <f>IF(Table43[[#This Row],[SATUAN Fix Win]]&lt;&gt;"",11611)</f>
        <v>11611</v>
      </c>
      <c r="BL182" s="60">
        <f>IF(Table43[[#This Row],[SATUAN Fix Win]]&lt;&gt;"",11612)</f>
        <v>11612</v>
      </c>
      <c r="BM182" s="74" t="s">
        <v>655</v>
      </c>
      <c r="BN182" s="60">
        <f>IF(Table43[[#This Row],[SATUAN Fix Win]]&lt;&gt;"",1)</f>
        <v>1</v>
      </c>
      <c r="BO182" s="60" t="s">
        <v>656</v>
      </c>
      <c r="BP182" s="60">
        <f>IFERROR(VLOOKUP(Table43[[#This Row],[Kode Pcpl]],'[1]HEINZ ABC'!$A$4:$E$112,8,0),0)</f>
        <v>0</v>
      </c>
      <c r="BQ182" s="75">
        <f>Table43[[#This Row],[Harga Jual Pcs GT
(-PPN)]]-Table43[[#This Row],[HARGA NAIK GT]]</f>
        <v>15468.55855855856</v>
      </c>
      <c r="BR182" s="60">
        <f>IF(Table43[[#This Row],[HARGA NAIK GT]]=0,Table43[[#This Row],[Harga Jual Pcs GT
(-PPN)]],Table43[[#This Row],[HARGA NAIK GT]])</f>
        <v>15468.55855855856</v>
      </c>
      <c r="BT182" s="58"/>
    </row>
    <row r="183" spans="1:76" x14ac:dyDescent="0.25">
      <c r="A183" s="4" t="str">
        <f>CONCATENATE(Table43[[#This Row],[Kode BARANG Win2]],Table43[[#This Row],[No. Urut
Item Sama]])</f>
        <v>A11100001005101</v>
      </c>
      <c r="B183" s="7">
        <v>1</v>
      </c>
      <c r="C183" s="4">
        <v>159</v>
      </c>
      <c r="D183" s="27">
        <v>190035</v>
      </c>
      <c r="E183" s="27" t="s">
        <v>369</v>
      </c>
      <c r="F183" s="27" t="s">
        <v>374</v>
      </c>
      <c r="G183" s="27">
        <v>1</v>
      </c>
      <c r="H183" s="42" t="s">
        <v>2842</v>
      </c>
      <c r="I183" s="27" t="str">
        <f>Table43[[#This Row],[Nama Jenis Kemasan]]</f>
        <v>JRG</v>
      </c>
      <c r="J183" s="4" t="str">
        <f>TRIM(CONCATENATE(Table43[[#This Row],[Nama            KLP]]," ",Table43[[#This Row],[Nama            Sub KLP]]))</f>
        <v>TOMAT</v>
      </c>
      <c r="K183" s="4" t="str">
        <f>CONCATENATE(Table43[[#This Row],[kode  2 Digit                (hrf+No)]],Table43[[#This Row],[kode  2 Digit                (Nomor)]],Table43[[#This Row],[kode  1 Digit                (Nomor)]])</f>
        <v>A1110</v>
      </c>
      <c r="L183" s="4" t="str">
        <f>IF(AG183="",CONCATENATE(Q183,S183,U183,W183,Y183,AA183,AC183,AE183,Table43[[#This Row],[Tanda Kode Revisi]]),CONCATENATE(Q183,S183,U183,W183,Y183,AA183,AC183,AG183))</f>
        <v>A1110000100510</v>
      </c>
      <c r="M183" s="11">
        <f t="shared" si="6"/>
        <v>14</v>
      </c>
      <c r="N183" s="14" t="str">
        <f>IF(AF183&lt;&gt;"",TRIM(UPPER(CONCATENATE(P183," ",R183," ",T183," ",V183," ",X183," ",Z183," ","X"," ",Table43[[#This Row],[ISI/CTN]]," ",AF183," ",AB183," ",AD183," ",AH183))),TRIM(UPPER(CONCATENATE(P183," ",R183," ",T183," ",V183," ",X183," ",Z183," ","X"," ",Table43[[#This Row],[ISI/CTN]]," ",AB183," ",AD183," ",AH183))))</f>
        <v>ABC TOMAT 5,7 KG X 1 JRG</v>
      </c>
      <c r="O183" s="11">
        <f t="shared" si="7"/>
        <v>24</v>
      </c>
      <c r="P183" s="4" t="s">
        <v>28</v>
      </c>
      <c r="Q183" s="7" t="s">
        <v>85</v>
      </c>
      <c r="R183" s="4" t="s">
        <v>580</v>
      </c>
      <c r="S183" s="43">
        <v>11</v>
      </c>
      <c r="T183" s="44"/>
      <c r="U183" s="7" t="s">
        <v>1</v>
      </c>
      <c r="V183" s="44"/>
      <c r="W183" s="43" t="s">
        <v>1</v>
      </c>
      <c r="Y183" s="45" t="s">
        <v>476</v>
      </c>
      <c r="Z183" s="4" t="s">
        <v>594</v>
      </c>
      <c r="AA183" s="45">
        <v>1005</v>
      </c>
      <c r="AB183" s="4" t="s">
        <v>506</v>
      </c>
      <c r="AC183" s="7" t="s">
        <v>480</v>
      </c>
      <c r="AE183" s="7" t="s">
        <v>1</v>
      </c>
      <c r="AI183" s="7" t="s">
        <v>215</v>
      </c>
      <c r="AJ183" s="7">
        <v>1</v>
      </c>
      <c r="AL183" s="40">
        <f>Table43[[#This Row],[Harga Jual Pcs GT
(-PPN)]]-(Table43[[#This Row],[Harga Jual Pcs GT
(-PPN)]]*6%)</f>
        <v>91787.104504504488</v>
      </c>
      <c r="AM183" s="41">
        <f>Table43[[#This Row],[Harga Beli Pcs
(-PPN)]]*Table43[[#This Row],[ISI/CTN]]</f>
        <v>91787.104504504488</v>
      </c>
      <c r="AN183" s="41">
        <f>Table43[[#This Row],[Harga Beli Pcs
(-PPN)]]*1.11</f>
        <v>101883.68599999999</v>
      </c>
      <c r="AO183" s="41">
        <f>Table43[[#This Row],[Harga Beli Krt
(- PPN)]]*1.11</f>
        <v>101883.68599999999</v>
      </c>
      <c r="AP183" s="41">
        <v>97645.855855855843</v>
      </c>
      <c r="AQ183" s="41">
        <f>Table43[[#This Row],[Harga Jual Pcs GT
(-PPN)]]*Table43[[#This Row],[ISI/CTN]]</f>
        <v>97645.855855855843</v>
      </c>
      <c r="AR183" s="41">
        <f>Table43[[#This Row],[Harga Jual Pcs GT
(-PPN)]]*1.11</f>
        <v>108386.9</v>
      </c>
      <c r="AS183" s="41">
        <f>Table43[[#This Row],[Harga Jual Krt GT
(- PPN)]]*1.11</f>
        <v>108386.9</v>
      </c>
      <c r="AT183" s="41">
        <v>105457.52432432432</v>
      </c>
      <c r="AU183" s="41">
        <f>(Table43[[#This Row],[Harga Jual Pcs MT
(-PPN)]]*Table43[[#This Row],[ISI/CTN]])</f>
        <v>105457.52432432432</v>
      </c>
      <c r="AV183" s="41">
        <f>Table43[[#This Row],[Harga Jual Pcs MT
(-PPN)]]*1.11</f>
        <v>117057.852</v>
      </c>
      <c r="AW183" s="41">
        <f>Table43[[#This Row],[Harga Jual Pcs MT
(+PPN)]]*Table43[[#This Row],[ISI/CTN]]</f>
        <v>117057.852</v>
      </c>
      <c r="AX183" s="41"/>
      <c r="AY183" s="46">
        <v>45553</v>
      </c>
      <c r="AZ183" s="54">
        <v>45839</v>
      </c>
      <c r="BA183" s="7" t="str">
        <f ca="1">IF(TODAY()-Table43[[#This Row],[Efektif
Pembuatan]]&gt;60,"Lama","Baru")</f>
        <v>Lama</v>
      </c>
      <c r="BB183" s="7" t="str">
        <f ca="1">IF(TODAY()-Table43[[#This Row],[Efektif Naik Harga]]&lt;30,"Naik","Sama")</f>
        <v>Sama</v>
      </c>
      <c r="BC183" s="7" t="s">
        <v>235</v>
      </c>
      <c r="BD183" s="7" t="str">
        <f>IF(Table43[[#This Row],[Kode BARANG Win2]]&lt;&gt;"","IDR","")</f>
        <v>IDR</v>
      </c>
      <c r="BE183" s="7" t="str">
        <f>CONCATENATE(Table43[[#This Row],[kode  1 Digit
(Nomor)]],Table43[[#This Row],[kode  4 Digit                (Nomor)]])</f>
        <v>11005</v>
      </c>
      <c r="BF183" s="7" t="str">
        <f>Table43[[#This Row],[Nama            Gramasi atau Jumlah Pack per CTN]]</f>
        <v>5,7 KG</v>
      </c>
      <c r="BG183" s="7" t="s">
        <v>653</v>
      </c>
      <c r="BH183" s="51" t="s">
        <v>654</v>
      </c>
      <c r="BI183" s="4" t="str">
        <f>IF(Table43[[#This Row],[SATUAN Fix Win]]&lt;&gt;"","KRT")</f>
        <v>KRT</v>
      </c>
      <c r="BJ183" s="4" t="str">
        <f>IF(Table43[[#This Row],[SATUAN Fix Win]]&lt;&gt;"","GD01")</f>
        <v>GD01</v>
      </c>
      <c r="BK183" s="4">
        <f>IF(Table43[[#This Row],[SATUAN Fix Win]]&lt;&gt;"",11611)</f>
        <v>11611</v>
      </c>
      <c r="BL183" s="4">
        <f>IF(Table43[[#This Row],[SATUAN Fix Win]]&lt;&gt;"",11612)</f>
        <v>11612</v>
      </c>
      <c r="BM183" s="47" t="s">
        <v>655</v>
      </c>
      <c r="BN183" s="4">
        <f>IF(Table43[[#This Row],[SATUAN Fix Win]]&lt;&gt;"",1)</f>
        <v>1</v>
      </c>
      <c r="BO183" s="4" t="s">
        <v>656</v>
      </c>
      <c r="BP183" s="4">
        <f>IFERROR(VLOOKUP(Table43[[#This Row],[Kode Pcpl]],'[1]HEINZ ABC'!$A$4:$E$112,8,0),0)</f>
        <v>0</v>
      </c>
      <c r="BQ183" s="55">
        <f>Table43[[#This Row],[Harga Jual Pcs GT
(-PPN)]]-Table43[[#This Row],[HARGA NAIK GT]]</f>
        <v>97645.855855855843</v>
      </c>
      <c r="BR183" s="4">
        <f>IF(Table43[[#This Row],[HARGA NAIK GT]]=0,Table43[[#This Row],[Harga Jual Pcs GT
(-PPN)]],Table43[[#This Row],[HARGA NAIK GT]])</f>
        <v>97645.855855855843</v>
      </c>
      <c r="BS183">
        <f>IFERROR(VLOOKUP(Table43[[#This Row],[Kode Pcpl]],'[1]HEINZ ABC'!$A$4:$E$112,8,0),0)</f>
        <v>0</v>
      </c>
      <c r="BT183" s="58">
        <f>Table43[[#This Row],[Harga Jual Pcs GT
(-PPN)]]-BS183</f>
        <v>97645.855855855843</v>
      </c>
      <c r="BU183">
        <f>IF(BS183=0,Table43[[#This Row],[Harga Jual Pcs MT
(-PPN)]])</f>
        <v>105457.52432432432</v>
      </c>
      <c r="BV183">
        <f>IFERROR(VLOOKUP(Table43[[#This Row],[Kode Pcpl]],[2]Pricelist!$A$4:$K$112,11,0),0)</f>
        <v>117057.852</v>
      </c>
      <c r="BW183">
        <f>IFERROR(VLOOKUP(Table43[[#This Row],[Kode BARANG Win2]],[3]!RECKITT211216[[KDBRG]:[HRG_JL_PCS-PPN]],11,0),0)</f>
        <v>0</v>
      </c>
      <c r="BX183">
        <f t="shared" si="8"/>
        <v>105457.52432432432</v>
      </c>
    </row>
    <row r="184" spans="1:76" x14ac:dyDescent="0.25">
      <c r="A184" s="4" t="str">
        <f>CONCATENATE(Table43[[#This Row],[Kode BARANG Win2]],Table43[[#This Row],[No. Urut
Item Sama]])</f>
        <v>A11100001005102</v>
      </c>
      <c r="B184" s="7">
        <v>2</v>
      </c>
      <c r="C184" s="4">
        <v>160</v>
      </c>
      <c r="D184" s="27">
        <v>190051</v>
      </c>
      <c r="E184" s="27" t="s">
        <v>369</v>
      </c>
      <c r="F184" s="27" t="s">
        <v>375</v>
      </c>
      <c r="G184" s="27">
        <v>1</v>
      </c>
      <c r="H184" s="42" t="s">
        <v>2843</v>
      </c>
      <c r="I184" s="27" t="str">
        <f>Table43[[#This Row],[Nama Jenis Kemasan]]</f>
        <v>JRG</v>
      </c>
      <c r="J184" s="4" t="str">
        <f>TRIM(CONCATENATE(Table43[[#This Row],[Nama            KLP]]," ",Table43[[#This Row],[Nama            Sub KLP]]))</f>
        <v>TOMAT</v>
      </c>
      <c r="K184" s="4" t="str">
        <f>CONCATENATE(Table43[[#This Row],[kode  2 Digit                (hrf+No)]],Table43[[#This Row],[kode  2 Digit                (Nomor)]],Table43[[#This Row],[kode  1 Digit                (Nomor)]])</f>
        <v>A1110</v>
      </c>
      <c r="L184" s="4" t="str">
        <f>IF(AG184="",CONCATENATE(Q184,S184,U184,W184,Y184,AA184,AC184,AE184,Table43[[#This Row],[Tanda Kode Revisi]]),CONCATENATE(Q184,S184,U184,W184,Y184,AA184,AC184,AG184))</f>
        <v>A1110000100510</v>
      </c>
      <c r="M184" s="11">
        <f t="shared" si="6"/>
        <v>14</v>
      </c>
      <c r="N184" s="14" t="str">
        <f>IF(AF184&lt;&gt;"",TRIM(UPPER(CONCATENATE(P184," ",R184," ",T184," ",V184," ",X184," ",Z184," ","X"," ",Table43[[#This Row],[ISI/CTN]]," ",AF184," ",AB184," ",AD184," ",AH184))),TRIM(UPPER(CONCATENATE(P184," ",R184," ",T184," ",V184," ",X184," ",Z184," ","X"," ",Table43[[#This Row],[ISI/CTN]]," ",AB184," ",AD184," ",AH184))))</f>
        <v>ABC TOMAT 5,7 KG X 1 JRG</v>
      </c>
      <c r="O184" s="11">
        <f t="shared" si="7"/>
        <v>24</v>
      </c>
      <c r="P184" s="4" t="s">
        <v>28</v>
      </c>
      <c r="Q184" s="7" t="s">
        <v>85</v>
      </c>
      <c r="R184" s="4" t="s">
        <v>580</v>
      </c>
      <c r="S184" s="43">
        <v>11</v>
      </c>
      <c r="T184" s="44"/>
      <c r="U184" s="7" t="s">
        <v>1</v>
      </c>
      <c r="V184" s="44"/>
      <c r="W184" s="43" t="s">
        <v>1</v>
      </c>
      <c r="Y184" s="45" t="s">
        <v>476</v>
      </c>
      <c r="Z184" s="4" t="s">
        <v>594</v>
      </c>
      <c r="AA184" s="45">
        <v>1005</v>
      </c>
      <c r="AB184" s="4" t="s">
        <v>506</v>
      </c>
      <c r="AC184" s="7" t="s">
        <v>480</v>
      </c>
      <c r="AE184" s="7" t="s">
        <v>1</v>
      </c>
      <c r="AI184" s="7" t="s">
        <v>215</v>
      </c>
      <c r="AJ184" s="7">
        <v>1</v>
      </c>
      <c r="AL184" s="40">
        <f>Table43[[#This Row],[Harga Jual Pcs GT
(-PPN)]]-(Table43[[#This Row],[Harga Jual Pcs GT
(-PPN)]]*6%)</f>
        <v>91787.104504504488</v>
      </c>
      <c r="AM184" s="41">
        <f>Table43[[#This Row],[Harga Beli Pcs
(-PPN)]]*Table43[[#This Row],[ISI/CTN]]</f>
        <v>91787.104504504488</v>
      </c>
      <c r="AN184" s="41">
        <f>Table43[[#This Row],[Harga Beli Pcs
(-PPN)]]*1.11</f>
        <v>101883.68599999999</v>
      </c>
      <c r="AO184" s="41">
        <f>Table43[[#This Row],[Harga Beli Krt
(- PPN)]]*1.11</f>
        <v>101883.68599999999</v>
      </c>
      <c r="AP184" s="41">
        <v>97645.855855855843</v>
      </c>
      <c r="AQ184" s="41">
        <f>Table43[[#This Row],[Harga Jual Pcs GT
(-PPN)]]*Table43[[#This Row],[ISI/CTN]]</f>
        <v>97645.855855855843</v>
      </c>
      <c r="AR184" s="41">
        <f>Table43[[#This Row],[Harga Jual Pcs GT
(-PPN)]]*1.11</f>
        <v>108386.9</v>
      </c>
      <c r="AS184" s="41">
        <f>Table43[[#This Row],[Harga Jual Krt GT
(- PPN)]]*1.11</f>
        <v>108386.9</v>
      </c>
      <c r="AT184" s="41">
        <v>105457.52432432432</v>
      </c>
      <c r="AU184" s="41">
        <f>(Table43[[#This Row],[Harga Jual Pcs MT
(-PPN)]]*Table43[[#This Row],[ISI/CTN]])</f>
        <v>105457.52432432432</v>
      </c>
      <c r="AV184" s="41">
        <f>Table43[[#This Row],[Harga Jual Pcs MT
(-PPN)]]*1.11</f>
        <v>117057.852</v>
      </c>
      <c r="AW184" s="41">
        <f>Table43[[#This Row],[Harga Jual Pcs MT
(+PPN)]]*Table43[[#This Row],[ISI/CTN]]</f>
        <v>117057.852</v>
      </c>
      <c r="AX184" s="41"/>
      <c r="AY184" s="46">
        <v>45553</v>
      </c>
      <c r="AZ184" s="54">
        <v>45839</v>
      </c>
      <c r="BA184" s="7" t="str">
        <f ca="1">IF(TODAY()-Table43[[#This Row],[Efektif
Pembuatan]]&gt;60,"Lama","Baru")</f>
        <v>Lama</v>
      </c>
      <c r="BB184" s="7" t="str">
        <f ca="1">IF(TODAY()-Table43[[#This Row],[Efektif Naik Harga]]&lt;30,"Naik","Sama")</f>
        <v>Sama</v>
      </c>
      <c r="BC184" s="7" t="s">
        <v>235</v>
      </c>
      <c r="BD184" s="7" t="str">
        <f>IF(Table43[[#This Row],[Kode BARANG Win2]]&lt;&gt;"","IDR","")</f>
        <v>IDR</v>
      </c>
      <c r="BE184" s="7" t="str">
        <f>CONCATENATE(Table43[[#This Row],[kode  1 Digit
(Nomor)]],Table43[[#This Row],[kode  4 Digit                (Nomor)]])</f>
        <v>11005</v>
      </c>
      <c r="BF184" s="7" t="str">
        <f>Table43[[#This Row],[Nama            Gramasi atau Jumlah Pack per CTN]]</f>
        <v>5,7 KG</v>
      </c>
      <c r="BG184" s="7" t="s">
        <v>653</v>
      </c>
      <c r="BH184" s="51" t="s">
        <v>654</v>
      </c>
      <c r="BI184" s="4" t="str">
        <f>IF(Table43[[#This Row],[SATUAN Fix Win]]&lt;&gt;"","KRT")</f>
        <v>KRT</v>
      </c>
      <c r="BJ184" s="4" t="str">
        <f>IF(Table43[[#This Row],[SATUAN Fix Win]]&lt;&gt;"","GD01")</f>
        <v>GD01</v>
      </c>
      <c r="BK184" s="4">
        <f>IF(Table43[[#This Row],[SATUAN Fix Win]]&lt;&gt;"",11611)</f>
        <v>11611</v>
      </c>
      <c r="BL184" s="4">
        <f>IF(Table43[[#This Row],[SATUAN Fix Win]]&lt;&gt;"",11612)</f>
        <v>11612</v>
      </c>
      <c r="BM184" s="47" t="s">
        <v>655</v>
      </c>
      <c r="BN184" s="4">
        <f>IF(Table43[[#This Row],[SATUAN Fix Win]]&lt;&gt;"",1)</f>
        <v>1</v>
      </c>
      <c r="BO184" s="4" t="s">
        <v>656</v>
      </c>
      <c r="BP184" s="4">
        <f>IFERROR(VLOOKUP(Table43[[#This Row],[Kode Pcpl]],'[1]HEINZ ABC'!$A$4:$E$112,8,0),0)</f>
        <v>0</v>
      </c>
      <c r="BQ184" s="55">
        <f>Table43[[#This Row],[Harga Jual Pcs GT
(-PPN)]]-Table43[[#This Row],[HARGA NAIK GT]]</f>
        <v>97645.855855855843</v>
      </c>
      <c r="BR184" s="4">
        <f>IF(Table43[[#This Row],[HARGA NAIK GT]]=0,Table43[[#This Row],[Harga Jual Pcs GT
(-PPN)]],Table43[[#This Row],[HARGA NAIK GT]])</f>
        <v>97645.855855855843</v>
      </c>
      <c r="BS184">
        <f>IFERROR(VLOOKUP(Table43[[#This Row],[Kode Pcpl]],'[1]HEINZ ABC'!$A$4:$E$112,8,0),0)</f>
        <v>0</v>
      </c>
      <c r="BT184" s="58">
        <f>Table43[[#This Row],[Harga Jual Pcs GT
(-PPN)]]-BS184</f>
        <v>97645.855855855843</v>
      </c>
      <c r="BU184">
        <f>IF(BS184=0,Table43[[#This Row],[Harga Jual Pcs MT
(-PPN)]])</f>
        <v>105457.52432432432</v>
      </c>
      <c r="BV184">
        <f>IFERROR(VLOOKUP(Table43[[#This Row],[Kode Pcpl]],[2]Pricelist!$A$4:$K$112,11,0),0)</f>
        <v>117057.852</v>
      </c>
      <c r="BW184">
        <f>IFERROR(VLOOKUP(Table43[[#This Row],[Kode BARANG Win2]],[3]!RECKITT211216[[KDBRG]:[HRG_JL_PCS-PPN]],11,0),0)</f>
        <v>0</v>
      </c>
      <c r="BX184">
        <f t="shared" si="8"/>
        <v>105457.52432432432</v>
      </c>
    </row>
    <row r="185" spans="1:76" x14ac:dyDescent="0.25">
      <c r="A185" s="4" t="str">
        <f>CONCATENATE(Table43[[#This Row],[Kode BARANG Win2]],Table43[[#This Row],[No. Urut
Item Sama]])</f>
        <v>A11100001005103</v>
      </c>
      <c r="B185" s="7">
        <v>3</v>
      </c>
      <c r="C185" s="4">
        <v>161</v>
      </c>
      <c r="D185" s="27">
        <v>190070</v>
      </c>
      <c r="E185" s="27" t="s">
        <v>369</v>
      </c>
      <c r="F185" s="27" t="s">
        <v>375</v>
      </c>
      <c r="G185" s="27">
        <v>1</v>
      </c>
      <c r="H185" s="42" t="s">
        <v>2837</v>
      </c>
      <c r="I185" s="27" t="str">
        <f>Table43[[#This Row],[Nama Jenis Kemasan]]</f>
        <v>JRG</v>
      </c>
      <c r="J185" s="4" t="str">
        <f>TRIM(CONCATENATE(Table43[[#This Row],[Nama            KLP]]," ",Table43[[#This Row],[Nama            Sub KLP]]))</f>
        <v>TOMAT</v>
      </c>
      <c r="K185" s="4" t="str">
        <f>CONCATENATE(Table43[[#This Row],[kode  2 Digit                (hrf+No)]],Table43[[#This Row],[kode  2 Digit                (Nomor)]],Table43[[#This Row],[kode  1 Digit                (Nomor)]])</f>
        <v>A1110</v>
      </c>
      <c r="L185" s="4" t="str">
        <f>IF(AG185="",CONCATENATE(Q185,S185,U185,W185,Y185,AA185,AC185,AE185,Table43[[#This Row],[Tanda Kode Revisi]]),CONCATENATE(Q185,S185,U185,W185,Y185,AA185,AC185,AG185))</f>
        <v>A1110000100510</v>
      </c>
      <c r="M185" s="11">
        <f t="shared" si="6"/>
        <v>14</v>
      </c>
      <c r="N185" s="14" t="str">
        <f>IF(AF185&lt;&gt;"",TRIM(UPPER(CONCATENATE(P185," ",R185," ",T185," ",V185," ",X185," ",Z185," ","X"," ",Table43[[#This Row],[ISI/CTN]]," ",AF185," ",AB185," ",AD185," ",AH185))),TRIM(UPPER(CONCATENATE(P185," ",R185," ",T185," ",V185," ",X185," ",Z185," ","X"," ",Table43[[#This Row],[ISI/CTN]]," ",AB185," ",AD185," ",AH185))))</f>
        <v>ABC TOMAT 5,7 KG X 1 JRG</v>
      </c>
      <c r="O185" s="11">
        <f t="shared" si="7"/>
        <v>24</v>
      </c>
      <c r="P185" s="4" t="s">
        <v>28</v>
      </c>
      <c r="Q185" s="7" t="s">
        <v>85</v>
      </c>
      <c r="R185" s="4" t="s">
        <v>580</v>
      </c>
      <c r="S185" s="43">
        <v>11</v>
      </c>
      <c r="T185" s="44"/>
      <c r="U185" s="7" t="s">
        <v>1</v>
      </c>
      <c r="V185" s="44"/>
      <c r="W185" s="43" t="s">
        <v>1</v>
      </c>
      <c r="Y185" s="45" t="s">
        <v>476</v>
      </c>
      <c r="Z185" s="4" t="s">
        <v>594</v>
      </c>
      <c r="AA185" s="45">
        <v>1005</v>
      </c>
      <c r="AB185" s="4" t="s">
        <v>506</v>
      </c>
      <c r="AC185" s="7" t="s">
        <v>480</v>
      </c>
      <c r="AE185" s="7" t="s">
        <v>1</v>
      </c>
      <c r="AI185" s="7" t="s">
        <v>215</v>
      </c>
      <c r="AJ185" s="7">
        <v>1</v>
      </c>
      <c r="AL185" s="40">
        <f>Table43[[#This Row],[Harga Jual Pcs GT
(-PPN)]]-(Table43[[#This Row],[Harga Jual Pcs GT
(-PPN)]]*6%)</f>
        <v>91787.104504504488</v>
      </c>
      <c r="AM185" s="41">
        <f>Table43[[#This Row],[Harga Beli Pcs
(-PPN)]]*Table43[[#This Row],[ISI/CTN]]</f>
        <v>91787.104504504488</v>
      </c>
      <c r="AN185" s="41">
        <f>Table43[[#This Row],[Harga Beli Pcs
(-PPN)]]*1.11</f>
        <v>101883.68599999999</v>
      </c>
      <c r="AO185" s="41">
        <f>Table43[[#This Row],[Harga Beli Krt
(- PPN)]]*1.11</f>
        <v>101883.68599999999</v>
      </c>
      <c r="AP185" s="41">
        <v>97645.855855855843</v>
      </c>
      <c r="AQ185" s="41">
        <f>Table43[[#This Row],[Harga Jual Pcs GT
(-PPN)]]*Table43[[#This Row],[ISI/CTN]]</f>
        <v>97645.855855855843</v>
      </c>
      <c r="AR185" s="41">
        <f>Table43[[#This Row],[Harga Jual Pcs GT
(-PPN)]]*1.11</f>
        <v>108386.9</v>
      </c>
      <c r="AS185" s="41">
        <f>Table43[[#This Row],[Harga Jual Krt GT
(- PPN)]]*1.11</f>
        <v>108386.9</v>
      </c>
      <c r="AT185" s="41">
        <v>105457.52432432432</v>
      </c>
      <c r="AU185" s="41">
        <f>(Table43[[#This Row],[Harga Jual Pcs MT
(-PPN)]]*Table43[[#This Row],[ISI/CTN]])</f>
        <v>105457.52432432432</v>
      </c>
      <c r="AV185" s="41">
        <f>Table43[[#This Row],[Harga Jual Pcs MT
(-PPN)]]*1.11</f>
        <v>117057.852</v>
      </c>
      <c r="AW185" s="41">
        <f>Table43[[#This Row],[Harga Jual Pcs MT
(+PPN)]]*Table43[[#This Row],[ISI/CTN]]</f>
        <v>117057.852</v>
      </c>
      <c r="AX185" s="41"/>
      <c r="AY185" s="46">
        <v>45680</v>
      </c>
      <c r="AZ185" s="54">
        <v>45839</v>
      </c>
      <c r="BA185" s="7" t="str">
        <f ca="1">IF(TODAY()-Table43[[#This Row],[Efektif
Pembuatan]]&gt;60,"Lama","Baru")</f>
        <v>Lama</v>
      </c>
      <c r="BB185" s="7" t="str">
        <f ca="1">IF(TODAY()-Table43[[#This Row],[Efektif Naik Harga]]&lt;30,"Naik","Sama")</f>
        <v>Sama</v>
      </c>
      <c r="BC185" s="7" t="s">
        <v>235</v>
      </c>
      <c r="BD185" s="7" t="str">
        <f>IF(Table43[[#This Row],[Kode BARANG Win2]]&lt;&gt;"","IDR","")</f>
        <v>IDR</v>
      </c>
      <c r="BE185" s="7" t="str">
        <f>CONCATENATE(Table43[[#This Row],[kode  1 Digit
(Nomor)]],Table43[[#This Row],[kode  4 Digit                (Nomor)]])</f>
        <v>11005</v>
      </c>
      <c r="BF185" s="7" t="str">
        <f>Table43[[#This Row],[Nama            Gramasi atau Jumlah Pack per CTN]]</f>
        <v>5,7 KG</v>
      </c>
      <c r="BG185" s="7" t="s">
        <v>653</v>
      </c>
      <c r="BH185" s="51" t="s">
        <v>654</v>
      </c>
      <c r="BI185" s="4" t="str">
        <f>IF(Table43[[#This Row],[SATUAN Fix Win]]&lt;&gt;"","KRT")</f>
        <v>KRT</v>
      </c>
      <c r="BJ185" s="4" t="str">
        <f>IF(Table43[[#This Row],[SATUAN Fix Win]]&lt;&gt;"","GD01")</f>
        <v>GD01</v>
      </c>
      <c r="BK185" s="4">
        <f>IF(Table43[[#This Row],[SATUAN Fix Win]]&lt;&gt;"",11611)</f>
        <v>11611</v>
      </c>
      <c r="BL185" s="4">
        <f>IF(Table43[[#This Row],[SATUAN Fix Win]]&lt;&gt;"",11612)</f>
        <v>11612</v>
      </c>
      <c r="BM185" s="47" t="s">
        <v>655</v>
      </c>
      <c r="BN185" s="4">
        <f>IF(Table43[[#This Row],[SATUAN Fix Win]]&lt;&gt;"",1)</f>
        <v>1</v>
      </c>
      <c r="BO185" s="4" t="s">
        <v>656</v>
      </c>
      <c r="BP185" s="4">
        <f>IFERROR(VLOOKUP(Table43[[#This Row],[Kode Pcpl]],'[1]HEINZ ABC'!$A$4:$E$112,8,0),0)</f>
        <v>0</v>
      </c>
      <c r="BQ185" s="55">
        <f>Table43[[#This Row],[Harga Jual Pcs GT
(-PPN)]]-Table43[[#This Row],[HARGA NAIK GT]]</f>
        <v>97645.855855855843</v>
      </c>
      <c r="BR185" s="4">
        <f>IF(Table43[[#This Row],[HARGA NAIK GT]]=0,Table43[[#This Row],[Harga Jual Pcs GT
(-PPN)]],Table43[[#This Row],[HARGA NAIK GT]])</f>
        <v>97645.855855855843</v>
      </c>
      <c r="BS185">
        <f>IFERROR(VLOOKUP(Table43[[#This Row],[Kode Pcpl]],'[1]HEINZ ABC'!$A$4:$E$112,8,0),0)</f>
        <v>0</v>
      </c>
      <c r="BT185" s="58">
        <f>Table43[[#This Row],[Harga Jual Pcs GT
(-PPN)]]-BS185</f>
        <v>97645.855855855843</v>
      </c>
      <c r="BU185">
        <f>IF(BS185=0,Table43[[#This Row],[Harga Jual Pcs MT
(-PPN)]])</f>
        <v>105457.52432432432</v>
      </c>
      <c r="BV185">
        <f>IFERROR(VLOOKUP(Table43[[#This Row],[Kode Pcpl]],[2]Pricelist!$A$4:$K$112,11,0),0)</f>
        <v>117057.852</v>
      </c>
      <c r="BW185">
        <f>IFERROR(VLOOKUP(Table43[[#This Row],[Kode BARANG Win2]],[3]!RECKITT211216[[KDBRG]:[HRG_JL_PCS-PPN]],11,0),0)</f>
        <v>0</v>
      </c>
      <c r="BX185">
        <f t="shared" si="8"/>
        <v>105457.52432432432</v>
      </c>
    </row>
    <row r="186" spans="1:76" x14ac:dyDescent="0.25">
      <c r="A186" s="4" t="str">
        <f>CONCATENATE(Table43[[#This Row],[Kode BARANG Win2]],Table43[[#This Row],[No. Urut
Item Sama]])</f>
        <v>A11100011001101</v>
      </c>
      <c r="B186" s="7">
        <v>1</v>
      </c>
      <c r="C186" s="4">
        <v>162</v>
      </c>
      <c r="D186" s="27">
        <v>190036</v>
      </c>
      <c r="E186" s="27" t="s">
        <v>369</v>
      </c>
      <c r="F186" s="27" t="s">
        <v>376</v>
      </c>
      <c r="G186" s="27">
        <v>6</v>
      </c>
      <c r="H186" s="42" t="s">
        <v>2853</v>
      </c>
      <c r="I186" s="27" t="str">
        <f>Table43[[#This Row],[Nama Jenis Kemasan]]</f>
        <v>PCS</v>
      </c>
      <c r="J186" s="4" t="str">
        <f>TRIM(CONCATENATE(Table43[[#This Row],[Nama            KLP]]," ",Table43[[#This Row],[Nama            Sub KLP]]))</f>
        <v>TOMAT</v>
      </c>
      <c r="K186" s="4" t="str">
        <f>CONCATENATE(Table43[[#This Row],[kode  2 Digit                (hrf+No)]],Table43[[#This Row],[kode  2 Digit                (Nomor)]],Table43[[#This Row],[kode  1 Digit                (Nomor)]])</f>
        <v>A1110</v>
      </c>
      <c r="L186" s="4" t="str">
        <f>IF(AG186="",CONCATENATE(Q186,S186,U186,W186,Y186,AA186,AC186,AE186,Table43[[#This Row],[Tanda Kode Revisi]]),CONCATENATE(Q186,S186,U186,W186,Y186,AA186,AC186,AG186))</f>
        <v>A1110001100110</v>
      </c>
      <c r="M186" s="11">
        <f t="shared" si="6"/>
        <v>14</v>
      </c>
      <c r="N186" s="14" t="str">
        <f>IF(AF186&lt;&gt;"",TRIM(UPPER(CONCATENATE(P186," ",R186," ",T186," ",V186," ",X186," ",Z186," ","X"," ",Table43[[#This Row],[ISI/CTN]]," ",AF186," ",AB186," ",AD186," ",AH186))),TRIM(UPPER(CONCATENATE(P186," ",R186," ",T186," ",V186," ",X186," ",Z186," ","X"," ",Table43[[#This Row],[ISI/CTN]]," ",AB186," ",AD186," ",AH186))))</f>
        <v>ABC TOMAT PILLOW 1 KG X 6 PCS</v>
      </c>
      <c r="O186" s="11">
        <f t="shared" si="7"/>
        <v>29</v>
      </c>
      <c r="P186" s="4" t="s">
        <v>28</v>
      </c>
      <c r="Q186" s="7" t="s">
        <v>85</v>
      </c>
      <c r="R186" s="4" t="s">
        <v>580</v>
      </c>
      <c r="S186" s="43">
        <v>11</v>
      </c>
      <c r="T186" s="44"/>
      <c r="U186" s="7">
        <v>0</v>
      </c>
      <c r="V186" s="44"/>
      <c r="W186" s="43" t="s">
        <v>1</v>
      </c>
      <c r="X186" s="4" t="s">
        <v>595</v>
      </c>
      <c r="Y186" s="45" t="s">
        <v>0</v>
      </c>
      <c r="Z186" s="4" t="s">
        <v>596</v>
      </c>
      <c r="AA186" s="45">
        <v>1001</v>
      </c>
      <c r="AB186" s="4" t="s">
        <v>552</v>
      </c>
      <c r="AC186" s="7" t="s">
        <v>480</v>
      </c>
      <c r="AE186" s="7" t="s">
        <v>1</v>
      </c>
      <c r="AI186" s="7" t="s">
        <v>215</v>
      </c>
      <c r="AJ186" s="7">
        <v>1</v>
      </c>
      <c r="AL186" s="40">
        <f>Table43[[#This Row],[Harga Jual Pcs GT
(-PPN)]]-(Table43[[#This Row],[Harga Jual Pcs GT
(-PPN)]]*6%)</f>
        <v>16241.336936936937</v>
      </c>
      <c r="AM186" s="41">
        <f>Table43[[#This Row],[Harga Beli Pcs
(-PPN)]]*Table43[[#This Row],[ISI/CTN]]</f>
        <v>97448.021621621621</v>
      </c>
      <c r="AN186" s="41">
        <f>Table43[[#This Row],[Harga Beli Pcs
(-PPN)]]*1.11</f>
        <v>18027.884000000002</v>
      </c>
      <c r="AO186" s="41">
        <f>Table43[[#This Row],[Harga Beli Krt
(- PPN)]]*1.11</f>
        <v>108167.304</v>
      </c>
      <c r="AP186" s="41">
        <v>17278.018018018018</v>
      </c>
      <c r="AQ186" s="41">
        <f>Table43[[#This Row],[Harga Jual Pcs GT
(-PPN)]]*Table43[[#This Row],[ISI/CTN]]</f>
        <v>103668.10810810811</v>
      </c>
      <c r="AR186" s="41">
        <f>Table43[[#This Row],[Harga Jual Pcs GT
(-PPN)]]*1.11</f>
        <v>19178.600000000002</v>
      </c>
      <c r="AS186" s="41">
        <f>Table43[[#This Row],[Harga Jual Krt GT
(- PPN)]]*1.11</f>
        <v>115071.6</v>
      </c>
      <c r="AT186" s="41">
        <v>18660.259459459459</v>
      </c>
      <c r="AU186" s="41">
        <f>(Table43[[#This Row],[Harga Jual Pcs MT
(-PPN)]]*Table43[[#This Row],[ISI/CTN]])</f>
        <v>111961.55675675676</v>
      </c>
      <c r="AV186" s="41">
        <f>Table43[[#This Row],[Harga Jual Pcs MT
(-PPN)]]*1.11</f>
        <v>20712.888000000003</v>
      </c>
      <c r="AW186" s="41">
        <f>Table43[[#This Row],[Harga Jual Pcs MT
(+PPN)]]*Table43[[#This Row],[ISI/CTN]]</f>
        <v>124277.32800000001</v>
      </c>
      <c r="AX186" s="41"/>
      <c r="AY186" s="46">
        <v>45553</v>
      </c>
      <c r="AZ186" s="54">
        <v>45839</v>
      </c>
      <c r="BA186" s="7" t="str">
        <f ca="1">IF(TODAY()-Table43[[#This Row],[Efektif
Pembuatan]]&gt;60,"Lama","Baru")</f>
        <v>Lama</v>
      </c>
      <c r="BB186" s="7" t="str">
        <f ca="1">IF(TODAY()-Table43[[#This Row],[Efektif Naik Harga]]&lt;30,"Naik","Sama")</f>
        <v>Sama</v>
      </c>
      <c r="BC186" s="7" t="s">
        <v>235</v>
      </c>
      <c r="BD186" s="7" t="str">
        <f>IF(Table43[[#This Row],[Kode BARANG Win2]]&lt;&gt;"","IDR","")</f>
        <v>IDR</v>
      </c>
      <c r="BE186" s="7" t="str">
        <f>CONCATENATE(Table43[[#This Row],[kode  1 Digit
(Nomor)]],Table43[[#This Row],[kode  4 Digit                (Nomor)]])</f>
        <v>11001</v>
      </c>
      <c r="BF186" s="7" t="str">
        <f>Table43[[#This Row],[Nama            Gramasi atau Jumlah Pack per CTN]]</f>
        <v>1 KG</v>
      </c>
      <c r="BG186" s="7" t="s">
        <v>653</v>
      </c>
      <c r="BH186" s="51" t="s">
        <v>654</v>
      </c>
      <c r="BI186" s="4" t="str">
        <f>IF(Table43[[#This Row],[SATUAN Fix Win]]&lt;&gt;"","KRT")</f>
        <v>KRT</v>
      </c>
      <c r="BJ186" s="4" t="str">
        <f>IF(Table43[[#This Row],[SATUAN Fix Win]]&lt;&gt;"","GD01")</f>
        <v>GD01</v>
      </c>
      <c r="BK186" s="4">
        <f>IF(Table43[[#This Row],[SATUAN Fix Win]]&lt;&gt;"",11611)</f>
        <v>11611</v>
      </c>
      <c r="BL186" s="4">
        <f>IF(Table43[[#This Row],[SATUAN Fix Win]]&lt;&gt;"",11612)</f>
        <v>11612</v>
      </c>
      <c r="BM186" s="47" t="s">
        <v>655</v>
      </c>
      <c r="BN186" s="4">
        <f>IF(Table43[[#This Row],[SATUAN Fix Win]]&lt;&gt;"",1)</f>
        <v>1</v>
      </c>
      <c r="BO186" s="4" t="s">
        <v>656</v>
      </c>
      <c r="BP186" s="4">
        <f>IFERROR(VLOOKUP(Table43[[#This Row],[Kode Pcpl]],'[1]HEINZ ABC'!$A$4:$E$112,8,0),0)</f>
        <v>0</v>
      </c>
      <c r="BQ186" s="55">
        <f>Table43[[#This Row],[Harga Jual Pcs GT
(-PPN)]]-Table43[[#This Row],[HARGA NAIK GT]]</f>
        <v>17278.018018018018</v>
      </c>
      <c r="BR186" s="4">
        <f>IF(Table43[[#This Row],[HARGA NAIK GT]]=0,Table43[[#This Row],[Harga Jual Pcs GT
(-PPN)]],Table43[[#This Row],[HARGA NAIK GT]])</f>
        <v>17278.018018018018</v>
      </c>
      <c r="BS186">
        <f>IFERROR(VLOOKUP(Table43[[#This Row],[Kode Pcpl]],'[1]HEINZ ABC'!$A$4:$E$112,8,0),0)</f>
        <v>0</v>
      </c>
      <c r="BT186" s="58">
        <f>Table43[[#This Row],[Harga Jual Pcs GT
(-PPN)]]-BS186</f>
        <v>17278.018018018018</v>
      </c>
      <c r="BU186">
        <f>IF(BS186=0,Table43[[#This Row],[Harga Jual Pcs MT
(-PPN)]])</f>
        <v>18660.259459459459</v>
      </c>
      <c r="BV186">
        <f>IFERROR(VLOOKUP(Table43[[#This Row],[Kode Pcpl]],[2]Pricelist!$A$4:$K$112,11,0),0)</f>
        <v>20712.888000000003</v>
      </c>
      <c r="BW186">
        <f>IFERROR(VLOOKUP(Table43[[#This Row],[Kode BARANG Win2]],[3]!RECKITT211216[[KDBRG]:[HRG_JL_PCS-PPN]],11,0),0)</f>
        <v>0</v>
      </c>
      <c r="BX186">
        <f t="shared" si="8"/>
        <v>18660.259459459459</v>
      </c>
    </row>
    <row r="187" spans="1:76" x14ac:dyDescent="0.25">
      <c r="A187" s="4" t="str">
        <f>CONCATENATE(Table43[[#This Row],[Kode BARANG Win2]],Table43[[#This Row],[No. Urut
Item Sama]])</f>
        <v>A11100011001102</v>
      </c>
      <c r="B187" s="7">
        <v>2</v>
      </c>
      <c r="C187" s="4">
        <v>163</v>
      </c>
      <c r="D187" s="27">
        <v>190043</v>
      </c>
      <c r="E187" s="27" t="s">
        <v>369</v>
      </c>
      <c r="F187" s="27" t="s">
        <v>377</v>
      </c>
      <c r="G187" s="27">
        <v>6</v>
      </c>
      <c r="H187" s="42" t="s">
        <v>2844</v>
      </c>
      <c r="I187" s="27" t="str">
        <f>Table43[[#This Row],[Nama Jenis Kemasan]]</f>
        <v>PCS</v>
      </c>
      <c r="J187" s="4" t="str">
        <f>TRIM(CONCATENATE(Table43[[#This Row],[Nama            KLP]]," ",Table43[[#This Row],[Nama            Sub KLP]]))</f>
        <v>TOMAT</v>
      </c>
      <c r="K187" s="4" t="str">
        <f>CONCATENATE(Table43[[#This Row],[kode  2 Digit                (hrf+No)]],Table43[[#This Row],[kode  2 Digit                (Nomor)]],Table43[[#This Row],[kode  1 Digit                (Nomor)]])</f>
        <v>A1110</v>
      </c>
      <c r="L187" s="4" t="str">
        <f>IF(AG187="",CONCATENATE(Q187,S187,U187,W187,Y187,AA187,AC187,AE187,Table43[[#This Row],[Tanda Kode Revisi]]),CONCATENATE(Q187,S187,U187,W187,Y187,AA187,AC187,AG187))</f>
        <v>A1110001100110</v>
      </c>
      <c r="M187" s="11">
        <f t="shared" si="6"/>
        <v>14</v>
      </c>
      <c r="N187" s="14" t="str">
        <f>IF(AF187&lt;&gt;"",TRIM(UPPER(CONCATENATE(P187," ",R187," ",T187," ",V187," ",X187," ",Z187," ","X"," ",Table43[[#This Row],[ISI/CTN]]," ",AF187," ",AB187," ",AD187," ",AH187))),TRIM(UPPER(CONCATENATE(P187," ",R187," ",T187," ",V187," ",X187," ",Z187," ","X"," ",Table43[[#This Row],[ISI/CTN]]," ",AB187," ",AD187," ",AH187))))</f>
        <v>ABC TOMAT PILLOW 1 KG X 6 PCS</v>
      </c>
      <c r="O187" s="11">
        <f t="shared" si="7"/>
        <v>29</v>
      </c>
      <c r="P187" s="4" t="s">
        <v>28</v>
      </c>
      <c r="Q187" s="7" t="s">
        <v>85</v>
      </c>
      <c r="R187" s="4" t="s">
        <v>580</v>
      </c>
      <c r="S187" s="43">
        <v>11</v>
      </c>
      <c r="T187" s="44"/>
      <c r="U187" s="7">
        <v>0</v>
      </c>
      <c r="V187" s="44"/>
      <c r="W187" s="43" t="s">
        <v>1</v>
      </c>
      <c r="X187" s="4" t="s">
        <v>595</v>
      </c>
      <c r="Y187" s="45" t="s">
        <v>0</v>
      </c>
      <c r="Z187" s="4" t="s">
        <v>596</v>
      </c>
      <c r="AA187" s="45">
        <v>1001</v>
      </c>
      <c r="AB187" s="4" t="s">
        <v>552</v>
      </c>
      <c r="AC187" s="7" t="s">
        <v>480</v>
      </c>
      <c r="AE187" s="7" t="s">
        <v>1</v>
      </c>
      <c r="AI187" s="7" t="s">
        <v>215</v>
      </c>
      <c r="AJ187" s="7">
        <v>1</v>
      </c>
      <c r="AL187" s="40">
        <f>Table43[[#This Row],[Harga Jual Pcs GT
(-PPN)]]-(Table43[[#This Row],[Harga Jual Pcs GT
(-PPN)]]*6%)</f>
        <v>16241.336936936937</v>
      </c>
      <c r="AM187" s="41">
        <f>Table43[[#This Row],[Harga Beli Pcs
(-PPN)]]*Table43[[#This Row],[ISI/CTN]]</f>
        <v>97448.021621621621</v>
      </c>
      <c r="AN187" s="41">
        <f>Table43[[#This Row],[Harga Beli Pcs
(-PPN)]]*1.11</f>
        <v>18027.884000000002</v>
      </c>
      <c r="AO187" s="41">
        <f>Table43[[#This Row],[Harga Beli Krt
(- PPN)]]*1.11</f>
        <v>108167.304</v>
      </c>
      <c r="AP187" s="41">
        <v>17278.018018018018</v>
      </c>
      <c r="AQ187" s="41">
        <f>Table43[[#This Row],[Harga Jual Pcs GT
(-PPN)]]*Table43[[#This Row],[ISI/CTN]]</f>
        <v>103668.10810810811</v>
      </c>
      <c r="AR187" s="41">
        <f>Table43[[#This Row],[Harga Jual Pcs GT
(-PPN)]]*1.11</f>
        <v>19178.600000000002</v>
      </c>
      <c r="AS187" s="41">
        <f>Table43[[#This Row],[Harga Jual Krt GT
(- PPN)]]*1.11</f>
        <v>115071.6</v>
      </c>
      <c r="AT187" s="41">
        <v>18660.259459459459</v>
      </c>
      <c r="AU187" s="41">
        <f>(Table43[[#This Row],[Harga Jual Pcs MT
(-PPN)]]*Table43[[#This Row],[ISI/CTN]])</f>
        <v>111961.55675675676</v>
      </c>
      <c r="AV187" s="41">
        <f>Table43[[#This Row],[Harga Jual Pcs MT
(-PPN)]]*1.11</f>
        <v>20712.888000000003</v>
      </c>
      <c r="AW187" s="41">
        <f>Table43[[#This Row],[Harga Jual Pcs MT
(+PPN)]]*Table43[[#This Row],[ISI/CTN]]</f>
        <v>124277.32800000001</v>
      </c>
      <c r="AX187" s="41"/>
      <c r="AY187" s="46">
        <v>45553</v>
      </c>
      <c r="AZ187" s="54">
        <v>45839</v>
      </c>
      <c r="BA187" s="7" t="str">
        <f ca="1">IF(TODAY()-Table43[[#This Row],[Efektif
Pembuatan]]&gt;60,"Lama","Baru")</f>
        <v>Lama</v>
      </c>
      <c r="BB187" s="7" t="str">
        <f ca="1">IF(TODAY()-Table43[[#This Row],[Efektif Naik Harga]]&lt;30,"Naik","Sama")</f>
        <v>Sama</v>
      </c>
      <c r="BC187" s="7" t="s">
        <v>235</v>
      </c>
      <c r="BD187" s="7" t="str">
        <f>IF(Table43[[#This Row],[Kode BARANG Win2]]&lt;&gt;"","IDR","")</f>
        <v>IDR</v>
      </c>
      <c r="BE187" s="7" t="str">
        <f>CONCATENATE(Table43[[#This Row],[kode  1 Digit
(Nomor)]],Table43[[#This Row],[kode  4 Digit                (Nomor)]])</f>
        <v>11001</v>
      </c>
      <c r="BF187" s="7" t="str">
        <f>Table43[[#This Row],[Nama            Gramasi atau Jumlah Pack per CTN]]</f>
        <v>1 KG</v>
      </c>
      <c r="BG187" s="7" t="s">
        <v>653</v>
      </c>
      <c r="BH187" s="51" t="s">
        <v>654</v>
      </c>
      <c r="BI187" s="4" t="str">
        <f>IF(Table43[[#This Row],[SATUAN Fix Win]]&lt;&gt;"","KRT")</f>
        <v>KRT</v>
      </c>
      <c r="BJ187" s="4" t="str">
        <f>IF(Table43[[#This Row],[SATUAN Fix Win]]&lt;&gt;"","GD01")</f>
        <v>GD01</v>
      </c>
      <c r="BK187" s="4">
        <f>IF(Table43[[#This Row],[SATUAN Fix Win]]&lt;&gt;"",11611)</f>
        <v>11611</v>
      </c>
      <c r="BL187" s="4">
        <f>IF(Table43[[#This Row],[SATUAN Fix Win]]&lt;&gt;"",11612)</f>
        <v>11612</v>
      </c>
      <c r="BM187" s="47" t="s">
        <v>655</v>
      </c>
      <c r="BN187" s="4">
        <f>IF(Table43[[#This Row],[SATUAN Fix Win]]&lt;&gt;"",1)</f>
        <v>1</v>
      </c>
      <c r="BO187" s="4" t="s">
        <v>656</v>
      </c>
      <c r="BP187" s="4">
        <f>IFERROR(VLOOKUP(Table43[[#This Row],[Kode Pcpl]],'[1]HEINZ ABC'!$A$4:$E$112,8,0),0)</f>
        <v>0</v>
      </c>
      <c r="BQ187" s="55">
        <f>Table43[[#This Row],[Harga Jual Pcs GT
(-PPN)]]-Table43[[#This Row],[HARGA NAIK GT]]</f>
        <v>17278.018018018018</v>
      </c>
      <c r="BR187" s="4">
        <f>IF(Table43[[#This Row],[HARGA NAIK GT]]=0,Table43[[#This Row],[Harga Jual Pcs GT
(-PPN)]],Table43[[#This Row],[HARGA NAIK GT]])</f>
        <v>17278.018018018018</v>
      </c>
      <c r="BT187" s="58"/>
    </row>
    <row r="188" spans="1:76" x14ac:dyDescent="0.25">
      <c r="A188" s="4" t="str">
        <f>CONCATENATE(Table43[[#This Row],[Kode BARANG Win2]],Table43[[#This Row],[No. Urut
Item Sama]])</f>
        <v>A11100011001103</v>
      </c>
      <c r="B188" s="7">
        <v>3</v>
      </c>
      <c r="C188" s="4">
        <v>164</v>
      </c>
      <c r="D188" s="27">
        <v>190069</v>
      </c>
      <c r="E188" s="27" t="s">
        <v>369</v>
      </c>
      <c r="F188" s="27" t="s">
        <v>1015</v>
      </c>
      <c r="G188" s="27">
        <v>6</v>
      </c>
      <c r="H188" s="42" t="s">
        <v>2838</v>
      </c>
      <c r="I188" s="27" t="str">
        <f>Table43[[#This Row],[Nama Jenis Kemasan]]</f>
        <v>PCS</v>
      </c>
      <c r="J188" s="4" t="str">
        <f>TRIM(CONCATENATE(Table43[[#This Row],[Nama            KLP]]," ",Table43[[#This Row],[Nama            Sub KLP]]))</f>
        <v>TOMAT</v>
      </c>
      <c r="K188" s="4" t="str">
        <f>CONCATENATE(Table43[[#This Row],[kode  2 Digit                (hrf+No)]],Table43[[#This Row],[kode  2 Digit                (Nomor)]],Table43[[#This Row],[kode  1 Digit                (Nomor)]])</f>
        <v>A1110</v>
      </c>
      <c r="L188" s="4" t="str">
        <f>IF(AG188="",CONCATENATE(Q188,S188,U188,W188,Y188,AA188,AC188,AE188,Table43[[#This Row],[Tanda Kode Revisi]]),CONCATENATE(Q188,S188,U188,W188,Y188,AA188,AC188,AG188))</f>
        <v>A1110001100110</v>
      </c>
      <c r="M188" s="11">
        <f t="shared" si="6"/>
        <v>14</v>
      </c>
      <c r="N188" s="14" t="str">
        <f>IF(AF188&lt;&gt;"",TRIM(UPPER(CONCATENATE(P188," ",R188," ",T188," ",V188," ",X188," ",Z188," ","X"," ",Table43[[#This Row],[ISI/CTN]]," ",AF188," ",AB188," ",AD188," ",AH188))),TRIM(UPPER(CONCATENATE(P188," ",R188," ",T188," ",V188," ",X188," ",Z188," ","X"," ",Table43[[#This Row],[ISI/CTN]]," ",AB188," ",AD188," ",AH188))))</f>
        <v>ABC TOMAT PILLOW 1 KG X 6 PCS</v>
      </c>
      <c r="O188" s="11">
        <f t="shared" si="7"/>
        <v>29</v>
      </c>
      <c r="P188" s="4" t="s">
        <v>28</v>
      </c>
      <c r="Q188" s="7" t="s">
        <v>85</v>
      </c>
      <c r="R188" s="4" t="s">
        <v>580</v>
      </c>
      <c r="S188" s="43">
        <v>11</v>
      </c>
      <c r="T188" s="44"/>
      <c r="U188" s="7">
        <v>0</v>
      </c>
      <c r="V188" s="44"/>
      <c r="W188" s="43" t="s">
        <v>1</v>
      </c>
      <c r="X188" s="4" t="s">
        <v>595</v>
      </c>
      <c r="Y188" s="45" t="s">
        <v>0</v>
      </c>
      <c r="Z188" s="4" t="s">
        <v>596</v>
      </c>
      <c r="AA188" s="45">
        <v>1001</v>
      </c>
      <c r="AB188" s="4" t="s">
        <v>552</v>
      </c>
      <c r="AC188" s="7" t="s">
        <v>480</v>
      </c>
      <c r="AE188" s="7" t="s">
        <v>1</v>
      </c>
      <c r="AI188" s="7" t="s">
        <v>215</v>
      </c>
      <c r="AJ188" s="7">
        <v>1</v>
      </c>
      <c r="AL188" s="40">
        <f>Table43[[#This Row],[Harga Jual Pcs GT
(-PPN)]]-(Table43[[#This Row],[Harga Jual Pcs GT
(-PPN)]]*6%)</f>
        <v>16241.336936936937</v>
      </c>
      <c r="AM188" s="41">
        <f>Table43[[#This Row],[Harga Beli Pcs
(-PPN)]]*Table43[[#This Row],[ISI/CTN]]</f>
        <v>97448.021621621621</v>
      </c>
      <c r="AN188" s="41">
        <f>Table43[[#This Row],[Harga Beli Pcs
(-PPN)]]*1.11</f>
        <v>18027.884000000002</v>
      </c>
      <c r="AO188" s="41">
        <f>Table43[[#This Row],[Harga Beli Krt
(- PPN)]]*1.11</f>
        <v>108167.304</v>
      </c>
      <c r="AP188" s="41">
        <v>17278.018018018018</v>
      </c>
      <c r="AQ188" s="41">
        <f>Table43[[#This Row],[Harga Jual Pcs GT
(-PPN)]]*Table43[[#This Row],[ISI/CTN]]</f>
        <v>103668.10810810811</v>
      </c>
      <c r="AR188" s="41">
        <f>Table43[[#This Row],[Harga Jual Pcs GT
(-PPN)]]*1.11</f>
        <v>19178.600000000002</v>
      </c>
      <c r="AS188" s="41">
        <f>Table43[[#This Row],[Harga Jual Krt GT
(- PPN)]]*1.11</f>
        <v>115071.6</v>
      </c>
      <c r="AT188" s="41">
        <v>18660.259459459459</v>
      </c>
      <c r="AU188" s="41">
        <f>(Table43[[#This Row],[Harga Jual Pcs MT
(-PPN)]]*Table43[[#This Row],[ISI/CTN]])</f>
        <v>111961.55675675676</v>
      </c>
      <c r="AV188" s="41">
        <f>Table43[[#This Row],[Harga Jual Pcs MT
(-PPN)]]*1.11</f>
        <v>20712.888000000003</v>
      </c>
      <c r="AW188" s="41">
        <f>Table43[[#This Row],[Harga Jual Pcs MT
(+PPN)]]*Table43[[#This Row],[ISI/CTN]]</f>
        <v>124277.32800000001</v>
      </c>
      <c r="AX188" s="41"/>
      <c r="AY188" s="46"/>
      <c r="AZ188" s="54">
        <v>45839</v>
      </c>
      <c r="BA188" s="7" t="str">
        <f ca="1">IF(TODAY()-Table43[[#This Row],[Efektif
Pembuatan]]&gt;60,"Lama","Baru")</f>
        <v>Lama</v>
      </c>
      <c r="BB188" s="7" t="str">
        <f ca="1">IF(TODAY()-Table43[[#This Row],[Efektif Naik Harga]]&lt;30,"Naik","Sama")</f>
        <v>Sama</v>
      </c>
      <c r="BC188" s="7"/>
      <c r="BD188" s="7" t="str">
        <f>IF(Table43[[#This Row],[Kode BARANG Win2]]&lt;&gt;"","IDR","")</f>
        <v>IDR</v>
      </c>
      <c r="BE188" s="7" t="str">
        <f>CONCATENATE(Table43[[#This Row],[kode  1 Digit
(Nomor)]],Table43[[#This Row],[kode  4 Digit                (Nomor)]])</f>
        <v>11001</v>
      </c>
      <c r="BF188" s="7" t="str">
        <f>Table43[[#This Row],[Nama            Gramasi atau Jumlah Pack per CTN]]</f>
        <v>1 KG</v>
      </c>
      <c r="BG188" s="7"/>
      <c r="BH188" s="51"/>
      <c r="BI188" s="4" t="str">
        <f>IF(Table43[[#This Row],[SATUAN Fix Win]]&lt;&gt;"","KRT")</f>
        <v>KRT</v>
      </c>
      <c r="BJ188" s="4" t="str">
        <f>IF(Table43[[#This Row],[SATUAN Fix Win]]&lt;&gt;"","GD01")</f>
        <v>GD01</v>
      </c>
      <c r="BK188" s="4">
        <f>IF(Table43[[#This Row],[SATUAN Fix Win]]&lt;&gt;"",11611)</f>
        <v>11611</v>
      </c>
      <c r="BL188" s="4">
        <f>IF(Table43[[#This Row],[SATUAN Fix Win]]&lt;&gt;"",11612)</f>
        <v>11612</v>
      </c>
      <c r="BM188" s="47" t="s">
        <v>655</v>
      </c>
      <c r="BN188" s="4">
        <f>IF(Table43[[#This Row],[SATUAN Fix Win]]&lt;&gt;"",1)</f>
        <v>1</v>
      </c>
      <c r="BO188" s="4" t="s">
        <v>656</v>
      </c>
      <c r="BP188" s="4">
        <f>IFERROR(VLOOKUP(Table43[[#This Row],[Kode Pcpl]],'[1]HEINZ ABC'!$A$4:$E$112,8,0),0)</f>
        <v>0</v>
      </c>
      <c r="BQ188" s="55">
        <f>Table43[[#This Row],[Harga Jual Pcs GT
(-PPN)]]-Table43[[#This Row],[HARGA NAIK GT]]</f>
        <v>17278.018018018018</v>
      </c>
      <c r="BR188" s="4">
        <f>IF(Table43[[#This Row],[HARGA NAIK GT]]=0,Table43[[#This Row],[Harga Jual Pcs GT
(-PPN)]],Table43[[#This Row],[HARGA NAIK GT]])</f>
        <v>17278.018018018018</v>
      </c>
      <c r="BS188">
        <f>IFERROR(VLOOKUP(Table43[[#This Row],[Kode Pcpl]],'[1]HEINZ ABC'!$A$4:$E$112,8,0),0)</f>
        <v>0</v>
      </c>
      <c r="BT188" s="58">
        <f>Table43[[#This Row],[Harga Jual Pcs GT
(-PPN)]]-BS188</f>
        <v>17278.018018018018</v>
      </c>
      <c r="BU188">
        <f>IF(BS188=0,Table43[[#This Row],[Harga Jual Pcs MT
(-PPN)]])</f>
        <v>18660.259459459459</v>
      </c>
      <c r="BV188">
        <f>IFERROR(VLOOKUP(Table43[[#This Row],[Kode Pcpl]],[2]Pricelist!$A$4:$K$112,11,0),0)</f>
        <v>20712.888000000003</v>
      </c>
      <c r="BW188">
        <f>IFERROR(VLOOKUP(Table43[[#This Row],[Kode BARANG Win2]],[3]!RECKITT211216[[KDBRG]:[HRG_JL_PCS-PPN]],11,0),0)</f>
        <v>0</v>
      </c>
      <c r="BX188">
        <f t="shared" si="8"/>
        <v>18660.259459459459</v>
      </c>
    </row>
    <row r="189" spans="1:76" x14ac:dyDescent="0.25">
      <c r="A189" s="4" t="str">
        <f>CONCATENATE(Table43[[#This Row],[Kode BARANG Win2]],Table43[[#This Row],[No. Urut
Item Sama]])</f>
        <v>A11110010125101</v>
      </c>
      <c r="B189" s="7">
        <v>1</v>
      </c>
      <c r="C189" s="4">
        <v>165</v>
      </c>
      <c r="D189" s="27">
        <v>190039</v>
      </c>
      <c r="E189" s="27" t="s">
        <v>369</v>
      </c>
      <c r="F189" s="27" t="s">
        <v>378</v>
      </c>
      <c r="G189" s="27">
        <v>48</v>
      </c>
      <c r="H189" s="42">
        <v>0</v>
      </c>
      <c r="I189" s="27" t="str">
        <f>Table43[[#This Row],[Nama Jenis Kemasan]]</f>
        <v>PCH</v>
      </c>
      <c r="J189" s="4" t="str">
        <f>TRIM(CONCATENATE(Table43[[#This Row],[Nama            KLP]]," ",Table43[[#This Row],[Nama            Sub KLP]]))</f>
        <v>TOMAT HEINZ</v>
      </c>
      <c r="K189" s="4" t="str">
        <f>CONCATENATE(Table43[[#This Row],[kode  2 Digit                (hrf+No)]],Table43[[#This Row],[kode  2 Digit                (Nomor)]],Table43[[#This Row],[kode  1 Digit                (Nomor)]])</f>
        <v>A1111</v>
      </c>
      <c r="L189" s="4" t="str">
        <f>IF(AG189="",CONCATENATE(Q189,S189,U189,W189,Y189,AA189,AC189,AE189,Table43[[#This Row],[Tanda Kode Revisi]]),CONCATENATE(Q189,S189,U189,W189,Y189,AA189,AC189,AG189))</f>
        <v>A1111001012510</v>
      </c>
      <c r="M189" s="11">
        <f t="shared" si="6"/>
        <v>14</v>
      </c>
      <c r="N189" s="14" t="str">
        <f>IF(AF189&lt;&gt;"",TRIM(UPPER(CONCATENATE(P189," ",R189," ",T189," ",V189," ",X189," ",Z189," ","X"," ",Table43[[#This Row],[ISI/CTN]]," ",AF189," ",AB189," ",AD189," ",AH189))),TRIM(UPPER(CONCATENATE(P189," ",R189," ",T189," ",V189," ",X189," ",Z189," ","X"," ",Table43[[#This Row],[ISI/CTN]]," ",AB189," ",AD189," ",AH189))))</f>
        <v>ABC TOMAT HEINZ KETCHUP 125 GR X 48 PCH</v>
      </c>
      <c r="O189" s="11">
        <f t="shared" si="7"/>
        <v>39</v>
      </c>
      <c r="P189" s="4" t="s">
        <v>28</v>
      </c>
      <c r="Q189" s="7" t="s">
        <v>85</v>
      </c>
      <c r="R189" s="4" t="s">
        <v>580</v>
      </c>
      <c r="S189" s="43">
        <v>11</v>
      </c>
      <c r="T189" s="44" t="s">
        <v>597</v>
      </c>
      <c r="U189" s="7">
        <v>1</v>
      </c>
      <c r="V189" s="44"/>
      <c r="W189" s="43" t="s">
        <v>1</v>
      </c>
      <c r="X189" s="4" t="s">
        <v>598</v>
      </c>
      <c r="Y189" s="45" t="s">
        <v>0</v>
      </c>
      <c r="Z189" s="4" t="s">
        <v>599</v>
      </c>
      <c r="AA189" s="45" t="s">
        <v>600</v>
      </c>
      <c r="AB189" s="4" t="s">
        <v>479</v>
      </c>
      <c r="AC189" s="7" t="s">
        <v>480</v>
      </c>
      <c r="AE189" s="7" t="s">
        <v>1</v>
      </c>
      <c r="AI189" s="7" t="s">
        <v>215</v>
      </c>
      <c r="AJ189" s="7">
        <v>1</v>
      </c>
      <c r="AL189" s="40">
        <f>Table43[[#This Row],[Harga Jual Pcs GT
(-PPN)]]-(Table43[[#This Row],[Harga Jual Pcs GT
(-PPN)]]*6%)</f>
        <v>6234.623045833333</v>
      </c>
      <c r="AM189" s="41">
        <f>Table43[[#This Row],[Harga Beli Pcs
(-PPN)]]*Table43[[#This Row],[ISI/CTN]]</f>
        <v>299261.90619999997</v>
      </c>
      <c r="AN189" s="41">
        <f>Table43[[#This Row],[Harga Beli Pcs
(-PPN)]]*1.11</f>
        <v>6920.4315808749998</v>
      </c>
      <c r="AO189" s="41">
        <f>Table43[[#This Row],[Harga Beli Krt
(- PPN)]]*1.11</f>
        <v>332180.71588199999</v>
      </c>
      <c r="AP189" s="41">
        <v>6632.5777083333332</v>
      </c>
      <c r="AQ189" s="41">
        <f>Table43[[#This Row],[Harga Jual Pcs GT
(-PPN)]]*Table43[[#This Row],[ISI/CTN]]</f>
        <v>318363.73</v>
      </c>
      <c r="AR189" s="41">
        <f>Table43[[#This Row],[Harga Jual Pcs GT
(-PPN)]]*1.11</f>
        <v>7362.1612562500004</v>
      </c>
      <c r="AS189" s="41">
        <f>Table43[[#This Row],[Harga Jual Krt GT
(- PPN)]]*1.11</f>
        <v>353383.7403</v>
      </c>
      <c r="AT189" s="41">
        <v>7163.1839250000003</v>
      </c>
      <c r="AU189" s="41">
        <f>(Table43[[#This Row],[Harga Jual Pcs MT
(-PPN)]]*Table43[[#This Row],[ISI/CTN]])</f>
        <v>343832.8284</v>
      </c>
      <c r="AV189" s="41">
        <f>Table43[[#This Row],[Harga Jual Pcs MT
(-PPN)]]*1.11</f>
        <v>7951.1341567500012</v>
      </c>
      <c r="AW189" s="41">
        <f>Table43[[#This Row],[Harga Jual Pcs MT
(+PPN)]]*Table43[[#This Row],[ISI/CTN]]</f>
        <v>381654.43952400004</v>
      </c>
      <c r="AX189" s="41"/>
      <c r="AY189" s="46">
        <v>45553</v>
      </c>
      <c r="AZ189" s="54">
        <v>45839</v>
      </c>
      <c r="BA189" s="7" t="str">
        <f ca="1">IF(TODAY()-Table43[[#This Row],[Efektif
Pembuatan]]&gt;60,"Lama","Baru")</f>
        <v>Lama</v>
      </c>
      <c r="BB189" s="7" t="str">
        <f ca="1">IF(TODAY()-Table43[[#This Row],[Efektif Naik Harga]]&lt;30,"Naik","Sama")</f>
        <v>Sama</v>
      </c>
      <c r="BC189" s="7" t="s">
        <v>235</v>
      </c>
      <c r="BD189" s="7" t="str">
        <f>IF(Table43[[#This Row],[Kode BARANG Win2]]&lt;&gt;"","IDR","")</f>
        <v>IDR</v>
      </c>
      <c r="BE189" s="7" t="str">
        <f>CONCATENATE(Table43[[#This Row],[kode  1 Digit
(Nomor)]],Table43[[#This Row],[kode  4 Digit                (Nomor)]])</f>
        <v>10125</v>
      </c>
      <c r="BF189" s="7" t="str">
        <f>Table43[[#This Row],[Nama            Gramasi atau Jumlah Pack per CTN]]</f>
        <v>125 GR</v>
      </c>
      <c r="BG189" s="7" t="s">
        <v>653</v>
      </c>
      <c r="BH189" s="51" t="s">
        <v>654</v>
      </c>
      <c r="BI189" s="4" t="str">
        <f>IF(Table43[[#This Row],[SATUAN Fix Win]]&lt;&gt;"","KRT")</f>
        <v>KRT</v>
      </c>
      <c r="BJ189" s="4" t="str">
        <f>IF(Table43[[#This Row],[SATUAN Fix Win]]&lt;&gt;"","GD01")</f>
        <v>GD01</v>
      </c>
      <c r="BK189" s="4">
        <f>IF(Table43[[#This Row],[SATUAN Fix Win]]&lt;&gt;"",11611)</f>
        <v>11611</v>
      </c>
      <c r="BL189" s="4">
        <f>IF(Table43[[#This Row],[SATUAN Fix Win]]&lt;&gt;"",11612)</f>
        <v>11612</v>
      </c>
      <c r="BM189" s="47" t="s">
        <v>655</v>
      </c>
      <c r="BN189" s="4">
        <f>IF(Table43[[#This Row],[SATUAN Fix Win]]&lt;&gt;"",1)</f>
        <v>1</v>
      </c>
      <c r="BO189" s="4" t="s">
        <v>656</v>
      </c>
      <c r="BP189" s="4">
        <f>IFERROR(VLOOKUP(Table43[[#This Row],[Kode Pcpl]],'[1]HEINZ ABC'!$A$4:$E$112,8,0),0)</f>
        <v>0</v>
      </c>
      <c r="BQ189" s="55">
        <f>Table43[[#This Row],[Harga Jual Pcs GT
(-PPN)]]-Table43[[#This Row],[HARGA NAIK GT]]</f>
        <v>6632.5777083333332</v>
      </c>
      <c r="BR189" s="4">
        <f>IF(Table43[[#This Row],[HARGA NAIK GT]]=0,Table43[[#This Row],[Harga Jual Pcs GT
(-PPN)]],Table43[[#This Row],[HARGA NAIK GT]])</f>
        <v>6632.5777083333332</v>
      </c>
      <c r="BS189">
        <f>IFERROR(VLOOKUP(Table43[[#This Row],[Kode Pcpl]],'[1]HEINZ ABC'!$A$4:$E$112,8,0),0)</f>
        <v>0</v>
      </c>
      <c r="BT189" s="58">
        <f>Table43[[#This Row],[Harga Jual Pcs GT
(-PPN)]]-BS189</f>
        <v>6632.5777083333332</v>
      </c>
      <c r="BU189">
        <f>IF(BS189=0,Table43[[#This Row],[Harga Jual Pcs MT
(-PPN)]])</f>
        <v>7163.1839250000003</v>
      </c>
      <c r="BV189">
        <f>IFERROR(VLOOKUP(Table43[[#This Row],[Kode Pcpl]],[2]Pricelist!$A$4:$K$112,11,0),0)</f>
        <v>7951.1341567500012</v>
      </c>
      <c r="BW189">
        <f>IFERROR(VLOOKUP(Table43[[#This Row],[Kode BARANG Win2]],[3]!RECKITT211216[[KDBRG]:[HRG_JL_PCS-PPN]],11,0),0)</f>
        <v>0</v>
      </c>
      <c r="BX189">
        <f t="shared" si="8"/>
        <v>7163.1839250000003</v>
      </c>
    </row>
    <row r="190" spans="1:76" x14ac:dyDescent="0.25">
      <c r="A190" s="4" t="str">
        <f>CONCATENATE(Table43[[#This Row],[Kode BARANG Win2]],Table43[[#This Row],[No. Urut
Item Sama]])</f>
        <v>A11110010325101</v>
      </c>
      <c r="B190" s="7">
        <v>1</v>
      </c>
      <c r="C190" s="4">
        <v>166</v>
      </c>
      <c r="D190" s="27">
        <v>190047</v>
      </c>
      <c r="E190" s="27" t="s">
        <v>369</v>
      </c>
      <c r="F190" s="27" t="s">
        <v>379</v>
      </c>
      <c r="G190" s="27">
        <v>24</v>
      </c>
      <c r="H190" s="42">
        <v>0</v>
      </c>
      <c r="I190" s="27" t="str">
        <f>Table43[[#This Row],[Nama Jenis Kemasan]]</f>
        <v>BTL</v>
      </c>
      <c r="J190" s="4" t="str">
        <f>TRIM(CONCATENATE(Table43[[#This Row],[Nama            KLP]]," ",Table43[[#This Row],[Nama            Sub KLP]]))</f>
        <v>TOMAT HEINZ</v>
      </c>
      <c r="K190" s="4" t="str">
        <f>CONCATENATE(Table43[[#This Row],[kode  2 Digit                (hrf+No)]],Table43[[#This Row],[kode  2 Digit                (Nomor)]],Table43[[#This Row],[kode  1 Digit                (Nomor)]])</f>
        <v>A1111</v>
      </c>
      <c r="L190" s="4" t="str">
        <f>IF(AG190="",CONCATENATE(Q190,S190,U190,W190,Y190,AA190,AC190,AE190,Table43[[#This Row],[Tanda Kode Revisi]]),CONCATENATE(Q190,S190,U190,W190,Y190,AA190,AC190,AG190))</f>
        <v>A1111001032510</v>
      </c>
      <c r="M190" s="11">
        <f t="shared" si="6"/>
        <v>14</v>
      </c>
      <c r="N190" s="14" t="str">
        <f>IF(AF190&lt;&gt;"",TRIM(UPPER(CONCATENATE(P190," ",R190," ",T190," ",V190," ",X190," ",Z190," ","X"," ",Table43[[#This Row],[ISI/CTN]]," ",AF190," ",AB190," ",AD190," ",AH190))),TRIM(UPPER(CONCATENATE(P190," ",R190," ",T190," ",V190," ",X190," ",Z190," ","X"," ",Table43[[#This Row],[ISI/CTN]]," ",AB190," ",AD190," ",AH190))))</f>
        <v>ABC TOMAT HEINZ KETCHUP 325 GR X 24 BTL</v>
      </c>
      <c r="O190" s="11">
        <f t="shared" si="7"/>
        <v>39</v>
      </c>
      <c r="P190" s="4" t="s">
        <v>28</v>
      </c>
      <c r="Q190" s="7" t="s">
        <v>85</v>
      </c>
      <c r="R190" s="4" t="s">
        <v>580</v>
      </c>
      <c r="S190" s="43">
        <v>11</v>
      </c>
      <c r="T190" s="44" t="s">
        <v>597</v>
      </c>
      <c r="U190" s="7">
        <v>1</v>
      </c>
      <c r="V190" s="44"/>
      <c r="W190" s="43" t="s">
        <v>1</v>
      </c>
      <c r="X190" s="4" t="s">
        <v>598</v>
      </c>
      <c r="Y190" s="45" t="s">
        <v>0</v>
      </c>
      <c r="Z190" s="4" t="s">
        <v>601</v>
      </c>
      <c r="AA190" s="45" t="s">
        <v>602</v>
      </c>
      <c r="AB190" s="4" t="s">
        <v>486</v>
      </c>
      <c r="AC190" s="7" t="s">
        <v>480</v>
      </c>
      <c r="AE190" s="7" t="s">
        <v>1</v>
      </c>
      <c r="AI190" s="7" t="s">
        <v>215</v>
      </c>
      <c r="AJ190" s="7">
        <v>1</v>
      </c>
      <c r="AL190" s="40">
        <f>Table43[[#This Row],[Harga Jual Pcs GT
(-PPN)]]-(Table43[[#This Row],[Harga Jual Pcs GT
(-PPN)]]*6%)</f>
        <v>14596.341149999998</v>
      </c>
      <c r="AM190" s="41">
        <f>Table43[[#This Row],[Harga Beli Pcs
(-PPN)]]*Table43[[#This Row],[ISI/CTN]]</f>
        <v>350312.18759999995</v>
      </c>
      <c r="AN190" s="41">
        <f>Table43[[#This Row],[Harga Beli Pcs
(-PPN)]]*1.11</f>
        <v>16201.9386765</v>
      </c>
      <c r="AO190" s="41">
        <f>Table43[[#This Row],[Harga Beli Krt
(- PPN)]]*1.11</f>
        <v>388846.52823599998</v>
      </c>
      <c r="AP190" s="41">
        <v>15528.022499999999</v>
      </c>
      <c r="AQ190" s="41">
        <f>Table43[[#This Row],[Harga Jual Pcs GT
(-PPN)]]*Table43[[#This Row],[ISI/CTN]]</f>
        <v>372672.54</v>
      </c>
      <c r="AR190" s="41">
        <f>Table43[[#This Row],[Harga Jual Pcs GT
(-PPN)]]*1.11</f>
        <v>17236.104975000002</v>
      </c>
      <c r="AS190" s="41">
        <f>Table43[[#This Row],[Harga Jual Krt GT
(- PPN)]]*1.11</f>
        <v>413666.51939999999</v>
      </c>
      <c r="AT190" s="41">
        <v>16770.264299999999</v>
      </c>
      <c r="AU190" s="41">
        <f>(Table43[[#This Row],[Harga Jual Pcs MT
(-PPN)]]*Table43[[#This Row],[ISI/CTN]])</f>
        <v>402486.3432</v>
      </c>
      <c r="AV190" s="41">
        <f>Table43[[#This Row],[Harga Jual Pcs MT
(-PPN)]]*1.11</f>
        <v>18614.993373000001</v>
      </c>
      <c r="AW190" s="41">
        <f>Table43[[#This Row],[Harga Jual Pcs MT
(+PPN)]]*Table43[[#This Row],[ISI/CTN]]</f>
        <v>446759.840952</v>
      </c>
      <c r="AX190" s="41"/>
      <c r="AY190" s="46">
        <v>45553</v>
      </c>
      <c r="AZ190" s="54">
        <v>45839</v>
      </c>
      <c r="BA190" s="7" t="str">
        <f ca="1">IF(TODAY()-Table43[[#This Row],[Efektif
Pembuatan]]&gt;60,"Lama","Baru")</f>
        <v>Lama</v>
      </c>
      <c r="BB190" s="7" t="str">
        <f ca="1">IF(TODAY()-Table43[[#This Row],[Efektif Naik Harga]]&lt;30,"Naik","Sama")</f>
        <v>Sama</v>
      </c>
      <c r="BC190" s="7" t="s">
        <v>235</v>
      </c>
      <c r="BD190" s="7" t="str">
        <f>IF(Table43[[#This Row],[Kode BARANG Win2]]&lt;&gt;"","IDR","")</f>
        <v>IDR</v>
      </c>
      <c r="BE190" s="7" t="str">
        <f>CONCATENATE(Table43[[#This Row],[kode  1 Digit
(Nomor)]],Table43[[#This Row],[kode  4 Digit                (Nomor)]])</f>
        <v>10325</v>
      </c>
      <c r="BF190" s="7" t="str">
        <f>Table43[[#This Row],[Nama            Gramasi atau Jumlah Pack per CTN]]</f>
        <v>325 GR</v>
      </c>
      <c r="BG190" s="7" t="s">
        <v>653</v>
      </c>
      <c r="BH190" s="51" t="s">
        <v>654</v>
      </c>
      <c r="BI190" s="4" t="str">
        <f>IF(Table43[[#This Row],[SATUAN Fix Win]]&lt;&gt;"","KRT")</f>
        <v>KRT</v>
      </c>
      <c r="BJ190" s="4" t="str">
        <f>IF(Table43[[#This Row],[SATUAN Fix Win]]&lt;&gt;"","GD01")</f>
        <v>GD01</v>
      </c>
      <c r="BK190" s="4">
        <f>IF(Table43[[#This Row],[SATUAN Fix Win]]&lt;&gt;"",11611)</f>
        <v>11611</v>
      </c>
      <c r="BL190" s="4">
        <f>IF(Table43[[#This Row],[SATUAN Fix Win]]&lt;&gt;"",11612)</f>
        <v>11612</v>
      </c>
      <c r="BM190" s="47" t="s">
        <v>655</v>
      </c>
      <c r="BN190" s="4">
        <f>IF(Table43[[#This Row],[SATUAN Fix Win]]&lt;&gt;"",1)</f>
        <v>1</v>
      </c>
      <c r="BO190" s="4" t="s">
        <v>656</v>
      </c>
      <c r="BP190" s="4">
        <f>IFERROR(VLOOKUP(Table43[[#This Row],[Kode Pcpl]],'[1]HEINZ ABC'!$A$4:$E$112,8,0),0)</f>
        <v>0</v>
      </c>
      <c r="BQ190" s="55">
        <f>Table43[[#This Row],[Harga Jual Pcs GT
(-PPN)]]-Table43[[#This Row],[HARGA NAIK GT]]</f>
        <v>15528.022499999999</v>
      </c>
      <c r="BR190" s="4">
        <f>IF(Table43[[#This Row],[HARGA NAIK GT]]=0,Table43[[#This Row],[Harga Jual Pcs GT
(-PPN)]],Table43[[#This Row],[HARGA NAIK GT]])</f>
        <v>15528.022499999999</v>
      </c>
      <c r="BS190">
        <f>IFERROR(VLOOKUP(Table43[[#This Row],[Kode Pcpl]],'[1]HEINZ ABC'!$A$4:$E$112,8,0),0)</f>
        <v>0</v>
      </c>
      <c r="BT190" s="58">
        <f>Table43[[#This Row],[Harga Jual Pcs GT
(-PPN)]]-BS190</f>
        <v>15528.022499999999</v>
      </c>
      <c r="BU190">
        <f>IF(BS190=0,Table43[[#This Row],[Harga Jual Pcs MT
(-PPN)]])</f>
        <v>16770.264299999999</v>
      </c>
      <c r="BV190">
        <f>IFERROR(VLOOKUP(Table43[[#This Row],[Kode Pcpl]],[2]Pricelist!$A$4:$K$112,11,0),0)</f>
        <v>18614.993373000001</v>
      </c>
      <c r="BW190">
        <f>IFERROR(VLOOKUP(Table43[[#This Row],[Kode BARANG Win2]],[3]!RECKITT211216[[KDBRG]:[HRG_JL_PCS-PPN]],11,0),0)</f>
        <v>0</v>
      </c>
      <c r="BX190">
        <f t="shared" si="8"/>
        <v>16770.264299999999</v>
      </c>
    </row>
    <row r="191" spans="1:76" x14ac:dyDescent="0.25">
      <c r="A191" s="4" t="str">
        <f>CONCATENATE(Table43[[#This Row],[Kode BARANG Win2]],Table43[[#This Row],[No. Urut
Item Sama]])</f>
        <v>A11110010325102</v>
      </c>
      <c r="B191" s="7">
        <v>2</v>
      </c>
      <c r="C191" s="4">
        <v>167</v>
      </c>
      <c r="D191" s="27">
        <v>190057</v>
      </c>
      <c r="E191" s="27" t="s">
        <v>369</v>
      </c>
      <c r="F191" s="27" t="s">
        <v>380</v>
      </c>
      <c r="G191" s="27">
        <v>24</v>
      </c>
      <c r="H191" s="42" t="s">
        <v>2931</v>
      </c>
      <c r="I191" s="27" t="str">
        <f>Table43[[#This Row],[Nama Jenis Kemasan]]</f>
        <v>BTL</v>
      </c>
      <c r="J191" s="4" t="str">
        <f>TRIM(CONCATENATE(Table43[[#This Row],[Nama            KLP]]," ",Table43[[#This Row],[Nama            Sub KLP]]))</f>
        <v>TOMAT HEINZ</v>
      </c>
      <c r="K191" s="4" t="str">
        <f>CONCATENATE(Table43[[#This Row],[kode  2 Digit                (hrf+No)]],Table43[[#This Row],[kode  2 Digit                (Nomor)]],Table43[[#This Row],[kode  1 Digit                (Nomor)]])</f>
        <v>A1111</v>
      </c>
      <c r="L191" s="4" t="str">
        <f>IF(AG191="",CONCATENATE(Q191,S191,U191,W191,Y191,AA191,AC191,AE191,Table43[[#This Row],[Tanda Kode Revisi]]),CONCATENATE(Q191,S191,U191,W191,Y191,AA191,AC191,AG191))</f>
        <v>A1111001032510</v>
      </c>
      <c r="M191" s="11">
        <f t="shared" si="6"/>
        <v>14</v>
      </c>
      <c r="N191" s="14" t="str">
        <f>IF(AF191&lt;&gt;"",TRIM(UPPER(CONCATENATE(P191," ",R191," ",T191," ",V191," ",X191," ",Z191," ","X"," ",Table43[[#This Row],[ISI/CTN]]," ",AF191," ",AB191," ",AD191," ",AH191))),TRIM(UPPER(CONCATENATE(P191," ",R191," ",T191," ",V191," ",X191," ",Z191," ","X"," ",Table43[[#This Row],[ISI/CTN]]," ",AB191," ",AD191," ",AH191))))</f>
        <v>ABC TOMAT HEINZ KETCHUP 325 GR X 24 BTL</v>
      </c>
      <c r="O191" s="11">
        <f t="shared" si="7"/>
        <v>39</v>
      </c>
      <c r="P191" s="4" t="s">
        <v>28</v>
      </c>
      <c r="Q191" s="7" t="s">
        <v>85</v>
      </c>
      <c r="R191" s="4" t="s">
        <v>580</v>
      </c>
      <c r="S191" s="43">
        <v>11</v>
      </c>
      <c r="T191" s="44" t="s">
        <v>597</v>
      </c>
      <c r="U191" s="7">
        <v>1</v>
      </c>
      <c r="V191" s="44"/>
      <c r="W191" s="43" t="s">
        <v>1</v>
      </c>
      <c r="X191" s="4" t="s">
        <v>598</v>
      </c>
      <c r="Y191" s="45" t="s">
        <v>0</v>
      </c>
      <c r="Z191" s="4" t="s">
        <v>601</v>
      </c>
      <c r="AA191" s="45" t="s">
        <v>602</v>
      </c>
      <c r="AB191" s="4" t="s">
        <v>486</v>
      </c>
      <c r="AC191" s="7" t="s">
        <v>480</v>
      </c>
      <c r="AE191" s="7" t="s">
        <v>1</v>
      </c>
      <c r="AI191" s="7" t="s">
        <v>215</v>
      </c>
      <c r="AJ191" s="7">
        <v>1</v>
      </c>
      <c r="AL191" s="40">
        <f>Table43[[#This Row],[Harga Jual Pcs GT
(-PPN)]]-(Table43[[#This Row],[Harga Jual Pcs GT
(-PPN)]]*6%)</f>
        <v>14596.341149999998</v>
      </c>
      <c r="AM191" s="41">
        <f>Table43[[#This Row],[Harga Beli Pcs
(-PPN)]]*Table43[[#This Row],[ISI/CTN]]</f>
        <v>350312.18759999995</v>
      </c>
      <c r="AN191" s="41">
        <f>Table43[[#This Row],[Harga Beli Pcs
(-PPN)]]*1.11</f>
        <v>16201.9386765</v>
      </c>
      <c r="AO191" s="41">
        <f>Table43[[#This Row],[Harga Beli Krt
(- PPN)]]*1.11</f>
        <v>388846.52823599998</v>
      </c>
      <c r="AP191" s="41">
        <v>15528.022499999999</v>
      </c>
      <c r="AQ191" s="41">
        <f>Table43[[#This Row],[Harga Jual Pcs GT
(-PPN)]]*Table43[[#This Row],[ISI/CTN]]</f>
        <v>372672.54</v>
      </c>
      <c r="AR191" s="41">
        <f>Table43[[#This Row],[Harga Jual Pcs GT
(-PPN)]]*1.11</f>
        <v>17236.104975000002</v>
      </c>
      <c r="AS191" s="41">
        <f>Table43[[#This Row],[Harga Jual Krt GT
(- PPN)]]*1.11</f>
        <v>413666.51939999999</v>
      </c>
      <c r="AT191" s="41">
        <v>16770.264299999999</v>
      </c>
      <c r="AU191" s="41">
        <f>(Table43[[#This Row],[Harga Jual Pcs MT
(-PPN)]]*Table43[[#This Row],[ISI/CTN]])</f>
        <v>402486.3432</v>
      </c>
      <c r="AV191" s="41">
        <f>Table43[[#This Row],[Harga Jual Pcs MT
(-PPN)]]*1.11</f>
        <v>18614.993373000001</v>
      </c>
      <c r="AW191" s="41">
        <f>Table43[[#This Row],[Harga Jual Pcs MT
(+PPN)]]*Table43[[#This Row],[ISI/CTN]]</f>
        <v>446759.840952</v>
      </c>
      <c r="AX191" s="41"/>
      <c r="AY191" s="46">
        <v>45553</v>
      </c>
      <c r="AZ191" s="54">
        <v>45839</v>
      </c>
      <c r="BA191" s="7" t="str">
        <f ca="1">IF(TODAY()-Table43[[#This Row],[Efektif
Pembuatan]]&gt;60,"Lama","Baru")</f>
        <v>Lama</v>
      </c>
      <c r="BB191" s="7" t="str">
        <f ca="1">IF(TODAY()-Table43[[#This Row],[Efektif Naik Harga]]&lt;30,"Naik","Sama")</f>
        <v>Sama</v>
      </c>
      <c r="BC191" s="7" t="s">
        <v>235</v>
      </c>
      <c r="BD191" s="7" t="str">
        <f>IF(Table43[[#This Row],[Kode BARANG Win2]]&lt;&gt;"","IDR","")</f>
        <v>IDR</v>
      </c>
      <c r="BE191" s="7" t="str">
        <f>CONCATENATE(Table43[[#This Row],[kode  1 Digit
(Nomor)]],Table43[[#This Row],[kode  4 Digit                (Nomor)]])</f>
        <v>10325</v>
      </c>
      <c r="BF191" s="7" t="str">
        <f>Table43[[#This Row],[Nama            Gramasi atau Jumlah Pack per CTN]]</f>
        <v>325 GR</v>
      </c>
      <c r="BG191" s="7" t="s">
        <v>653</v>
      </c>
      <c r="BH191" s="51" t="s">
        <v>654</v>
      </c>
      <c r="BI191" s="4" t="str">
        <f>IF(Table43[[#This Row],[SATUAN Fix Win]]&lt;&gt;"","KRT")</f>
        <v>KRT</v>
      </c>
      <c r="BJ191" s="4" t="str">
        <f>IF(Table43[[#This Row],[SATUAN Fix Win]]&lt;&gt;"","GD01")</f>
        <v>GD01</v>
      </c>
      <c r="BK191" s="4">
        <f>IF(Table43[[#This Row],[SATUAN Fix Win]]&lt;&gt;"",11611)</f>
        <v>11611</v>
      </c>
      <c r="BL191" s="4">
        <f>IF(Table43[[#This Row],[SATUAN Fix Win]]&lt;&gt;"",11612)</f>
        <v>11612</v>
      </c>
      <c r="BM191" s="47" t="s">
        <v>655</v>
      </c>
      <c r="BN191" s="4">
        <f>IF(Table43[[#This Row],[SATUAN Fix Win]]&lt;&gt;"",1)</f>
        <v>1</v>
      </c>
      <c r="BO191" s="4" t="s">
        <v>656</v>
      </c>
      <c r="BP191" s="4">
        <f>IFERROR(VLOOKUP(Table43[[#This Row],[Kode Pcpl]],'[1]HEINZ ABC'!$A$4:$E$112,8,0),0)</f>
        <v>0</v>
      </c>
      <c r="BQ191" s="55">
        <f>Table43[[#This Row],[Harga Jual Pcs GT
(-PPN)]]-Table43[[#This Row],[HARGA NAIK GT]]</f>
        <v>15528.022499999999</v>
      </c>
      <c r="BR191" s="4">
        <f>IF(Table43[[#This Row],[HARGA NAIK GT]]=0,Table43[[#This Row],[Harga Jual Pcs GT
(-PPN)]],Table43[[#This Row],[HARGA NAIK GT]])</f>
        <v>15528.022499999999</v>
      </c>
      <c r="BS191">
        <f>IFERROR(VLOOKUP(Table43[[#This Row],[Kode Pcpl]],'[1]HEINZ ABC'!$A$4:$E$112,8,0),0)</f>
        <v>0</v>
      </c>
      <c r="BT191" s="58">
        <f>Table43[[#This Row],[Harga Jual Pcs GT
(-PPN)]]-BS191</f>
        <v>15528.022499999999</v>
      </c>
      <c r="BU191">
        <f>IF(BS191=0,Table43[[#This Row],[Harga Jual Pcs MT
(-PPN)]])</f>
        <v>16770.264299999999</v>
      </c>
      <c r="BV191">
        <f>IFERROR(VLOOKUP(Table43[[#This Row],[Kode Pcpl]],[2]Pricelist!$A$4:$K$112,11,0),0)</f>
        <v>18614.993373000001</v>
      </c>
      <c r="BW191">
        <f>IFERROR(VLOOKUP(Table43[[#This Row],[Kode BARANG Win2]],[3]!RECKITT211216[[KDBRG]:[HRG_JL_PCS-PPN]],11,0),0)</f>
        <v>0</v>
      </c>
      <c r="BX191">
        <f t="shared" si="8"/>
        <v>16770.264299999999</v>
      </c>
    </row>
    <row r="192" spans="1:76" x14ac:dyDescent="0.25">
      <c r="A192" s="4" t="str">
        <f>CONCATENATE(Table43[[#This Row],[Kode BARANG Win2]],Table43[[#This Row],[No. Urut
Item Sama]])</f>
        <v>A11200060008101</v>
      </c>
      <c r="B192" s="7">
        <v>1</v>
      </c>
      <c r="C192" s="4">
        <v>168</v>
      </c>
      <c r="D192" s="27">
        <v>150129</v>
      </c>
      <c r="E192" s="27" t="s">
        <v>381</v>
      </c>
      <c r="F192" s="27" t="s">
        <v>382</v>
      </c>
      <c r="G192" s="27">
        <v>21</v>
      </c>
      <c r="H192" s="42" t="s">
        <v>2569</v>
      </c>
      <c r="I192" s="27" t="str">
        <f>Table43[[#This Row],[Nama Jenis Kemasan]]</f>
        <v>PCSX22</v>
      </c>
      <c r="J192" s="4" t="str">
        <f>TRIM(CONCATENATE(Table43[[#This Row],[Nama            KLP]]," ",Table43[[#This Row],[Nama            Sub KLP]]))</f>
        <v>SAMBAL</v>
      </c>
      <c r="K192" s="4" t="str">
        <f>CONCATENATE(Table43[[#This Row],[kode  2 Digit                (hrf+No)]],Table43[[#This Row],[kode  2 Digit                (Nomor)]],Table43[[#This Row],[kode  1 Digit                (Nomor)]])</f>
        <v>A1120</v>
      </c>
      <c r="L192" s="4" t="str">
        <f>IF(AG192="",CONCATENATE(Q192,S192,U192,W192,Y192,AA192,AC192,AE192,Table43[[#This Row],[Tanda Kode Revisi]]),CONCATENATE(Q192,S192,U192,W192,Y192,AA192,AC192,AG192))</f>
        <v>A1120006000810</v>
      </c>
      <c r="M192" s="11">
        <f t="shared" si="6"/>
        <v>14</v>
      </c>
      <c r="N192" s="14" t="str">
        <f>IF(AF192&lt;&gt;"",TRIM(UPPER(CONCATENATE(P192," ",R192," ",T192," ",V192," ",X192," ",Z192," ","X"," ",Table43[[#This Row],[ISI/CTN]]," ",AF192," ",AB192," ",AD192," ",AH192))),TRIM(UPPER(CONCATENATE(P192," ",R192," ",T192," ",V192," ",X192," ",Z192," ","X"," ",Table43[[#This Row],[ISI/CTN]]," ",AB192," ",AD192," ",AH192))))</f>
        <v>ABC SAMBAL ASLI 8 GR X 21 PACK PCSX22</v>
      </c>
      <c r="O192" s="11">
        <f t="shared" si="7"/>
        <v>37</v>
      </c>
      <c r="P192" s="4" t="s">
        <v>28</v>
      </c>
      <c r="Q192" s="7" t="s">
        <v>85</v>
      </c>
      <c r="R192" s="4" t="s">
        <v>603</v>
      </c>
      <c r="S192" s="43">
        <v>12</v>
      </c>
      <c r="T192" s="44"/>
      <c r="U192" s="7">
        <v>0</v>
      </c>
      <c r="V192" s="44"/>
      <c r="W192" s="43" t="s">
        <v>1</v>
      </c>
      <c r="X192" s="4" t="s">
        <v>604</v>
      </c>
      <c r="Y192" s="45" t="s">
        <v>221</v>
      </c>
      <c r="Z192" s="4" t="s">
        <v>589</v>
      </c>
      <c r="AA192" s="45" t="s">
        <v>590</v>
      </c>
      <c r="AB192" s="4" t="s">
        <v>591</v>
      </c>
      <c r="AC192" s="7" t="s">
        <v>480</v>
      </c>
      <c r="AE192" s="7" t="s">
        <v>1</v>
      </c>
      <c r="AF192" s="7" t="s">
        <v>546</v>
      </c>
      <c r="AI192" s="7" t="s">
        <v>215</v>
      </c>
      <c r="AJ192" s="7">
        <v>1</v>
      </c>
      <c r="AL192" s="40">
        <f>Table43[[#This Row],[Harga Jual Pcs GT
(-PPN)]]-(Table43[[#This Row],[Harga Jual Pcs GT
(-PPN)]]*6%)</f>
        <v>5669.6381999999994</v>
      </c>
      <c r="AM192" s="41">
        <f>Table43[[#This Row],[Harga Beli Pcs
(-PPN)]]*Table43[[#This Row],[ISI/CTN]]</f>
        <v>119062.40219999998</v>
      </c>
      <c r="AN192" s="41">
        <f>Table43[[#This Row],[Harga Beli Pcs
(-PPN)]]*1.11</f>
        <v>6293.2984020000004</v>
      </c>
      <c r="AO192" s="41">
        <f>Table43[[#This Row],[Harga Beli Krt
(- PPN)]]*1.11</f>
        <v>132159.26644199999</v>
      </c>
      <c r="AP192" s="41">
        <v>6031.53</v>
      </c>
      <c r="AQ192" s="41">
        <f>Table43[[#This Row],[Harga Jual Pcs GT
(-PPN)]]*Table43[[#This Row],[ISI/CTN]]</f>
        <v>126662.12999999999</v>
      </c>
      <c r="AR192" s="41">
        <f>Table43[[#This Row],[Harga Jual Pcs GT
(-PPN)]]*1.11</f>
        <v>6694.9983000000002</v>
      </c>
      <c r="AS192" s="41">
        <f>Table43[[#This Row],[Harga Jual Krt GT
(- PPN)]]*1.11</f>
        <v>140594.96429999999</v>
      </c>
      <c r="AT192" s="41">
        <v>6514.0538965714341</v>
      </c>
      <c r="AU192" s="41">
        <f>(Table43[[#This Row],[Harga Jual Pcs MT
(-PPN)]]*Table43[[#This Row],[ISI/CTN]])</f>
        <v>136795.13182800013</v>
      </c>
      <c r="AV192" s="41">
        <f>Table43[[#This Row],[Harga Jual Pcs MT
(-PPN)]]*1.11</f>
        <v>7230.5998251942929</v>
      </c>
      <c r="AW192" s="41">
        <f>Table43[[#This Row],[Harga Jual Pcs MT
(+PPN)]]*Table43[[#This Row],[ISI/CTN]]</f>
        <v>151842.59632908014</v>
      </c>
      <c r="AX192" s="41"/>
      <c r="AY192" s="46">
        <v>45553</v>
      </c>
      <c r="AZ192" s="54">
        <v>45945</v>
      </c>
      <c r="BA192" s="7" t="str">
        <f ca="1">IF(TODAY()-Table43[[#This Row],[Efektif
Pembuatan]]&gt;60,"Lama","Baru")</f>
        <v>Lama</v>
      </c>
      <c r="BB192" s="7" t="str">
        <f ca="1">IF(TODAY()-Table43[[#This Row],[Efektif Naik Harga]]&lt;30,"Naik","Sama")</f>
        <v>Sama</v>
      </c>
      <c r="BC192" s="7" t="s">
        <v>235</v>
      </c>
      <c r="BD192" s="7" t="str">
        <f>IF(Table43[[#This Row],[Kode BARANG Win2]]&lt;&gt;"","IDR","")</f>
        <v>IDR</v>
      </c>
      <c r="BE192" s="7" t="str">
        <f>CONCATENATE(Table43[[#This Row],[kode  1 Digit
(Nomor)]],Table43[[#This Row],[kode  4 Digit                (Nomor)]])</f>
        <v>10008</v>
      </c>
      <c r="BF192" s="7" t="str">
        <f>Table43[[#This Row],[Nama            Gramasi atau Jumlah Pack per CTN]]</f>
        <v>8 GR</v>
      </c>
      <c r="BG192" s="7" t="s">
        <v>653</v>
      </c>
      <c r="BH192" s="51" t="s">
        <v>654</v>
      </c>
      <c r="BI192" s="4" t="str">
        <f>IF(Table43[[#This Row],[SATUAN Fix Win]]&lt;&gt;"","KRT")</f>
        <v>KRT</v>
      </c>
      <c r="BJ192" s="4" t="str">
        <f>IF(Table43[[#This Row],[SATUAN Fix Win]]&lt;&gt;"","GD01")</f>
        <v>GD01</v>
      </c>
      <c r="BK192" s="4">
        <f>IF(Table43[[#This Row],[SATUAN Fix Win]]&lt;&gt;"",11611)</f>
        <v>11611</v>
      </c>
      <c r="BL192" s="4">
        <f>IF(Table43[[#This Row],[SATUAN Fix Win]]&lt;&gt;"",11612)</f>
        <v>11612</v>
      </c>
      <c r="BM192" s="47" t="s">
        <v>655</v>
      </c>
      <c r="BN192" s="4">
        <f>IF(Table43[[#This Row],[SATUAN Fix Win]]&lt;&gt;"",1)</f>
        <v>1</v>
      </c>
      <c r="BO192" s="4" t="s">
        <v>656</v>
      </c>
      <c r="BP192" s="4">
        <f>IFERROR(VLOOKUP(Table43[[#This Row],[Kode Pcpl]],'[1]HEINZ ABC'!$A$4:$E$112,8,0),0)</f>
        <v>0</v>
      </c>
      <c r="BQ192" s="55">
        <f>Table43[[#This Row],[Harga Jual Pcs GT
(-PPN)]]-Table43[[#This Row],[HARGA NAIK GT]]</f>
        <v>6031.53</v>
      </c>
      <c r="BR192" s="4">
        <f>IF(Table43[[#This Row],[HARGA NAIK GT]]=0,Table43[[#This Row],[Harga Jual Pcs GT
(-PPN)]],Table43[[#This Row],[HARGA NAIK GT]])</f>
        <v>6031.53</v>
      </c>
      <c r="BS192">
        <f>IFERROR(VLOOKUP(Table43[[#This Row],[Kode Pcpl]],'[1]HEINZ ABC'!$A$4:$E$112,8,0),0)</f>
        <v>0</v>
      </c>
      <c r="BT192" s="58">
        <f>Table43[[#This Row],[Harga Jual Pcs GT
(-PPN)]]-BS192</f>
        <v>6031.53</v>
      </c>
      <c r="BU192">
        <f>IF(BS192=0,Table43[[#This Row],[Harga Jual Pcs MT
(-PPN)]])</f>
        <v>6514.0538965714341</v>
      </c>
      <c r="BV192">
        <f>IFERROR(VLOOKUP(Table43[[#This Row],[Kode Pcpl]],[2]Pricelist!$A$4:$K$112,11,0),0)</f>
        <v>0</v>
      </c>
      <c r="BW192">
        <f>IFERROR(VLOOKUP(Table43[[#This Row],[Kode BARANG Win2]],[3]!RECKITT211216[[KDBRG]:[HRG_JL_PCS-PPN]],11,0),0)</f>
        <v>0</v>
      </c>
      <c r="BX192">
        <f t="shared" si="8"/>
        <v>0</v>
      </c>
    </row>
    <row r="193" spans="1:76" x14ac:dyDescent="0.25">
      <c r="A193" s="4" t="str">
        <f>CONCATENATE(Table43[[#This Row],[Kode BARANG Win2]],Table43[[#This Row],[No. Urut
Item Sama]])</f>
        <v>A1120006000810N2</v>
      </c>
      <c r="B193" s="7">
        <v>2</v>
      </c>
      <c r="C193" s="4">
        <v>169</v>
      </c>
      <c r="D193" s="27">
        <v>150204</v>
      </c>
      <c r="E193" s="27" t="s">
        <v>381</v>
      </c>
      <c r="F193" s="27" t="s">
        <v>383</v>
      </c>
      <c r="G193" s="27">
        <v>21</v>
      </c>
      <c r="H193" s="42" t="s">
        <v>2570</v>
      </c>
      <c r="I193" s="27" t="str">
        <f>Table43[[#This Row],[Nama Jenis Kemasan]]</f>
        <v>PCSX22</v>
      </c>
      <c r="J193" s="4" t="str">
        <f>TRIM(CONCATENATE(Table43[[#This Row],[Nama            KLP]]," ",Table43[[#This Row],[Nama            Sub KLP]]))</f>
        <v>SAMBAL</v>
      </c>
      <c r="K193" s="4" t="str">
        <f>CONCATENATE(Table43[[#This Row],[kode  2 Digit                (hrf+No)]],Table43[[#This Row],[kode  2 Digit                (Nomor)]],Table43[[#This Row],[kode  1 Digit                (Nomor)]])</f>
        <v>A1120</v>
      </c>
      <c r="L193" s="4" t="str">
        <f>IF(AG193="",CONCATENATE(Q193,S193,U193,W193,Y193,AA193,AC193,AE193,Table43[[#This Row],[Tanda Kode Revisi]]),CONCATENATE(Q193,S193,U193,W193,Y193,AA193,AC193,AG193))</f>
        <v>A1120006000810N</v>
      </c>
      <c r="M193" s="11">
        <f t="shared" si="6"/>
        <v>15</v>
      </c>
      <c r="N193" s="14" t="str">
        <f>IF(AF193&lt;&gt;"",TRIM(UPPER(CONCATENATE(P193," ",R193," ",T193," ",V193," ",X193," ",Z193," ","X"," ",Table43[[#This Row],[ISI/CTN]]," ",AF193," ",AB193," ",AD193," ",AH193))),TRIM(UPPER(CONCATENATE(P193," ",R193," ",T193," ",V193," ",X193," ",Z193," ","X"," ",Table43[[#This Row],[ISI/CTN]]," ",AB193," ",AD193," ",AH193))))</f>
        <v>ABC SAMBAL ASLI 8 GR X 21 PACK PCSX22 NEW</v>
      </c>
      <c r="O193" s="11">
        <f t="shared" si="7"/>
        <v>41</v>
      </c>
      <c r="P193" s="4" t="s">
        <v>28</v>
      </c>
      <c r="Q193" s="7" t="s">
        <v>85</v>
      </c>
      <c r="R193" s="4" t="s">
        <v>603</v>
      </c>
      <c r="S193" s="43">
        <v>12</v>
      </c>
      <c r="T193" s="44"/>
      <c r="U193" s="7">
        <v>0</v>
      </c>
      <c r="V193" s="44"/>
      <c r="W193" s="43" t="s">
        <v>1</v>
      </c>
      <c r="X193" s="4" t="s">
        <v>604</v>
      </c>
      <c r="Y193" s="45" t="s">
        <v>221</v>
      </c>
      <c r="Z193" s="4" t="s">
        <v>589</v>
      </c>
      <c r="AA193" s="45" t="s">
        <v>590</v>
      </c>
      <c r="AB193" s="4" t="s">
        <v>591</v>
      </c>
      <c r="AC193" s="7">
        <v>1</v>
      </c>
      <c r="AD193" s="4" t="s">
        <v>2997</v>
      </c>
      <c r="AE193" s="7" t="s">
        <v>2994</v>
      </c>
      <c r="AF193" s="7" t="s">
        <v>546</v>
      </c>
      <c r="AI193" s="7" t="s">
        <v>215</v>
      </c>
      <c r="AJ193" s="7">
        <v>1</v>
      </c>
      <c r="AL193" s="40">
        <f>Table43[[#This Row],[Harga Jual Pcs GT
(-PPN)]]-(Table43[[#This Row],[Harga Jual Pcs GT
(-PPN)]]*6%)</f>
        <v>5669.6381999999994</v>
      </c>
      <c r="AM193" s="41">
        <f>Table43[[#This Row],[Harga Beli Pcs
(-PPN)]]*Table43[[#This Row],[ISI/CTN]]</f>
        <v>119062.40219999998</v>
      </c>
      <c r="AN193" s="41">
        <f>Table43[[#This Row],[Harga Beli Pcs
(-PPN)]]*1.11</f>
        <v>6293.2984020000004</v>
      </c>
      <c r="AO193" s="41">
        <f>Table43[[#This Row],[Harga Beli Krt
(- PPN)]]*1.11</f>
        <v>132159.26644199999</v>
      </c>
      <c r="AP193" s="41">
        <v>6031.53</v>
      </c>
      <c r="AQ193" s="41">
        <f>Table43[[#This Row],[Harga Jual Pcs GT
(-PPN)]]*Table43[[#This Row],[ISI/CTN]]</f>
        <v>126662.12999999999</v>
      </c>
      <c r="AR193" s="41">
        <f>Table43[[#This Row],[Harga Jual Pcs GT
(-PPN)]]*1.11</f>
        <v>6694.9983000000002</v>
      </c>
      <c r="AS193" s="41">
        <f>Table43[[#This Row],[Harga Jual Krt GT
(- PPN)]]*1.11</f>
        <v>140594.96429999999</v>
      </c>
      <c r="AT193" s="41">
        <v>6514.0538965714341</v>
      </c>
      <c r="AU193" s="41">
        <f>(Table43[[#This Row],[Harga Jual Pcs MT
(-PPN)]]*Table43[[#This Row],[ISI/CTN]])</f>
        <v>136795.13182800013</v>
      </c>
      <c r="AV193" s="41">
        <f>Table43[[#This Row],[Harga Jual Pcs MT
(-PPN)]]*1.11</f>
        <v>7230.5998251942929</v>
      </c>
      <c r="AW193" s="41">
        <f>Table43[[#This Row],[Harga Jual Pcs MT
(+PPN)]]*Table43[[#This Row],[ISI/CTN]]</f>
        <v>151842.59632908014</v>
      </c>
      <c r="AX193" s="41"/>
      <c r="AY193" s="46">
        <v>45553</v>
      </c>
      <c r="AZ193" s="54">
        <v>45945</v>
      </c>
      <c r="BA193" s="7" t="str">
        <f ca="1">IF(TODAY()-Table43[[#This Row],[Efektif
Pembuatan]]&gt;60,"Lama","Baru")</f>
        <v>Lama</v>
      </c>
      <c r="BB193" s="7" t="str">
        <f ca="1">IF(TODAY()-Table43[[#This Row],[Efektif Naik Harga]]&lt;30,"Naik","Sama")</f>
        <v>Sama</v>
      </c>
      <c r="BC193" s="7" t="s">
        <v>235</v>
      </c>
      <c r="BD193" s="7" t="str">
        <f>IF(Table43[[#This Row],[Kode BARANG Win2]]&lt;&gt;"","IDR","")</f>
        <v>IDR</v>
      </c>
      <c r="BE193" s="7" t="str">
        <f>CONCATENATE(Table43[[#This Row],[kode  1 Digit
(Nomor)]],Table43[[#This Row],[kode  4 Digit                (Nomor)]])</f>
        <v>10008</v>
      </c>
      <c r="BF193" s="7" t="str">
        <f>Table43[[#This Row],[Nama            Gramasi atau Jumlah Pack per CTN]]</f>
        <v>8 GR</v>
      </c>
      <c r="BG193" s="7" t="s">
        <v>653</v>
      </c>
      <c r="BH193" s="51" t="s">
        <v>654</v>
      </c>
      <c r="BI193" s="4" t="str">
        <f>IF(Table43[[#This Row],[SATUAN Fix Win]]&lt;&gt;"","KRT")</f>
        <v>KRT</v>
      </c>
      <c r="BJ193" s="4" t="str">
        <f>IF(Table43[[#This Row],[SATUAN Fix Win]]&lt;&gt;"","GD01")</f>
        <v>GD01</v>
      </c>
      <c r="BK193" s="4">
        <f>IF(Table43[[#This Row],[SATUAN Fix Win]]&lt;&gt;"",11611)</f>
        <v>11611</v>
      </c>
      <c r="BL193" s="4">
        <f>IF(Table43[[#This Row],[SATUAN Fix Win]]&lt;&gt;"",11612)</f>
        <v>11612</v>
      </c>
      <c r="BM193" s="47" t="s">
        <v>655</v>
      </c>
      <c r="BN193" s="4">
        <f>IF(Table43[[#This Row],[SATUAN Fix Win]]&lt;&gt;"",1)</f>
        <v>1</v>
      </c>
      <c r="BO193" s="4" t="s">
        <v>656</v>
      </c>
      <c r="BP193" s="4">
        <f>IFERROR(VLOOKUP(Table43[[#This Row],[Kode Pcpl]],'[1]HEINZ ABC'!$A$4:$E$112,8,0),0)</f>
        <v>0</v>
      </c>
      <c r="BQ193" s="55">
        <f>Table43[[#This Row],[Harga Jual Pcs GT
(-PPN)]]-Table43[[#This Row],[HARGA NAIK GT]]</f>
        <v>6031.53</v>
      </c>
      <c r="BR193" s="4">
        <f>IF(Table43[[#This Row],[HARGA NAIK GT]]=0,Table43[[#This Row],[Harga Jual Pcs GT
(-PPN)]],Table43[[#This Row],[HARGA NAIK GT]])</f>
        <v>6031.53</v>
      </c>
      <c r="BT193" s="58"/>
    </row>
    <row r="194" spans="1:76" x14ac:dyDescent="0.25">
      <c r="A194" s="4" t="str">
        <f>CONCATENATE(Table43[[#This Row],[Kode BARANG Win2]],Table43[[#This Row],[No. Urut
Item Sama]])</f>
        <v>A1120006000810N3</v>
      </c>
      <c r="B194" s="7">
        <v>3</v>
      </c>
      <c r="C194" s="4">
        <v>170</v>
      </c>
      <c r="D194" s="27">
        <v>150326</v>
      </c>
      <c r="E194" s="27" t="s">
        <v>381</v>
      </c>
      <c r="F194" s="27" t="s">
        <v>384</v>
      </c>
      <c r="G194" s="27">
        <v>21</v>
      </c>
      <c r="H194" s="42" t="s">
        <v>2484</v>
      </c>
      <c r="I194" s="27" t="str">
        <f>Table43[[#This Row],[Nama Jenis Kemasan]]</f>
        <v>PCSX22</v>
      </c>
      <c r="J194" s="4" t="str">
        <f>TRIM(CONCATENATE(Table43[[#This Row],[Nama            KLP]]," ",Table43[[#This Row],[Nama            Sub KLP]]))</f>
        <v>SAMBAL</v>
      </c>
      <c r="K194" s="4" t="str">
        <f>CONCATENATE(Table43[[#This Row],[kode  2 Digit                (hrf+No)]],Table43[[#This Row],[kode  2 Digit                (Nomor)]],Table43[[#This Row],[kode  1 Digit                (Nomor)]])</f>
        <v>A1120</v>
      </c>
      <c r="L194" s="4" t="str">
        <f>IF(AG194="",CONCATENATE(Q194,S194,U194,W194,Y194,AA194,AC194,AE194,Table43[[#This Row],[Tanda Kode Revisi]]),CONCATENATE(Q194,S194,U194,W194,Y194,AA194,AC194,AG194))</f>
        <v>A1120006000810N</v>
      </c>
      <c r="M194" s="11">
        <f t="shared" si="6"/>
        <v>15</v>
      </c>
      <c r="N194" s="14" t="str">
        <f>IF(AF194&lt;&gt;"",TRIM(UPPER(CONCATENATE(P194," ",R194," ",T194," ",V194," ",X194," ",Z194," ","X"," ",Table43[[#This Row],[ISI/CTN]]," ",AF194," ",AB194," ",AD194," ",AH194))),TRIM(UPPER(CONCATENATE(P194," ",R194," ",T194," ",V194," ",X194," ",Z194," ","X"," ",Table43[[#This Row],[ISI/CTN]]," ",AB194," ",AD194," ",AH194))))</f>
        <v>ABC SAMBAL ASLI 8 GR X 21 PACK PCSX22 NEW</v>
      </c>
      <c r="O194" s="11">
        <f t="shared" si="7"/>
        <v>41</v>
      </c>
      <c r="P194" s="4" t="s">
        <v>28</v>
      </c>
      <c r="Q194" s="7" t="s">
        <v>85</v>
      </c>
      <c r="R194" s="4" t="s">
        <v>603</v>
      </c>
      <c r="S194" s="43">
        <v>12</v>
      </c>
      <c r="T194" s="44"/>
      <c r="U194" s="7">
        <v>0</v>
      </c>
      <c r="V194" s="44"/>
      <c r="W194" s="43" t="s">
        <v>1</v>
      </c>
      <c r="X194" s="4" t="s">
        <v>604</v>
      </c>
      <c r="Y194" s="45" t="s">
        <v>221</v>
      </c>
      <c r="Z194" s="4" t="s">
        <v>589</v>
      </c>
      <c r="AA194" s="45" t="s">
        <v>590</v>
      </c>
      <c r="AB194" s="4" t="s">
        <v>591</v>
      </c>
      <c r="AC194" s="7">
        <v>1</v>
      </c>
      <c r="AD194" s="4" t="s">
        <v>2997</v>
      </c>
      <c r="AE194" s="7" t="s">
        <v>2994</v>
      </c>
      <c r="AF194" s="7" t="s">
        <v>546</v>
      </c>
      <c r="AI194" s="7" t="s">
        <v>215</v>
      </c>
      <c r="AJ194" s="7">
        <v>1</v>
      </c>
      <c r="AL194" s="40">
        <f>Table43[[#This Row],[Harga Jual Pcs GT
(-PPN)]]-(Table43[[#This Row],[Harga Jual Pcs GT
(-PPN)]]*6%)</f>
        <v>5669.6381999999994</v>
      </c>
      <c r="AM194" s="41">
        <f>Table43[[#This Row],[Harga Beli Pcs
(-PPN)]]*Table43[[#This Row],[ISI/CTN]]</f>
        <v>119062.40219999998</v>
      </c>
      <c r="AN194" s="41">
        <f>Table43[[#This Row],[Harga Beli Pcs
(-PPN)]]*1.11</f>
        <v>6293.2984020000004</v>
      </c>
      <c r="AO194" s="41">
        <f>Table43[[#This Row],[Harga Beli Krt
(- PPN)]]*1.11</f>
        <v>132159.26644199999</v>
      </c>
      <c r="AP194" s="41">
        <v>6031.53</v>
      </c>
      <c r="AQ194" s="41">
        <f>Table43[[#This Row],[Harga Jual Pcs GT
(-PPN)]]*Table43[[#This Row],[ISI/CTN]]</f>
        <v>126662.12999999999</v>
      </c>
      <c r="AR194" s="41">
        <f>Table43[[#This Row],[Harga Jual Pcs GT
(-PPN)]]*1.11</f>
        <v>6694.9983000000002</v>
      </c>
      <c r="AS194" s="41">
        <f>Table43[[#This Row],[Harga Jual Krt GT
(- PPN)]]*1.11</f>
        <v>140594.96429999999</v>
      </c>
      <c r="AT194" s="41">
        <v>6514.0538965714341</v>
      </c>
      <c r="AU194" s="41">
        <f>(Table43[[#This Row],[Harga Jual Pcs MT
(-PPN)]]*Table43[[#This Row],[ISI/CTN]])</f>
        <v>136795.13182800013</v>
      </c>
      <c r="AV194" s="41">
        <f>Table43[[#This Row],[Harga Jual Pcs MT
(-PPN)]]*1.11</f>
        <v>7230.5998251942929</v>
      </c>
      <c r="AW194" s="41">
        <f>Table43[[#This Row],[Harga Jual Pcs MT
(+PPN)]]*Table43[[#This Row],[ISI/CTN]]</f>
        <v>151842.59632908014</v>
      </c>
      <c r="AX194" s="41"/>
      <c r="AY194" s="46"/>
      <c r="AZ194" s="54">
        <v>45945</v>
      </c>
      <c r="BA194" s="7" t="str">
        <f ca="1">IF(TODAY()-Table43[[#This Row],[Efektif
Pembuatan]]&gt;60,"Lama","Baru")</f>
        <v>Lama</v>
      </c>
      <c r="BB194" s="7" t="str">
        <f ca="1">IF(TODAY()-Table43[[#This Row],[Efektif Naik Harga]]&lt;30,"Naik","Sama")</f>
        <v>Sama</v>
      </c>
      <c r="BC194" s="7" t="s">
        <v>235</v>
      </c>
      <c r="BD194" s="7" t="str">
        <f>IF(Table43[[#This Row],[Kode BARANG Win2]]&lt;&gt;"","IDR","")</f>
        <v>IDR</v>
      </c>
      <c r="BE194" s="7" t="str">
        <f>CONCATENATE(Table43[[#This Row],[kode  1 Digit
(Nomor)]],Table43[[#This Row],[kode  4 Digit                (Nomor)]])</f>
        <v>10008</v>
      </c>
      <c r="BF194" s="7" t="str">
        <f>Table43[[#This Row],[Nama            Gramasi atau Jumlah Pack per CTN]]</f>
        <v>8 GR</v>
      </c>
      <c r="BG194" s="7" t="s">
        <v>653</v>
      </c>
      <c r="BH194" s="51" t="s">
        <v>654</v>
      </c>
      <c r="BI194" s="4" t="str">
        <f>IF(Table43[[#This Row],[SATUAN Fix Win]]&lt;&gt;"","KRT")</f>
        <v>KRT</v>
      </c>
      <c r="BJ194" s="4" t="str">
        <f>IF(Table43[[#This Row],[SATUAN Fix Win]]&lt;&gt;"","GD01")</f>
        <v>GD01</v>
      </c>
      <c r="BK194" s="4">
        <f>IF(Table43[[#This Row],[SATUAN Fix Win]]&lt;&gt;"",11611)</f>
        <v>11611</v>
      </c>
      <c r="BL194" s="4">
        <f>IF(Table43[[#This Row],[SATUAN Fix Win]]&lt;&gt;"",11612)</f>
        <v>11612</v>
      </c>
      <c r="BM194" s="47" t="s">
        <v>655</v>
      </c>
      <c r="BN194" s="4">
        <f>IF(Table43[[#This Row],[SATUAN Fix Win]]&lt;&gt;"",1)</f>
        <v>1</v>
      </c>
      <c r="BO194" s="4" t="s">
        <v>656</v>
      </c>
      <c r="BP194" s="4">
        <f>IFERROR(VLOOKUP(Table43[[#This Row],[Kode Pcpl]],'[1]HEINZ ABC'!$A$4:$E$112,8,0),0)</f>
        <v>0</v>
      </c>
      <c r="BQ194" s="55">
        <f>Table43[[#This Row],[Harga Jual Pcs GT
(-PPN)]]-Table43[[#This Row],[HARGA NAIK GT]]</f>
        <v>6031.53</v>
      </c>
      <c r="BR194" s="4">
        <f>IF(Table43[[#This Row],[HARGA NAIK GT]]=0,Table43[[#This Row],[Harga Jual Pcs GT
(-PPN)]],Table43[[#This Row],[HARGA NAIK GT]])</f>
        <v>6031.53</v>
      </c>
      <c r="BS194">
        <f>IFERROR(VLOOKUP(Table43[[#This Row],[Kode Pcpl]],'[1]HEINZ ABC'!$A$4:$E$112,8,0),0)</f>
        <v>0</v>
      </c>
      <c r="BT194" s="58">
        <f>Table43[[#This Row],[Harga Jual Pcs GT
(-PPN)]]-BS194</f>
        <v>6031.53</v>
      </c>
      <c r="BU194">
        <f>IF(BS194=0,Table43[[#This Row],[Harga Jual Pcs MT
(-PPN)]])</f>
        <v>6514.0538965714341</v>
      </c>
      <c r="BV194">
        <f>IFERROR(VLOOKUP(Table43[[#This Row],[Kode Pcpl]],[2]Pricelist!$A$4:$K$112,11,0),0)</f>
        <v>0</v>
      </c>
      <c r="BW194">
        <f>IFERROR(VLOOKUP(Table43[[#This Row],[Kode BARANG Win2]],[3]!RECKITT211216[[KDBRG]:[HRG_JL_PCS-PPN]],11,0),0)</f>
        <v>0</v>
      </c>
      <c r="BX194">
        <f t="shared" si="8"/>
        <v>0</v>
      </c>
    </row>
    <row r="195" spans="1:76" s="112" customFormat="1" x14ac:dyDescent="0.25">
      <c r="A195" s="96" t="str">
        <f>CONCATENATE(Table43[[#This Row],[Kode BARANG Win2]],Table43[[#This Row],[No. Urut
Item Sama]])</f>
        <v>A1120006000810N1</v>
      </c>
      <c r="B195" s="97">
        <v>1</v>
      </c>
      <c r="C195" s="96">
        <v>292</v>
      </c>
      <c r="D195" s="98">
        <v>150409</v>
      </c>
      <c r="E195" s="27"/>
      <c r="F195" s="98" t="s">
        <v>2993</v>
      </c>
      <c r="G195" s="98">
        <v>21</v>
      </c>
      <c r="H195" s="99">
        <v>7000003676</v>
      </c>
      <c r="I195" s="98" t="str">
        <f>Table43[[#This Row],[Nama Jenis Kemasan]]</f>
        <v>PCSX22</v>
      </c>
      <c r="J195" s="96" t="str">
        <f>TRIM(CONCATENATE(Table43[[#This Row],[Nama            KLP]]," ",Table43[[#This Row],[Nama            Sub KLP]]))</f>
        <v>SAMBAL</v>
      </c>
      <c r="K195" s="96" t="str">
        <f>CONCATENATE(Table43[[#This Row],[kode  2 Digit                (hrf+No)]],Table43[[#This Row],[kode  2 Digit                (Nomor)]],Table43[[#This Row],[kode  1 Digit                (Nomor)]])</f>
        <v>A1120</v>
      </c>
      <c r="L195" s="96" t="str">
        <f>IF(AG195="",CONCATENATE(Q195,S195,U195,W195,Y195,AA195,AC195,AE195,Table43[[#This Row],[Tanda Kode Revisi]]),CONCATENATE(Q195,S195,U195,W195,Y195,AA195,AC195,AG195))</f>
        <v>A1120006000810N</v>
      </c>
      <c r="M195" s="100">
        <f>LEN(L195)</f>
        <v>15</v>
      </c>
      <c r="N195" s="101" t="str">
        <f>IF(AF195&lt;&gt;"",TRIM(UPPER(CONCATENATE(P195," ",R195," ",T195," ",V195," ",X195," ",Z195," ","X"," ",Table43[[#This Row],[ISI/CTN]]," ",AF195," ",AB195," ",AD195," ",AH195))),TRIM(UPPER(CONCATENATE(P195," ",R195," ",T195," ",V195," ",X195," ",Z195," ","X"," ",Table43[[#This Row],[ISI/CTN]]," ",AB195," ",AD195," ",AH195))))</f>
        <v>ABC SAMBAL ASLI 8 GR X 21 PACK PCSX22 NEW</v>
      </c>
      <c r="O195" s="100">
        <f>LEN(N195)</f>
        <v>41</v>
      </c>
      <c r="P195" s="96" t="s">
        <v>28</v>
      </c>
      <c r="Q195" s="97" t="s">
        <v>85</v>
      </c>
      <c r="R195" s="96" t="s">
        <v>603</v>
      </c>
      <c r="S195" s="102">
        <v>12</v>
      </c>
      <c r="T195" s="103"/>
      <c r="U195" s="97">
        <v>0</v>
      </c>
      <c r="V195" s="103"/>
      <c r="W195" s="102" t="s">
        <v>1</v>
      </c>
      <c r="X195" s="96" t="s">
        <v>604</v>
      </c>
      <c r="Y195" s="104" t="s">
        <v>221</v>
      </c>
      <c r="Z195" s="96" t="s">
        <v>589</v>
      </c>
      <c r="AA195" s="104" t="s">
        <v>590</v>
      </c>
      <c r="AB195" s="96" t="s">
        <v>591</v>
      </c>
      <c r="AC195" s="97">
        <v>1</v>
      </c>
      <c r="AD195" s="96" t="s">
        <v>2997</v>
      </c>
      <c r="AE195" s="97" t="s">
        <v>2994</v>
      </c>
      <c r="AF195" s="97" t="s">
        <v>546</v>
      </c>
      <c r="AG195" s="97"/>
      <c r="AH195" s="97"/>
      <c r="AI195" s="97" t="s">
        <v>215</v>
      </c>
      <c r="AJ195" s="97">
        <v>1</v>
      </c>
      <c r="AK195" s="97"/>
      <c r="AL195" s="105">
        <f>Table43[[#This Row],[Harga Jual Pcs GT
(-PPN)]]-(Table43[[#This Row],[Harga Jual Pcs GT
(-PPN)]]*6%)</f>
        <v>0</v>
      </c>
      <c r="AM195" s="106">
        <f>Table43[[#This Row],[Harga Beli Pcs
(-PPN)]]*Table43[[#This Row],[ISI/CTN]]</f>
        <v>0</v>
      </c>
      <c r="AN195" s="106">
        <f>Table43[[#This Row],[Harga Beli Pcs
(-PPN)]]*1.11</f>
        <v>0</v>
      </c>
      <c r="AO195" s="106">
        <f>Table43[[#This Row],[Harga Beli Krt
(- PPN)]]*1.11</f>
        <v>0</v>
      </c>
      <c r="AP195" s="106"/>
      <c r="AQ195" s="106">
        <f>Table43[[#This Row],[Harga Jual Pcs GT
(-PPN)]]*Table43[[#This Row],[ISI/CTN]]</f>
        <v>0</v>
      </c>
      <c r="AR195" s="106">
        <f>Table43[[#This Row],[Harga Jual Pcs GT
(-PPN)]]*1.11</f>
        <v>0</v>
      </c>
      <c r="AS195" s="106">
        <f>Table43[[#This Row],[Harga Jual Krt GT
(- PPN)]]*1.11</f>
        <v>0</v>
      </c>
      <c r="AT195" s="106"/>
      <c r="AU195" s="106">
        <f>(Table43[[#This Row],[Harga Jual Pcs MT
(-PPN)]]*Table43[[#This Row],[ISI/CTN]])</f>
        <v>0</v>
      </c>
      <c r="AV195" s="106">
        <f>Table43[[#This Row],[Harga Jual Pcs MT
(-PPN)]]*1.11</f>
        <v>0</v>
      </c>
      <c r="AW195" s="106">
        <f>Table43[[#This Row],[Harga Jual Pcs MT
(+PPN)]]*Table43[[#This Row],[ISI/CTN]]</f>
        <v>0</v>
      </c>
      <c r="AX195" s="106"/>
      <c r="AY195" s="107"/>
      <c r="AZ195" s="108"/>
      <c r="BA195" s="97" t="str">
        <f ca="1">IF(TODAY()-Table43[[#This Row],[Efektif
Pembuatan]]&gt;60,"Lama","Baru")</f>
        <v>Lama</v>
      </c>
      <c r="BB195" s="97" t="str">
        <f ca="1">IF(TODAY()-Table43[[#This Row],[Efektif Naik Harga]]&lt;30,"Naik","Sama")</f>
        <v>Sama</v>
      </c>
      <c r="BC195" s="97"/>
      <c r="BD195" s="97" t="str">
        <f>IF(Table43[[#This Row],[Kode BARANG Win2]]&lt;&gt;"","IDR","")</f>
        <v>IDR</v>
      </c>
      <c r="BE195" s="97" t="str">
        <f>CONCATENATE(Table43[[#This Row],[kode  1 Digit
(Nomor)]],Table43[[#This Row],[kode  4 Digit                (Nomor)]])</f>
        <v>10008</v>
      </c>
      <c r="BF195" s="97" t="str">
        <f>Table43[[#This Row],[Nama            Gramasi atau Jumlah Pack per CTN]]</f>
        <v>8 GR</v>
      </c>
      <c r="BG195" s="97"/>
      <c r="BH195" s="109"/>
      <c r="BI195" s="96" t="str">
        <f>IF(Table43[[#This Row],[SATUAN Fix Win]]&lt;&gt;"","KRT")</f>
        <v>KRT</v>
      </c>
      <c r="BJ195" s="96" t="str">
        <f>IF(Table43[[#This Row],[SATUAN Fix Win]]&lt;&gt;"","GD01")</f>
        <v>GD01</v>
      </c>
      <c r="BK195" s="96">
        <f>IF(Table43[[#This Row],[SATUAN Fix Win]]&lt;&gt;"",11611)</f>
        <v>11611</v>
      </c>
      <c r="BL195" s="96">
        <f>IF(Table43[[#This Row],[SATUAN Fix Win]]&lt;&gt;"",11612)</f>
        <v>11612</v>
      </c>
      <c r="BM195" s="110"/>
      <c r="BN195" s="96">
        <f>IF(Table43[[#This Row],[SATUAN Fix Win]]&lt;&gt;"",1)</f>
        <v>1</v>
      </c>
      <c r="BO195" s="96"/>
      <c r="BP195" s="96">
        <f>IFERROR(VLOOKUP(Table43[[#This Row],[Kode Pcpl]],'[1]HEINZ ABC'!$A$4:$E$112,8,0),0)</f>
        <v>0</v>
      </c>
      <c r="BQ195" s="111">
        <f>Table43[[#This Row],[Harga Jual Pcs GT
(-PPN)]]-Table43[[#This Row],[HARGA NAIK GT]]</f>
        <v>0</v>
      </c>
      <c r="BR195" s="96">
        <f>IF(Table43[[#This Row],[HARGA NAIK GT]]=0,Table43[[#This Row],[Harga Jual Pcs GT
(-PPN)]],Table43[[#This Row],[HARGA NAIK GT]])</f>
        <v>0</v>
      </c>
      <c r="BT195" s="113"/>
    </row>
    <row r="196" spans="1:76" x14ac:dyDescent="0.25">
      <c r="A196" s="4" t="str">
        <f>CONCATENATE(Table43[[#This Row],[Kode BARANG Win2]],Table43[[#This Row],[No. Urut
Item Sama]])</f>
        <v>A11200060015101</v>
      </c>
      <c r="B196" s="7">
        <v>1</v>
      </c>
      <c r="C196" s="4">
        <v>171</v>
      </c>
      <c r="D196" s="27">
        <v>150132</v>
      </c>
      <c r="E196" s="27" t="s">
        <v>381</v>
      </c>
      <c r="F196" s="27" t="s">
        <v>385</v>
      </c>
      <c r="G196" s="27">
        <v>30</v>
      </c>
      <c r="H196" s="42">
        <v>0</v>
      </c>
      <c r="I196" s="27" t="str">
        <f>Table43[[#This Row],[Nama Jenis Kemasan]]</f>
        <v>PCSX10</v>
      </c>
      <c r="J196" s="4" t="str">
        <f>TRIM(CONCATENATE(Table43[[#This Row],[Nama            KLP]]," ",Table43[[#This Row],[Nama            Sub KLP]]))</f>
        <v>SAMBAL</v>
      </c>
      <c r="K196" s="4" t="str">
        <f>CONCATENATE(Table43[[#This Row],[kode  2 Digit                (hrf+No)]],Table43[[#This Row],[kode  2 Digit                (Nomor)]],Table43[[#This Row],[kode  1 Digit                (Nomor)]])</f>
        <v>A1120</v>
      </c>
      <c r="L196" s="4" t="str">
        <f>IF(AG196="",CONCATENATE(Q196,S196,U196,W196,Y196,AA196,AC196,AE196,Table43[[#This Row],[Tanda Kode Revisi]]),CONCATENATE(Q196,S196,U196,W196,Y196,AA196,AC196,AG196))</f>
        <v>A1120006001510</v>
      </c>
      <c r="M196" s="11">
        <f t="shared" si="6"/>
        <v>14</v>
      </c>
      <c r="N196" s="14" t="str">
        <f>IF(AF196&lt;&gt;"",TRIM(UPPER(CONCATENATE(P196," ",R196," ",T196," ",V196," ",X196," ",Z196," ","X"," ",Table43[[#This Row],[ISI/CTN]]," ",AF196," ",AB196," ",AD196," ",AH196))),TRIM(UPPER(CONCATENATE(P196," ",R196," ",T196," ",V196," ",X196," ",Z196," ","X"," ",Table43[[#This Row],[ISI/CTN]]," ",AB196," ",AD196," ",AH196))))</f>
        <v>ABC SAMBAL ASLI 15 GR X 30 PACK PCSX10</v>
      </c>
      <c r="O196" s="11">
        <f t="shared" si="7"/>
        <v>38</v>
      </c>
      <c r="P196" s="4" t="s">
        <v>28</v>
      </c>
      <c r="Q196" s="7" t="s">
        <v>85</v>
      </c>
      <c r="R196" s="4" t="s">
        <v>603</v>
      </c>
      <c r="S196" s="43">
        <v>12</v>
      </c>
      <c r="T196" s="44"/>
      <c r="U196" s="7">
        <v>0</v>
      </c>
      <c r="V196" s="44"/>
      <c r="W196" s="43" t="s">
        <v>1</v>
      </c>
      <c r="X196" s="4" t="s">
        <v>604</v>
      </c>
      <c r="Y196" s="45" t="s">
        <v>221</v>
      </c>
      <c r="Z196" s="4" t="s">
        <v>522</v>
      </c>
      <c r="AA196" s="45" t="s">
        <v>523</v>
      </c>
      <c r="AB196" s="4" t="s">
        <v>605</v>
      </c>
      <c r="AC196" s="7" t="s">
        <v>480</v>
      </c>
      <c r="AE196" s="7" t="s">
        <v>1</v>
      </c>
      <c r="AF196" s="7" t="s">
        <v>546</v>
      </c>
      <c r="AI196" s="7" t="s">
        <v>215</v>
      </c>
      <c r="AJ196" s="7">
        <v>1</v>
      </c>
      <c r="AL196" s="40">
        <f>Table43[[#This Row],[Harga Jual Pcs GT
(-PPN)]]-(Table43[[#This Row],[Harga Jual Pcs GT
(-PPN)]]*6%)</f>
        <v>5538.7996000000003</v>
      </c>
      <c r="AM196" s="41">
        <f>Table43[[#This Row],[Harga Beli Pcs
(-PPN)]]*Table43[[#This Row],[ISI/CTN]]</f>
        <v>166163.98800000001</v>
      </c>
      <c r="AN196" s="41">
        <f>Table43[[#This Row],[Harga Beli Pcs
(-PPN)]]*1.11</f>
        <v>6148.0675560000009</v>
      </c>
      <c r="AO196" s="41">
        <f>Table43[[#This Row],[Harga Beli Krt
(- PPN)]]*1.11</f>
        <v>184442.02668000004</v>
      </c>
      <c r="AP196" s="41">
        <v>5892.34</v>
      </c>
      <c r="AQ196" s="41">
        <f>Table43[[#This Row],[Harga Jual Pcs GT
(-PPN)]]*Table43[[#This Row],[ISI/CTN]]</f>
        <v>176770.2</v>
      </c>
      <c r="AR196" s="41">
        <f>Table43[[#This Row],[Harga Jual Pcs GT
(-PPN)]]*1.11</f>
        <v>6540.4974000000011</v>
      </c>
      <c r="AS196" s="41">
        <f>Table43[[#This Row],[Harga Jual Krt GT
(- PPN)]]*1.11</f>
        <v>196214.92200000002</v>
      </c>
      <c r="AT196" s="41">
        <v>6363.7296696000039</v>
      </c>
      <c r="AU196" s="41">
        <f>(Table43[[#This Row],[Harga Jual Pcs MT
(-PPN)]]*Table43[[#This Row],[ISI/CTN]])</f>
        <v>190911.89008800013</v>
      </c>
      <c r="AV196" s="41">
        <f>Table43[[#This Row],[Harga Jual Pcs MT
(-PPN)]]*1.11</f>
        <v>7063.7399332560053</v>
      </c>
      <c r="AW196" s="41">
        <f>Table43[[#This Row],[Harga Jual Pcs MT
(+PPN)]]*Table43[[#This Row],[ISI/CTN]]</f>
        <v>211912.19799768017</v>
      </c>
      <c r="AX196" s="41"/>
      <c r="AY196" s="46">
        <v>45553</v>
      </c>
      <c r="AZ196" s="54">
        <v>45945</v>
      </c>
      <c r="BA196" s="7" t="str">
        <f ca="1">IF(TODAY()-Table43[[#This Row],[Efektif
Pembuatan]]&gt;60,"Lama","Baru")</f>
        <v>Lama</v>
      </c>
      <c r="BB196" s="7" t="str">
        <f ca="1">IF(TODAY()-Table43[[#This Row],[Efektif Naik Harga]]&lt;30,"Naik","Sama")</f>
        <v>Sama</v>
      </c>
      <c r="BC196" s="7" t="s">
        <v>235</v>
      </c>
      <c r="BD196" s="7" t="str">
        <f>IF(Table43[[#This Row],[Kode BARANG Win2]]&lt;&gt;"","IDR","")</f>
        <v>IDR</v>
      </c>
      <c r="BE196" s="7" t="str">
        <f>CONCATENATE(Table43[[#This Row],[kode  1 Digit
(Nomor)]],Table43[[#This Row],[kode  4 Digit                (Nomor)]])</f>
        <v>10015</v>
      </c>
      <c r="BF196" s="7" t="str">
        <f>Table43[[#This Row],[Nama            Gramasi atau Jumlah Pack per CTN]]</f>
        <v>15 GR</v>
      </c>
      <c r="BG196" s="7" t="s">
        <v>653</v>
      </c>
      <c r="BH196" s="51" t="s">
        <v>654</v>
      </c>
      <c r="BI196" s="4" t="str">
        <f>IF(Table43[[#This Row],[SATUAN Fix Win]]&lt;&gt;"","KRT")</f>
        <v>KRT</v>
      </c>
      <c r="BJ196" s="4" t="str">
        <f>IF(Table43[[#This Row],[SATUAN Fix Win]]&lt;&gt;"","GD01")</f>
        <v>GD01</v>
      </c>
      <c r="BK196" s="4">
        <f>IF(Table43[[#This Row],[SATUAN Fix Win]]&lt;&gt;"",11611)</f>
        <v>11611</v>
      </c>
      <c r="BL196" s="4">
        <f>IF(Table43[[#This Row],[SATUAN Fix Win]]&lt;&gt;"",11612)</f>
        <v>11612</v>
      </c>
      <c r="BM196" s="47" t="s">
        <v>655</v>
      </c>
      <c r="BN196" s="4">
        <f>IF(Table43[[#This Row],[SATUAN Fix Win]]&lt;&gt;"",1)</f>
        <v>1</v>
      </c>
      <c r="BO196" s="4" t="s">
        <v>656</v>
      </c>
      <c r="BP196" s="4">
        <f>IFERROR(VLOOKUP(Table43[[#This Row],[Kode Pcpl]],'[1]HEINZ ABC'!$A$4:$E$112,8,0),0)</f>
        <v>0</v>
      </c>
      <c r="BQ196" s="55">
        <f>Table43[[#This Row],[Harga Jual Pcs GT
(-PPN)]]-Table43[[#This Row],[HARGA NAIK GT]]</f>
        <v>5892.34</v>
      </c>
      <c r="BR196" s="4">
        <f>IF(Table43[[#This Row],[HARGA NAIK GT]]=0,Table43[[#This Row],[Harga Jual Pcs GT
(-PPN)]],Table43[[#This Row],[HARGA NAIK GT]])</f>
        <v>5892.34</v>
      </c>
      <c r="BS196">
        <f>IFERROR(VLOOKUP(Table43[[#This Row],[Kode Pcpl]],'[1]HEINZ ABC'!$A$4:$E$112,8,0),0)</f>
        <v>0</v>
      </c>
      <c r="BT196" s="58">
        <f>Table43[[#This Row],[Harga Jual Pcs GT
(-PPN)]]-BS196</f>
        <v>5892.34</v>
      </c>
      <c r="BU196">
        <f>IF(BS196=0,Table43[[#This Row],[Harga Jual Pcs MT
(-PPN)]])</f>
        <v>6363.7296696000039</v>
      </c>
      <c r="BV196">
        <f>IFERROR(VLOOKUP(Table43[[#This Row],[Kode Pcpl]],[2]Pricelist!$A$4:$K$112,11,0),0)</f>
        <v>0</v>
      </c>
      <c r="BW196">
        <f>IFERROR(VLOOKUP(Table43[[#This Row],[Kode BARANG Win2]],[3]!RECKITT211216[[KDBRG]:[HRG_JL_PCS-PPN]],11,0),0)</f>
        <v>0</v>
      </c>
      <c r="BX196">
        <f t="shared" si="8"/>
        <v>0</v>
      </c>
    </row>
    <row r="197" spans="1:76" x14ac:dyDescent="0.25">
      <c r="A197" s="4" t="str">
        <f>CONCATENATE(Table43[[#This Row],[Kode BARANG Win2]],Table43[[#This Row],[No. Urut
Item Sama]])</f>
        <v>A11200060015102</v>
      </c>
      <c r="B197" s="7">
        <v>2</v>
      </c>
      <c r="C197" s="4">
        <v>172</v>
      </c>
      <c r="D197" s="27">
        <v>150206</v>
      </c>
      <c r="E197" s="27" t="s">
        <v>381</v>
      </c>
      <c r="F197" s="27" t="s">
        <v>386</v>
      </c>
      <c r="G197" s="27">
        <v>30</v>
      </c>
      <c r="H197" s="42" t="s">
        <v>2546</v>
      </c>
      <c r="I197" s="27" t="str">
        <f>Table43[[#This Row],[Nama Jenis Kemasan]]</f>
        <v>PCSX10</v>
      </c>
      <c r="J197" s="4" t="str">
        <f>TRIM(CONCATENATE(Table43[[#This Row],[Nama            KLP]]," ",Table43[[#This Row],[Nama            Sub KLP]]))</f>
        <v>SAMBAL</v>
      </c>
      <c r="K197" s="4" t="str">
        <f>CONCATENATE(Table43[[#This Row],[kode  2 Digit                (hrf+No)]],Table43[[#This Row],[kode  2 Digit                (Nomor)]],Table43[[#This Row],[kode  1 Digit                (Nomor)]])</f>
        <v>A1120</v>
      </c>
      <c r="L197" s="4" t="str">
        <f>IF(AG197="",CONCATENATE(Q197,S197,U197,W197,Y197,AA197,AC197,AE197,Table43[[#This Row],[Tanda Kode Revisi]]),CONCATENATE(Q197,S197,U197,W197,Y197,AA197,AC197,AG197))</f>
        <v>A1120006001510</v>
      </c>
      <c r="M197" s="11">
        <f t="shared" si="6"/>
        <v>14</v>
      </c>
      <c r="N197" s="14" t="str">
        <f>IF(AF197&lt;&gt;"",TRIM(UPPER(CONCATENATE(P197," ",R197," ",T197," ",V197," ",X197," ",Z197," ","X"," ",Table43[[#This Row],[ISI/CTN]]," ",AF197," ",AB197," ",AD197," ",AH197))),TRIM(UPPER(CONCATENATE(P197," ",R197," ",T197," ",V197," ",X197," ",Z197," ","X"," ",Table43[[#This Row],[ISI/CTN]]," ",AB197," ",AD197," ",AH197))))</f>
        <v>ABC SAMBAL ASLI 15 GR X 30 PACK PCSX10</v>
      </c>
      <c r="O197" s="11">
        <f t="shared" si="7"/>
        <v>38</v>
      </c>
      <c r="P197" s="4" t="s">
        <v>28</v>
      </c>
      <c r="Q197" s="7" t="s">
        <v>85</v>
      </c>
      <c r="R197" s="4" t="s">
        <v>603</v>
      </c>
      <c r="S197" s="43">
        <v>12</v>
      </c>
      <c r="T197" s="44"/>
      <c r="U197" s="7">
        <v>0</v>
      </c>
      <c r="V197" s="44"/>
      <c r="W197" s="43" t="s">
        <v>1</v>
      </c>
      <c r="X197" s="4" t="s">
        <v>604</v>
      </c>
      <c r="Y197" s="45" t="s">
        <v>221</v>
      </c>
      <c r="Z197" s="4" t="s">
        <v>522</v>
      </c>
      <c r="AA197" s="45" t="s">
        <v>523</v>
      </c>
      <c r="AB197" s="4" t="s">
        <v>605</v>
      </c>
      <c r="AC197" s="7" t="s">
        <v>480</v>
      </c>
      <c r="AE197" s="7" t="s">
        <v>1</v>
      </c>
      <c r="AF197" s="7" t="s">
        <v>546</v>
      </c>
      <c r="AI197" s="7" t="s">
        <v>215</v>
      </c>
      <c r="AJ197" s="7">
        <v>1</v>
      </c>
      <c r="AL197" s="40">
        <f>Table43[[#This Row],[Harga Jual Pcs GT
(-PPN)]]-(Table43[[#This Row],[Harga Jual Pcs GT
(-PPN)]]*6%)</f>
        <v>5538.7996000000003</v>
      </c>
      <c r="AM197" s="41">
        <f>Table43[[#This Row],[Harga Beli Pcs
(-PPN)]]*Table43[[#This Row],[ISI/CTN]]</f>
        <v>166163.98800000001</v>
      </c>
      <c r="AN197" s="41">
        <f>Table43[[#This Row],[Harga Beli Pcs
(-PPN)]]*1.11</f>
        <v>6148.0675560000009</v>
      </c>
      <c r="AO197" s="41">
        <f>Table43[[#This Row],[Harga Beli Krt
(- PPN)]]*1.11</f>
        <v>184442.02668000004</v>
      </c>
      <c r="AP197" s="41">
        <v>5892.34</v>
      </c>
      <c r="AQ197" s="41">
        <f>Table43[[#This Row],[Harga Jual Pcs GT
(-PPN)]]*Table43[[#This Row],[ISI/CTN]]</f>
        <v>176770.2</v>
      </c>
      <c r="AR197" s="41">
        <f>Table43[[#This Row],[Harga Jual Pcs GT
(-PPN)]]*1.11</f>
        <v>6540.4974000000011</v>
      </c>
      <c r="AS197" s="41">
        <f>Table43[[#This Row],[Harga Jual Krt GT
(- PPN)]]*1.11</f>
        <v>196214.92200000002</v>
      </c>
      <c r="AT197" s="41">
        <v>6363.7296696000039</v>
      </c>
      <c r="AU197" s="41">
        <f>(Table43[[#This Row],[Harga Jual Pcs MT
(-PPN)]]*Table43[[#This Row],[ISI/CTN]])</f>
        <v>190911.89008800013</v>
      </c>
      <c r="AV197" s="41">
        <f>Table43[[#This Row],[Harga Jual Pcs MT
(-PPN)]]*1.11</f>
        <v>7063.7399332560053</v>
      </c>
      <c r="AW197" s="41">
        <f>Table43[[#This Row],[Harga Jual Pcs MT
(+PPN)]]*Table43[[#This Row],[ISI/CTN]]</f>
        <v>211912.19799768017</v>
      </c>
      <c r="AX197" s="41"/>
      <c r="AY197" s="46">
        <v>45553</v>
      </c>
      <c r="AZ197" s="54">
        <v>45945</v>
      </c>
      <c r="BA197" s="7" t="str">
        <f ca="1">IF(TODAY()-Table43[[#This Row],[Efektif
Pembuatan]]&gt;60,"Lama","Baru")</f>
        <v>Lama</v>
      </c>
      <c r="BB197" s="7" t="str">
        <f ca="1">IF(TODAY()-Table43[[#This Row],[Efektif Naik Harga]]&lt;30,"Naik","Sama")</f>
        <v>Sama</v>
      </c>
      <c r="BC197" s="7" t="s">
        <v>235</v>
      </c>
      <c r="BD197" s="7" t="str">
        <f>IF(Table43[[#This Row],[Kode BARANG Win2]]&lt;&gt;"","IDR","")</f>
        <v>IDR</v>
      </c>
      <c r="BE197" s="7" t="str">
        <f>CONCATENATE(Table43[[#This Row],[kode  1 Digit
(Nomor)]],Table43[[#This Row],[kode  4 Digit                (Nomor)]])</f>
        <v>10015</v>
      </c>
      <c r="BF197" s="7" t="str">
        <f>Table43[[#This Row],[Nama            Gramasi atau Jumlah Pack per CTN]]</f>
        <v>15 GR</v>
      </c>
      <c r="BG197" s="7" t="s">
        <v>653</v>
      </c>
      <c r="BH197" s="51" t="s">
        <v>654</v>
      </c>
      <c r="BI197" s="4" t="str">
        <f>IF(Table43[[#This Row],[SATUAN Fix Win]]&lt;&gt;"","KRT")</f>
        <v>KRT</v>
      </c>
      <c r="BJ197" s="4" t="str">
        <f>IF(Table43[[#This Row],[SATUAN Fix Win]]&lt;&gt;"","GD01")</f>
        <v>GD01</v>
      </c>
      <c r="BK197" s="4">
        <f>IF(Table43[[#This Row],[SATUAN Fix Win]]&lt;&gt;"",11611)</f>
        <v>11611</v>
      </c>
      <c r="BL197" s="4">
        <f>IF(Table43[[#This Row],[SATUAN Fix Win]]&lt;&gt;"",11612)</f>
        <v>11612</v>
      </c>
      <c r="BM197" s="47" t="s">
        <v>655</v>
      </c>
      <c r="BN197" s="4">
        <f>IF(Table43[[#This Row],[SATUAN Fix Win]]&lt;&gt;"",1)</f>
        <v>1</v>
      </c>
      <c r="BO197" s="4" t="s">
        <v>656</v>
      </c>
      <c r="BP197" s="4">
        <f>IFERROR(VLOOKUP(Table43[[#This Row],[Kode Pcpl]],'[1]HEINZ ABC'!$A$4:$E$112,8,0),0)</f>
        <v>0</v>
      </c>
      <c r="BQ197" s="55">
        <f>Table43[[#This Row],[Harga Jual Pcs GT
(-PPN)]]-Table43[[#This Row],[HARGA NAIK GT]]</f>
        <v>5892.34</v>
      </c>
      <c r="BR197" s="4">
        <f>IF(Table43[[#This Row],[HARGA NAIK GT]]=0,Table43[[#This Row],[Harga Jual Pcs GT
(-PPN)]],Table43[[#This Row],[HARGA NAIK GT]])</f>
        <v>5892.34</v>
      </c>
      <c r="BS197">
        <f>IFERROR(VLOOKUP(Table43[[#This Row],[Kode Pcpl]],'[1]HEINZ ABC'!$A$4:$E$112,8,0),0)</f>
        <v>0</v>
      </c>
      <c r="BT197" s="58">
        <f>Table43[[#This Row],[Harga Jual Pcs GT
(-PPN)]]-BS197</f>
        <v>5892.34</v>
      </c>
      <c r="BU197">
        <f>IF(BS197=0,Table43[[#This Row],[Harga Jual Pcs MT
(-PPN)]])</f>
        <v>6363.7296696000039</v>
      </c>
      <c r="BV197">
        <f>IFERROR(VLOOKUP(Table43[[#This Row],[Kode Pcpl]],[2]Pricelist!$A$4:$K$112,11,0),0)</f>
        <v>0</v>
      </c>
      <c r="BW197">
        <f>IFERROR(VLOOKUP(Table43[[#This Row],[Kode BARANG Win2]],[3]!RECKITT211216[[KDBRG]:[HRG_JL_PCS-PPN]],11,0),0)</f>
        <v>0</v>
      </c>
      <c r="BX197">
        <f t="shared" si="8"/>
        <v>0</v>
      </c>
    </row>
    <row r="198" spans="1:76" x14ac:dyDescent="0.25">
      <c r="A198" s="4" t="str">
        <f>CONCATENATE(Table43[[#This Row],[Kode BARANG Win2]],Table43[[#This Row],[No. Urut
Item Sama]])</f>
        <v>A11200060015103</v>
      </c>
      <c r="B198" s="7">
        <v>3</v>
      </c>
      <c r="C198" s="4">
        <v>173</v>
      </c>
      <c r="D198" s="27">
        <v>150210</v>
      </c>
      <c r="E198" s="27" t="s">
        <v>381</v>
      </c>
      <c r="F198" s="27" t="s">
        <v>387</v>
      </c>
      <c r="G198" s="27">
        <v>30</v>
      </c>
      <c r="H198" s="42" t="s">
        <v>2544</v>
      </c>
      <c r="I198" s="27" t="str">
        <f>Table43[[#This Row],[Nama Jenis Kemasan]]</f>
        <v>PCSX10</v>
      </c>
      <c r="J198" s="4" t="str">
        <f>TRIM(CONCATENATE(Table43[[#This Row],[Nama            KLP]]," ",Table43[[#This Row],[Nama            Sub KLP]]))</f>
        <v>SAMBAL</v>
      </c>
      <c r="K198" s="4" t="str">
        <f>CONCATENATE(Table43[[#This Row],[kode  2 Digit                (hrf+No)]],Table43[[#This Row],[kode  2 Digit                (Nomor)]],Table43[[#This Row],[kode  1 Digit                (Nomor)]])</f>
        <v>A1120</v>
      </c>
      <c r="L198" s="4" t="str">
        <f>IF(AG198="",CONCATENATE(Q198,S198,U198,W198,Y198,AA198,AC198,AE198,Table43[[#This Row],[Tanda Kode Revisi]]),CONCATENATE(Q198,S198,U198,W198,Y198,AA198,AC198,AG198))</f>
        <v>A1120006001510</v>
      </c>
      <c r="M198" s="11">
        <f t="shared" si="6"/>
        <v>14</v>
      </c>
      <c r="N198" s="14" t="str">
        <f>IF(AF198&lt;&gt;"",TRIM(UPPER(CONCATENATE(P198," ",R198," ",T198," ",V198," ",X198," ",Z198," ","X"," ",Table43[[#This Row],[ISI/CTN]]," ",AF198," ",AB198," ",AD198," ",AH198))),TRIM(UPPER(CONCATENATE(P198," ",R198," ",T198," ",V198," ",X198," ",Z198," ","X"," ",Table43[[#This Row],[ISI/CTN]]," ",AB198," ",AD198," ",AH198))))</f>
        <v>ABC SAMBAL ASLI 15 GR X 30 PACK PCSX10</v>
      </c>
      <c r="O198" s="11">
        <f t="shared" si="7"/>
        <v>38</v>
      </c>
      <c r="P198" s="4" t="s">
        <v>28</v>
      </c>
      <c r="Q198" s="7" t="s">
        <v>85</v>
      </c>
      <c r="R198" s="4" t="s">
        <v>603</v>
      </c>
      <c r="S198" s="43">
        <v>12</v>
      </c>
      <c r="T198" s="44"/>
      <c r="U198" s="7">
        <v>0</v>
      </c>
      <c r="V198" s="44"/>
      <c r="W198" s="43" t="s">
        <v>1</v>
      </c>
      <c r="X198" s="4" t="s">
        <v>604</v>
      </c>
      <c r="Y198" s="45" t="s">
        <v>221</v>
      </c>
      <c r="Z198" s="4" t="s">
        <v>522</v>
      </c>
      <c r="AA198" s="45" t="s">
        <v>523</v>
      </c>
      <c r="AB198" s="4" t="s">
        <v>605</v>
      </c>
      <c r="AC198" s="7" t="s">
        <v>480</v>
      </c>
      <c r="AE198" s="7" t="s">
        <v>1</v>
      </c>
      <c r="AF198" s="7" t="s">
        <v>546</v>
      </c>
      <c r="AI198" s="7" t="s">
        <v>215</v>
      </c>
      <c r="AJ198" s="7">
        <v>1</v>
      </c>
      <c r="AL198" s="40">
        <f>Table43[[#This Row],[Harga Jual Pcs GT
(-PPN)]]-(Table43[[#This Row],[Harga Jual Pcs GT
(-PPN)]]*6%)</f>
        <v>5538.7996000000003</v>
      </c>
      <c r="AM198" s="41">
        <f>Table43[[#This Row],[Harga Beli Pcs
(-PPN)]]*Table43[[#This Row],[ISI/CTN]]</f>
        <v>166163.98800000001</v>
      </c>
      <c r="AN198" s="41">
        <f>Table43[[#This Row],[Harga Beli Pcs
(-PPN)]]*1.11</f>
        <v>6148.0675560000009</v>
      </c>
      <c r="AO198" s="41">
        <f>Table43[[#This Row],[Harga Beli Krt
(- PPN)]]*1.11</f>
        <v>184442.02668000004</v>
      </c>
      <c r="AP198" s="41">
        <v>5892.34</v>
      </c>
      <c r="AQ198" s="41">
        <f>Table43[[#This Row],[Harga Jual Pcs GT
(-PPN)]]*Table43[[#This Row],[ISI/CTN]]</f>
        <v>176770.2</v>
      </c>
      <c r="AR198" s="41">
        <f>Table43[[#This Row],[Harga Jual Pcs GT
(-PPN)]]*1.11</f>
        <v>6540.4974000000011</v>
      </c>
      <c r="AS198" s="41">
        <f>Table43[[#This Row],[Harga Jual Krt GT
(- PPN)]]*1.11</f>
        <v>196214.92200000002</v>
      </c>
      <c r="AT198" s="41">
        <v>6363.7296696000039</v>
      </c>
      <c r="AU198" s="41">
        <f>(Table43[[#This Row],[Harga Jual Pcs MT
(-PPN)]]*Table43[[#This Row],[ISI/CTN]])</f>
        <v>190911.89008800013</v>
      </c>
      <c r="AV198" s="41">
        <f>Table43[[#This Row],[Harga Jual Pcs MT
(-PPN)]]*1.11</f>
        <v>7063.7399332560053</v>
      </c>
      <c r="AW198" s="41">
        <f>Table43[[#This Row],[Harga Jual Pcs MT
(+PPN)]]*Table43[[#This Row],[ISI/CTN]]</f>
        <v>211912.19799768017</v>
      </c>
      <c r="AX198" s="41"/>
      <c r="AY198" s="46">
        <v>45553</v>
      </c>
      <c r="AZ198" s="54">
        <v>45945</v>
      </c>
      <c r="BA198" s="7" t="str">
        <f ca="1">IF(TODAY()-Table43[[#This Row],[Efektif
Pembuatan]]&gt;60,"Lama","Baru")</f>
        <v>Lama</v>
      </c>
      <c r="BB198" s="7" t="str">
        <f ca="1">IF(TODAY()-Table43[[#This Row],[Efektif Naik Harga]]&lt;30,"Naik","Sama")</f>
        <v>Sama</v>
      </c>
      <c r="BC198" s="7" t="s">
        <v>235</v>
      </c>
      <c r="BD198" s="7" t="str">
        <f>IF(Table43[[#This Row],[Kode BARANG Win2]]&lt;&gt;"","IDR","")</f>
        <v>IDR</v>
      </c>
      <c r="BE198" s="7" t="str">
        <f>CONCATENATE(Table43[[#This Row],[kode  1 Digit
(Nomor)]],Table43[[#This Row],[kode  4 Digit                (Nomor)]])</f>
        <v>10015</v>
      </c>
      <c r="BF198" s="7" t="str">
        <f>Table43[[#This Row],[Nama            Gramasi atau Jumlah Pack per CTN]]</f>
        <v>15 GR</v>
      </c>
      <c r="BG198" s="7" t="s">
        <v>653</v>
      </c>
      <c r="BH198" s="51" t="s">
        <v>654</v>
      </c>
      <c r="BI198" s="4" t="str">
        <f>IF(Table43[[#This Row],[SATUAN Fix Win]]&lt;&gt;"","KRT")</f>
        <v>KRT</v>
      </c>
      <c r="BJ198" s="4" t="str">
        <f>IF(Table43[[#This Row],[SATUAN Fix Win]]&lt;&gt;"","GD01")</f>
        <v>GD01</v>
      </c>
      <c r="BK198" s="4">
        <f>IF(Table43[[#This Row],[SATUAN Fix Win]]&lt;&gt;"",11611)</f>
        <v>11611</v>
      </c>
      <c r="BL198" s="4">
        <f>IF(Table43[[#This Row],[SATUAN Fix Win]]&lt;&gt;"",11612)</f>
        <v>11612</v>
      </c>
      <c r="BM198" s="47" t="s">
        <v>655</v>
      </c>
      <c r="BN198" s="4">
        <f>IF(Table43[[#This Row],[SATUAN Fix Win]]&lt;&gt;"",1)</f>
        <v>1</v>
      </c>
      <c r="BO198" s="4" t="s">
        <v>656</v>
      </c>
      <c r="BP198" s="4">
        <f>IFERROR(VLOOKUP(Table43[[#This Row],[Kode Pcpl]],'[1]HEINZ ABC'!$A$4:$E$112,8,0),0)</f>
        <v>0</v>
      </c>
      <c r="BQ198" s="55">
        <f>Table43[[#This Row],[Harga Jual Pcs GT
(-PPN)]]-Table43[[#This Row],[HARGA NAIK GT]]</f>
        <v>5892.34</v>
      </c>
      <c r="BR198" s="4">
        <f>IF(Table43[[#This Row],[HARGA NAIK GT]]=0,Table43[[#This Row],[Harga Jual Pcs GT
(-PPN)]],Table43[[#This Row],[HARGA NAIK GT]])</f>
        <v>5892.34</v>
      </c>
      <c r="BS198">
        <f>IFERROR(VLOOKUP(Table43[[#This Row],[Kode Pcpl]],'[1]HEINZ ABC'!$A$4:$E$112,8,0),0)</f>
        <v>0</v>
      </c>
      <c r="BT198" s="58">
        <f>Table43[[#This Row],[Harga Jual Pcs GT
(-PPN)]]-BS198</f>
        <v>5892.34</v>
      </c>
      <c r="BU198">
        <f>IF(BS198=0,Table43[[#This Row],[Harga Jual Pcs MT
(-PPN)]])</f>
        <v>6363.7296696000039</v>
      </c>
      <c r="BV198">
        <f>IFERROR(VLOOKUP(Table43[[#This Row],[Kode Pcpl]],[2]Pricelist!$A$4:$K$112,11,0),0)</f>
        <v>0</v>
      </c>
      <c r="BW198">
        <f>IFERROR(VLOOKUP(Table43[[#This Row],[Kode BARANG Win2]],[3]!RECKITT211216[[KDBRG]:[HRG_JL_PCS-PPN]],11,0),0)</f>
        <v>0</v>
      </c>
      <c r="BX198">
        <f t="shared" si="8"/>
        <v>0</v>
      </c>
    </row>
    <row r="199" spans="1:76" x14ac:dyDescent="0.25">
      <c r="A199" s="4" t="str">
        <f>CONCATENATE(Table43[[#This Row],[Kode BARANG Win2]],Table43[[#This Row],[No. Urut
Item Sama]])</f>
        <v>A11200060015104</v>
      </c>
      <c r="B199" s="7">
        <v>4</v>
      </c>
      <c r="C199" s="4">
        <v>174</v>
      </c>
      <c r="D199" s="27">
        <v>150230</v>
      </c>
      <c r="E199" s="27" t="s">
        <v>381</v>
      </c>
      <c r="F199" s="27" t="s">
        <v>388</v>
      </c>
      <c r="G199" s="27">
        <v>30</v>
      </c>
      <c r="H199" s="42" t="s">
        <v>2545</v>
      </c>
      <c r="I199" s="27" t="str">
        <f>Table43[[#This Row],[Nama Jenis Kemasan]]</f>
        <v>PCSX10</v>
      </c>
      <c r="J199" s="4" t="str">
        <f>TRIM(CONCATENATE(Table43[[#This Row],[Nama            KLP]]," ",Table43[[#This Row],[Nama            Sub KLP]]))</f>
        <v>SAMBAL</v>
      </c>
      <c r="K199" s="4" t="str">
        <f>CONCATENATE(Table43[[#This Row],[kode  2 Digit                (hrf+No)]],Table43[[#This Row],[kode  2 Digit                (Nomor)]],Table43[[#This Row],[kode  1 Digit                (Nomor)]])</f>
        <v>A1120</v>
      </c>
      <c r="L199" s="4" t="str">
        <f>IF(AG199="",CONCATENATE(Q199,S199,U199,W199,Y199,AA199,AC199,AE199,Table43[[#This Row],[Tanda Kode Revisi]]),CONCATENATE(Q199,S199,U199,W199,Y199,AA199,AC199,AG199))</f>
        <v>A1120006001510</v>
      </c>
      <c r="M199" s="11">
        <f t="shared" si="6"/>
        <v>14</v>
      </c>
      <c r="N199" s="14" t="str">
        <f>IF(AF199&lt;&gt;"",TRIM(UPPER(CONCATENATE(P199," ",R199," ",T199," ",V199," ",X199," ",Z199," ","X"," ",Table43[[#This Row],[ISI/CTN]]," ",AF199," ",AB199," ",AD199," ",AH199))),TRIM(UPPER(CONCATENATE(P199," ",R199," ",T199," ",V199," ",X199," ",Z199," ","X"," ",Table43[[#This Row],[ISI/CTN]]," ",AB199," ",AD199," ",AH199))))</f>
        <v>ABC SAMBAL ASLI 15 GR X 30 PACK PCSX10</v>
      </c>
      <c r="O199" s="11">
        <f t="shared" si="7"/>
        <v>38</v>
      </c>
      <c r="P199" s="4" t="s">
        <v>28</v>
      </c>
      <c r="Q199" s="7" t="s">
        <v>85</v>
      </c>
      <c r="R199" s="4" t="s">
        <v>603</v>
      </c>
      <c r="S199" s="43">
        <v>12</v>
      </c>
      <c r="T199" s="44"/>
      <c r="U199" s="7">
        <v>0</v>
      </c>
      <c r="V199" s="44"/>
      <c r="W199" s="43" t="s">
        <v>1</v>
      </c>
      <c r="X199" s="4" t="s">
        <v>604</v>
      </c>
      <c r="Y199" s="45" t="s">
        <v>221</v>
      </c>
      <c r="Z199" s="4" t="s">
        <v>522</v>
      </c>
      <c r="AA199" s="45" t="s">
        <v>523</v>
      </c>
      <c r="AB199" s="4" t="s">
        <v>605</v>
      </c>
      <c r="AC199" s="7" t="s">
        <v>480</v>
      </c>
      <c r="AE199" s="7" t="s">
        <v>1</v>
      </c>
      <c r="AF199" s="7" t="s">
        <v>546</v>
      </c>
      <c r="AI199" s="7" t="s">
        <v>215</v>
      </c>
      <c r="AJ199" s="7">
        <v>1</v>
      </c>
      <c r="AL199" s="40">
        <f>Table43[[#This Row],[Harga Jual Pcs GT
(-PPN)]]-(Table43[[#This Row],[Harga Jual Pcs GT
(-PPN)]]*6%)</f>
        <v>5538.7996000000003</v>
      </c>
      <c r="AM199" s="41">
        <f>Table43[[#This Row],[Harga Beli Pcs
(-PPN)]]*Table43[[#This Row],[ISI/CTN]]</f>
        <v>166163.98800000001</v>
      </c>
      <c r="AN199" s="41">
        <f>Table43[[#This Row],[Harga Beli Pcs
(-PPN)]]*1.11</f>
        <v>6148.0675560000009</v>
      </c>
      <c r="AO199" s="41">
        <f>Table43[[#This Row],[Harga Beli Krt
(- PPN)]]*1.11</f>
        <v>184442.02668000004</v>
      </c>
      <c r="AP199" s="41">
        <v>5892.34</v>
      </c>
      <c r="AQ199" s="41">
        <f>Table43[[#This Row],[Harga Jual Pcs GT
(-PPN)]]*Table43[[#This Row],[ISI/CTN]]</f>
        <v>176770.2</v>
      </c>
      <c r="AR199" s="41">
        <f>Table43[[#This Row],[Harga Jual Pcs GT
(-PPN)]]*1.11</f>
        <v>6540.4974000000011</v>
      </c>
      <c r="AS199" s="41">
        <f>Table43[[#This Row],[Harga Jual Krt GT
(- PPN)]]*1.11</f>
        <v>196214.92200000002</v>
      </c>
      <c r="AT199" s="41">
        <v>6363.7296696000039</v>
      </c>
      <c r="AU199" s="41">
        <f>(Table43[[#This Row],[Harga Jual Pcs MT
(-PPN)]]*Table43[[#This Row],[ISI/CTN]])</f>
        <v>190911.89008800013</v>
      </c>
      <c r="AV199" s="41">
        <f>Table43[[#This Row],[Harga Jual Pcs MT
(-PPN)]]*1.11</f>
        <v>7063.7399332560053</v>
      </c>
      <c r="AW199" s="41">
        <f>Table43[[#This Row],[Harga Jual Pcs MT
(+PPN)]]*Table43[[#This Row],[ISI/CTN]]</f>
        <v>211912.19799768017</v>
      </c>
      <c r="AX199" s="41"/>
      <c r="AY199" s="46">
        <v>45553</v>
      </c>
      <c r="AZ199" s="54">
        <v>45945</v>
      </c>
      <c r="BA199" s="7" t="str">
        <f ca="1">IF(TODAY()-Table43[[#This Row],[Efektif
Pembuatan]]&gt;60,"Lama","Baru")</f>
        <v>Lama</v>
      </c>
      <c r="BB199" s="7" t="str">
        <f ca="1">IF(TODAY()-Table43[[#This Row],[Efektif Naik Harga]]&lt;30,"Naik","Sama")</f>
        <v>Sama</v>
      </c>
      <c r="BC199" s="7" t="s">
        <v>235</v>
      </c>
      <c r="BD199" s="7" t="str">
        <f>IF(Table43[[#This Row],[Kode BARANG Win2]]&lt;&gt;"","IDR","")</f>
        <v>IDR</v>
      </c>
      <c r="BE199" s="7" t="str">
        <f>CONCATENATE(Table43[[#This Row],[kode  1 Digit
(Nomor)]],Table43[[#This Row],[kode  4 Digit                (Nomor)]])</f>
        <v>10015</v>
      </c>
      <c r="BF199" s="7" t="str">
        <f>Table43[[#This Row],[Nama            Gramasi atau Jumlah Pack per CTN]]</f>
        <v>15 GR</v>
      </c>
      <c r="BG199" s="7" t="s">
        <v>653</v>
      </c>
      <c r="BH199" s="51" t="s">
        <v>654</v>
      </c>
      <c r="BI199" s="4" t="str">
        <f>IF(Table43[[#This Row],[SATUAN Fix Win]]&lt;&gt;"","KRT")</f>
        <v>KRT</v>
      </c>
      <c r="BJ199" s="4" t="str">
        <f>IF(Table43[[#This Row],[SATUAN Fix Win]]&lt;&gt;"","GD01")</f>
        <v>GD01</v>
      </c>
      <c r="BK199" s="4">
        <f>IF(Table43[[#This Row],[SATUAN Fix Win]]&lt;&gt;"",11611)</f>
        <v>11611</v>
      </c>
      <c r="BL199" s="4">
        <f>IF(Table43[[#This Row],[SATUAN Fix Win]]&lt;&gt;"",11612)</f>
        <v>11612</v>
      </c>
      <c r="BM199" s="47" t="s">
        <v>655</v>
      </c>
      <c r="BN199" s="4">
        <f>IF(Table43[[#This Row],[SATUAN Fix Win]]&lt;&gt;"",1)</f>
        <v>1</v>
      </c>
      <c r="BO199" s="4" t="s">
        <v>656</v>
      </c>
      <c r="BP199" s="4">
        <f>IFERROR(VLOOKUP(Table43[[#This Row],[Kode Pcpl]],'[1]HEINZ ABC'!$A$4:$E$112,8,0),0)</f>
        <v>0</v>
      </c>
      <c r="BQ199" s="55">
        <f>Table43[[#This Row],[Harga Jual Pcs GT
(-PPN)]]-Table43[[#This Row],[HARGA NAIK GT]]</f>
        <v>5892.34</v>
      </c>
      <c r="BR199" s="4">
        <f>IF(Table43[[#This Row],[HARGA NAIK GT]]=0,Table43[[#This Row],[Harga Jual Pcs GT
(-PPN)]],Table43[[#This Row],[HARGA NAIK GT]])</f>
        <v>5892.34</v>
      </c>
      <c r="BS199">
        <f>IFERROR(VLOOKUP(Table43[[#This Row],[Kode Pcpl]],'[1]HEINZ ABC'!$A$4:$E$112,8,0),0)</f>
        <v>0</v>
      </c>
      <c r="BT199" s="58">
        <f>Table43[[#This Row],[Harga Jual Pcs GT
(-PPN)]]-BS199</f>
        <v>5892.34</v>
      </c>
      <c r="BU199">
        <f>IF(BS199=0,Table43[[#This Row],[Harga Jual Pcs MT
(-PPN)]])</f>
        <v>6363.7296696000039</v>
      </c>
      <c r="BV199">
        <f>IFERROR(VLOOKUP(Table43[[#This Row],[Kode Pcpl]],[2]Pricelist!$A$4:$K$112,11,0),0)</f>
        <v>0</v>
      </c>
      <c r="BW199">
        <f>IFERROR(VLOOKUP(Table43[[#This Row],[Kode BARANG Win2]],[3]!RECKITT211216[[KDBRG]:[HRG_JL_PCS-PPN]],11,0),0)</f>
        <v>0</v>
      </c>
      <c r="BX199">
        <f t="shared" si="8"/>
        <v>0</v>
      </c>
    </row>
    <row r="200" spans="1:76" x14ac:dyDescent="0.25">
      <c r="A200" s="4" t="str">
        <f>CONCATENATE(Table43[[#This Row],[Kode BARANG Win2]],Table43[[#This Row],[No. Urut
Item Sama]])</f>
        <v>A11200060015105</v>
      </c>
      <c r="B200" s="7">
        <v>5</v>
      </c>
      <c r="C200" s="4">
        <v>175</v>
      </c>
      <c r="D200" s="27">
        <v>150328</v>
      </c>
      <c r="E200" s="27" t="s">
        <v>381</v>
      </c>
      <c r="F200" s="27" t="s">
        <v>1011</v>
      </c>
      <c r="G200" s="27">
        <v>30</v>
      </c>
      <c r="H200" s="42" t="s">
        <v>2486</v>
      </c>
      <c r="I200" s="27" t="str">
        <f>Table43[[#This Row],[Nama Jenis Kemasan]]</f>
        <v>PCSX10</v>
      </c>
      <c r="J200" s="4" t="str">
        <f>TRIM(CONCATENATE(Table43[[#This Row],[Nama            KLP]]," ",Table43[[#This Row],[Nama            Sub KLP]]))</f>
        <v>SAMBAL</v>
      </c>
      <c r="K200" s="4" t="str">
        <f>CONCATENATE(Table43[[#This Row],[kode  2 Digit                (hrf+No)]],Table43[[#This Row],[kode  2 Digit                (Nomor)]],Table43[[#This Row],[kode  1 Digit                (Nomor)]])</f>
        <v>A1120</v>
      </c>
      <c r="L200" s="4" t="str">
        <f>IF(AG200="",CONCATENATE(Q200,S200,U200,W200,Y200,AA200,AC200,AE200,Table43[[#This Row],[Tanda Kode Revisi]]),CONCATENATE(Q200,S200,U200,W200,Y200,AA200,AC200,AG200))</f>
        <v>A1120006001510</v>
      </c>
      <c r="M200" s="11">
        <f t="shared" si="6"/>
        <v>14</v>
      </c>
      <c r="N200" s="14" t="str">
        <f>IF(AF200&lt;&gt;"",TRIM(UPPER(CONCATENATE(P200," ",R200," ",T200," ",V200," ",X200," ",Z200," ","X"," ",Table43[[#This Row],[ISI/CTN]]," ",AF200," ",AB200," ",AD200," ",AH200))),TRIM(UPPER(CONCATENATE(P200," ",R200," ",T200," ",V200," ",X200," ",Z200," ","X"," ",Table43[[#This Row],[ISI/CTN]]," ",AB200," ",AD200," ",AH200))))</f>
        <v>ABC SAMBAL ASLI 15 GR X 30 PACK PCSX10</v>
      </c>
      <c r="O200" s="11">
        <f t="shared" si="7"/>
        <v>38</v>
      </c>
      <c r="P200" s="4" t="s">
        <v>28</v>
      </c>
      <c r="Q200" s="7" t="s">
        <v>85</v>
      </c>
      <c r="R200" s="4" t="s">
        <v>603</v>
      </c>
      <c r="S200" s="43">
        <v>12</v>
      </c>
      <c r="T200" s="44"/>
      <c r="U200" s="7">
        <v>0</v>
      </c>
      <c r="V200" s="44"/>
      <c r="W200" s="43" t="s">
        <v>1</v>
      </c>
      <c r="X200" s="4" t="s">
        <v>604</v>
      </c>
      <c r="Y200" s="45" t="s">
        <v>221</v>
      </c>
      <c r="Z200" s="4" t="s">
        <v>522</v>
      </c>
      <c r="AA200" s="45" t="s">
        <v>523</v>
      </c>
      <c r="AB200" s="4" t="s">
        <v>605</v>
      </c>
      <c r="AC200" s="7" t="s">
        <v>480</v>
      </c>
      <c r="AE200" s="7" t="s">
        <v>1</v>
      </c>
      <c r="AF200" s="7" t="s">
        <v>546</v>
      </c>
      <c r="AI200" s="7" t="s">
        <v>215</v>
      </c>
      <c r="AJ200" s="7">
        <v>1</v>
      </c>
      <c r="AL200" s="40">
        <f>Table43[[#This Row],[Harga Jual Pcs GT
(-PPN)]]-(Table43[[#This Row],[Harga Jual Pcs GT
(-PPN)]]*6%)</f>
        <v>5538.7996000000003</v>
      </c>
      <c r="AM200" s="41">
        <f>Table43[[#This Row],[Harga Beli Pcs
(-PPN)]]*Table43[[#This Row],[ISI/CTN]]</f>
        <v>166163.98800000001</v>
      </c>
      <c r="AN200" s="41">
        <f>Table43[[#This Row],[Harga Beli Pcs
(-PPN)]]*1.11</f>
        <v>6148.0675560000009</v>
      </c>
      <c r="AO200" s="41">
        <f>Table43[[#This Row],[Harga Beli Krt
(- PPN)]]*1.11</f>
        <v>184442.02668000004</v>
      </c>
      <c r="AP200" s="41">
        <v>5892.34</v>
      </c>
      <c r="AQ200" s="41">
        <f>Table43[[#This Row],[Harga Jual Pcs GT
(-PPN)]]*Table43[[#This Row],[ISI/CTN]]</f>
        <v>176770.2</v>
      </c>
      <c r="AR200" s="41">
        <f>Table43[[#This Row],[Harga Jual Pcs GT
(-PPN)]]*1.11</f>
        <v>6540.4974000000011</v>
      </c>
      <c r="AS200" s="41">
        <f>Table43[[#This Row],[Harga Jual Krt GT
(- PPN)]]*1.11</f>
        <v>196214.92200000002</v>
      </c>
      <c r="AT200" s="41">
        <v>6363.7296696000039</v>
      </c>
      <c r="AU200" s="41">
        <f>(Table43[[#This Row],[Harga Jual Pcs MT
(-PPN)]]*Table43[[#This Row],[ISI/CTN]])</f>
        <v>190911.89008800013</v>
      </c>
      <c r="AV200" s="41">
        <f>Table43[[#This Row],[Harga Jual Pcs MT
(-PPN)]]*1.11</f>
        <v>7063.7399332560053</v>
      </c>
      <c r="AW200" s="41">
        <f>Table43[[#This Row],[Harga Jual Pcs MT
(+PPN)]]*Table43[[#This Row],[ISI/CTN]]</f>
        <v>211912.19799768017</v>
      </c>
      <c r="AX200" s="41"/>
      <c r="AY200" s="46"/>
      <c r="AZ200" s="54">
        <v>45945</v>
      </c>
      <c r="BA200" s="7" t="str">
        <f ca="1">IF(TODAY()-Table43[[#This Row],[Efektif
Pembuatan]]&gt;60,"Lama","Baru")</f>
        <v>Lama</v>
      </c>
      <c r="BB200" s="7" t="str">
        <f ca="1">IF(TODAY()-Table43[[#This Row],[Efektif Naik Harga]]&lt;30,"Naik","Sama")</f>
        <v>Sama</v>
      </c>
      <c r="BC200" s="7"/>
      <c r="BD200" s="7" t="str">
        <f>IF(Table43[[#This Row],[Kode BARANG Win2]]&lt;&gt;"","IDR","")</f>
        <v>IDR</v>
      </c>
      <c r="BE200" s="7" t="str">
        <f>CONCATENATE(Table43[[#This Row],[kode  1 Digit
(Nomor)]],Table43[[#This Row],[kode  4 Digit                (Nomor)]])</f>
        <v>10015</v>
      </c>
      <c r="BF200" s="7" t="str">
        <f>Table43[[#This Row],[Nama            Gramasi atau Jumlah Pack per CTN]]</f>
        <v>15 GR</v>
      </c>
      <c r="BG200" s="7"/>
      <c r="BH200" s="51"/>
      <c r="BI200" s="4" t="str">
        <f>IF(Table43[[#This Row],[SATUAN Fix Win]]&lt;&gt;"","KRT")</f>
        <v>KRT</v>
      </c>
      <c r="BJ200" s="4" t="str">
        <f>IF(Table43[[#This Row],[SATUAN Fix Win]]&lt;&gt;"","GD01")</f>
        <v>GD01</v>
      </c>
      <c r="BK200" s="4">
        <f>IF(Table43[[#This Row],[SATUAN Fix Win]]&lt;&gt;"",11611)</f>
        <v>11611</v>
      </c>
      <c r="BL200" s="4">
        <f>IF(Table43[[#This Row],[SATUAN Fix Win]]&lt;&gt;"",11612)</f>
        <v>11612</v>
      </c>
      <c r="BM200" s="47"/>
      <c r="BN200" s="4">
        <f>IF(Table43[[#This Row],[SATUAN Fix Win]]&lt;&gt;"",1)</f>
        <v>1</v>
      </c>
      <c r="BP200" s="4">
        <f>IFERROR(VLOOKUP(Table43[[#This Row],[Kode Pcpl]],'[1]HEINZ ABC'!$A$4:$E$112,8,0),0)</f>
        <v>0</v>
      </c>
      <c r="BQ200" s="55">
        <f>Table43[[#This Row],[Harga Jual Pcs GT
(-PPN)]]-Table43[[#This Row],[HARGA NAIK GT]]</f>
        <v>5892.34</v>
      </c>
      <c r="BR200" s="4">
        <f>IF(Table43[[#This Row],[HARGA NAIK GT]]=0,Table43[[#This Row],[Harga Jual Pcs GT
(-PPN)]],Table43[[#This Row],[HARGA NAIK GT]])</f>
        <v>5892.34</v>
      </c>
      <c r="BS200">
        <f>IFERROR(VLOOKUP(Table43[[#This Row],[Kode Pcpl]],'[1]HEINZ ABC'!$A$4:$E$112,8,0),0)</f>
        <v>0</v>
      </c>
      <c r="BT200" s="58">
        <f>Table43[[#This Row],[Harga Jual Pcs GT
(-PPN)]]-BS200</f>
        <v>5892.34</v>
      </c>
      <c r="BU200">
        <f>IF(BS200=0,Table43[[#This Row],[Harga Jual Pcs MT
(-PPN)]])</f>
        <v>6363.7296696000039</v>
      </c>
      <c r="BV200">
        <f>IFERROR(VLOOKUP(Table43[[#This Row],[Kode Pcpl]],[2]Pricelist!$A$4:$K$112,11,0),0)</f>
        <v>0</v>
      </c>
      <c r="BW200">
        <f>IFERROR(VLOOKUP(Table43[[#This Row],[Kode BARANG Win2]],[3]!RECKITT211216[[KDBRG]:[HRG_JL_PCS-PPN]],11,0),0)</f>
        <v>0</v>
      </c>
      <c r="BX200">
        <f t="shared" si="8"/>
        <v>0</v>
      </c>
    </row>
    <row r="201" spans="1:76" x14ac:dyDescent="0.25">
      <c r="A201" s="4" t="str">
        <f>CONCATENATE(Table43[[#This Row],[Kode BARANG Win2]],Table43[[#This Row],[No. Urut
Item Sama]])</f>
        <v>A11200060075101</v>
      </c>
      <c r="B201" s="7">
        <v>1</v>
      </c>
      <c r="C201" s="4">
        <v>176</v>
      </c>
      <c r="D201" s="27">
        <v>150180</v>
      </c>
      <c r="E201" s="27" t="s">
        <v>381</v>
      </c>
      <c r="F201" s="27" t="s">
        <v>389</v>
      </c>
      <c r="G201" s="27">
        <v>48</v>
      </c>
      <c r="H201" s="42" t="s">
        <v>2558</v>
      </c>
      <c r="I201" s="27" t="str">
        <f>Table43[[#This Row],[Nama Jenis Kemasan]]</f>
        <v>PCH</v>
      </c>
      <c r="J201" s="4" t="str">
        <f>TRIM(CONCATENATE(Table43[[#This Row],[Nama            KLP]]," ",Table43[[#This Row],[Nama            Sub KLP]]))</f>
        <v>SAMBAL</v>
      </c>
      <c r="K201" s="4" t="str">
        <f>CONCATENATE(Table43[[#This Row],[kode  2 Digit                (hrf+No)]],Table43[[#This Row],[kode  2 Digit                (Nomor)]],Table43[[#This Row],[kode  1 Digit                (Nomor)]])</f>
        <v>A1120</v>
      </c>
      <c r="L201" s="4" t="str">
        <f>IF(AG201="",CONCATENATE(Q201,S201,U201,W201,Y201,AA201,AC201,AE201,Table43[[#This Row],[Tanda Kode Revisi]]),CONCATENATE(Q201,S201,U201,W201,Y201,AA201,AC201,AG201))</f>
        <v>A1120006007510</v>
      </c>
      <c r="M201" s="11">
        <f t="shared" si="6"/>
        <v>14</v>
      </c>
      <c r="N201" s="14" t="str">
        <f>IF(AF201&lt;&gt;"",TRIM(UPPER(CONCATENATE(P201," ",R201," ",T201," ",V201," ",X201," ",Z201," ","X"," ",Table43[[#This Row],[ISI/CTN]]," ",AF201," ",AB201," ",AD201," ",AH201))),TRIM(UPPER(CONCATENATE(P201," ",R201," ",T201," ",V201," ",X201," ",Z201," ","X"," ",Table43[[#This Row],[ISI/CTN]]," ",AB201," ",AD201," ",AH201))))</f>
        <v>ABC SAMBAL ASLI 65 GR X 48 PCH</v>
      </c>
      <c r="O201" s="11">
        <f t="shared" si="7"/>
        <v>30</v>
      </c>
      <c r="P201" s="4" t="s">
        <v>28</v>
      </c>
      <c r="Q201" s="7" t="s">
        <v>85</v>
      </c>
      <c r="R201" s="4" t="s">
        <v>603</v>
      </c>
      <c r="S201" s="43">
        <v>12</v>
      </c>
      <c r="T201" s="44"/>
      <c r="U201" s="7">
        <v>0</v>
      </c>
      <c r="V201" s="44"/>
      <c r="W201" s="43" t="s">
        <v>1</v>
      </c>
      <c r="X201" s="4" t="s">
        <v>604</v>
      </c>
      <c r="Y201" s="45" t="s">
        <v>221</v>
      </c>
      <c r="Z201" s="4" t="s">
        <v>617</v>
      </c>
      <c r="AA201" s="45" t="s">
        <v>521</v>
      </c>
      <c r="AB201" s="4" t="s">
        <v>479</v>
      </c>
      <c r="AC201" s="7" t="s">
        <v>480</v>
      </c>
      <c r="AE201" s="7" t="s">
        <v>1</v>
      </c>
      <c r="AI201" s="7" t="s">
        <v>215</v>
      </c>
      <c r="AJ201" s="7">
        <v>1</v>
      </c>
      <c r="AL201" s="40">
        <f>Table43[[#This Row],[Harga Jual Pcs GT
(-PPN)]]-(Table43[[#This Row],[Harga Jual Pcs GT
(-PPN)]]*6%)</f>
        <v>2224.2467999999999</v>
      </c>
      <c r="AM201" s="41">
        <f>Table43[[#This Row],[Harga Beli Pcs
(-PPN)]]*Table43[[#This Row],[ISI/CTN]]</f>
        <v>106763.84639999999</v>
      </c>
      <c r="AN201" s="41">
        <f>Table43[[#This Row],[Harga Beli Pcs
(-PPN)]]*1.11</f>
        <v>2468.9139479999999</v>
      </c>
      <c r="AO201" s="41">
        <f>Table43[[#This Row],[Harga Beli Krt
(- PPN)]]*1.11</f>
        <v>118507.869504</v>
      </c>
      <c r="AP201" s="41">
        <v>2366.2199999999998</v>
      </c>
      <c r="AQ201" s="41">
        <f>Table43[[#This Row],[Harga Jual Pcs GT
(-PPN)]]*Table43[[#This Row],[ISI/CTN]]</f>
        <v>113578.56</v>
      </c>
      <c r="AR201" s="41">
        <f>Table43[[#This Row],[Harga Jual Pcs GT
(-PPN)]]*1.11</f>
        <v>2626.5041999999999</v>
      </c>
      <c r="AS201" s="41">
        <f>Table43[[#This Row],[Harga Jual Krt GT
(- PPN)]]*1.11</f>
        <v>126072.20160000001</v>
      </c>
      <c r="AT201" s="41">
        <v>2555.5135135135179</v>
      </c>
      <c r="AU201" s="41">
        <f>(Table43[[#This Row],[Harga Jual Pcs MT
(-PPN)]]*Table43[[#This Row],[ISI/CTN]])</f>
        <v>122664.64864864886</v>
      </c>
      <c r="AV201" s="41">
        <f>Table43[[#This Row],[Harga Jual Pcs MT
(-PPN)]]*1.11</f>
        <v>2836.6200000000049</v>
      </c>
      <c r="AW201" s="41">
        <f>Table43[[#This Row],[Harga Jual Pcs MT
(+PPN)]]*Table43[[#This Row],[ISI/CTN]]</f>
        <v>136157.76000000024</v>
      </c>
      <c r="AX201" s="41"/>
      <c r="AY201" s="46">
        <v>45553</v>
      </c>
      <c r="AZ201" s="54">
        <v>45945</v>
      </c>
      <c r="BA201" s="7" t="str">
        <f ca="1">IF(TODAY()-Table43[[#This Row],[Efektif
Pembuatan]]&gt;60,"Lama","Baru")</f>
        <v>Lama</v>
      </c>
      <c r="BB201" s="7" t="str">
        <f ca="1">IF(TODAY()-Table43[[#This Row],[Efektif Naik Harga]]&lt;30,"Naik","Sama")</f>
        <v>Sama</v>
      </c>
      <c r="BC201" s="7" t="s">
        <v>235</v>
      </c>
      <c r="BD201" s="7" t="str">
        <f>IF(Table43[[#This Row],[Kode BARANG Win2]]&lt;&gt;"","IDR","")</f>
        <v>IDR</v>
      </c>
      <c r="BE201" s="7" t="str">
        <f>CONCATENATE(Table43[[#This Row],[kode  1 Digit
(Nomor)]],Table43[[#This Row],[kode  4 Digit                (Nomor)]])</f>
        <v>10075</v>
      </c>
      <c r="BF201" s="7" t="str">
        <f>Table43[[#This Row],[Nama            Gramasi atau Jumlah Pack per CTN]]</f>
        <v>65 GR</v>
      </c>
      <c r="BG201" s="7" t="s">
        <v>653</v>
      </c>
      <c r="BH201" s="51" t="s">
        <v>654</v>
      </c>
      <c r="BI201" s="4" t="str">
        <f>IF(Table43[[#This Row],[SATUAN Fix Win]]&lt;&gt;"","KRT")</f>
        <v>KRT</v>
      </c>
      <c r="BJ201" s="4" t="str">
        <f>IF(Table43[[#This Row],[SATUAN Fix Win]]&lt;&gt;"","GD01")</f>
        <v>GD01</v>
      </c>
      <c r="BK201" s="4">
        <f>IF(Table43[[#This Row],[SATUAN Fix Win]]&lt;&gt;"",11611)</f>
        <v>11611</v>
      </c>
      <c r="BL201" s="4">
        <f>IF(Table43[[#This Row],[SATUAN Fix Win]]&lt;&gt;"",11612)</f>
        <v>11612</v>
      </c>
      <c r="BM201" s="47" t="s">
        <v>655</v>
      </c>
      <c r="BN201" s="4">
        <f>IF(Table43[[#This Row],[SATUAN Fix Win]]&lt;&gt;"",1)</f>
        <v>1</v>
      </c>
      <c r="BO201" s="4" t="s">
        <v>656</v>
      </c>
      <c r="BP201" s="4">
        <f>IFERROR(VLOOKUP(Table43[[#This Row],[Kode Pcpl]],'[1]HEINZ ABC'!$A$4:$E$112,8,0),0)</f>
        <v>0</v>
      </c>
      <c r="BQ201" s="55">
        <f>Table43[[#This Row],[Harga Jual Pcs GT
(-PPN)]]-Table43[[#This Row],[HARGA NAIK GT]]</f>
        <v>2366.2199999999998</v>
      </c>
      <c r="BR201" s="4">
        <f>IF(Table43[[#This Row],[HARGA NAIK GT]]=0,Table43[[#This Row],[Harga Jual Pcs GT
(-PPN)]],Table43[[#This Row],[HARGA NAIK GT]])</f>
        <v>2366.2199999999998</v>
      </c>
      <c r="BS201">
        <f>IFERROR(VLOOKUP(Table43[[#This Row],[Kode Pcpl]],'[1]HEINZ ABC'!$A$4:$E$112,8,0),0)</f>
        <v>0</v>
      </c>
      <c r="BT201" s="58">
        <f>Table43[[#This Row],[Harga Jual Pcs GT
(-PPN)]]-BS201</f>
        <v>2366.2199999999998</v>
      </c>
      <c r="BU201">
        <f>IF(BS201=0,Table43[[#This Row],[Harga Jual Pcs MT
(-PPN)]])</f>
        <v>2555.5135135135179</v>
      </c>
      <c r="BV201">
        <f>IFERROR(VLOOKUP(Table43[[#This Row],[Kode Pcpl]],[2]Pricelist!$A$4:$K$112,11,0),0)</f>
        <v>0</v>
      </c>
      <c r="BW201">
        <f>IFERROR(VLOOKUP(Table43[[#This Row],[Kode BARANG Win2]],[3]!RECKITT211216[[KDBRG]:[HRG_JL_PCS-PPN]],11,0),0)</f>
        <v>0</v>
      </c>
      <c r="BX201">
        <f t="shared" si="8"/>
        <v>0</v>
      </c>
    </row>
    <row r="202" spans="1:76" x14ac:dyDescent="0.25">
      <c r="A202" s="4" t="str">
        <f>CONCATENATE(Table43[[#This Row],[Kode BARANG Win2]],Table43[[#This Row],[No. Urut
Item Sama]])</f>
        <v>A11200060075102</v>
      </c>
      <c r="B202" s="7">
        <v>2</v>
      </c>
      <c r="C202" s="4">
        <v>177</v>
      </c>
      <c r="D202" s="27">
        <v>150308</v>
      </c>
      <c r="E202" s="27" t="s">
        <v>381</v>
      </c>
      <c r="F202" s="27" t="s">
        <v>1019</v>
      </c>
      <c r="G202" s="27">
        <v>48</v>
      </c>
      <c r="H202" s="42" t="s">
        <v>2480</v>
      </c>
      <c r="I202" s="27" t="str">
        <f>Table43[[#This Row],[Nama Jenis Kemasan]]</f>
        <v>PCH</v>
      </c>
      <c r="J202" s="4" t="str">
        <f>TRIM(CONCATENATE(Table43[[#This Row],[Nama            KLP]]," ",Table43[[#This Row],[Nama            Sub KLP]]))</f>
        <v>SAMBAL</v>
      </c>
      <c r="K202" s="4" t="str">
        <f>CONCATENATE(Table43[[#This Row],[kode  2 Digit                (hrf+No)]],Table43[[#This Row],[kode  2 Digit                (Nomor)]],Table43[[#This Row],[kode  1 Digit                (Nomor)]])</f>
        <v>A1120</v>
      </c>
      <c r="L202" s="4" t="str">
        <f>IF(AG202="",CONCATENATE(Q202,S202,U202,W202,Y202,AA202,AC202,AE202,Table43[[#This Row],[Tanda Kode Revisi]]),CONCATENATE(Q202,S202,U202,W202,Y202,AA202,AC202,AG202))</f>
        <v>A1120006007510</v>
      </c>
      <c r="M202" s="11">
        <f t="shared" si="6"/>
        <v>14</v>
      </c>
      <c r="N202" s="14" t="str">
        <f>IF(AF202&lt;&gt;"",TRIM(UPPER(CONCATENATE(P202," ",R202," ",T202," ",V202," ",X202," ",Z202," ","X"," ",Table43[[#This Row],[ISI/CTN]]," ",AF202," ",AB202," ",AD202," ",AH202))),TRIM(UPPER(CONCATENATE(P202," ",R202," ",T202," ",V202," ",X202," ",Z202," ","X"," ",Table43[[#This Row],[ISI/CTN]]," ",AB202," ",AD202," ",AH202))))</f>
        <v>ABC SAMBAL ASLI 65 GR X 48 PCH</v>
      </c>
      <c r="O202" s="11">
        <f t="shared" si="7"/>
        <v>30</v>
      </c>
      <c r="P202" s="4" t="s">
        <v>28</v>
      </c>
      <c r="Q202" s="7" t="s">
        <v>85</v>
      </c>
      <c r="R202" s="4" t="s">
        <v>603</v>
      </c>
      <c r="S202" s="43">
        <v>12</v>
      </c>
      <c r="T202" s="44"/>
      <c r="U202" s="7">
        <v>0</v>
      </c>
      <c r="V202" s="44"/>
      <c r="W202" s="43" t="s">
        <v>1</v>
      </c>
      <c r="X202" s="4" t="s">
        <v>604</v>
      </c>
      <c r="Y202" s="45" t="s">
        <v>221</v>
      </c>
      <c r="Z202" s="4" t="s">
        <v>617</v>
      </c>
      <c r="AA202" s="45" t="s">
        <v>521</v>
      </c>
      <c r="AB202" s="4" t="s">
        <v>479</v>
      </c>
      <c r="AC202" s="7" t="s">
        <v>480</v>
      </c>
      <c r="AE202" s="7" t="s">
        <v>1</v>
      </c>
      <c r="AI202" s="7" t="s">
        <v>215</v>
      </c>
      <c r="AJ202" s="7">
        <v>1</v>
      </c>
      <c r="AL202" s="40">
        <f>Table43[[#This Row],[Harga Jual Pcs GT
(-PPN)]]-(Table43[[#This Row],[Harga Jual Pcs GT
(-PPN)]]*6%)</f>
        <v>2224.2467999999999</v>
      </c>
      <c r="AM202" s="41">
        <f>Table43[[#This Row],[Harga Beli Pcs
(-PPN)]]*Table43[[#This Row],[ISI/CTN]]</f>
        <v>106763.84639999999</v>
      </c>
      <c r="AN202" s="41">
        <f>Table43[[#This Row],[Harga Beli Pcs
(-PPN)]]*1.11</f>
        <v>2468.9139479999999</v>
      </c>
      <c r="AO202" s="41">
        <f>Table43[[#This Row],[Harga Beli Krt
(- PPN)]]*1.11</f>
        <v>118507.869504</v>
      </c>
      <c r="AP202" s="41">
        <v>2366.2199999999998</v>
      </c>
      <c r="AQ202" s="41">
        <f>Table43[[#This Row],[Harga Jual Pcs GT
(-PPN)]]*Table43[[#This Row],[ISI/CTN]]</f>
        <v>113578.56</v>
      </c>
      <c r="AR202" s="41">
        <f>Table43[[#This Row],[Harga Jual Pcs GT
(-PPN)]]*1.11</f>
        <v>2626.5041999999999</v>
      </c>
      <c r="AS202" s="41">
        <f>Table43[[#This Row],[Harga Jual Krt GT
(- PPN)]]*1.11</f>
        <v>126072.20160000001</v>
      </c>
      <c r="AT202" s="41">
        <v>2555.5135135135179</v>
      </c>
      <c r="AU202" s="41">
        <f>(Table43[[#This Row],[Harga Jual Pcs MT
(-PPN)]]*Table43[[#This Row],[ISI/CTN]])</f>
        <v>122664.64864864886</v>
      </c>
      <c r="AV202" s="41">
        <f>Table43[[#This Row],[Harga Jual Pcs MT
(-PPN)]]*1.11</f>
        <v>2836.6200000000049</v>
      </c>
      <c r="AW202" s="41">
        <f>Table43[[#This Row],[Harga Jual Pcs MT
(+PPN)]]*Table43[[#This Row],[ISI/CTN]]</f>
        <v>136157.76000000024</v>
      </c>
      <c r="AX202" s="41"/>
      <c r="AY202" s="46">
        <v>45589</v>
      </c>
      <c r="AZ202" s="54">
        <v>45945</v>
      </c>
      <c r="BA202" s="7" t="str">
        <f ca="1">IF(TODAY()-Table43[[#This Row],[Efektif
Pembuatan]]&gt;60,"Lama","Baru")</f>
        <v>Lama</v>
      </c>
      <c r="BB202" s="7" t="str">
        <f ca="1">IF(TODAY()-Table43[[#This Row],[Efektif Naik Harga]]&lt;30,"Naik","Sama")</f>
        <v>Sama</v>
      </c>
      <c r="BC202" s="7" t="s">
        <v>235</v>
      </c>
      <c r="BD202" s="7" t="str">
        <f>IF(Table43[[#This Row],[Kode BARANG Win2]]&lt;&gt;"","IDR","")</f>
        <v>IDR</v>
      </c>
      <c r="BE202" s="7" t="str">
        <f>CONCATENATE(Table43[[#This Row],[kode  1 Digit
(Nomor)]],Table43[[#This Row],[kode  4 Digit                (Nomor)]])</f>
        <v>10075</v>
      </c>
      <c r="BF202" s="7" t="str">
        <f>Table43[[#This Row],[Nama            Gramasi atau Jumlah Pack per CTN]]</f>
        <v>65 GR</v>
      </c>
      <c r="BG202" s="7" t="s">
        <v>653</v>
      </c>
      <c r="BH202" s="51" t="s">
        <v>654</v>
      </c>
      <c r="BI202" s="4" t="str">
        <f>IF(Table43[[#This Row],[SATUAN Fix Win]]&lt;&gt;"","KRT")</f>
        <v>KRT</v>
      </c>
      <c r="BJ202" s="4" t="str">
        <f>IF(Table43[[#This Row],[SATUAN Fix Win]]&lt;&gt;"","GD01")</f>
        <v>GD01</v>
      </c>
      <c r="BK202" s="4">
        <f>IF(Table43[[#This Row],[SATUAN Fix Win]]&lt;&gt;"",11611)</f>
        <v>11611</v>
      </c>
      <c r="BL202" s="4">
        <f>IF(Table43[[#This Row],[SATUAN Fix Win]]&lt;&gt;"",11612)</f>
        <v>11612</v>
      </c>
      <c r="BM202" s="47" t="s">
        <v>655</v>
      </c>
      <c r="BN202" s="4">
        <f>IF(Table43[[#This Row],[SATUAN Fix Win]]&lt;&gt;"",1)</f>
        <v>1</v>
      </c>
      <c r="BO202" s="4" t="s">
        <v>656</v>
      </c>
      <c r="BP202" s="4">
        <f>IFERROR(VLOOKUP(Table43[[#This Row],[Kode Pcpl]],'[1]HEINZ ABC'!$A$4:$E$112,8,0),0)</f>
        <v>0</v>
      </c>
      <c r="BQ202" s="55">
        <f>Table43[[#This Row],[Harga Jual Pcs GT
(-PPN)]]-Table43[[#This Row],[HARGA NAIK GT]]</f>
        <v>2366.2199999999998</v>
      </c>
      <c r="BR202" s="4">
        <f>IF(Table43[[#This Row],[HARGA NAIK GT]]=0,Table43[[#This Row],[Harga Jual Pcs GT
(-PPN)]],Table43[[#This Row],[HARGA NAIK GT]])</f>
        <v>2366.2199999999998</v>
      </c>
      <c r="BS202">
        <f>IFERROR(VLOOKUP(Table43[[#This Row],[Kode Pcpl]],'[1]HEINZ ABC'!$A$4:$E$112,8,0),0)</f>
        <v>0</v>
      </c>
      <c r="BT202" s="58">
        <f>Table43[[#This Row],[Harga Jual Pcs GT
(-PPN)]]-BS202</f>
        <v>2366.2199999999998</v>
      </c>
      <c r="BU202">
        <f>IF(BS202=0,Table43[[#This Row],[Harga Jual Pcs MT
(-PPN)]])</f>
        <v>2555.5135135135179</v>
      </c>
      <c r="BV202">
        <f>IFERROR(VLOOKUP(Table43[[#This Row],[Kode Pcpl]],[2]Pricelist!$A$4:$K$112,11,0),0)</f>
        <v>0</v>
      </c>
      <c r="BW202">
        <f>IFERROR(VLOOKUP(Table43[[#This Row],[Kode BARANG Win2]],[3]!RECKITT211216[[KDBRG]:[HRG_JL_PCS-PPN]],11,0),0)</f>
        <v>0</v>
      </c>
      <c r="BX202">
        <f t="shared" si="8"/>
        <v>0</v>
      </c>
    </row>
    <row r="203" spans="1:76" x14ac:dyDescent="0.25">
      <c r="A203" s="4" t="str">
        <f>CONCATENATE(Table43[[#This Row],[Kode BARANG Win2]],Table43[[#This Row],[No. Urut
Item Sama]])</f>
        <v>A11200060130101</v>
      </c>
      <c r="B203" s="7">
        <v>1</v>
      </c>
      <c r="C203" s="4">
        <v>178</v>
      </c>
      <c r="D203" s="27">
        <v>150294</v>
      </c>
      <c r="E203" s="27" t="s">
        <v>381</v>
      </c>
      <c r="F203" s="27" t="s">
        <v>390</v>
      </c>
      <c r="G203" s="27">
        <v>48</v>
      </c>
      <c r="H203" s="42" t="s">
        <v>2539</v>
      </c>
      <c r="I203" s="27" t="str">
        <f>Table43[[#This Row],[Nama Jenis Kemasan]]</f>
        <v>BTL</v>
      </c>
      <c r="J203" s="4" t="str">
        <f>TRIM(CONCATENATE(Table43[[#This Row],[Nama            KLP]]," ",Table43[[#This Row],[Nama            Sub KLP]]))</f>
        <v>SAMBAL</v>
      </c>
      <c r="K203" s="4" t="str">
        <f>CONCATENATE(Table43[[#This Row],[kode  2 Digit                (hrf+No)]],Table43[[#This Row],[kode  2 Digit                (Nomor)]],Table43[[#This Row],[kode  1 Digit                (Nomor)]])</f>
        <v>A1120</v>
      </c>
      <c r="L203" s="4" t="str">
        <f>IF(AG203="",CONCATENATE(Q203,S203,U203,W203,Y203,AA203,AC203,AE203,Table43[[#This Row],[Tanda Kode Revisi]]),CONCATENATE(Q203,S203,U203,W203,Y203,AA203,AC203,AG203))</f>
        <v>A1120006013010</v>
      </c>
      <c r="M203" s="11">
        <f t="shared" si="6"/>
        <v>14</v>
      </c>
      <c r="N203" s="14" t="str">
        <f>IF(AF203&lt;&gt;"",TRIM(UPPER(CONCATENATE(P203," ",R203," ",T203," ",V203," ",X203," ",Z203," ","X"," ",Table43[[#This Row],[ISI/CTN]]," ",AF203," ",AB203," ",AD203," ",AH203))),TRIM(UPPER(CONCATENATE(P203," ",R203," ",T203," ",V203," ",X203," ",Z203," ","X"," ",Table43[[#This Row],[ISI/CTN]]," ",AB203," ",AD203," ",AH203))))</f>
        <v>ABC SAMBAL ASLI 130 ML X 48 BTL</v>
      </c>
      <c r="O203" s="11">
        <f t="shared" si="7"/>
        <v>31</v>
      </c>
      <c r="P203" s="4" t="s">
        <v>28</v>
      </c>
      <c r="Q203" s="7" t="s">
        <v>85</v>
      </c>
      <c r="R203" s="4" t="s">
        <v>603</v>
      </c>
      <c r="S203" s="43">
        <v>12</v>
      </c>
      <c r="T203" s="44"/>
      <c r="U203" s="7">
        <v>0</v>
      </c>
      <c r="V203" s="44"/>
      <c r="W203" s="43" t="s">
        <v>1</v>
      </c>
      <c r="X203" s="4" t="s">
        <v>604</v>
      </c>
      <c r="Y203" s="45" t="s">
        <v>221</v>
      </c>
      <c r="Z203" s="4" t="s">
        <v>606</v>
      </c>
      <c r="AA203" s="45" t="s">
        <v>485</v>
      </c>
      <c r="AB203" s="4" t="s">
        <v>486</v>
      </c>
      <c r="AC203" s="7" t="s">
        <v>480</v>
      </c>
      <c r="AE203" s="7" t="s">
        <v>1</v>
      </c>
      <c r="AI203" s="7" t="s">
        <v>214</v>
      </c>
      <c r="AJ203" s="7">
        <v>2</v>
      </c>
      <c r="AL203" s="40">
        <f>Table43[[#This Row],[Harga Jual Pcs GT
(-PPN)]]-(Table43[[#This Row],[Harga Jual Pcs GT
(-PPN)]]*6%)</f>
        <v>5504.5459999999994</v>
      </c>
      <c r="AM203" s="41">
        <f>Table43[[#This Row],[Harga Beli Pcs
(-PPN)]]*Table43[[#This Row],[ISI/CTN]]</f>
        <v>264218.20799999998</v>
      </c>
      <c r="AN203" s="41">
        <f>Table43[[#This Row],[Harga Beli Pcs
(-PPN)]]*1.11</f>
        <v>6110.0460599999997</v>
      </c>
      <c r="AO203" s="41">
        <f>Table43[[#This Row],[Harga Beli Krt
(- PPN)]]*1.11</f>
        <v>293282.21088000003</v>
      </c>
      <c r="AP203" s="41">
        <v>5855.9</v>
      </c>
      <c r="AQ203" s="41">
        <f>Table43[[#This Row],[Harga Jual Pcs GT
(-PPN)]]*Table43[[#This Row],[ISI/CTN]]</f>
        <v>281083.19999999995</v>
      </c>
      <c r="AR203" s="41">
        <f>Table43[[#This Row],[Harga Jual Pcs GT
(-PPN)]]*1.11</f>
        <v>6500.049</v>
      </c>
      <c r="AS203" s="41">
        <f>Table43[[#This Row],[Harga Jual Krt GT
(- PPN)]]*1.11</f>
        <v>312002.35199999996</v>
      </c>
      <c r="AT203" s="41">
        <v>0</v>
      </c>
      <c r="AU203" s="41">
        <f>(Table43[[#This Row],[Harga Jual Pcs MT
(-PPN)]]*Table43[[#This Row],[ISI/CTN]])</f>
        <v>0</v>
      </c>
      <c r="AV203" s="41">
        <f>Table43[[#This Row],[Harga Jual Pcs MT
(-PPN)]]*1.11</f>
        <v>0</v>
      </c>
      <c r="AW203" s="41">
        <f>Table43[[#This Row],[Harga Jual Pcs MT
(+PPN)]]*Table43[[#This Row],[ISI/CTN]]</f>
        <v>0</v>
      </c>
      <c r="AX203" s="41"/>
      <c r="AY203" s="46">
        <v>45553</v>
      </c>
      <c r="AZ203" s="54">
        <v>45553</v>
      </c>
      <c r="BA203" s="7" t="str">
        <f ca="1">IF(TODAY()-Table43[[#This Row],[Efektif
Pembuatan]]&gt;60,"Lama","Baru")</f>
        <v>Lama</v>
      </c>
      <c r="BB203" s="7" t="str">
        <f ca="1">IF(TODAY()-Table43[[#This Row],[Efektif Naik Harga]]&lt;30,"Naik","Sama")</f>
        <v>Sama</v>
      </c>
      <c r="BC203" s="7" t="s">
        <v>235</v>
      </c>
      <c r="BD203" s="7" t="str">
        <f>IF(Table43[[#This Row],[Kode BARANG Win2]]&lt;&gt;"","IDR","")</f>
        <v>IDR</v>
      </c>
      <c r="BE203" s="7" t="str">
        <f>CONCATENATE(Table43[[#This Row],[kode  1 Digit
(Nomor)]],Table43[[#This Row],[kode  4 Digit                (Nomor)]])</f>
        <v>20130</v>
      </c>
      <c r="BF203" s="7" t="str">
        <f>Table43[[#This Row],[Nama            Gramasi atau Jumlah Pack per CTN]]</f>
        <v>130 ML</v>
      </c>
      <c r="BG203" s="7" t="s">
        <v>653</v>
      </c>
      <c r="BH203" s="51" t="s">
        <v>654</v>
      </c>
      <c r="BI203" s="4" t="str">
        <f>IF(Table43[[#This Row],[SATUAN Fix Win]]&lt;&gt;"","KRT")</f>
        <v>KRT</v>
      </c>
      <c r="BJ203" s="4" t="str">
        <f>IF(Table43[[#This Row],[SATUAN Fix Win]]&lt;&gt;"","GD01")</f>
        <v>GD01</v>
      </c>
      <c r="BK203" s="4">
        <f>IF(Table43[[#This Row],[SATUAN Fix Win]]&lt;&gt;"",11611)</f>
        <v>11611</v>
      </c>
      <c r="BL203" s="4">
        <f>IF(Table43[[#This Row],[SATUAN Fix Win]]&lt;&gt;"",11612)</f>
        <v>11612</v>
      </c>
      <c r="BM203" s="47" t="s">
        <v>655</v>
      </c>
      <c r="BN203" s="4">
        <f>IF(Table43[[#This Row],[SATUAN Fix Win]]&lt;&gt;"",1)</f>
        <v>1</v>
      </c>
      <c r="BO203" s="4" t="s">
        <v>656</v>
      </c>
      <c r="BP203" s="4">
        <f>IFERROR(VLOOKUP(Table43[[#This Row],[Kode Pcpl]],'[1]HEINZ ABC'!$A$4:$E$112,8,0),0)</f>
        <v>0</v>
      </c>
      <c r="BQ203" s="55">
        <f>Table43[[#This Row],[Harga Jual Pcs GT
(-PPN)]]-Table43[[#This Row],[HARGA NAIK GT]]</f>
        <v>5855.9</v>
      </c>
      <c r="BR203" s="4">
        <f>IF(Table43[[#This Row],[HARGA NAIK GT]]=0,Table43[[#This Row],[Harga Jual Pcs GT
(-PPN)]],Table43[[#This Row],[HARGA NAIK GT]])</f>
        <v>5855.9</v>
      </c>
      <c r="BS203">
        <f>IFERROR(VLOOKUP(Table43[[#This Row],[Kode Pcpl]],'[1]HEINZ ABC'!$A$4:$E$112,8,0),0)</f>
        <v>0</v>
      </c>
      <c r="BT203" s="58">
        <f>Table43[[#This Row],[Harga Jual Pcs GT
(-PPN)]]-BS203</f>
        <v>5855.9</v>
      </c>
      <c r="BU203">
        <f>IF(BS203=0,Table43[[#This Row],[Harga Jual Pcs MT
(-PPN)]])</f>
        <v>0</v>
      </c>
      <c r="BV203">
        <f>IFERROR(VLOOKUP(Table43[[#This Row],[Kode Pcpl]],[2]Pricelist!$A$4:$K$112,11,0),0)</f>
        <v>0</v>
      </c>
      <c r="BW203">
        <f>IFERROR(VLOOKUP(Table43[[#This Row],[Kode BARANG Win2]],[3]!RECKITT211216[[KDBRG]:[HRG_JL_PCS-PPN]],11,0),0)</f>
        <v>0</v>
      </c>
      <c r="BX203">
        <f t="shared" si="8"/>
        <v>0</v>
      </c>
    </row>
    <row r="204" spans="1:76" x14ac:dyDescent="0.25">
      <c r="A204" s="4" t="str">
        <f>CONCATENATE(Table43[[#This Row],[Kode BARANG Win2]],Table43[[#This Row],[No. Urut
Item Sama]])</f>
        <v>A11200060130102</v>
      </c>
      <c r="B204" s="7">
        <v>2</v>
      </c>
      <c r="C204" s="4">
        <v>179</v>
      </c>
      <c r="D204" s="27">
        <v>150373</v>
      </c>
      <c r="E204" s="27" t="s">
        <v>381</v>
      </c>
      <c r="F204" s="27" t="s">
        <v>391</v>
      </c>
      <c r="G204" s="27">
        <v>48</v>
      </c>
      <c r="H204" s="42" t="s">
        <v>2462</v>
      </c>
      <c r="I204" s="27" t="str">
        <f>Table43[[#This Row],[Nama Jenis Kemasan]]</f>
        <v>BTL</v>
      </c>
      <c r="J204" s="4" t="str">
        <f>TRIM(CONCATENATE(Table43[[#This Row],[Nama            KLP]]," ",Table43[[#This Row],[Nama            Sub KLP]]))</f>
        <v>SAMBAL</v>
      </c>
      <c r="K204" s="4" t="str">
        <f>CONCATENATE(Table43[[#This Row],[kode  2 Digit                (hrf+No)]],Table43[[#This Row],[kode  2 Digit                (Nomor)]],Table43[[#This Row],[kode  1 Digit                (Nomor)]])</f>
        <v>A1120</v>
      </c>
      <c r="L204" s="4" t="str">
        <f>IF(AG204="",CONCATENATE(Q204,S204,U204,W204,Y204,AA204,AC204,AE204,Table43[[#This Row],[Tanda Kode Revisi]]),CONCATENATE(Q204,S204,U204,W204,Y204,AA204,AC204,AG204))</f>
        <v>A1120006013010</v>
      </c>
      <c r="M204" s="11">
        <f t="shared" si="6"/>
        <v>14</v>
      </c>
      <c r="N204" s="14" t="str">
        <f>IF(AF204&lt;&gt;"",TRIM(UPPER(CONCATENATE(P204," ",R204," ",T204," ",V204," ",X204," ",Z204," ","X"," ",Table43[[#This Row],[ISI/CTN]]," ",AF204," ",AB204," ",AD204," ",AH204))),TRIM(UPPER(CONCATENATE(P204," ",R204," ",T204," ",V204," ",X204," ",Z204," ","X"," ",Table43[[#This Row],[ISI/CTN]]," ",AB204," ",AD204," ",AH204))))</f>
        <v>ABC SAMBAL ASLI 130 ML X 48 BTL</v>
      </c>
      <c r="O204" s="11">
        <f t="shared" si="7"/>
        <v>31</v>
      </c>
      <c r="P204" s="4" t="s">
        <v>28</v>
      </c>
      <c r="Q204" s="7" t="s">
        <v>85</v>
      </c>
      <c r="R204" s="4" t="s">
        <v>603</v>
      </c>
      <c r="S204" s="43">
        <v>12</v>
      </c>
      <c r="T204" s="44"/>
      <c r="U204" s="7">
        <v>0</v>
      </c>
      <c r="V204" s="44"/>
      <c r="W204" s="43" t="s">
        <v>1</v>
      </c>
      <c r="X204" s="4" t="s">
        <v>604</v>
      </c>
      <c r="Y204" s="45" t="s">
        <v>221</v>
      </c>
      <c r="Z204" s="4" t="s">
        <v>606</v>
      </c>
      <c r="AA204" s="45" t="s">
        <v>485</v>
      </c>
      <c r="AB204" s="4" t="s">
        <v>486</v>
      </c>
      <c r="AC204" s="7" t="s">
        <v>480</v>
      </c>
      <c r="AE204" s="7" t="s">
        <v>1</v>
      </c>
      <c r="AI204" s="7" t="s">
        <v>214</v>
      </c>
      <c r="AJ204" s="7">
        <v>2</v>
      </c>
      <c r="AL204" s="40">
        <f>Table43[[#This Row],[Harga Jual Pcs GT
(-PPN)]]-(Table43[[#This Row],[Harga Jual Pcs GT
(-PPN)]]*6%)</f>
        <v>5504.5459999999994</v>
      </c>
      <c r="AM204" s="41">
        <f>Table43[[#This Row],[Harga Beli Pcs
(-PPN)]]*Table43[[#This Row],[ISI/CTN]]</f>
        <v>264218.20799999998</v>
      </c>
      <c r="AN204" s="41">
        <f>Table43[[#This Row],[Harga Beli Pcs
(-PPN)]]*1.11</f>
        <v>6110.0460599999997</v>
      </c>
      <c r="AO204" s="41">
        <f>Table43[[#This Row],[Harga Beli Krt
(- PPN)]]*1.11</f>
        <v>293282.21088000003</v>
      </c>
      <c r="AP204" s="134">
        <v>5855.9</v>
      </c>
      <c r="AQ204" s="41">
        <f>Table43[[#This Row],[Harga Jual Pcs GT
(-PPN)]]*Table43[[#This Row],[ISI/CTN]]</f>
        <v>281083.19999999995</v>
      </c>
      <c r="AR204" s="41">
        <f>Table43[[#This Row],[Harga Jual Pcs GT
(-PPN)]]*1.11</f>
        <v>6500.049</v>
      </c>
      <c r="AS204" s="41">
        <f>Table43[[#This Row],[Harga Jual Krt GT
(- PPN)]]*1.11</f>
        <v>312002.35199999996</v>
      </c>
      <c r="AT204" s="41">
        <v>0</v>
      </c>
      <c r="AU204" s="41">
        <f>(Table43[[#This Row],[Harga Jual Pcs MT
(-PPN)]]*Table43[[#This Row],[ISI/CTN]])</f>
        <v>0</v>
      </c>
      <c r="AV204" s="41">
        <f>Table43[[#This Row],[Harga Jual Pcs MT
(-PPN)]]*1.11</f>
        <v>0</v>
      </c>
      <c r="AW204" s="41">
        <f>Table43[[#This Row],[Harga Jual Pcs MT
(+PPN)]]*Table43[[#This Row],[ISI/CTN]]</f>
        <v>0</v>
      </c>
      <c r="AX204" s="41"/>
      <c r="AY204" s="46"/>
      <c r="AZ204" s="54">
        <v>45553</v>
      </c>
      <c r="BA204" s="7" t="str">
        <f ca="1">IF(TODAY()-Table43[[#This Row],[Efektif
Pembuatan]]&gt;60,"Lama","Baru")</f>
        <v>Lama</v>
      </c>
      <c r="BB204" s="7" t="str">
        <f ca="1">IF(TODAY()-Table43[[#This Row],[Efektif Naik Harga]]&lt;30,"Naik","Sama")</f>
        <v>Sama</v>
      </c>
      <c r="BC204" s="7" t="s">
        <v>235</v>
      </c>
      <c r="BD204" s="7" t="str">
        <f>IF(Table43[[#This Row],[Kode BARANG Win2]]&lt;&gt;"","IDR","")</f>
        <v>IDR</v>
      </c>
      <c r="BE204" s="7" t="str">
        <f>CONCATENATE(Table43[[#This Row],[kode  1 Digit
(Nomor)]],Table43[[#This Row],[kode  4 Digit                (Nomor)]])</f>
        <v>20130</v>
      </c>
      <c r="BF204" s="7" t="str">
        <f>Table43[[#This Row],[Nama            Gramasi atau Jumlah Pack per CTN]]</f>
        <v>130 ML</v>
      </c>
      <c r="BG204" s="7" t="s">
        <v>653</v>
      </c>
      <c r="BH204" s="51" t="s">
        <v>654</v>
      </c>
      <c r="BI204" s="4" t="str">
        <f>IF(Table43[[#This Row],[SATUAN Fix Win]]&lt;&gt;"","KRT")</f>
        <v>KRT</v>
      </c>
      <c r="BJ204" s="4" t="str">
        <f>IF(Table43[[#This Row],[SATUAN Fix Win]]&lt;&gt;"","GD01")</f>
        <v>GD01</v>
      </c>
      <c r="BK204" s="4">
        <f>IF(Table43[[#This Row],[SATUAN Fix Win]]&lt;&gt;"",11611)</f>
        <v>11611</v>
      </c>
      <c r="BL204" s="4">
        <f>IF(Table43[[#This Row],[SATUAN Fix Win]]&lt;&gt;"",11612)</f>
        <v>11612</v>
      </c>
      <c r="BM204" s="47" t="s">
        <v>655</v>
      </c>
      <c r="BN204" s="4">
        <f>IF(Table43[[#This Row],[SATUAN Fix Win]]&lt;&gt;"",1)</f>
        <v>1</v>
      </c>
      <c r="BO204" s="4" t="s">
        <v>656</v>
      </c>
      <c r="BP204" s="4">
        <f>IFERROR(VLOOKUP(Table43[[#This Row],[Kode Pcpl]],'[1]HEINZ ABC'!$A$4:$E$112,8,0),0)</f>
        <v>0</v>
      </c>
      <c r="BQ204" s="55">
        <f>Table43[[#This Row],[Harga Jual Pcs GT
(-PPN)]]-Table43[[#This Row],[HARGA NAIK GT]]</f>
        <v>5855.9</v>
      </c>
      <c r="BR204" s="4">
        <f>IF(Table43[[#This Row],[HARGA NAIK GT]]=0,Table43[[#This Row],[Harga Jual Pcs GT
(-PPN)]],Table43[[#This Row],[HARGA NAIK GT]])</f>
        <v>5855.9</v>
      </c>
      <c r="BS204">
        <f>IFERROR(VLOOKUP(Table43[[#This Row],[Kode Pcpl]],'[1]HEINZ ABC'!$A$4:$E$112,8,0),0)</f>
        <v>0</v>
      </c>
      <c r="BT204" s="58">
        <f>Table43[[#This Row],[Harga Jual Pcs GT
(-PPN)]]-BS204</f>
        <v>5855.9</v>
      </c>
      <c r="BU204">
        <f>IF(BS204=0,Table43[[#This Row],[Harga Jual Pcs MT
(-PPN)]])</f>
        <v>0</v>
      </c>
      <c r="BV204">
        <f>IFERROR(VLOOKUP(Table43[[#This Row],[Kode Pcpl]],[2]Pricelist!$A$4:$K$112,11,0),0)</f>
        <v>0</v>
      </c>
      <c r="BW204">
        <f>IFERROR(VLOOKUP(Table43[[#This Row],[Kode BARANG Win2]],[3]!RECKITT211216[[KDBRG]:[HRG_JL_PCS-PPN]],11,0),0)</f>
        <v>0</v>
      </c>
      <c r="BX204">
        <f t="shared" si="8"/>
        <v>0</v>
      </c>
    </row>
    <row r="205" spans="1:76" s="112" customFormat="1" x14ac:dyDescent="0.25">
      <c r="A205" s="96" t="str">
        <f>CONCATENATE(Table43[[#This Row],[Kode BARANG Win2]],Table43[[#This Row],[No. Urut
Item Sama]])</f>
        <v>A11200060130101</v>
      </c>
      <c r="B205" s="97">
        <v>1</v>
      </c>
      <c r="C205" s="96">
        <v>288</v>
      </c>
      <c r="D205" s="98">
        <v>150364</v>
      </c>
      <c r="E205" s="98"/>
      <c r="F205" s="98" t="s">
        <v>1108</v>
      </c>
      <c r="G205" s="98">
        <v>48</v>
      </c>
      <c r="H205" s="99" t="s">
        <v>2631</v>
      </c>
      <c r="I205" s="98" t="str">
        <f>Table43[[#This Row],[Nama Jenis Kemasan]]</f>
        <v>BTL</v>
      </c>
      <c r="J205" s="96" t="str">
        <f>TRIM(CONCATENATE(Table43[[#This Row],[Nama            KLP]]," ",Table43[[#This Row],[Nama            Sub KLP]]))</f>
        <v>SAMBAL</v>
      </c>
      <c r="K205" s="96" t="str">
        <f>CONCATENATE(Table43[[#This Row],[kode  2 Digit                (hrf+No)]],Table43[[#This Row],[kode  2 Digit                (Nomor)]],Table43[[#This Row],[kode  1 Digit                (Nomor)]])</f>
        <v>A1120</v>
      </c>
      <c r="L205" s="96" t="str">
        <f>IF(AG205="",CONCATENATE(Q205,S205,U205,W205,Y205,AA205,AC205,AE205,Table43[[#This Row],[Tanda Kode Revisi]]),CONCATENATE(Q205,S205,U205,W205,Y205,AA205,AC205,AG205))</f>
        <v>A1120006013010</v>
      </c>
      <c r="M205" s="100">
        <f>LEN(L205)</f>
        <v>14</v>
      </c>
      <c r="N205" s="101" t="str">
        <f>IF(AF205&lt;&gt;"",TRIM(UPPER(CONCATENATE(P205," ",R205," ",T205," ",V205," ",X205," ",Z205," ","X"," ",Table43[[#This Row],[ISI/CTN]]," ",AF205," ",AB205," ",AD205," ",AH205))),TRIM(UPPER(CONCATENATE(P205," ",R205," ",T205," ",V205," ",X205," ",Z205," ","X"," ",Table43[[#This Row],[ISI/CTN]]," ",AB205," ",AD205," ",AH205))))</f>
        <v>ABC SAMBAL ASLI 130 ML X 48 BTL</v>
      </c>
      <c r="O205" s="100">
        <f>LEN(N205)</f>
        <v>31</v>
      </c>
      <c r="P205" s="96" t="s">
        <v>28</v>
      </c>
      <c r="Q205" s="97" t="s">
        <v>85</v>
      </c>
      <c r="R205" s="96" t="s">
        <v>603</v>
      </c>
      <c r="S205" s="102">
        <v>12</v>
      </c>
      <c r="T205" s="103"/>
      <c r="U205" s="97">
        <v>0</v>
      </c>
      <c r="V205" s="103"/>
      <c r="W205" s="102" t="s">
        <v>1</v>
      </c>
      <c r="X205" s="96" t="s">
        <v>604</v>
      </c>
      <c r="Y205" s="104" t="s">
        <v>221</v>
      </c>
      <c r="Z205" s="96" t="s">
        <v>606</v>
      </c>
      <c r="AA205" s="104" t="s">
        <v>485</v>
      </c>
      <c r="AB205" s="96" t="s">
        <v>486</v>
      </c>
      <c r="AC205" s="97" t="s">
        <v>480</v>
      </c>
      <c r="AD205" s="96"/>
      <c r="AE205" s="97" t="s">
        <v>1</v>
      </c>
      <c r="AF205" s="97"/>
      <c r="AG205" s="97"/>
      <c r="AH205" s="97"/>
      <c r="AI205" s="97" t="s">
        <v>214</v>
      </c>
      <c r="AJ205" s="97">
        <v>2</v>
      </c>
      <c r="AK205" s="97"/>
      <c r="AL205" s="105">
        <f>Table43[[#This Row],[Harga Jual Pcs GT
(-PPN)]]-(Table43[[#This Row],[Harga Jual Pcs GT
(-PPN)]]*6%)</f>
        <v>5504.4990000000007</v>
      </c>
      <c r="AM205" s="106">
        <f>Table43[[#This Row],[Harga Beli Pcs
(-PPN)]]*Table43[[#This Row],[ISI/CTN]]</f>
        <v>264215.95200000005</v>
      </c>
      <c r="AN205" s="106">
        <f>Table43[[#This Row],[Harga Beli Pcs
(-PPN)]]*1.11</f>
        <v>6109.9938900000016</v>
      </c>
      <c r="AO205" s="106">
        <f>Table43[[#This Row],[Harga Beli Krt
(- PPN)]]*1.11</f>
        <v>293279.70672000007</v>
      </c>
      <c r="AP205" s="106">
        <v>5855.85</v>
      </c>
      <c r="AQ205" s="106">
        <f>Table43[[#This Row],[Harga Jual Pcs GT
(-PPN)]]*Table43[[#This Row],[ISI/CTN]]</f>
        <v>281080.80000000005</v>
      </c>
      <c r="AR205" s="106">
        <f>Table43[[#This Row],[Harga Jual Pcs GT
(-PPN)]]*1.11</f>
        <v>6499.9935000000014</v>
      </c>
      <c r="AS205" s="106">
        <f>Table43[[#This Row],[Harga Jual Krt GT
(- PPN)]]*1.11</f>
        <v>311999.68800000008</v>
      </c>
      <c r="AT205" s="106">
        <v>6324.32</v>
      </c>
      <c r="AU205" s="106">
        <f>(Table43[[#This Row],[Harga Jual Pcs MT
(-PPN)]]*Table43[[#This Row],[ISI/CTN]])</f>
        <v>303567.35999999999</v>
      </c>
      <c r="AV205" s="106">
        <f>Table43[[#This Row],[Harga Jual Pcs MT
(-PPN)]]*1.11</f>
        <v>7019.9952000000003</v>
      </c>
      <c r="AW205" s="106">
        <f>Table43[[#This Row],[Harga Jual Pcs MT
(+PPN)]]*Table43[[#This Row],[ISI/CTN]]</f>
        <v>336959.7696</v>
      </c>
      <c r="AX205" s="106"/>
      <c r="AY205" s="107">
        <v>46091</v>
      </c>
      <c r="AZ205" s="108"/>
      <c r="BA205" s="97" t="str">
        <f ca="1">IF(TODAY()-Table43[[#This Row],[Efektif
Pembuatan]]&gt;60,"Lama","Baru")</f>
        <v>Lama</v>
      </c>
      <c r="BB205" s="97" t="str">
        <f ca="1">IF(TODAY()-Table43[[#This Row],[Efektif Naik Harga]]&lt;30,"Naik","Sama")</f>
        <v>Sama</v>
      </c>
      <c r="BC205" s="97" t="s">
        <v>235</v>
      </c>
      <c r="BD205" s="97" t="str">
        <f>IF(Table43[[#This Row],[Kode BARANG Win2]]&lt;&gt;"","IDR","")</f>
        <v>IDR</v>
      </c>
      <c r="BE205" s="97" t="str">
        <f>CONCATENATE(Table43[[#This Row],[kode  1 Digit
(Nomor)]],Table43[[#This Row],[kode  4 Digit                (Nomor)]])</f>
        <v>20130</v>
      </c>
      <c r="BF205" s="97" t="str">
        <f>Table43[[#This Row],[Nama            Gramasi atau Jumlah Pack per CTN]]</f>
        <v>130 ML</v>
      </c>
      <c r="BG205" s="97" t="s">
        <v>653</v>
      </c>
      <c r="BH205" s="109" t="s">
        <v>654</v>
      </c>
      <c r="BI205" s="96" t="str">
        <f>IF(Table43[[#This Row],[SATUAN Fix Win]]&lt;&gt;"","KRT")</f>
        <v>KRT</v>
      </c>
      <c r="BJ205" s="96" t="str">
        <f>IF(Table43[[#This Row],[SATUAN Fix Win]]&lt;&gt;"","GD01")</f>
        <v>GD01</v>
      </c>
      <c r="BK205" s="96">
        <f>IF(Table43[[#This Row],[SATUAN Fix Win]]&lt;&gt;"",11611)</f>
        <v>11611</v>
      </c>
      <c r="BL205" s="96">
        <f>IF(Table43[[#This Row],[SATUAN Fix Win]]&lt;&gt;"",11612)</f>
        <v>11612</v>
      </c>
      <c r="BM205" s="47" t="s">
        <v>655</v>
      </c>
      <c r="BN205" s="96">
        <f>IF(Table43[[#This Row],[SATUAN Fix Win]]&lt;&gt;"",1)</f>
        <v>1</v>
      </c>
      <c r="BO205" s="4" t="s">
        <v>656</v>
      </c>
      <c r="BP205" s="96">
        <f>IFERROR(VLOOKUP(Table43[[#This Row],[Kode Pcpl]],'[1]HEINZ ABC'!$A$4:$E$112,8,0),0)</f>
        <v>0</v>
      </c>
      <c r="BQ205" s="111">
        <f>Table43[[#This Row],[Harga Jual Pcs GT
(-PPN)]]-Table43[[#This Row],[HARGA NAIK GT]]</f>
        <v>5855.85</v>
      </c>
      <c r="BR205" s="96">
        <f>IF(Table43[[#This Row],[HARGA NAIK GT]]=0,Table43[[#This Row],[Harga Jual Pcs GT
(-PPN)]],Table43[[#This Row],[HARGA NAIK GT]])</f>
        <v>5855.85</v>
      </c>
      <c r="BT205" s="113"/>
    </row>
    <row r="206" spans="1:76" s="112" customFormat="1" x14ac:dyDescent="0.25">
      <c r="A206" s="4" t="str">
        <f>CONCATENATE(Table43[[#This Row],[Kode BARANG Win2]],Table43[[#This Row],[No. Urut
Item Sama]])</f>
        <v>A1120008013010</v>
      </c>
      <c r="B206" s="7"/>
      <c r="C206" s="4"/>
      <c r="D206" s="27">
        <v>150363</v>
      </c>
      <c r="E206" s="27"/>
      <c r="F206" s="27" t="s">
        <v>1108</v>
      </c>
      <c r="G206" s="27">
        <v>48</v>
      </c>
      <c r="H206" s="42" t="s">
        <v>2633</v>
      </c>
      <c r="I206" s="27" t="str">
        <f>Table43[[#This Row],[Nama Jenis Kemasan]]</f>
        <v>BTL</v>
      </c>
      <c r="J206" s="4" t="str">
        <f>TRIM(CONCATENATE(Table43[[#This Row],[Nama            KLP]]," ",Table43[[#This Row],[Nama            Sub KLP]]))</f>
        <v>SAMBAL</v>
      </c>
      <c r="K206" s="4" t="str">
        <f>CONCATENATE(Table43[[#This Row],[kode  2 Digit                (hrf+No)]],Table43[[#This Row],[kode  2 Digit                (Nomor)]],Table43[[#This Row],[kode  1 Digit                (Nomor)]])</f>
        <v>A1120</v>
      </c>
      <c r="L206" s="4" t="str">
        <f>IF(AG206="",CONCATENATE(Q206,S206,U206,W206,Y206,AA206,AC206,AE206,Table43[[#This Row],[Tanda Kode Revisi]]),CONCATENATE(Q206,S206,U206,W206,Y206,AA206,AC206,AG206))</f>
        <v>A1120008013010</v>
      </c>
      <c r="M206" s="11">
        <f>LEN(L206)</f>
        <v>14</v>
      </c>
      <c r="N206" s="14" t="str">
        <f>IF(AF206&lt;&gt;"",TRIM(UPPER(CONCATENATE(P206," ",R206," ",T206," ",V206," ",X206," ",Z206," ","X"," ",Table43[[#This Row],[ISI/CTN]]," ",AF206," ",AB206," ",AD206," ",AH206))),TRIM(UPPER(CONCATENATE(P206," ",R206," ",T206," ",V206," ",X206," ",Z206," ","X"," ",Table43[[#This Row],[ISI/CTN]]," ",AB206," ",AD206," ",AH206))))</f>
        <v>ABC SAMBAL EXTRA PEDAS 130 ML X 48 BTL</v>
      </c>
      <c r="O206" s="11">
        <f>LEN(N206)</f>
        <v>38</v>
      </c>
      <c r="P206" s="4" t="s">
        <v>28</v>
      </c>
      <c r="Q206" s="97" t="s">
        <v>85</v>
      </c>
      <c r="R206" s="96" t="s">
        <v>603</v>
      </c>
      <c r="S206" s="102">
        <v>12</v>
      </c>
      <c r="T206" s="103"/>
      <c r="U206" s="97">
        <v>0</v>
      </c>
      <c r="V206" s="103"/>
      <c r="W206" s="102" t="s">
        <v>1</v>
      </c>
      <c r="X206" s="96" t="s">
        <v>519</v>
      </c>
      <c r="Y206" s="104" t="s">
        <v>224</v>
      </c>
      <c r="Z206" s="96" t="s">
        <v>606</v>
      </c>
      <c r="AA206" s="104" t="s">
        <v>485</v>
      </c>
      <c r="AB206" s="96" t="s">
        <v>486</v>
      </c>
      <c r="AC206" s="97" t="s">
        <v>480</v>
      </c>
      <c r="AD206" s="96"/>
      <c r="AE206" s="97" t="s">
        <v>1</v>
      </c>
      <c r="AF206" s="7"/>
      <c r="AG206" s="7"/>
      <c r="AH206" s="7"/>
      <c r="AI206" s="7"/>
      <c r="AJ206" s="7"/>
      <c r="AK206" s="97"/>
      <c r="AL206" s="40">
        <f>Table43[[#This Row],[Harga Jual Pcs GT
(-PPN)]]-(Table43[[#This Row],[Harga Jual Pcs GT
(-PPN)]]*6%)</f>
        <v>0</v>
      </c>
      <c r="AM206" s="41">
        <f>Table43[[#This Row],[Harga Beli Pcs
(-PPN)]]*Table43[[#This Row],[ISI/CTN]]</f>
        <v>0</v>
      </c>
      <c r="AN206" s="41">
        <f>Table43[[#This Row],[Harga Beli Pcs
(-PPN)]]*1.11</f>
        <v>0</v>
      </c>
      <c r="AO206" s="41">
        <f>Table43[[#This Row],[Harga Beli Krt
(- PPN)]]*1.11</f>
        <v>0</v>
      </c>
      <c r="AP206" s="41"/>
      <c r="AQ206" s="41">
        <f>Table43[[#This Row],[Harga Jual Pcs GT
(-PPN)]]*Table43[[#This Row],[ISI/CTN]]</f>
        <v>0</v>
      </c>
      <c r="AR206" s="41">
        <f>Table43[[#This Row],[Harga Jual Pcs GT
(-PPN)]]*1.11</f>
        <v>0</v>
      </c>
      <c r="AS206" s="41">
        <f>Table43[[#This Row],[Harga Jual Krt GT
(- PPN)]]*1.11</f>
        <v>0</v>
      </c>
      <c r="AT206" s="41"/>
      <c r="AU206" s="41">
        <f>(Table43[[#This Row],[Harga Jual Pcs MT
(-PPN)]]*Table43[[#This Row],[ISI/CTN]])</f>
        <v>0</v>
      </c>
      <c r="AV206" s="41">
        <f>Table43[[#This Row],[Harga Jual Pcs MT
(-PPN)]]*1.11</f>
        <v>0</v>
      </c>
      <c r="AW206" s="41">
        <f>Table43[[#This Row],[Harga Jual Pcs MT
(+PPN)]]*Table43[[#This Row],[ISI/CTN]]</f>
        <v>0</v>
      </c>
      <c r="AX206" s="41"/>
      <c r="AY206" s="46"/>
      <c r="AZ206" s="54"/>
      <c r="BA206" s="7" t="str">
        <f ca="1">IF(TODAY()-Table43[[#This Row],[Efektif
Pembuatan]]&gt;60,"Lama","Baru")</f>
        <v>Lama</v>
      </c>
      <c r="BB206" s="7" t="str">
        <f ca="1">IF(TODAY()-Table43[[#This Row],[Efektif Naik Harga]]&lt;30,"Naik","Sama")</f>
        <v>Sama</v>
      </c>
      <c r="BC206" s="97"/>
      <c r="BD206" s="7" t="str">
        <f>IF(Table43[[#This Row],[Kode BARANG Win2]]&lt;&gt;"","IDR","")</f>
        <v>IDR</v>
      </c>
      <c r="BE206" s="7" t="str">
        <f>CONCATENATE(Table43[[#This Row],[kode  1 Digit
(Nomor)]],Table43[[#This Row],[kode  4 Digit                (Nomor)]])</f>
        <v>0130</v>
      </c>
      <c r="BF206" s="7" t="str">
        <f>Table43[[#This Row],[Nama            Gramasi atau Jumlah Pack per CTN]]</f>
        <v>130 ML</v>
      </c>
      <c r="BG206" s="7"/>
      <c r="BH206" s="51"/>
      <c r="BI206" s="4" t="str">
        <f>IF(Table43[[#This Row],[SATUAN Fix Win]]&lt;&gt;"","KRT")</f>
        <v>KRT</v>
      </c>
      <c r="BJ206" s="4" t="str">
        <f>IF(Table43[[#This Row],[SATUAN Fix Win]]&lt;&gt;"","GD01")</f>
        <v>GD01</v>
      </c>
      <c r="BK206" s="4">
        <f>IF(Table43[[#This Row],[SATUAN Fix Win]]&lt;&gt;"",11611)</f>
        <v>11611</v>
      </c>
      <c r="BL206" s="4">
        <f>IF(Table43[[#This Row],[SATUAN Fix Win]]&lt;&gt;"",11612)</f>
        <v>11612</v>
      </c>
      <c r="BM206" s="47"/>
      <c r="BN206" s="4">
        <f>IF(Table43[[#This Row],[SATUAN Fix Win]]&lt;&gt;"",1)</f>
        <v>1</v>
      </c>
      <c r="BO206" s="4"/>
      <c r="BP206" s="4">
        <f>IFERROR(VLOOKUP(Table43[[#This Row],[Kode Pcpl]],'[1]HEINZ ABC'!$A$4:$E$112,8,0),0)</f>
        <v>0</v>
      </c>
      <c r="BQ206" s="55">
        <f>Table43[[#This Row],[Harga Jual Pcs GT
(-PPN)]]-Table43[[#This Row],[HARGA NAIK GT]]</f>
        <v>0</v>
      </c>
      <c r="BR206" s="4">
        <f>IF(Table43[[#This Row],[HARGA NAIK GT]]=0,Table43[[#This Row],[Harga Jual Pcs GT
(-PPN)]],Table43[[#This Row],[HARGA NAIK GT]])</f>
        <v>0</v>
      </c>
      <c r="BT206" s="113"/>
    </row>
    <row r="207" spans="1:76" s="112" customFormat="1" x14ac:dyDescent="0.25">
      <c r="A207" s="96" t="str">
        <f>CONCATENATE(Table43[[#This Row],[Kode BARANG Win2]],Table43[[#This Row],[No. Urut
Item Sama]])</f>
        <v>A11200060130101</v>
      </c>
      <c r="B207" s="97">
        <v>1</v>
      </c>
      <c r="C207" s="96">
        <v>289</v>
      </c>
      <c r="D207" s="98">
        <v>150330</v>
      </c>
      <c r="E207" s="98"/>
      <c r="F207" s="98" t="s">
        <v>1109</v>
      </c>
      <c r="G207" s="98">
        <v>48</v>
      </c>
      <c r="H207" s="99" t="s">
        <v>2464</v>
      </c>
      <c r="I207" s="98" t="str">
        <f>Table43[[#This Row],[Nama Jenis Kemasan]]</f>
        <v>BTL</v>
      </c>
      <c r="J207" s="96" t="str">
        <f>TRIM(CONCATENATE(Table43[[#This Row],[Nama            KLP]]," ",Table43[[#This Row],[Nama            Sub KLP]]))</f>
        <v>SAMBAL</v>
      </c>
      <c r="K207" s="96" t="str">
        <f>CONCATENATE(Table43[[#This Row],[kode  2 Digit                (hrf+No)]],Table43[[#This Row],[kode  2 Digit                (Nomor)]],Table43[[#This Row],[kode  1 Digit                (Nomor)]])</f>
        <v>A1120</v>
      </c>
      <c r="L207" s="96" t="str">
        <f>IF(AG207="",CONCATENATE(Q207,S207,U207,W207,Y207,AA207,AC207,AE207,Table43[[#This Row],[Tanda Kode Revisi]]),CONCATENATE(Q207,S207,U207,W207,Y207,AA207,AC207,AG207))</f>
        <v>A1120006013010</v>
      </c>
      <c r="M207" s="100">
        <f>LEN(L207)</f>
        <v>14</v>
      </c>
      <c r="N207" s="101" t="str">
        <f>IF(AF207&lt;&gt;"",TRIM(UPPER(CONCATENATE(P207," ",R207," ",T207," ",V207," ",X207," ",Z207," ","X"," ",Table43[[#This Row],[ISI/CTN]]," ",AF207," ",AB207," ",AD207," ",AH207))),TRIM(UPPER(CONCATENATE(P207," ",R207," ",T207," ",V207," ",X207," ",Z207," ","X"," ",Table43[[#This Row],[ISI/CTN]]," ",AB207," ",AD207," ",AH207))))</f>
        <v>ABC SAMBAL ASLI 130 ML X 48 BTL</v>
      </c>
      <c r="O207" s="100">
        <f>LEN(N207)</f>
        <v>31</v>
      </c>
      <c r="P207" s="96" t="s">
        <v>28</v>
      </c>
      <c r="Q207" s="97" t="s">
        <v>85</v>
      </c>
      <c r="R207" s="96" t="s">
        <v>603</v>
      </c>
      <c r="S207" s="102">
        <v>12</v>
      </c>
      <c r="T207" s="103"/>
      <c r="U207" s="97">
        <v>0</v>
      </c>
      <c r="V207" s="103"/>
      <c r="W207" s="102" t="s">
        <v>1</v>
      </c>
      <c r="X207" s="96" t="s">
        <v>604</v>
      </c>
      <c r="Y207" s="104" t="s">
        <v>221</v>
      </c>
      <c r="Z207" s="96" t="s">
        <v>606</v>
      </c>
      <c r="AA207" s="104" t="s">
        <v>485</v>
      </c>
      <c r="AB207" s="96" t="s">
        <v>486</v>
      </c>
      <c r="AC207" s="97" t="s">
        <v>480</v>
      </c>
      <c r="AD207" s="96"/>
      <c r="AE207" s="97" t="s">
        <v>1</v>
      </c>
      <c r="AF207" s="97"/>
      <c r="AG207" s="97"/>
      <c r="AH207" s="97"/>
      <c r="AI207" s="97" t="s">
        <v>214</v>
      </c>
      <c r="AJ207" s="97">
        <v>2</v>
      </c>
      <c r="AK207" s="97"/>
      <c r="AL207" s="105">
        <f>Table43[[#This Row],[Harga Jual Pcs GT
(-PPN)]]-(Table43[[#This Row],[Harga Jual Pcs GT
(-PPN)]]*6%)</f>
        <v>0</v>
      </c>
      <c r="AM207" s="106">
        <f>Table43[[#This Row],[Harga Beli Pcs
(-PPN)]]*Table43[[#This Row],[ISI/CTN]]</f>
        <v>0</v>
      </c>
      <c r="AN207" s="106">
        <f>Table43[[#This Row],[Harga Beli Pcs
(-PPN)]]*1.11</f>
        <v>0</v>
      </c>
      <c r="AO207" s="106">
        <f>Table43[[#This Row],[Harga Beli Krt
(- PPN)]]*1.11</f>
        <v>0</v>
      </c>
      <c r="AP207" s="106"/>
      <c r="AQ207" s="106">
        <f>Table43[[#This Row],[Harga Jual Pcs GT
(-PPN)]]*Table43[[#This Row],[ISI/CTN]]</f>
        <v>0</v>
      </c>
      <c r="AR207" s="106">
        <f>Table43[[#This Row],[Harga Jual Pcs GT
(-PPN)]]*1.11</f>
        <v>0</v>
      </c>
      <c r="AS207" s="106">
        <f>Table43[[#This Row],[Harga Jual Krt GT
(- PPN)]]*1.11</f>
        <v>0</v>
      </c>
      <c r="AT207" s="106"/>
      <c r="AU207" s="106">
        <f>(Table43[[#This Row],[Harga Jual Pcs MT
(-PPN)]]*Table43[[#This Row],[ISI/CTN]])</f>
        <v>0</v>
      </c>
      <c r="AV207" s="106">
        <f>Table43[[#This Row],[Harga Jual Pcs MT
(-PPN)]]*1.11</f>
        <v>0</v>
      </c>
      <c r="AW207" s="106">
        <f>Table43[[#This Row],[Harga Jual Pcs MT
(+PPN)]]*Table43[[#This Row],[ISI/CTN]]</f>
        <v>0</v>
      </c>
      <c r="AX207" s="106"/>
      <c r="AY207" s="107"/>
      <c r="AZ207" s="108"/>
      <c r="BA207" s="97" t="str">
        <f ca="1">IF(TODAY()-Table43[[#This Row],[Efektif
Pembuatan]]&gt;60,"Lama","Baru")</f>
        <v>Lama</v>
      </c>
      <c r="BB207" s="97" t="str">
        <f ca="1">IF(TODAY()-Table43[[#This Row],[Efektif Naik Harga]]&lt;30,"Naik","Sama")</f>
        <v>Sama</v>
      </c>
      <c r="BC207" s="97"/>
      <c r="BD207" s="97" t="str">
        <f>IF(Table43[[#This Row],[Kode BARANG Win2]]&lt;&gt;"","IDR","")</f>
        <v>IDR</v>
      </c>
      <c r="BE207" s="97" t="str">
        <f>CONCATENATE(Table43[[#This Row],[kode  1 Digit
(Nomor)]],Table43[[#This Row],[kode  4 Digit                (Nomor)]])</f>
        <v>20130</v>
      </c>
      <c r="BF207" s="97" t="str">
        <f>Table43[[#This Row],[Nama            Gramasi atau Jumlah Pack per CTN]]</f>
        <v>130 ML</v>
      </c>
      <c r="BG207" s="97"/>
      <c r="BH207" s="109"/>
      <c r="BI207" s="96" t="str">
        <f>IF(Table43[[#This Row],[SATUAN Fix Win]]&lt;&gt;"","KRT")</f>
        <v>KRT</v>
      </c>
      <c r="BJ207" s="96" t="str">
        <f>IF(Table43[[#This Row],[SATUAN Fix Win]]&lt;&gt;"","GD01")</f>
        <v>GD01</v>
      </c>
      <c r="BK207" s="96">
        <f>IF(Table43[[#This Row],[SATUAN Fix Win]]&lt;&gt;"",11611)</f>
        <v>11611</v>
      </c>
      <c r="BL207" s="96">
        <f>IF(Table43[[#This Row],[SATUAN Fix Win]]&lt;&gt;"",11612)</f>
        <v>11612</v>
      </c>
      <c r="BM207" s="47" t="s">
        <v>655</v>
      </c>
      <c r="BN207" s="96">
        <f>IF(Table43[[#This Row],[SATUAN Fix Win]]&lt;&gt;"",1)</f>
        <v>1</v>
      </c>
      <c r="BO207" s="4" t="s">
        <v>656</v>
      </c>
      <c r="BP207" s="96">
        <f>IFERROR(VLOOKUP(Table43[[#This Row],[Kode Pcpl]],'[1]HEINZ ABC'!$A$4:$E$112,8,0),0)</f>
        <v>0</v>
      </c>
      <c r="BQ207" s="111">
        <f>Table43[[#This Row],[Harga Jual Pcs GT
(-PPN)]]-Table43[[#This Row],[HARGA NAIK GT]]</f>
        <v>0</v>
      </c>
      <c r="BR207" s="96">
        <f>IF(Table43[[#This Row],[HARGA NAIK GT]]=0,Table43[[#This Row],[Harga Jual Pcs GT
(-PPN)]],Table43[[#This Row],[HARGA NAIK GT]])</f>
        <v>0</v>
      </c>
      <c r="BT207" s="113"/>
    </row>
    <row r="208" spans="1:76" x14ac:dyDescent="0.25">
      <c r="A208" s="4" t="str">
        <f>CONCATENATE(Table43[[#This Row],[Kode BARANG Win2]],Table43[[#This Row],[No. Urut
Item Sama]])</f>
        <v>A11200060130111</v>
      </c>
      <c r="B208" s="7">
        <v>1</v>
      </c>
      <c r="C208" s="4">
        <v>180</v>
      </c>
      <c r="D208" s="27">
        <v>150975</v>
      </c>
      <c r="E208" s="27" t="s">
        <v>381</v>
      </c>
      <c r="F208" s="27" t="s">
        <v>392</v>
      </c>
      <c r="G208" s="27">
        <v>48</v>
      </c>
      <c r="H208" s="42" t="s">
        <v>2460</v>
      </c>
      <c r="I208" s="27" t="str">
        <f>Table43[[#This Row],[Nama Jenis Kemasan]]</f>
        <v>BTL</v>
      </c>
      <c r="J208" s="4" t="str">
        <f>TRIM(CONCATENATE(Table43[[#This Row],[Nama            KLP]]," ",Table43[[#This Row],[Nama            Sub KLP]]))</f>
        <v>SAMBAL</v>
      </c>
      <c r="K208" s="4" t="str">
        <f>CONCATENATE(Table43[[#This Row],[kode  2 Digit                (hrf+No)]],Table43[[#This Row],[kode  2 Digit                (Nomor)]],Table43[[#This Row],[kode  1 Digit                (Nomor)]])</f>
        <v>A1120</v>
      </c>
      <c r="L208" s="4" t="str">
        <f>IF(AG208="",CONCATENATE(Q208,S208,U208,W208,Y208,AA208,AC208,AE208,Table43[[#This Row],[Tanda Kode Revisi]]),CONCATENATE(Q208,S208,U208,W208,Y208,AA208,AC208,AG208))</f>
        <v>A1120006013011</v>
      </c>
      <c r="M208" s="11">
        <f t="shared" si="6"/>
        <v>14</v>
      </c>
      <c r="N208" s="14" t="str">
        <f>IF(AF208&lt;&gt;"",TRIM(UPPER(CONCATENATE(P208," ",R208," ",T208," ",V208," ",X208," ",Z208," ","X"," ",Table43[[#This Row],[ISI/CTN]]," ",AF208," ",AB208," ",AD208," ",AH208))),TRIM(UPPER(CONCATENATE(P208," ",R208," ",T208," ",V208," ",X208," ",Z208," ","X"," ",Table43[[#This Row],[ISI/CTN]]," ",AB208," ",AD208," ",AH208))))</f>
        <v>ABC SAMBAL ASLI 130 ML X 48 BTL BANDED</v>
      </c>
      <c r="O208" s="11">
        <f t="shared" si="7"/>
        <v>38</v>
      </c>
      <c r="P208" s="4" t="s">
        <v>28</v>
      </c>
      <c r="Q208" s="7" t="s">
        <v>85</v>
      </c>
      <c r="R208" s="4" t="s">
        <v>603</v>
      </c>
      <c r="S208" s="43">
        <v>12</v>
      </c>
      <c r="T208" s="44"/>
      <c r="U208" s="7">
        <v>0</v>
      </c>
      <c r="V208" s="44"/>
      <c r="W208" s="43" t="s">
        <v>1</v>
      </c>
      <c r="X208" s="4" t="s">
        <v>604</v>
      </c>
      <c r="Y208" s="45" t="s">
        <v>221</v>
      </c>
      <c r="Z208" s="4" t="s">
        <v>606</v>
      </c>
      <c r="AA208" s="45" t="s">
        <v>485</v>
      </c>
      <c r="AB208" s="4" t="s">
        <v>486</v>
      </c>
      <c r="AC208" s="7" t="s">
        <v>480</v>
      </c>
      <c r="AD208" s="4" t="s">
        <v>496</v>
      </c>
      <c r="AE208" s="7">
        <v>1</v>
      </c>
      <c r="AI208" s="7" t="s">
        <v>214</v>
      </c>
      <c r="AJ208" s="7">
        <v>2</v>
      </c>
      <c r="AL208" s="40">
        <f>Table43[[#This Row],[Harga Jual Pcs GT
(-PPN)]]-(Table43[[#This Row],[Harga Jual Pcs GT
(-PPN)]]*6%)</f>
        <v>5504.5459999999994</v>
      </c>
      <c r="AM208" s="41">
        <f>Table43[[#This Row],[Harga Beli Pcs
(-PPN)]]*Table43[[#This Row],[ISI/CTN]]</f>
        <v>264218.20799999998</v>
      </c>
      <c r="AN208" s="41">
        <f>Table43[[#This Row],[Harga Beli Pcs
(-PPN)]]*1.11</f>
        <v>6110.0460599999997</v>
      </c>
      <c r="AO208" s="41">
        <f>Table43[[#This Row],[Harga Beli Krt
(- PPN)]]*1.11</f>
        <v>293282.21088000003</v>
      </c>
      <c r="AP208" s="41">
        <v>5855.9</v>
      </c>
      <c r="AQ208" s="41">
        <f>Table43[[#This Row],[Harga Jual Pcs GT
(-PPN)]]*Table43[[#This Row],[ISI/CTN]]</f>
        <v>281083.19999999995</v>
      </c>
      <c r="AR208" s="41">
        <f>Table43[[#This Row],[Harga Jual Pcs GT
(-PPN)]]*1.11</f>
        <v>6500.049</v>
      </c>
      <c r="AS208" s="41">
        <f>Table43[[#This Row],[Harga Jual Krt GT
(- PPN)]]*1.11</f>
        <v>312002.35199999996</v>
      </c>
      <c r="AT208" s="41">
        <v>6148.7</v>
      </c>
      <c r="AU208" s="41">
        <f>(Table43[[#This Row],[Harga Jual Pcs MT
(-PPN)]]*Table43[[#This Row],[ISI/CTN]])</f>
        <v>295137.59999999998</v>
      </c>
      <c r="AV208" s="41">
        <f>Table43[[#This Row],[Harga Jual Pcs MT
(-PPN)]]*1.11</f>
        <v>6825.0570000000007</v>
      </c>
      <c r="AW208" s="41">
        <f>Table43[[#This Row],[Harga Jual Pcs MT
(+PPN)]]*Table43[[#This Row],[ISI/CTN]]</f>
        <v>327602.73600000003</v>
      </c>
      <c r="AX208" s="41"/>
      <c r="AY208" s="46">
        <v>45553</v>
      </c>
      <c r="AZ208" s="54">
        <v>45553</v>
      </c>
      <c r="BA208" s="7" t="str">
        <f ca="1">IF(TODAY()-Table43[[#This Row],[Efektif
Pembuatan]]&gt;60,"Lama","Baru")</f>
        <v>Lama</v>
      </c>
      <c r="BB208" s="7" t="str">
        <f ca="1">IF(TODAY()-Table43[[#This Row],[Efektif Naik Harga]]&lt;30,"Naik","Sama")</f>
        <v>Sama</v>
      </c>
      <c r="BC208" s="7" t="s">
        <v>235</v>
      </c>
      <c r="BD208" s="7" t="str">
        <f>IF(Table43[[#This Row],[Kode BARANG Win2]]&lt;&gt;"","IDR","")</f>
        <v>IDR</v>
      </c>
      <c r="BE208" s="7" t="str">
        <f>CONCATENATE(Table43[[#This Row],[kode  1 Digit
(Nomor)]],Table43[[#This Row],[kode  4 Digit                (Nomor)]])</f>
        <v>20130</v>
      </c>
      <c r="BF208" s="7" t="str">
        <f>Table43[[#This Row],[Nama            Gramasi atau Jumlah Pack per CTN]]</f>
        <v>130 ML</v>
      </c>
      <c r="BG208" s="7" t="s">
        <v>653</v>
      </c>
      <c r="BH208" s="51" t="s">
        <v>654</v>
      </c>
      <c r="BI208" s="4" t="str">
        <f>IF(Table43[[#This Row],[SATUAN Fix Win]]&lt;&gt;"","KRT")</f>
        <v>KRT</v>
      </c>
      <c r="BJ208" s="4" t="str">
        <f>IF(Table43[[#This Row],[SATUAN Fix Win]]&lt;&gt;"","GD01")</f>
        <v>GD01</v>
      </c>
      <c r="BK208" s="4">
        <f>IF(Table43[[#This Row],[SATUAN Fix Win]]&lt;&gt;"",11611)</f>
        <v>11611</v>
      </c>
      <c r="BL208" s="4">
        <f>IF(Table43[[#This Row],[SATUAN Fix Win]]&lt;&gt;"",11612)</f>
        <v>11612</v>
      </c>
      <c r="BM208" s="47" t="s">
        <v>655</v>
      </c>
      <c r="BN208" s="4">
        <f>IF(Table43[[#This Row],[SATUAN Fix Win]]&lt;&gt;"",1)</f>
        <v>1</v>
      </c>
      <c r="BO208" s="4" t="s">
        <v>656</v>
      </c>
      <c r="BP208" s="4">
        <f>IFERROR(VLOOKUP(Table43[[#This Row],[Kode Pcpl]],'[1]HEINZ ABC'!$A$4:$E$112,8,0),0)</f>
        <v>0</v>
      </c>
      <c r="BQ208" s="55">
        <f>Table43[[#This Row],[Harga Jual Pcs GT
(-PPN)]]-Table43[[#This Row],[HARGA NAIK GT]]</f>
        <v>5855.9</v>
      </c>
      <c r="BR208" s="4">
        <f>IF(Table43[[#This Row],[HARGA NAIK GT]]=0,Table43[[#This Row],[Harga Jual Pcs GT
(-PPN)]],Table43[[#This Row],[HARGA NAIK GT]])</f>
        <v>5855.9</v>
      </c>
      <c r="BS208">
        <f>IFERROR(VLOOKUP(Table43[[#This Row],[Kode Pcpl]],'[1]HEINZ ABC'!$A$4:$E$112,8,0),0)</f>
        <v>0</v>
      </c>
      <c r="BT208" s="58">
        <f>Table43[[#This Row],[Harga Jual Pcs GT
(-PPN)]]-BS208</f>
        <v>5855.9</v>
      </c>
      <c r="BU208">
        <f>IF(BS208=0,Table43[[#This Row],[Harga Jual Pcs MT
(-PPN)]])</f>
        <v>6148.7</v>
      </c>
      <c r="BV208">
        <f>IFERROR(VLOOKUP(Table43[[#This Row],[Kode Pcpl]],[2]Pricelist!$A$4:$K$112,11,0),0)</f>
        <v>0</v>
      </c>
      <c r="BW208">
        <f>IFERROR(VLOOKUP(Table43[[#This Row],[Kode BARANG Win2]],[3]!RECKITT211216[[KDBRG]:[HRG_JL_PCS-PPN]],11,0),0)</f>
        <v>0</v>
      </c>
      <c r="BX208">
        <f t="shared" si="8"/>
        <v>0</v>
      </c>
    </row>
    <row r="209" spans="1:76" x14ac:dyDescent="0.25">
      <c r="A209" s="4" t="str">
        <f>CONCATENATE(Table43[[#This Row],[Kode BARANG Win2]],Table43[[#This Row],[No. Urut
Item Sama]])</f>
        <v>A11200060135101</v>
      </c>
      <c r="B209" s="7">
        <v>1</v>
      </c>
      <c r="C209" s="4">
        <v>181</v>
      </c>
      <c r="D209" s="27">
        <v>150164</v>
      </c>
      <c r="E209" s="27" t="s">
        <v>381</v>
      </c>
      <c r="F209" s="27" t="s">
        <v>393</v>
      </c>
      <c r="G209" s="27">
        <v>48</v>
      </c>
      <c r="H209" s="42" t="s">
        <v>2564</v>
      </c>
      <c r="I209" s="27" t="str">
        <f>Table43[[#This Row],[Nama Jenis Kemasan]]</f>
        <v>BTL</v>
      </c>
      <c r="J209" s="4" t="str">
        <f>TRIM(CONCATENATE(Table43[[#This Row],[Nama            KLP]]," ",Table43[[#This Row],[Nama            Sub KLP]]))</f>
        <v>SAMBAL</v>
      </c>
      <c r="K209" s="4" t="str">
        <f>CONCATENATE(Table43[[#This Row],[kode  2 Digit                (hrf+No)]],Table43[[#This Row],[kode  2 Digit                (Nomor)]],Table43[[#This Row],[kode  1 Digit                (Nomor)]])</f>
        <v>A1120</v>
      </c>
      <c r="L209" s="4" t="str">
        <f>IF(AG209="",CONCATENATE(Q209,S209,U209,W209,Y209,AA209,AC209,AE209,Table43[[#This Row],[Tanda Kode Revisi]]),CONCATENATE(Q209,S209,U209,W209,Y209,AA209,AC209,AG209))</f>
        <v>A1120006013510</v>
      </c>
      <c r="M209" s="11">
        <f t="shared" si="6"/>
        <v>14</v>
      </c>
      <c r="N209" s="14" t="str">
        <f>IF(AF209&lt;&gt;"",TRIM(UPPER(CONCATENATE(P209," ",R209," ",T209," ",V209," ",X209," ",Z209," ","X"," ",Table43[[#This Row],[ISI/CTN]]," ",AF209," ",AB209," ",AD209," ",AH209))),TRIM(UPPER(CONCATENATE(P209," ",R209," ",T209," ",V209," ",X209," ",Z209," ","X"," ",Table43[[#This Row],[ISI/CTN]]," ",AB209," ",AD209," ",AH209))))</f>
        <v>ABC SAMBAL ASLI 135 ML X 48 BTL</v>
      </c>
      <c r="O209" s="11">
        <f t="shared" si="7"/>
        <v>31</v>
      </c>
      <c r="P209" s="4" t="s">
        <v>28</v>
      </c>
      <c r="Q209" s="7" t="s">
        <v>85</v>
      </c>
      <c r="R209" s="4" t="s">
        <v>603</v>
      </c>
      <c r="S209" s="43">
        <v>12</v>
      </c>
      <c r="T209" s="44"/>
      <c r="U209" s="7">
        <v>0</v>
      </c>
      <c r="V209" s="44"/>
      <c r="W209" s="43" t="s">
        <v>1</v>
      </c>
      <c r="X209" s="4" t="s">
        <v>604</v>
      </c>
      <c r="Y209" s="45" t="s">
        <v>221</v>
      </c>
      <c r="Z209" s="4" t="s">
        <v>484</v>
      </c>
      <c r="AA209" s="45" t="s">
        <v>487</v>
      </c>
      <c r="AB209" s="4" t="s">
        <v>486</v>
      </c>
      <c r="AC209" s="7" t="s">
        <v>480</v>
      </c>
      <c r="AE209" s="7" t="s">
        <v>1</v>
      </c>
      <c r="AI209" s="7" t="s">
        <v>214</v>
      </c>
      <c r="AJ209" s="7">
        <v>2</v>
      </c>
      <c r="AL209" s="40">
        <f>Table43[[#This Row],[Harga Jual Pcs GT
(-PPN)]]-(Table43[[#This Row],[Harga Jual Pcs GT
(-PPN)]]*6%)</f>
        <v>6097.3005999999996</v>
      </c>
      <c r="AM209" s="41">
        <f>Table43[[#This Row],[Harga Beli Pcs
(-PPN)]]*Table43[[#This Row],[ISI/CTN]]</f>
        <v>292670.42879999999</v>
      </c>
      <c r="AN209" s="41">
        <f>Table43[[#This Row],[Harga Beli Pcs
(-PPN)]]*1.11</f>
        <v>6768.0036660000005</v>
      </c>
      <c r="AO209" s="41">
        <f>Table43[[#This Row],[Harga Beli Krt
(- PPN)]]*1.11</f>
        <v>324864.17596800003</v>
      </c>
      <c r="AP209" s="41">
        <v>6486.49</v>
      </c>
      <c r="AQ209" s="41">
        <f>Table43[[#This Row],[Harga Jual Pcs GT
(-PPN)]]*Table43[[#This Row],[ISI/CTN]]</f>
        <v>311351.52</v>
      </c>
      <c r="AR209" s="41">
        <f>Table43[[#This Row],[Harga Jual Pcs GT
(-PPN)]]*1.11</f>
        <v>7200.0039000000006</v>
      </c>
      <c r="AS209" s="41">
        <f>Table43[[#This Row],[Harga Jual Krt GT
(- PPN)]]*1.11</f>
        <v>345600.18720000004</v>
      </c>
      <c r="AT209" s="41">
        <v>6810.8108108108099</v>
      </c>
      <c r="AU209" s="41">
        <f>(Table43[[#This Row],[Harga Jual Pcs MT
(-PPN)]]*Table43[[#This Row],[ISI/CTN]])</f>
        <v>326918.91891891888</v>
      </c>
      <c r="AV209" s="41">
        <f>Table43[[#This Row],[Harga Jual Pcs MT
(-PPN)]]*1.11</f>
        <v>7560</v>
      </c>
      <c r="AW209" s="41">
        <f>Table43[[#This Row],[Harga Jual Pcs MT
(+PPN)]]*Table43[[#This Row],[ISI/CTN]]</f>
        <v>362880</v>
      </c>
      <c r="AX209" s="41"/>
      <c r="AY209" s="46">
        <v>45553</v>
      </c>
      <c r="AZ209" s="54">
        <v>45553</v>
      </c>
      <c r="BA209" s="7" t="str">
        <f ca="1">IF(TODAY()-Table43[[#This Row],[Efektif
Pembuatan]]&gt;60,"Lama","Baru")</f>
        <v>Lama</v>
      </c>
      <c r="BB209" s="7" t="str">
        <f ca="1">IF(TODAY()-Table43[[#This Row],[Efektif Naik Harga]]&lt;30,"Naik","Sama")</f>
        <v>Sama</v>
      </c>
      <c r="BC209" s="7" t="s">
        <v>235</v>
      </c>
      <c r="BD209" s="7" t="str">
        <f>IF(Table43[[#This Row],[Kode BARANG Win2]]&lt;&gt;"","IDR","")</f>
        <v>IDR</v>
      </c>
      <c r="BE209" s="7" t="str">
        <f>CONCATENATE(Table43[[#This Row],[kode  1 Digit
(Nomor)]],Table43[[#This Row],[kode  4 Digit                (Nomor)]])</f>
        <v>20135</v>
      </c>
      <c r="BF209" s="7" t="str">
        <f>Table43[[#This Row],[Nama            Gramasi atau Jumlah Pack per CTN]]</f>
        <v>135 ML</v>
      </c>
      <c r="BG209" s="7" t="s">
        <v>653</v>
      </c>
      <c r="BH209" s="51" t="s">
        <v>654</v>
      </c>
      <c r="BI209" s="4" t="str">
        <f>IF(Table43[[#This Row],[SATUAN Fix Win]]&lt;&gt;"","KRT")</f>
        <v>KRT</v>
      </c>
      <c r="BJ209" s="4" t="str">
        <f>IF(Table43[[#This Row],[SATUAN Fix Win]]&lt;&gt;"","GD01")</f>
        <v>GD01</v>
      </c>
      <c r="BK209" s="4">
        <f>IF(Table43[[#This Row],[SATUAN Fix Win]]&lt;&gt;"",11611)</f>
        <v>11611</v>
      </c>
      <c r="BL209" s="4">
        <f>IF(Table43[[#This Row],[SATUAN Fix Win]]&lt;&gt;"",11612)</f>
        <v>11612</v>
      </c>
      <c r="BM209" s="47" t="s">
        <v>655</v>
      </c>
      <c r="BN209" s="4">
        <f>IF(Table43[[#This Row],[SATUAN Fix Win]]&lt;&gt;"",1)</f>
        <v>1</v>
      </c>
      <c r="BO209" s="4" t="s">
        <v>656</v>
      </c>
      <c r="BP209" s="4">
        <f>IFERROR(VLOOKUP(Table43[[#This Row],[Kode Pcpl]],'[1]HEINZ ABC'!$A$4:$E$112,8,0),0)</f>
        <v>0</v>
      </c>
      <c r="BQ209" s="55">
        <f>Table43[[#This Row],[Harga Jual Pcs GT
(-PPN)]]-Table43[[#This Row],[HARGA NAIK GT]]</f>
        <v>6486.49</v>
      </c>
      <c r="BR209" s="4">
        <f>IF(Table43[[#This Row],[HARGA NAIK GT]]=0,Table43[[#This Row],[Harga Jual Pcs GT
(-PPN)]],Table43[[#This Row],[HARGA NAIK GT]])</f>
        <v>6486.49</v>
      </c>
      <c r="BS209">
        <f>IFERROR(VLOOKUP(Table43[[#This Row],[Kode Pcpl]],'[1]HEINZ ABC'!$A$4:$E$112,8,0),0)</f>
        <v>0</v>
      </c>
      <c r="BT209" s="58">
        <f>Table43[[#This Row],[Harga Jual Pcs GT
(-PPN)]]-BS209</f>
        <v>6486.49</v>
      </c>
      <c r="BU209">
        <f>IF(BS209=0,Table43[[#This Row],[Harga Jual Pcs MT
(-PPN)]])</f>
        <v>6810.8108108108099</v>
      </c>
      <c r="BV209">
        <f>IFERROR(VLOOKUP(Table43[[#This Row],[Kode Pcpl]],[2]Pricelist!$A$4:$K$112,11,0),0)</f>
        <v>0</v>
      </c>
      <c r="BW209">
        <f>IFERROR(VLOOKUP(Table43[[#This Row],[Kode BARANG Win2]],[3]!RECKITT211216[[KDBRG]:[HRG_JL_PCS-PPN]],11,0),0)</f>
        <v>0</v>
      </c>
      <c r="BX209">
        <f t="shared" si="8"/>
        <v>0</v>
      </c>
    </row>
    <row r="210" spans="1:76" x14ac:dyDescent="0.25">
      <c r="A210" s="4" t="str">
        <f>CONCATENATE(Table43[[#This Row],[Kode BARANG Win2]],Table43[[#This Row],[No. Urut
Item Sama]])</f>
        <v>A11200060135102</v>
      </c>
      <c r="B210" s="7">
        <v>2</v>
      </c>
      <c r="C210" s="4">
        <v>182</v>
      </c>
      <c r="D210" s="27">
        <v>150186</v>
      </c>
      <c r="E210" s="27" t="s">
        <v>381</v>
      </c>
      <c r="F210" s="27" t="s">
        <v>394</v>
      </c>
      <c r="G210" s="27">
        <v>48</v>
      </c>
      <c r="H210" s="42" t="s">
        <v>2565</v>
      </c>
      <c r="I210" s="27" t="str">
        <f>Table43[[#This Row],[Nama Jenis Kemasan]]</f>
        <v>BTL</v>
      </c>
      <c r="J210" s="4" t="str">
        <f>TRIM(CONCATENATE(Table43[[#This Row],[Nama            KLP]]," ",Table43[[#This Row],[Nama            Sub KLP]]))</f>
        <v>SAMBAL</v>
      </c>
      <c r="K210" s="4" t="str">
        <f>CONCATENATE(Table43[[#This Row],[kode  2 Digit                (hrf+No)]],Table43[[#This Row],[kode  2 Digit                (Nomor)]],Table43[[#This Row],[kode  1 Digit                (Nomor)]])</f>
        <v>A1120</v>
      </c>
      <c r="L210" s="4" t="str">
        <f>IF(AG210="",CONCATENATE(Q210,S210,U210,W210,Y210,AA210,AC210,AE210,Table43[[#This Row],[Tanda Kode Revisi]]),CONCATENATE(Q210,S210,U210,W210,Y210,AA210,AC210,AG210))</f>
        <v>A1120006013510</v>
      </c>
      <c r="M210" s="11">
        <f t="shared" si="6"/>
        <v>14</v>
      </c>
      <c r="N210" s="14" t="str">
        <f>IF(AF210&lt;&gt;"",TRIM(UPPER(CONCATENATE(P210," ",R210," ",T210," ",V210," ",X210," ",Z210," ","X"," ",Table43[[#This Row],[ISI/CTN]]," ",AF210," ",AB210," ",AD210," ",AH210))),TRIM(UPPER(CONCATENATE(P210," ",R210," ",T210," ",V210," ",X210," ",Z210," ","X"," ",Table43[[#This Row],[ISI/CTN]]," ",AB210," ",AD210," ",AH210))))</f>
        <v>ABC SAMBAL ASLI 135 ML X 48 BTL</v>
      </c>
      <c r="O210" s="11">
        <f t="shared" si="7"/>
        <v>31</v>
      </c>
      <c r="P210" s="4" t="s">
        <v>28</v>
      </c>
      <c r="Q210" s="7" t="s">
        <v>85</v>
      </c>
      <c r="R210" s="4" t="s">
        <v>603</v>
      </c>
      <c r="S210" s="43">
        <v>12</v>
      </c>
      <c r="T210" s="44"/>
      <c r="U210" s="7">
        <v>0</v>
      </c>
      <c r="V210" s="44"/>
      <c r="W210" s="43" t="s">
        <v>1</v>
      </c>
      <c r="X210" s="4" t="s">
        <v>604</v>
      </c>
      <c r="Y210" s="45" t="s">
        <v>221</v>
      </c>
      <c r="Z210" s="4" t="s">
        <v>484</v>
      </c>
      <c r="AA210" s="45" t="s">
        <v>487</v>
      </c>
      <c r="AB210" s="4" t="s">
        <v>486</v>
      </c>
      <c r="AC210" s="7" t="s">
        <v>480</v>
      </c>
      <c r="AE210" s="7" t="s">
        <v>1</v>
      </c>
      <c r="AI210" s="7" t="s">
        <v>214</v>
      </c>
      <c r="AJ210" s="7">
        <v>2</v>
      </c>
      <c r="AL210" s="40">
        <f>Table43[[#This Row],[Harga Jual Pcs GT
(-PPN)]]-(Table43[[#This Row],[Harga Jual Pcs GT
(-PPN)]]*6%)</f>
        <v>6097.3005999999996</v>
      </c>
      <c r="AM210" s="41">
        <f>Table43[[#This Row],[Harga Beli Pcs
(-PPN)]]*Table43[[#This Row],[ISI/CTN]]</f>
        <v>292670.42879999999</v>
      </c>
      <c r="AN210" s="41">
        <f>Table43[[#This Row],[Harga Beli Pcs
(-PPN)]]*1.11</f>
        <v>6768.0036660000005</v>
      </c>
      <c r="AO210" s="41">
        <f>Table43[[#This Row],[Harga Beli Krt
(- PPN)]]*1.11</f>
        <v>324864.17596800003</v>
      </c>
      <c r="AP210" s="41">
        <v>6486.49</v>
      </c>
      <c r="AQ210" s="41">
        <f>Table43[[#This Row],[Harga Jual Pcs GT
(-PPN)]]*Table43[[#This Row],[ISI/CTN]]</f>
        <v>311351.52</v>
      </c>
      <c r="AR210" s="41">
        <f>Table43[[#This Row],[Harga Jual Pcs GT
(-PPN)]]*1.11</f>
        <v>7200.0039000000006</v>
      </c>
      <c r="AS210" s="41">
        <f>Table43[[#This Row],[Harga Jual Krt GT
(- PPN)]]*1.11</f>
        <v>345600.18720000004</v>
      </c>
      <c r="AT210" s="41">
        <v>6810.8108108108099</v>
      </c>
      <c r="AU210" s="41">
        <f>(Table43[[#This Row],[Harga Jual Pcs MT
(-PPN)]]*Table43[[#This Row],[ISI/CTN]])</f>
        <v>326918.91891891888</v>
      </c>
      <c r="AV210" s="41">
        <f>Table43[[#This Row],[Harga Jual Pcs MT
(-PPN)]]*1.11</f>
        <v>7560</v>
      </c>
      <c r="AW210" s="41">
        <f>Table43[[#This Row],[Harga Jual Pcs MT
(+PPN)]]*Table43[[#This Row],[ISI/CTN]]</f>
        <v>362880</v>
      </c>
      <c r="AX210" s="41"/>
      <c r="AY210" s="46">
        <v>45553</v>
      </c>
      <c r="AZ210" s="54">
        <v>45553</v>
      </c>
      <c r="BA210" s="7" t="str">
        <f ca="1">IF(TODAY()-Table43[[#This Row],[Efektif
Pembuatan]]&gt;60,"Lama","Baru")</f>
        <v>Lama</v>
      </c>
      <c r="BB210" s="7" t="str">
        <f ca="1">IF(TODAY()-Table43[[#This Row],[Efektif Naik Harga]]&lt;30,"Naik","Sama")</f>
        <v>Sama</v>
      </c>
      <c r="BC210" s="7" t="s">
        <v>235</v>
      </c>
      <c r="BD210" s="7" t="str">
        <f>IF(Table43[[#This Row],[Kode BARANG Win2]]&lt;&gt;"","IDR","")</f>
        <v>IDR</v>
      </c>
      <c r="BE210" s="7" t="str">
        <f>CONCATENATE(Table43[[#This Row],[kode  1 Digit
(Nomor)]],Table43[[#This Row],[kode  4 Digit                (Nomor)]])</f>
        <v>20135</v>
      </c>
      <c r="BF210" s="7" t="str">
        <f>Table43[[#This Row],[Nama            Gramasi atau Jumlah Pack per CTN]]</f>
        <v>135 ML</v>
      </c>
      <c r="BG210" s="7" t="s">
        <v>653</v>
      </c>
      <c r="BH210" s="51" t="s">
        <v>654</v>
      </c>
      <c r="BI210" s="4" t="str">
        <f>IF(Table43[[#This Row],[SATUAN Fix Win]]&lt;&gt;"","KRT")</f>
        <v>KRT</v>
      </c>
      <c r="BJ210" s="4" t="str">
        <f>IF(Table43[[#This Row],[SATUAN Fix Win]]&lt;&gt;"","GD01")</f>
        <v>GD01</v>
      </c>
      <c r="BK210" s="4">
        <f>IF(Table43[[#This Row],[SATUAN Fix Win]]&lt;&gt;"",11611)</f>
        <v>11611</v>
      </c>
      <c r="BL210" s="4">
        <f>IF(Table43[[#This Row],[SATUAN Fix Win]]&lt;&gt;"",11612)</f>
        <v>11612</v>
      </c>
      <c r="BM210" s="47" t="s">
        <v>655</v>
      </c>
      <c r="BN210" s="4">
        <f>IF(Table43[[#This Row],[SATUAN Fix Win]]&lt;&gt;"",1)</f>
        <v>1</v>
      </c>
      <c r="BO210" s="4" t="s">
        <v>656</v>
      </c>
      <c r="BP210" s="4">
        <f>IFERROR(VLOOKUP(Table43[[#This Row],[Kode Pcpl]],'[1]HEINZ ABC'!$A$4:$E$112,8,0),0)</f>
        <v>0</v>
      </c>
      <c r="BQ210" s="55">
        <f>Table43[[#This Row],[Harga Jual Pcs GT
(-PPN)]]-Table43[[#This Row],[HARGA NAIK GT]]</f>
        <v>6486.49</v>
      </c>
      <c r="BR210" s="4">
        <f>IF(Table43[[#This Row],[HARGA NAIK GT]]=0,Table43[[#This Row],[Harga Jual Pcs GT
(-PPN)]],Table43[[#This Row],[HARGA NAIK GT]])</f>
        <v>6486.49</v>
      </c>
      <c r="BS210">
        <f>IFERROR(VLOOKUP(Table43[[#This Row],[Kode Pcpl]],'[1]HEINZ ABC'!$A$4:$E$112,8,0),0)</f>
        <v>0</v>
      </c>
      <c r="BT210" s="58">
        <f>Table43[[#This Row],[Harga Jual Pcs GT
(-PPN)]]-BS210</f>
        <v>6486.49</v>
      </c>
      <c r="BU210">
        <f>IF(BS210=0,Table43[[#This Row],[Harga Jual Pcs MT
(-PPN)]])</f>
        <v>6810.8108108108099</v>
      </c>
      <c r="BV210">
        <f>IFERROR(VLOOKUP(Table43[[#This Row],[Kode Pcpl]],[2]Pricelist!$A$4:$K$112,11,0),0)</f>
        <v>0</v>
      </c>
      <c r="BW210">
        <f>IFERROR(VLOOKUP(Table43[[#This Row],[Kode BARANG Win2]],[3]!RECKITT211216[[KDBRG]:[HRG_JL_PCS-PPN]],11,0),0)</f>
        <v>0</v>
      </c>
      <c r="BX210">
        <f t="shared" si="8"/>
        <v>0</v>
      </c>
    </row>
    <row r="211" spans="1:76" x14ac:dyDescent="0.25">
      <c r="A211" s="4" t="str">
        <f>CONCATENATE(Table43[[#This Row],[Kode BARANG Win2]],Table43[[#This Row],[No. Urut
Item Sama]])</f>
        <v>A11200060270101</v>
      </c>
      <c r="B211" s="7">
        <v>1</v>
      </c>
      <c r="C211" s="4">
        <v>183</v>
      </c>
      <c r="D211" s="27">
        <v>150168</v>
      </c>
      <c r="E211" s="27" t="s">
        <v>381</v>
      </c>
      <c r="F211" s="27" t="s">
        <v>395</v>
      </c>
      <c r="G211" s="27">
        <v>24</v>
      </c>
      <c r="H211" s="42" t="s">
        <v>2562</v>
      </c>
      <c r="I211" s="27" t="str">
        <f>Table43[[#This Row],[Nama Jenis Kemasan]]</f>
        <v>BTL</v>
      </c>
      <c r="J211" s="4" t="str">
        <f>TRIM(CONCATENATE(Table43[[#This Row],[Nama            KLP]]," ",Table43[[#This Row],[Nama            Sub KLP]]))</f>
        <v>SAMBAL</v>
      </c>
      <c r="K211" s="4" t="str">
        <f>CONCATENATE(Table43[[#This Row],[kode  2 Digit                (hrf+No)]],Table43[[#This Row],[kode  2 Digit                (Nomor)]],Table43[[#This Row],[kode  1 Digit                (Nomor)]])</f>
        <v>A1120</v>
      </c>
      <c r="L211" s="4" t="str">
        <f>IF(AG211="",CONCATENATE(Q211,S211,U211,W211,Y211,AA211,AC211,AE211,Table43[[#This Row],[Tanda Kode Revisi]]),CONCATENATE(Q211,S211,U211,W211,Y211,AA211,AC211,AG211))</f>
        <v>A1120006027010</v>
      </c>
      <c r="M211" s="11">
        <f t="shared" si="6"/>
        <v>14</v>
      </c>
      <c r="N211" s="14" t="str">
        <f>IF(AF211&lt;&gt;"",TRIM(UPPER(CONCATENATE(P211," ",R211," ",T211," ",V211," ",X211," ",Z211," ","X"," ",Table43[[#This Row],[ISI/CTN]]," ",AF211," ",AB211," ",AD211," ",AH211))),TRIM(UPPER(CONCATENATE(P211," ",R211," ",T211," ",V211," ",X211," ",Z211," ","X"," ",Table43[[#This Row],[ISI/CTN]]," ",AB211," ",AD211," ",AH211))))</f>
        <v>ABC SAMBAL ASLI 270 ML X 24 BTL</v>
      </c>
      <c r="O211" s="11">
        <f t="shared" si="7"/>
        <v>31</v>
      </c>
      <c r="P211" s="4" t="s">
        <v>28</v>
      </c>
      <c r="Q211" s="7" t="s">
        <v>85</v>
      </c>
      <c r="R211" s="4" t="s">
        <v>603</v>
      </c>
      <c r="S211" s="43">
        <v>12</v>
      </c>
      <c r="T211" s="44"/>
      <c r="U211" s="7">
        <v>0</v>
      </c>
      <c r="V211" s="44"/>
      <c r="W211" s="43" t="s">
        <v>1</v>
      </c>
      <c r="X211" s="4" t="s">
        <v>604</v>
      </c>
      <c r="Y211" s="45" t="s">
        <v>221</v>
      </c>
      <c r="Z211" s="4" t="s">
        <v>607</v>
      </c>
      <c r="AA211" s="45" t="s">
        <v>608</v>
      </c>
      <c r="AB211" s="4" t="s">
        <v>486</v>
      </c>
      <c r="AC211" s="7" t="s">
        <v>480</v>
      </c>
      <c r="AE211" s="7" t="s">
        <v>1</v>
      </c>
      <c r="AI211" s="7" t="s">
        <v>214</v>
      </c>
      <c r="AJ211" s="7">
        <v>2</v>
      </c>
      <c r="AL211" s="40">
        <f>Table43[[#This Row],[Harga Jual Pcs GT
(-PPN)]]-(Table43[[#This Row],[Harga Jual Pcs GT
(-PPN)]]*6%)</f>
        <v>11271.5306</v>
      </c>
      <c r="AM211" s="41">
        <f>Table43[[#This Row],[Harga Beli Pcs
(-PPN)]]*Table43[[#This Row],[ISI/CTN]]</f>
        <v>270516.73440000002</v>
      </c>
      <c r="AN211" s="41">
        <f>Table43[[#This Row],[Harga Beli Pcs
(-PPN)]]*1.11</f>
        <v>12511.398966000001</v>
      </c>
      <c r="AO211" s="41">
        <f>Table43[[#This Row],[Harga Beli Krt
(- PPN)]]*1.11</f>
        <v>300273.57518400002</v>
      </c>
      <c r="AP211" s="41">
        <v>11990.99</v>
      </c>
      <c r="AQ211" s="41">
        <f>Table43[[#This Row],[Harga Jual Pcs GT
(-PPN)]]*Table43[[#This Row],[ISI/CTN]]</f>
        <v>287783.76</v>
      </c>
      <c r="AR211" s="41">
        <f>Table43[[#This Row],[Harga Jual Pcs GT
(-PPN)]]*1.11</f>
        <v>13309.998900000001</v>
      </c>
      <c r="AS211" s="41">
        <f>Table43[[#This Row],[Harga Jual Krt GT
(- PPN)]]*1.11</f>
        <v>319439.97360000003</v>
      </c>
      <c r="AT211" s="41">
        <v>12950.28</v>
      </c>
      <c r="AU211" s="41">
        <f>(Table43[[#This Row],[Harga Jual Pcs MT
(-PPN)]]*Table43[[#This Row],[ISI/CTN]])</f>
        <v>310806.72000000003</v>
      </c>
      <c r="AV211" s="41">
        <f>Table43[[#This Row],[Harga Jual Pcs MT
(-PPN)]]*1.11</f>
        <v>14374.810800000001</v>
      </c>
      <c r="AW211" s="41">
        <f>Table43[[#This Row],[Harga Jual Pcs MT
(+PPN)]]*Table43[[#This Row],[ISI/CTN]]</f>
        <v>344995.45920000004</v>
      </c>
      <c r="AX211" s="41"/>
      <c r="AY211" s="46">
        <v>45553</v>
      </c>
      <c r="AZ211" s="54">
        <v>45553</v>
      </c>
      <c r="BA211" s="7" t="str">
        <f ca="1">IF(TODAY()-Table43[[#This Row],[Efektif
Pembuatan]]&gt;60,"Lama","Baru")</f>
        <v>Lama</v>
      </c>
      <c r="BB211" s="7" t="str">
        <f ca="1">IF(TODAY()-Table43[[#This Row],[Efektif Naik Harga]]&lt;30,"Naik","Sama")</f>
        <v>Sama</v>
      </c>
      <c r="BC211" s="7" t="s">
        <v>235</v>
      </c>
      <c r="BD211" s="7" t="str">
        <f>IF(Table43[[#This Row],[Kode BARANG Win2]]&lt;&gt;"","IDR","")</f>
        <v>IDR</v>
      </c>
      <c r="BE211" s="7" t="str">
        <f>CONCATENATE(Table43[[#This Row],[kode  1 Digit
(Nomor)]],Table43[[#This Row],[kode  4 Digit                (Nomor)]])</f>
        <v>20270</v>
      </c>
      <c r="BF211" s="7" t="str">
        <f>Table43[[#This Row],[Nama            Gramasi atau Jumlah Pack per CTN]]</f>
        <v>270 ML</v>
      </c>
      <c r="BG211" s="7" t="s">
        <v>653</v>
      </c>
      <c r="BH211" s="51" t="s">
        <v>654</v>
      </c>
      <c r="BI211" s="4" t="str">
        <f>IF(Table43[[#This Row],[SATUAN Fix Win]]&lt;&gt;"","KRT")</f>
        <v>KRT</v>
      </c>
      <c r="BJ211" s="4" t="str">
        <f>IF(Table43[[#This Row],[SATUAN Fix Win]]&lt;&gt;"","GD01")</f>
        <v>GD01</v>
      </c>
      <c r="BK211" s="4">
        <f>IF(Table43[[#This Row],[SATUAN Fix Win]]&lt;&gt;"",11611)</f>
        <v>11611</v>
      </c>
      <c r="BL211" s="4">
        <f>IF(Table43[[#This Row],[SATUAN Fix Win]]&lt;&gt;"",11612)</f>
        <v>11612</v>
      </c>
      <c r="BM211" s="47" t="s">
        <v>655</v>
      </c>
      <c r="BN211" s="4">
        <f>IF(Table43[[#This Row],[SATUAN Fix Win]]&lt;&gt;"",1)</f>
        <v>1</v>
      </c>
      <c r="BO211" s="4" t="s">
        <v>656</v>
      </c>
      <c r="BP211" s="4">
        <f>IFERROR(VLOOKUP(Table43[[#This Row],[Kode Pcpl]],'[1]HEINZ ABC'!$A$4:$E$112,8,0),0)</f>
        <v>0</v>
      </c>
      <c r="BQ211" s="55">
        <f>Table43[[#This Row],[Harga Jual Pcs GT
(-PPN)]]-Table43[[#This Row],[HARGA NAIK GT]]</f>
        <v>11990.99</v>
      </c>
      <c r="BR211" s="4">
        <f>IF(Table43[[#This Row],[HARGA NAIK GT]]=0,Table43[[#This Row],[Harga Jual Pcs GT
(-PPN)]],Table43[[#This Row],[HARGA NAIK GT]])</f>
        <v>11990.99</v>
      </c>
      <c r="BS211">
        <f>IFERROR(VLOOKUP(Table43[[#This Row],[Kode Pcpl]],'[1]HEINZ ABC'!$A$4:$E$112,8,0),0)</f>
        <v>0</v>
      </c>
      <c r="BT211" s="58">
        <f>Table43[[#This Row],[Harga Jual Pcs GT
(-PPN)]]-BS211</f>
        <v>11990.99</v>
      </c>
      <c r="BU211">
        <f>IF(BS211=0,Table43[[#This Row],[Harga Jual Pcs MT
(-PPN)]])</f>
        <v>12950.28</v>
      </c>
      <c r="BV211">
        <f>IFERROR(VLOOKUP(Table43[[#This Row],[Kode Pcpl]],[2]Pricelist!$A$4:$K$112,11,0),0)</f>
        <v>0</v>
      </c>
      <c r="BW211">
        <f>IFERROR(VLOOKUP(Table43[[#This Row],[Kode BARANG Win2]],[3]!RECKITT211216[[KDBRG]:[HRG_JL_PCS-PPN]],11,0),0)</f>
        <v>0</v>
      </c>
      <c r="BX211">
        <f t="shared" si="8"/>
        <v>0</v>
      </c>
    </row>
    <row r="212" spans="1:76" x14ac:dyDescent="0.25">
      <c r="A212" s="4" t="str">
        <f>CONCATENATE(Table43[[#This Row],[Kode BARANG Win2]],Table43[[#This Row],[No. Urut
Item Sama]])</f>
        <v>A11200060270102</v>
      </c>
      <c r="B212" s="7">
        <v>2</v>
      </c>
      <c r="C212" s="4">
        <v>184</v>
      </c>
      <c r="D212" s="27">
        <v>150187</v>
      </c>
      <c r="E212" s="27" t="s">
        <v>381</v>
      </c>
      <c r="F212" s="27" t="s">
        <v>396</v>
      </c>
      <c r="G212" s="27">
        <v>24</v>
      </c>
      <c r="H212" s="42" t="s">
        <v>2563</v>
      </c>
      <c r="I212" s="27" t="str">
        <f>Table43[[#This Row],[Nama Jenis Kemasan]]</f>
        <v>BTL</v>
      </c>
      <c r="J212" s="4" t="str">
        <f>TRIM(CONCATENATE(Table43[[#This Row],[Nama            KLP]]," ",Table43[[#This Row],[Nama            Sub KLP]]))</f>
        <v>SAMBAL</v>
      </c>
      <c r="K212" s="4" t="str">
        <f>CONCATENATE(Table43[[#This Row],[kode  2 Digit                (hrf+No)]],Table43[[#This Row],[kode  2 Digit                (Nomor)]],Table43[[#This Row],[kode  1 Digit                (Nomor)]])</f>
        <v>A1120</v>
      </c>
      <c r="L212" s="4" t="str">
        <f>IF(AG212="",CONCATENATE(Q212,S212,U212,W212,Y212,AA212,AC212,AE212,Table43[[#This Row],[Tanda Kode Revisi]]),CONCATENATE(Q212,S212,U212,W212,Y212,AA212,AC212,AG212))</f>
        <v>A1120006027010</v>
      </c>
      <c r="M212" s="11">
        <f t="shared" ref="M212:M277" si="9">LEN(L212)</f>
        <v>14</v>
      </c>
      <c r="N212" s="14" t="str">
        <f>IF(AF212&lt;&gt;"",TRIM(UPPER(CONCATENATE(P212," ",R212," ",T212," ",V212," ",X212," ",Z212," ","X"," ",Table43[[#This Row],[ISI/CTN]]," ",AF212," ",AB212," ",AD212," ",AH212))),TRIM(UPPER(CONCATENATE(P212," ",R212," ",T212," ",V212," ",X212," ",Z212," ","X"," ",Table43[[#This Row],[ISI/CTN]]," ",AB212," ",AD212," ",AH212))))</f>
        <v>ABC SAMBAL ASLI 270 ML X 24 BTL</v>
      </c>
      <c r="O212" s="11">
        <f t="shared" ref="O212:O277" si="10">LEN(N212)</f>
        <v>31</v>
      </c>
      <c r="P212" s="4" t="s">
        <v>28</v>
      </c>
      <c r="Q212" s="7" t="s">
        <v>85</v>
      </c>
      <c r="R212" s="4" t="s">
        <v>603</v>
      </c>
      <c r="S212" s="43">
        <v>12</v>
      </c>
      <c r="T212" s="44"/>
      <c r="U212" s="7">
        <v>0</v>
      </c>
      <c r="V212" s="44"/>
      <c r="W212" s="43" t="s">
        <v>1</v>
      </c>
      <c r="X212" s="4" t="s">
        <v>604</v>
      </c>
      <c r="Y212" s="45" t="s">
        <v>221</v>
      </c>
      <c r="Z212" s="4" t="s">
        <v>607</v>
      </c>
      <c r="AA212" s="45" t="s">
        <v>608</v>
      </c>
      <c r="AB212" s="4" t="s">
        <v>486</v>
      </c>
      <c r="AC212" s="7" t="s">
        <v>480</v>
      </c>
      <c r="AE212" s="7" t="s">
        <v>1</v>
      </c>
      <c r="AI212" s="7" t="s">
        <v>214</v>
      </c>
      <c r="AJ212" s="7">
        <v>2</v>
      </c>
      <c r="AL212" s="40">
        <f>Table43[[#This Row],[Harga Jual Pcs GT
(-PPN)]]-(Table43[[#This Row],[Harga Jual Pcs GT
(-PPN)]]*6%)</f>
        <v>11271.5306</v>
      </c>
      <c r="AM212" s="41">
        <f>Table43[[#This Row],[Harga Beli Pcs
(-PPN)]]*Table43[[#This Row],[ISI/CTN]]</f>
        <v>270516.73440000002</v>
      </c>
      <c r="AN212" s="41">
        <f>Table43[[#This Row],[Harga Beli Pcs
(-PPN)]]*1.11</f>
        <v>12511.398966000001</v>
      </c>
      <c r="AO212" s="41">
        <f>Table43[[#This Row],[Harga Beli Krt
(- PPN)]]*1.11</f>
        <v>300273.57518400002</v>
      </c>
      <c r="AP212" s="41">
        <v>11990.99</v>
      </c>
      <c r="AQ212" s="41">
        <f>Table43[[#This Row],[Harga Jual Pcs GT
(-PPN)]]*Table43[[#This Row],[ISI/CTN]]</f>
        <v>287783.76</v>
      </c>
      <c r="AR212" s="41">
        <f>Table43[[#This Row],[Harga Jual Pcs GT
(-PPN)]]*1.11</f>
        <v>13309.998900000001</v>
      </c>
      <c r="AS212" s="41">
        <f>Table43[[#This Row],[Harga Jual Krt GT
(- PPN)]]*1.11</f>
        <v>319439.97360000003</v>
      </c>
      <c r="AT212" s="41">
        <v>12950.28</v>
      </c>
      <c r="AU212" s="41">
        <f>(Table43[[#This Row],[Harga Jual Pcs MT
(-PPN)]]*Table43[[#This Row],[ISI/CTN]])</f>
        <v>310806.72000000003</v>
      </c>
      <c r="AV212" s="41">
        <f>Table43[[#This Row],[Harga Jual Pcs MT
(-PPN)]]*1.11</f>
        <v>14374.810800000001</v>
      </c>
      <c r="AW212" s="41">
        <f>Table43[[#This Row],[Harga Jual Pcs MT
(+PPN)]]*Table43[[#This Row],[ISI/CTN]]</f>
        <v>344995.45920000004</v>
      </c>
      <c r="AX212" s="41"/>
      <c r="AY212" s="46">
        <v>45553</v>
      </c>
      <c r="AZ212" s="54">
        <v>45553</v>
      </c>
      <c r="BA212" s="7" t="str">
        <f ca="1">IF(TODAY()-Table43[[#This Row],[Efektif
Pembuatan]]&gt;60,"Lama","Baru")</f>
        <v>Lama</v>
      </c>
      <c r="BB212" s="7" t="str">
        <f ca="1">IF(TODAY()-Table43[[#This Row],[Efektif Naik Harga]]&lt;30,"Naik","Sama")</f>
        <v>Sama</v>
      </c>
      <c r="BC212" s="7" t="s">
        <v>235</v>
      </c>
      <c r="BD212" s="7" t="str">
        <f>IF(Table43[[#This Row],[Kode BARANG Win2]]&lt;&gt;"","IDR","")</f>
        <v>IDR</v>
      </c>
      <c r="BE212" s="7" t="str">
        <f>CONCATENATE(Table43[[#This Row],[kode  1 Digit
(Nomor)]],Table43[[#This Row],[kode  4 Digit                (Nomor)]])</f>
        <v>20270</v>
      </c>
      <c r="BF212" s="7" t="str">
        <f>Table43[[#This Row],[Nama            Gramasi atau Jumlah Pack per CTN]]</f>
        <v>270 ML</v>
      </c>
      <c r="BG212" s="7" t="s">
        <v>653</v>
      </c>
      <c r="BH212" s="51" t="s">
        <v>654</v>
      </c>
      <c r="BI212" s="4" t="str">
        <f>IF(Table43[[#This Row],[SATUAN Fix Win]]&lt;&gt;"","KRT")</f>
        <v>KRT</v>
      </c>
      <c r="BJ212" s="4" t="str">
        <f>IF(Table43[[#This Row],[SATUAN Fix Win]]&lt;&gt;"","GD01")</f>
        <v>GD01</v>
      </c>
      <c r="BK212" s="4">
        <f>IF(Table43[[#This Row],[SATUAN Fix Win]]&lt;&gt;"",11611)</f>
        <v>11611</v>
      </c>
      <c r="BL212" s="4">
        <f>IF(Table43[[#This Row],[SATUAN Fix Win]]&lt;&gt;"",11612)</f>
        <v>11612</v>
      </c>
      <c r="BM212" s="47" t="s">
        <v>655</v>
      </c>
      <c r="BN212" s="4">
        <f>IF(Table43[[#This Row],[SATUAN Fix Win]]&lt;&gt;"",1)</f>
        <v>1</v>
      </c>
      <c r="BO212" s="4" t="s">
        <v>656</v>
      </c>
      <c r="BP212" s="4">
        <f>IFERROR(VLOOKUP(Table43[[#This Row],[Kode Pcpl]],'[1]HEINZ ABC'!$A$4:$E$112,8,0),0)</f>
        <v>0</v>
      </c>
      <c r="BQ212" s="55">
        <f>Table43[[#This Row],[Harga Jual Pcs GT
(-PPN)]]-Table43[[#This Row],[HARGA NAIK GT]]</f>
        <v>11990.99</v>
      </c>
      <c r="BR212" s="4">
        <f>IF(Table43[[#This Row],[HARGA NAIK GT]]=0,Table43[[#This Row],[Harga Jual Pcs GT
(-PPN)]],Table43[[#This Row],[HARGA NAIK GT]])</f>
        <v>11990.99</v>
      </c>
      <c r="BS212">
        <f>IFERROR(VLOOKUP(Table43[[#This Row],[Kode Pcpl]],'[1]HEINZ ABC'!$A$4:$E$112,8,0),0)</f>
        <v>0</v>
      </c>
      <c r="BT212" s="58">
        <f>Table43[[#This Row],[Harga Jual Pcs GT
(-PPN)]]-BS212</f>
        <v>11990.99</v>
      </c>
      <c r="BU212">
        <f>IF(BS212=0,Table43[[#This Row],[Harga Jual Pcs MT
(-PPN)]])</f>
        <v>12950.28</v>
      </c>
      <c r="BV212">
        <f>IFERROR(VLOOKUP(Table43[[#This Row],[Kode Pcpl]],[2]Pricelist!$A$4:$K$112,11,0),0)</f>
        <v>0</v>
      </c>
      <c r="BW212">
        <f>IFERROR(VLOOKUP(Table43[[#This Row],[Kode BARANG Win2]],[3]!RECKITT211216[[KDBRG]:[HRG_JL_PCS-PPN]],11,0),0)</f>
        <v>0</v>
      </c>
      <c r="BX212">
        <f t="shared" si="8"/>
        <v>0</v>
      </c>
    </row>
    <row r="213" spans="1:76" x14ac:dyDescent="0.25">
      <c r="A213" s="4" t="str">
        <f>CONCATENATE(Table43[[#This Row],[Kode BARANG Win2]],Table43[[#This Row],[No. Urut
Item Sama]])</f>
        <v>A11200060270103</v>
      </c>
      <c r="B213" s="7">
        <v>3</v>
      </c>
      <c r="C213" s="4">
        <v>185</v>
      </c>
      <c r="D213" s="27">
        <v>150349</v>
      </c>
      <c r="E213" s="27" t="s">
        <v>381</v>
      </c>
      <c r="F213" s="27" t="s">
        <v>397</v>
      </c>
      <c r="G213" s="27">
        <v>24</v>
      </c>
      <c r="H213" s="42" t="s">
        <v>2538</v>
      </c>
      <c r="I213" s="27" t="str">
        <f>Table43[[#This Row],[Nama Jenis Kemasan]]</f>
        <v>BTL</v>
      </c>
      <c r="J213" s="4" t="str">
        <f>TRIM(CONCATENATE(Table43[[#This Row],[Nama            KLP]]," ",Table43[[#This Row],[Nama            Sub KLP]]))</f>
        <v>SAMBAL</v>
      </c>
      <c r="K213" s="4" t="str">
        <f>CONCATENATE(Table43[[#This Row],[kode  2 Digit                (hrf+No)]],Table43[[#This Row],[kode  2 Digit                (Nomor)]],Table43[[#This Row],[kode  1 Digit                (Nomor)]])</f>
        <v>A1120</v>
      </c>
      <c r="L213" s="4" t="str">
        <f>IF(AG213="",CONCATENATE(Q213,S213,U213,W213,Y213,AA213,AC213,AE213,Table43[[#This Row],[Tanda Kode Revisi]]),CONCATENATE(Q213,S213,U213,W213,Y213,AA213,AC213,AG213))</f>
        <v>A1120006027010</v>
      </c>
      <c r="M213" s="11">
        <f t="shared" si="9"/>
        <v>14</v>
      </c>
      <c r="N213" s="14" t="str">
        <f>IF(AF213&lt;&gt;"",TRIM(UPPER(CONCATENATE(P213," ",R213," ",T213," ",V213," ",X213," ",Z213," ","X"," ",Table43[[#This Row],[ISI/CTN]]," ",AF213," ",AB213," ",AD213," ",AH213))),TRIM(UPPER(CONCATENATE(P213," ",R213," ",T213," ",V213," ",X213," ",Z213," ","X"," ",Table43[[#This Row],[ISI/CTN]]," ",AB213," ",AD213," ",AH213))))</f>
        <v>ABC SAMBAL ASLI 270 ML X 24 BTL</v>
      </c>
      <c r="O213" s="11">
        <f t="shared" si="10"/>
        <v>31</v>
      </c>
      <c r="P213" s="4" t="s">
        <v>28</v>
      </c>
      <c r="Q213" s="7" t="s">
        <v>85</v>
      </c>
      <c r="R213" s="4" t="s">
        <v>603</v>
      </c>
      <c r="S213" s="43">
        <v>12</v>
      </c>
      <c r="T213" s="44"/>
      <c r="U213" s="7">
        <v>0</v>
      </c>
      <c r="V213" s="44"/>
      <c r="W213" s="43" t="s">
        <v>1</v>
      </c>
      <c r="X213" s="4" t="s">
        <v>604</v>
      </c>
      <c r="Y213" s="45" t="s">
        <v>221</v>
      </c>
      <c r="Z213" s="4" t="s">
        <v>607</v>
      </c>
      <c r="AA213" s="45" t="s">
        <v>608</v>
      </c>
      <c r="AB213" s="4" t="s">
        <v>486</v>
      </c>
      <c r="AC213" s="7" t="s">
        <v>480</v>
      </c>
      <c r="AE213" s="7" t="s">
        <v>1</v>
      </c>
      <c r="AI213" s="7" t="s">
        <v>214</v>
      </c>
      <c r="AJ213" s="7">
        <v>2</v>
      </c>
      <c r="AL213" s="40">
        <f>Table43[[#This Row],[Harga Jual Pcs GT
(-PPN)]]-(Table43[[#This Row],[Harga Jual Pcs GT
(-PPN)]]*6%)</f>
        <v>11271.5306</v>
      </c>
      <c r="AM213" s="41">
        <f>Table43[[#This Row],[Harga Beli Pcs
(-PPN)]]*Table43[[#This Row],[ISI/CTN]]</f>
        <v>270516.73440000002</v>
      </c>
      <c r="AN213" s="41">
        <f>Table43[[#This Row],[Harga Beli Pcs
(-PPN)]]*1.11</f>
        <v>12511.398966000001</v>
      </c>
      <c r="AO213" s="41">
        <f>Table43[[#This Row],[Harga Beli Krt
(- PPN)]]*1.11</f>
        <v>300273.57518400002</v>
      </c>
      <c r="AP213" s="41">
        <v>11990.99</v>
      </c>
      <c r="AQ213" s="41">
        <f>Table43[[#This Row],[Harga Jual Pcs GT
(-PPN)]]*Table43[[#This Row],[ISI/CTN]]</f>
        <v>287783.76</v>
      </c>
      <c r="AR213" s="41">
        <f>Table43[[#This Row],[Harga Jual Pcs GT
(-PPN)]]*1.11</f>
        <v>13309.998900000001</v>
      </c>
      <c r="AS213" s="41">
        <f>Table43[[#This Row],[Harga Jual Krt GT
(- PPN)]]*1.11</f>
        <v>319439.97360000003</v>
      </c>
      <c r="AT213" s="41">
        <v>12950.28</v>
      </c>
      <c r="AU213" s="41">
        <f>(Table43[[#This Row],[Harga Jual Pcs MT
(-PPN)]]*Table43[[#This Row],[ISI/CTN]])</f>
        <v>310806.72000000003</v>
      </c>
      <c r="AV213" s="41">
        <f>Table43[[#This Row],[Harga Jual Pcs MT
(-PPN)]]*1.11</f>
        <v>14374.810800000001</v>
      </c>
      <c r="AW213" s="41">
        <f>Table43[[#This Row],[Harga Jual Pcs MT
(+PPN)]]*Table43[[#This Row],[ISI/CTN]]</f>
        <v>344995.45920000004</v>
      </c>
      <c r="AX213" s="41"/>
      <c r="AY213" s="46">
        <v>45553</v>
      </c>
      <c r="AZ213" s="54">
        <v>45553</v>
      </c>
      <c r="BA213" s="7" t="str">
        <f ca="1">IF(TODAY()-Table43[[#This Row],[Efektif
Pembuatan]]&gt;60,"Lama","Baru")</f>
        <v>Lama</v>
      </c>
      <c r="BB213" s="7" t="str">
        <f ca="1">IF(TODAY()-Table43[[#This Row],[Efektif Naik Harga]]&lt;30,"Naik","Sama")</f>
        <v>Sama</v>
      </c>
      <c r="BC213" s="7" t="s">
        <v>235</v>
      </c>
      <c r="BD213" s="7" t="str">
        <f>IF(Table43[[#This Row],[Kode BARANG Win2]]&lt;&gt;"","IDR","")</f>
        <v>IDR</v>
      </c>
      <c r="BE213" s="7" t="str">
        <f>CONCATENATE(Table43[[#This Row],[kode  1 Digit
(Nomor)]],Table43[[#This Row],[kode  4 Digit                (Nomor)]])</f>
        <v>20270</v>
      </c>
      <c r="BF213" s="7" t="str">
        <f>Table43[[#This Row],[Nama            Gramasi atau Jumlah Pack per CTN]]</f>
        <v>270 ML</v>
      </c>
      <c r="BG213" s="7" t="s">
        <v>653</v>
      </c>
      <c r="BH213" s="51" t="s">
        <v>654</v>
      </c>
      <c r="BI213" s="4" t="str">
        <f>IF(Table43[[#This Row],[SATUAN Fix Win]]&lt;&gt;"","KRT")</f>
        <v>KRT</v>
      </c>
      <c r="BJ213" s="4" t="str">
        <f>IF(Table43[[#This Row],[SATUAN Fix Win]]&lt;&gt;"","GD01")</f>
        <v>GD01</v>
      </c>
      <c r="BK213" s="4">
        <f>IF(Table43[[#This Row],[SATUAN Fix Win]]&lt;&gt;"",11611)</f>
        <v>11611</v>
      </c>
      <c r="BL213" s="4">
        <f>IF(Table43[[#This Row],[SATUAN Fix Win]]&lt;&gt;"",11612)</f>
        <v>11612</v>
      </c>
      <c r="BM213" s="47" t="s">
        <v>655</v>
      </c>
      <c r="BN213" s="4">
        <f>IF(Table43[[#This Row],[SATUAN Fix Win]]&lt;&gt;"",1)</f>
        <v>1</v>
      </c>
      <c r="BO213" s="4" t="s">
        <v>656</v>
      </c>
      <c r="BP213" s="4">
        <f>IFERROR(VLOOKUP(Table43[[#This Row],[Kode Pcpl]],'[1]HEINZ ABC'!$A$4:$E$112,8,0),0)</f>
        <v>0</v>
      </c>
      <c r="BQ213" s="55">
        <f>Table43[[#This Row],[Harga Jual Pcs GT
(-PPN)]]-Table43[[#This Row],[HARGA NAIK GT]]</f>
        <v>11990.99</v>
      </c>
      <c r="BR213" s="4">
        <f>IF(Table43[[#This Row],[HARGA NAIK GT]]=0,Table43[[#This Row],[Harga Jual Pcs GT
(-PPN)]],Table43[[#This Row],[HARGA NAIK GT]])</f>
        <v>11990.99</v>
      </c>
      <c r="BS213">
        <f>IFERROR(VLOOKUP(Table43[[#This Row],[Kode Pcpl]],'[1]HEINZ ABC'!$A$4:$E$112,8,0),0)</f>
        <v>0</v>
      </c>
      <c r="BT213" s="58">
        <f>Table43[[#This Row],[Harga Jual Pcs GT
(-PPN)]]-BS213</f>
        <v>11990.99</v>
      </c>
      <c r="BU213">
        <f>IF(BS213=0,Table43[[#This Row],[Harga Jual Pcs MT
(-PPN)]])</f>
        <v>12950.28</v>
      </c>
      <c r="BV213">
        <f>IFERROR(VLOOKUP(Table43[[#This Row],[Kode Pcpl]],[2]Pricelist!$A$4:$K$112,11,0),0)</f>
        <v>0</v>
      </c>
      <c r="BW213">
        <f>IFERROR(VLOOKUP(Table43[[#This Row],[Kode BARANG Win2]],[3]!RECKITT211216[[KDBRG]:[HRG_JL_PCS-PPN]],11,0),0)</f>
        <v>0</v>
      </c>
      <c r="BX213">
        <f t="shared" si="8"/>
        <v>0</v>
      </c>
    </row>
    <row r="214" spans="1:76" x14ac:dyDescent="0.25">
      <c r="A214" s="4" t="str">
        <f>CONCATENATE(Table43[[#This Row],[Kode BARANG Win2]],Table43[[#This Row],[No. Urut
Item Sama]])</f>
        <v>A11200060270104</v>
      </c>
      <c r="B214" s="7">
        <v>4</v>
      </c>
      <c r="C214" s="4">
        <v>186</v>
      </c>
      <c r="D214" s="27">
        <v>150331</v>
      </c>
      <c r="E214" s="27" t="s">
        <v>381</v>
      </c>
      <c r="F214" s="27" t="s">
        <v>397</v>
      </c>
      <c r="G214" s="27">
        <v>24</v>
      </c>
      <c r="H214" s="42" t="s">
        <v>2471</v>
      </c>
      <c r="I214" s="27" t="str">
        <f>Table43[[#This Row],[Nama Jenis Kemasan]]</f>
        <v>BTL</v>
      </c>
      <c r="J214" s="4" t="str">
        <f>TRIM(CONCATENATE(Table43[[#This Row],[Nama            KLP]]," ",Table43[[#This Row],[Nama            Sub KLP]]))</f>
        <v>SAMBAL</v>
      </c>
      <c r="K214" s="4" t="str">
        <f>CONCATENATE(Table43[[#This Row],[kode  2 Digit                (hrf+No)]],Table43[[#This Row],[kode  2 Digit                (Nomor)]],Table43[[#This Row],[kode  1 Digit                (Nomor)]])</f>
        <v>A1120</v>
      </c>
      <c r="L214" s="4" t="str">
        <f>IF(AG214="",CONCATENATE(Q214,S214,U214,W214,Y214,AA214,AC214,AE214,Table43[[#This Row],[Tanda Kode Revisi]]),CONCATENATE(Q214,S214,U214,W214,Y214,AA214,AC214,AG214))</f>
        <v>A1120006027010</v>
      </c>
      <c r="M214" s="11">
        <f t="shared" si="9"/>
        <v>14</v>
      </c>
      <c r="N214" s="14" t="str">
        <f>IF(AF214&lt;&gt;"",TRIM(UPPER(CONCATENATE(P214," ",R214," ",T214," ",V214," ",X214," ",Z214," ","X"," ",Table43[[#This Row],[ISI/CTN]]," ",AF214," ",AB214," ",AD214," ",AH214))),TRIM(UPPER(CONCATENATE(P214," ",R214," ",T214," ",V214," ",X214," ",Z214," ","X"," ",Table43[[#This Row],[ISI/CTN]]," ",AB214," ",AD214," ",AH214))))</f>
        <v>ABC SAMBAL ASLI 270 ML X 24 BTL</v>
      </c>
      <c r="O214" s="11">
        <f t="shared" si="10"/>
        <v>31</v>
      </c>
      <c r="P214" s="4" t="s">
        <v>28</v>
      </c>
      <c r="Q214" s="7" t="s">
        <v>85</v>
      </c>
      <c r="R214" s="4" t="s">
        <v>603</v>
      </c>
      <c r="S214" s="43">
        <v>12</v>
      </c>
      <c r="T214" s="44"/>
      <c r="U214" s="7">
        <v>0</v>
      </c>
      <c r="V214" s="44"/>
      <c r="W214" s="43" t="s">
        <v>1</v>
      </c>
      <c r="X214" s="4" t="s">
        <v>604</v>
      </c>
      <c r="Y214" s="45" t="s">
        <v>221</v>
      </c>
      <c r="Z214" s="4" t="s">
        <v>607</v>
      </c>
      <c r="AA214" s="45" t="s">
        <v>608</v>
      </c>
      <c r="AB214" s="4" t="s">
        <v>486</v>
      </c>
      <c r="AC214" s="7" t="s">
        <v>480</v>
      </c>
      <c r="AE214" s="7" t="s">
        <v>1</v>
      </c>
      <c r="AI214" s="7" t="s">
        <v>214</v>
      </c>
      <c r="AJ214" s="7">
        <v>2</v>
      </c>
      <c r="AL214" s="40">
        <f>Table43[[#This Row],[Harga Jual Pcs GT
(-PPN)]]-(Table43[[#This Row],[Harga Jual Pcs GT
(-PPN)]]*6%)</f>
        <v>11271.5306</v>
      </c>
      <c r="AM214" s="41">
        <f>Table43[[#This Row],[Harga Beli Pcs
(-PPN)]]*Table43[[#This Row],[ISI/CTN]]</f>
        <v>270516.73440000002</v>
      </c>
      <c r="AN214" s="41">
        <f>Table43[[#This Row],[Harga Beli Pcs
(-PPN)]]*1.11</f>
        <v>12511.398966000001</v>
      </c>
      <c r="AO214" s="41">
        <f>Table43[[#This Row],[Harga Beli Krt
(- PPN)]]*1.11</f>
        <v>300273.57518400002</v>
      </c>
      <c r="AP214" s="41">
        <v>11990.99</v>
      </c>
      <c r="AQ214" s="41">
        <f>Table43[[#This Row],[Harga Jual Pcs GT
(-PPN)]]*Table43[[#This Row],[ISI/CTN]]</f>
        <v>287783.76</v>
      </c>
      <c r="AR214" s="41">
        <f>Table43[[#This Row],[Harga Jual Pcs GT
(-PPN)]]*1.11</f>
        <v>13309.998900000001</v>
      </c>
      <c r="AS214" s="41">
        <f>Table43[[#This Row],[Harga Jual Krt GT
(- PPN)]]*1.11</f>
        <v>319439.97360000003</v>
      </c>
      <c r="AT214" s="41">
        <v>12950.28</v>
      </c>
      <c r="AU214" s="41">
        <f>(Table43[[#This Row],[Harga Jual Pcs MT
(-PPN)]]*Table43[[#This Row],[ISI/CTN]])</f>
        <v>310806.72000000003</v>
      </c>
      <c r="AV214" s="41">
        <f>Table43[[#This Row],[Harga Jual Pcs MT
(-PPN)]]*1.11</f>
        <v>14374.810800000001</v>
      </c>
      <c r="AW214" s="41">
        <f>Table43[[#This Row],[Harga Jual Pcs MT
(+PPN)]]*Table43[[#This Row],[ISI/CTN]]</f>
        <v>344995.45920000004</v>
      </c>
      <c r="AX214" s="41"/>
      <c r="AY214" s="46"/>
      <c r="AZ214" s="54">
        <v>45553</v>
      </c>
      <c r="BA214" s="7" t="str">
        <f ca="1">IF(TODAY()-Table43[[#This Row],[Efektif
Pembuatan]]&gt;60,"Lama","Baru")</f>
        <v>Lama</v>
      </c>
      <c r="BB214" s="7" t="str">
        <f ca="1">IF(TODAY()-Table43[[#This Row],[Efektif Naik Harga]]&lt;30,"Naik","Sama")</f>
        <v>Sama</v>
      </c>
      <c r="BC214" s="7" t="s">
        <v>235</v>
      </c>
      <c r="BD214" s="7" t="str">
        <f>IF(Table43[[#This Row],[Kode BARANG Win2]]&lt;&gt;"","IDR","")</f>
        <v>IDR</v>
      </c>
      <c r="BE214" s="7" t="str">
        <f>CONCATENATE(Table43[[#This Row],[kode  1 Digit
(Nomor)]],Table43[[#This Row],[kode  4 Digit                (Nomor)]])</f>
        <v>20270</v>
      </c>
      <c r="BF214" s="7" t="str">
        <f>Table43[[#This Row],[Nama            Gramasi atau Jumlah Pack per CTN]]</f>
        <v>270 ML</v>
      </c>
      <c r="BG214" s="7" t="s">
        <v>653</v>
      </c>
      <c r="BH214" s="51" t="s">
        <v>654</v>
      </c>
      <c r="BI214" s="4" t="str">
        <f>IF(Table43[[#This Row],[SATUAN Fix Win]]&lt;&gt;"","KRT")</f>
        <v>KRT</v>
      </c>
      <c r="BJ214" s="4" t="str">
        <f>IF(Table43[[#This Row],[SATUAN Fix Win]]&lt;&gt;"","GD01")</f>
        <v>GD01</v>
      </c>
      <c r="BK214" s="4">
        <f>IF(Table43[[#This Row],[SATUAN Fix Win]]&lt;&gt;"",11611)</f>
        <v>11611</v>
      </c>
      <c r="BL214" s="4">
        <f>IF(Table43[[#This Row],[SATUAN Fix Win]]&lt;&gt;"",11612)</f>
        <v>11612</v>
      </c>
      <c r="BM214" s="47" t="s">
        <v>655</v>
      </c>
      <c r="BN214" s="4">
        <f>IF(Table43[[#This Row],[SATUAN Fix Win]]&lt;&gt;"",1)</f>
        <v>1</v>
      </c>
      <c r="BO214" s="4" t="s">
        <v>656</v>
      </c>
      <c r="BP214" s="4">
        <f>IFERROR(VLOOKUP(Table43[[#This Row],[Kode Pcpl]],'[1]HEINZ ABC'!$A$4:$E$112,8,0),0)</f>
        <v>0</v>
      </c>
      <c r="BQ214" s="55">
        <f>Table43[[#This Row],[Harga Jual Pcs GT
(-PPN)]]-Table43[[#This Row],[HARGA NAIK GT]]</f>
        <v>11990.99</v>
      </c>
      <c r="BR214" s="4">
        <f>IF(Table43[[#This Row],[HARGA NAIK GT]]=0,Table43[[#This Row],[Harga Jual Pcs GT
(-PPN)]],Table43[[#This Row],[HARGA NAIK GT]])</f>
        <v>11990.99</v>
      </c>
      <c r="BS214">
        <f>IFERROR(VLOOKUP(Table43[[#This Row],[Kode Pcpl]],'[1]HEINZ ABC'!$A$4:$E$112,8,0),0)</f>
        <v>0</v>
      </c>
      <c r="BT214" s="58">
        <f>Table43[[#This Row],[Harga Jual Pcs GT
(-PPN)]]-BS214</f>
        <v>11990.99</v>
      </c>
      <c r="BU214">
        <f>IF(BS214=0,Table43[[#This Row],[Harga Jual Pcs MT
(-PPN)]])</f>
        <v>12950.28</v>
      </c>
      <c r="BV214">
        <f>IFERROR(VLOOKUP(Table43[[#This Row],[Kode Pcpl]],[2]Pricelist!$A$4:$K$112,11,0),0)</f>
        <v>0</v>
      </c>
      <c r="BW214">
        <f>IFERROR(VLOOKUP(Table43[[#This Row],[Kode BARANG Win2]],[3]!RECKITT211216[[KDBRG]:[HRG_JL_PCS-PPN]],11,0),0)</f>
        <v>0</v>
      </c>
      <c r="BX214">
        <f t="shared" si="8"/>
        <v>0</v>
      </c>
    </row>
    <row r="215" spans="1:76" s="112" customFormat="1" x14ac:dyDescent="0.25">
      <c r="A215" s="96" t="str">
        <f>CONCATENATE(Table43[[#This Row],[Kode BARANG Win2]],Table43[[#This Row],[No. Urut
Item Sama]])</f>
        <v>A11200060270111</v>
      </c>
      <c r="B215" s="97">
        <v>1</v>
      </c>
      <c r="C215" s="96">
        <v>285</v>
      </c>
      <c r="D215" s="98">
        <v>150984</v>
      </c>
      <c r="E215" s="98"/>
      <c r="F215" s="98" t="s">
        <v>1094</v>
      </c>
      <c r="G215" s="98">
        <v>24</v>
      </c>
      <c r="H215" s="99" t="s">
        <v>2628</v>
      </c>
      <c r="I215" s="98" t="str">
        <f>Table43[[#This Row],[Nama Jenis Kemasan]]</f>
        <v>BTL</v>
      </c>
      <c r="J215" s="96" t="str">
        <f>TRIM(CONCATENATE(Table43[[#This Row],[Nama            KLP]]," ",Table43[[#This Row],[Nama            Sub KLP]]))</f>
        <v>SAMBAL</v>
      </c>
      <c r="K215" s="96" t="str">
        <f>CONCATENATE(Table43[[#This Row],[kode  2 Digit                (hrf+No)]],Table43[[#This Row],[kode  2 Digit                (Nomor)]],Table43[[#This Row],[kode  1 Digit                (Nomor)]])</f>
        <v>A1120</v>
      </c>
      <c r="L215" s="96" t="str">
        <f>IF(AG215="",CONCATENATE(Q215,S215,U215,W215,Y215,AA215,AC215,AE215,Table43[[#This Row],[Tanda Kode Revisi]]),CONCATENATE(Q215,S215,U215,W215,Y215,AA215,AC215,AG215))</f>
        <v>A1120006027011</v>
      </c>
      <c r="M215" s="100">
        <f t="shared" si="9"/>
        <v>14</v>
      </c>
      <c r="N215" s="101" t="str">
        <f>IF(AF215&lt;&gt;"",TRIM(UPPER(CONCATENATE(P215," ",R215," ",T215," ",V215," ",X215," ",Z215," ","X"," ",Table43[[#This Row],[ISI/CTN]]," ",AF215," ",AB215," ",AD215," ",AH215))),TRIM(UPPER(CONCATENATE(P215," ",R215," ",T215," ",V215," ",X215," ",Z215," ","X"," ",Table43[[#This Row],[ISI/CTN]]," ",AB215," ",AD215," ",AH215))))</f>
        <v>ABC SAMBAL ASLI 270 ML X 24 BTL BANDED</v>
      </c>
      <c r="O215" s="100">
        <f>LEN(N215)</f>
        <v>38</v>
      </c>
      <c r="P215" s="96" t="s">
        <v>28</v>
      </c>
      <c r="Q215" s="97" t="s">
        <v>85</v>
      </c>
      <c r="R215" s="96" t="s">
        <v>603</v>
      </c>
      <c r="S215" s="102">
        <v>12</v>
      </c>
      <c r="T215" s="103"/>
      <c r="U215" s="97">
        <v>0</v>
      </c>
      <c r="V215" s="103"/>
      <c r="W215" s="102" t="s">
        <v>1</v>
      </c>
      <c r="X215" s="96" t="s">
        <v>604</v>
      </c>
      <c r="Y215" s="104" t="s">
        <v>221</v>
      </c>
      <c r="Z215" s="96" t="s">
        <v>607</v>
      </c>
      <c r="AA215" s="104" t="s">
        <v>608</v>
      </c>
      <c r="AB215" s="96" t="s">
        <v>486</v>
      </c>
      <c r="AC215" s="97" t="s">
        <v>480</v>
      </c>
      <c r="AD215" s="96" t="s">
        <v>496</v>
      </c>
      <c r="AE215" s="97">
        <v>1</v>
      </c>
      <c r="AF215" s="97"/>
      <c r="AG215" s="97"/>
      <c r="AH215" s="97"/>
      <c r="AI215" s="97" t="s">
        <v>214</v>
      </c>
      <c r="AJ215" s="97">
        <v>2</v>
      </c>
      <c r="AK215" s="97"/>
      <c r="AL215" s="105">
        <f>Table43[[#This Row],[Harga Jual Pcs GT
(-PPN)]]-(Table43[[#This Row],[Harga Jual Pcs GT
(-PPN)]]*6%)</f>
        <v>11271.54</v>
      </c>
      <c r="AM215" s="106">
        <f>Table43[[#This Row],[Harga Beli Pcs
(-PPN)]]*Table43[[#This Row],[ISI/CTN]]</f>
        <v>270516.96000000002</v>
      </c>
      <c r="AN215" s="106">
        <f>Table43[[#This Row],[Harga Beli Pcs
(-PPN)]]*1.11</f>
        <v>12511.409400000002</v>
      </c>
      <c r="AO215" s="106">
        <f>Table43[[#This Row],[Harga Beli Krt
(- PPN)]]*1.11</f>
        <v>300273.82560000004</v>
      </c>
      <c r="AP215" s="106">
        <v>11991</v>
      </c>
      <c r="AQ215" s="106">
        <f>Table43[[#This Row],[Harga Jual Pcs GT
(-PPN)]]*Table43[[#This Row],[ISI/CTN]]</f>
        <v>287784</v>
      </c>
      <c r="AR215" s="106">
        <f>Table43[[#This Row],[Harga Jual Pcs GT
(-PPN)]]*1.11</f>
        <v>13310.010000000002</v>
      </c>
      <c r="AS215" s="106">
        <f>Table43[[#This Row],[Harga Jual Krt GT
(- PPN)]]*1.11</f>
        <v>319440.24000000005</v>
      </c>
      <c r="AT215" s="106">
        <v>12950.28</v>
      </c>
      <c r="AU215" s="106">
        <f>(Table43[[#This Row],[Harga Jual Pcs MT
(-PPN)]]*Table43[[#This Row],[ISI/CTN]])</f>
        <v>310806.72000000003</v>
      </c>
      <c r="AV215" s="106">
        <f>Table43[[#This Row],[Harga Jual Pcs MT
(-PPN)]]*1.11</f>
        <v>14374.810800000001</v>
      </c>
      <c r="AW215" s="106">
        <f>Table43[[#This Row],[Harga Jual Pcs MT
(+PPN)]]*Table43[[#This Row],[ISI/CTN]]</f>
        <v>344995.45920000004</v>
      </c>
      <c r="AX215" s="106"/>
      <c r="AY215" s="107">
        <v>46083</v>
      </c>
      <c r="AZ215" s="108"/>
      <c r="BA215" s="97" t="str">
        <f ca="1">IF(TODAY()-Table43[[#This Row],[Efektif
Pembuatan]]&gt;60,"Lama","Baru")</f>
        <v>Lama</v>
      </c>
      <c r="BB215" s="97" t="str">
        <f ca="1">IF(TODAY()-Table43[[#This Row],[Efektif Naik Harga]]&lt;30,"Naik","Sama")</f>
        <v>Sama</v>
      </c>
      <c r="BC215" s="97" t="s">
        <v>235</v>
      </c>
      <c r="BD215" s="97" t="str">
        <f>IF(Table43[[#This Row],[Kode BARANG Win2]]&lt;&gt;"","IDR","")</f>
        <v>IDR</v>
      </c>
      <c r="BE215" s="97" t="str">
        <f>CONCATENATE(Table43[[#This Row],[kode  1 Digit
(Nomor)]],Table43[[#This Row],[kode  4 Digit                (Nomor)]])</f>
        <v>20270</v>
      </c>
      <c r="BF215" s="97" t="str">
        <f>Table43[[#This Row],[Nama            Gramasi atau Jumlah Pack per CTN]]</f>
        <v>270 ML</v>
      </c>
      <c r="BG215" s="97" t="s">
        <v>653</v>
      </c>
      <c r="BH215" s="109" t="s">
        <v>654</v>
      </c>
      <c r="BI215" s="96" t="str">
        <f>IF(Table43[[#This Row],[SATUAN Fix Win]]&lt;&gt;"","KRT")</f>
        <v>KRT</v>
      </c>
      <c r="BJ215" s="96" t="str">
        <f>IF(Table43[[#This Row],[SATUAN Fix Win]]&lt;&gt;"","GD01")</f>
        <v>GD01</v>
      </c>
      <c r="BK215" s="96">
        <f>IF(Table43[[#This Row],[SATUAN Fix Win]]&lt;&gt;"",11611)</f>
        <v>11611</v>
      </c>
      <c r="BL215" s="96">
        <f>IF(Table43[[#This Row],[SATUAN Fix Win]]&lt;&gt;"",11612)</f>
        <v>11612</v>
      </c>
      <c r="BM215" s="110" t="s">
        <v>655</v>
      </c>
      <c r="BN215" s="96">
        <f>IF(Table43[[#This Row],[SATUAN Fix Win]]&lt;&gt;"",1)</f>
        <v>1</v>
      </c>
      <c r="BO215" s="96"/>
      <c r="BP215" s="96">
        <f>IFERROR(VLOOKUP(Table43[[#This Row],[Kode Pcpl]],'[1]HEINZ ABC'!$A$4:$E$112,8,0),0)</f>
        <v>0</v>
      </c>
      <c r="BQ215" s="111">
        <f>Table43[[#This Row],[Harga Jual Pcs GT
(-PPN)]]-Table43[[#This Row],[HARGA NAIK GT]]</f>
        <v>11991</v>
      </c>
      <c r="BR215" s="96">
        <f>IF(Table43[[#This Row],[HARGA NAIK GT]]=0,Table43[[#This Row],[Harga Jual Pcs GT
(-PPN)]],Table43[[#This Row],[HARGA NAIK GT]])</f>
        <v>11991</v>
      </c>
      <c r="BT215" s="113"/>
    </row>
    <row r="216" spans="1:76" x14ac:dyDescent="0.25">
      <c r="A216" s="4" t="str">
        <f>CONCATENATE(Table43[[#This Row],[Kode BARANG Win2]],Table43[[#This Row],[No. Urut
Item Sama]])</f>
        <v>A11200060335101</v>
      </c>
      <c r="B216" s="7">
        <v>1</v>
      </c>
      <c r="C216" s="4">
        <v>187</v>
      </c>
      <c r="D216" s="27">
        <v>150171</v>
      </c>
      <c r="E216" s="27" t="s">
        <v>381</v>
      </c>
      <c r="F216" s="27" t="s">
        <v>398</v>
      </c>
      <c r="G216" s="27">
        <v>24</v>
      </c>
      <c r="H216" s="42">
        <v>0</v>
      </c>
      <c r="I216" s="27" t="str">
        <f>Table43[[#This Row],[Nama Jenis Kemasan]]</f>
        <v>BTL</v>
      </c>
      <c r="J216" s="4" t="str">
        <f>TRIM(CONCATENATE(Table43[[#This Row],[Nama            KLP]]," ",Table43[[#This Row],[Nama            Sub KLP]]))</f>
        <v>SAMBAL</v>
      </c>
      <c r="K216" s="4" t="str">
        <f>CONCATENATE(Table43[[#This Row],[kode  2 Digit                (hrf+No)]],Table43[[#This Row],[kode  2 Digit                (Nomor)]],Table43[[#This Row],[kode  1 Digit                (Nomor)]])</f>
        <v>A1120</v>
      </c>
      <c r="L216" s="4" t="str">
        <f>IF(AG216="",CONCATENATE(Q216,S216,U216,W216,Y216,AA216,AC216,AE216,Table43[[#This Row],[Tanda Kode Revisi]]),CONCATENATE(Q216,S216,U216,W216,Y216,AA216,AC216,AG216))</f>
        <v>A1120006033510</v>
      </c>
      <c r="M216" s="11">
        <f t="shared" si="9"/>
        <v>14</v>
      </c>
      <c r="N216" s="14" t="str">
        <f>IF(AF216&lt;&gt;"",TRIM(UPPER(CONCATENATE(P216," ",R216," ",T216," ",V216," ",X216," ",Z216," ","X"," ",Table43[[#This Row],[ISI/CTN]]," ",AF216," ",AB216," ",AD216," ",AH216))),TRIM(UPPER(CONCATENATE(P216," ",R216," ",T216," ",V216," ",X216," ",Z216," ","X"," ",Table43[[#This Row],[ISI/CTN]]," ",AB216," ",AD216," ",AH216))))</f>
        <v>ABC SAMBAL ASLI 335 ML X 24 BTL</v>
      </c>
      <c r="O216" s="11">
        <f t="shared" si="10"/>
        <v>31</v>
      </c>
      <c r="P216" s="4" t="s">
        <v>28</v>
      </c>
      <c r="Q216" s="7" t="s">
        <v>85</v>
      </c>
      <c r="R216" s="4" t="s">
        <v>603</v>
      </c>
      <c r="S216" s="43">
        <v>12</v>
      </c>
      <c r="T216" s="44"/>
      <c r="U216" s="7">
        <v>0</v>
      </c>
      <c r="V216" s="44"/>
      <c r="W216" s="43" t="s">
        <v>1</v>
      </c>
      <c r="X216" s="4" t="s">
        <v>604</v>
      </c>
      <c r="Y216" s="45" t="s">
        <v>221</v>
      </c>
      <c r="Z216" s="4" t="s">
        <v>592</v>
      </c>
      <c r="AA216" s="45" t="s">
        <v>593</v>
      </c>
      <c r="AB216" s="4" t="s">
        <v>486</v>
      </c>
      <c r="AC216" s="7" t="s">
        <v>480</v>
      </c>
      <c r="AE216" s="7" t="s">
        <v>1</v>
      </c>
      <c r="AI216" s="7" t="s">
        <v>214</v>
      </c>
      <c r="AJ216" s="7">
        <v>2</v>
      </c>
      <c r="AL216" s="40">
        <f>Table43[[#This Row],[Harga Jual Pcs GT
(-PPN)]]-(Table43[[#This Row],[Harga Jual Pcs GT
(-PPN)]]*6%)</f>
        <v>14023.784799999999</v>
      </c>
      <c r="AM216" s="41">
        <f>Table43[[#This Row],[Harga Beli Pcs
(-PPN)]]*Table43[[#This Row],[ISI/CTN]]</f>
        <v>336570.83519999997</v>
      </c>
      <c r="AN216" s="41">
        <f>Table43[[#This Row],[Harga Beli Pcs
(-PPN)]]*1.11</f>
        <v>15566.401128000001</v>
      </c>
      <c r="AO216" s="41">
        <f>Table43[[#This Row],[Harga Beli Krt
(- PPN)]]*1.11</f>
        <v>373593.627072</v>
      </c>
      <c r="AP216" s="41">
        <v>14918.92</v>
      </c>
      <c r="AQ216" s="41">
        <f>Table43[[#This Row],[Harga Jual Pcs GT
(-PPN)]]*Table43[[#This Row],[ISI/CTN]]</f>
        <v>358054.08</v>
      </c>
      <c r="AR216" s="41">
        <f>Table43[[#This Row],[Harga Jual Pcs GT
(-PPN)]]*1.11</f>
        <v>16560.001200000002</v>
      </c>
      <c r="AS216" s="41">
        <f>Table43[[#This Row],[Harga Jual Krt GT
(- PPN)]]*1.11</f>
        <v>397440.02880000003</v>
      </c>
      <c r="AT216" s="41">
        <v>16112.43</v>
      </c>
      <c r="AU216" s="41">
        <f>(Table43[[#This Row],[Harga Jual Pcs MT
(-PPN)]]*Table43[[#This Row],[ISI/CTN]])</f>
        <v>386698.32</v>
      </c>
      <c r="AV216" s="41">
        <f>Table43[[#This Row],[Harga Jual Pcs MT
(-PPN)]]*1.11</f>
        <v>17884.797300000002</v>
      </c>
      <c r="AW216" s="41">
        <f>Table43[[#This Row],[Harga Jual Pcs MT
(+PPN)]]*Table43[[#This Row],[ISI/CTN]]</f>
        <v>429235.13520000002</v>
      </c>
      <c r="AX216" s="41"/>
      <c r="AY216" s="46">
        <v>45553</v>
      </c>
      <c r="AZ216" s="54">
        <v>45553</v>
      </c>
      <c r="BA216" s="7" t="str">
        <f ca="1">IF(TODAY()-Table43[[#This Row],[Efektif
Pembuatan]]&gt;60,"Lama","Baru")</f>
        <v>Lama</v>
      </c>
      <c r="BB216" s="7" t="str">
        <f ca="1">IF(TODAY()-Table43[[#This Row],[Efektif Naik Harga]]&lt;30,"Naik","Sama")</f>
        <v>Sama</v>
      </c>
      <c r="BC216" s="7" t="s">
        <v>235</v>
      </c>
      <c r="BD216" s="7" t="str">
        <f>IF(Table43[[#This Row],[Kode BARANG Win2]]&lt;&gt;"","IDR","")</f>
        <v>IDR</v>
      </c>
      <c r="BE216" s="7" t="str">
        <f>CONCATENATE(Table43[[#This Row],[kode  1 Digit
(Nomor)]],Table43[[#This Row],[kode  4 Digit                (Nomor)]])</f>
        <v>20335</v>
      </c>
      <c r="BF216" s="7" t="str">
        <f>Table43[[#This Row],[Nama            Gramasi atau Jumlah Pack per CTN]]</f>
        <v>335 ML</v>
      </c>
      <c r="BG216" s="7" t="s">
        <v>653</v>
      </c>
      <c r="BH216" s="51" t="s">
        <v>654</v>
      </c>
      <c r="BI216" s="4" t="str">
        <f>IF(Table43[[#This Row],[SATUAN Fix Win]]&lt;&gt;"","KRT")</f>
        <v>KRT</v>
      </c>
      <c r="BJ216" s="4" t="str">
        <f>IF(Table43[[#This Row],[SATUAN Fix Win]]&lt;&gt;"","GD01")</f>
        <v>GD01</v>
      </c>
      <c r="BK216" s="4">
        <f>IF(Table43[[#This Row],[SATUAN Fix Win]]&lt;&gt;"",11611)</f>
        <v>11611</v>
      </c>
      <c r="BL216" s="4">
        <f>IF(Table43[[#This Row],[SATUAN Fix Win]]&lt;&gt;"",11612)</f>
        <v>11612</v>
      </c>
      <c r="BM216" s="47" t="s">
        <v>655</v>
      </c>
      <c r="BN216" s="4">
        <f>IF(Table43[[#This Row],[SATUAN Fix Win]]&lt;&gt;"",1)</f>
        <v>1</v>
      </c>
      <c r="BO216" s="4" t="s">
        <v>656</v>
      </c>
      <c r="BP216" s="4">
        <f>IFERROR(VLOOKUP(Table43[[#This Row],[Kode Pcpl]],'[1]HEINZ ABC'!$A$4:$E$112,8,0),0)</f>
        <v>0</v>
      </c>
      <c r="BQ216" s="55">
        <f>Table43[[#This Row],[Harga Jual Pcs GT
(-PPN)]]-Table43[[#This Row],[HARGA NAIK GT]]</f>
        <v>14918.92</v>
      </c>
      <c r="BR216" s="4">
        <f>IF(Table43[[#This Row],[HARGA NAIK GT]]=0,Table43[[#This Row],[Harga Jual Pcs GT
(-PPN)]],Table43[[#This Row],[HARGA NAIK GT]])</f>
        <v>14918.92</v>
      </c>
      <c r="BS216">
        <f>IFERROR(VLOOKUP(Table43[[#This Row],[Kode Pcpl]],'[1]HEINZ ABC'!$A$4:$E$112,8,0),0)</f>
        <v>0</v>
      </c>
      <c r="BT216" s="58">
        <f>Table43[[#This Row],[Harga Jual Pcs GT
(-PPN)]]-BS216</f>
        <v>14918.92</v>
      </c>
      <c r="BU216">
        <f>IF(BS216=0,Table43[[#This Row],[Harga Jual Pcs MT
(-PPN)]])</f>
        <v>16112.43</v>
      </c>
      <c r="BV216">
        <f>IFERROR(VLOOKUP(Table43[[#This Row],[Kode Pcpl]],[2]Pricelist!$A$4:$K$112,11,0),0)</f>
        <v>0</v>
      </c>
      <c r="BW216">
        <f>IFERROR(VLOOKUP(Table43[[#This Row],[Kode BARANG Win2]],[3]!RECKITT211216[[KDBRG]:[HRG_JL_PCS-PPN]],11,0),0)</f>
        <v>0</v>
      </c>
      <c r="BX216">
        <f t="shared" si="8"/>
        <v>0</v>
      </c>
    </row>
    <row r="217" spans="1:76" x14ac:dyDescent="0.25">
      <c r="A217" s="4" t="str">
        <f>CONCATENATE(Table43[[#This Row],[Kode BARANG Win2]],Table43[[#This Row],[No. Urut
Item Sama]])</f>
        <v>A11200060335102</v>
      </c>
      <c r="B217" s="7">
        <v>2</v>
      </c>
      <c r="C217" s="4">
        <v>188</v>
      </c>
      <c r="D217" s="27">
        <v>150329</v>
      </c>
      <c r="E217" s="27" t="s">
        <v>381</v>
      </c>
      <c r="F217" s="27" t="s">
        <v>398</v>
      </c>
      <c r="G217" s="27">
        <v>24</v>
      </c>
      <c r="H217" s="42" t="s">
        <v>2475</v>
      </c>
      <c r="I217" s="27" t="str">
        <f>Table43[[#This Row],[Nama Jenis Kemasan]]</f>
        <v>BTL</v>
      </c>
      <c r="J217" s="4" t="str">
        <f>TRIM(CONCATENATE(Table43[[#This Row],[Nama            KLP]]," ",Table43[[#This Row],[Nama            Sub KLP]]))</f>
        <v>SAMBAL</v>
      </c>
      <c r="K217" s="4" t="str">
        <f>CONCATENATE(Table43[[#This Row],[kode  2 Digit                (hrf+No)]],Table43[[#This Row],[kode  2 Digit                (Nomor)]],Table43[[#This Row],[kode  1 Digit                (Nomor)]])</f>
        <v>A1120</v>
      </c>
      <c r="L217" s="4" t="str">
        <f>IF(AG217="",CONCATENATE(Q217,S217,U217,W217,Y217,AA217,AC217,AE217,Table43[[#This Row],[Tanda Kode Revisi]]),CONCATENATE(Q217,S217,U217,W217,Y217,AA217,AC217,AG217))</f>
        <v>A1120006033510</v>
      </c>
      <c r="M217" s="11">
        <f t="shared" si="9"/>
        <v>14</v>
      </c>
      <c r="N217" s="14" t="str">
        <f>IF(AF217&lt;&gt;"",TRIM(UPPER(CONCATENATE(P217," ",R217," ",T217," ",V217," ",X217," ",Z217," ","X"," ",Table43[[#This Row],[ISI/CTN]]," ",AF217," ",AB217," ",AD217," ",AH217))),TRIM(UPPER(CONCATENATE(P217," ",R217," ",T217," ",V217," ",X217," ",Z217," ","X"," ",Table43[[#This Row],[ISI/CTN]]," ",AB217," ",AD217," ",AH217))))</f>
        <v>ABC SAMBAL ASLI 335 ML X 24 BTL</v>
      </c>
      <c r="O217" s="11">
        <f t="shared" si="10"/>
        <v>31</v>
      </c>
      <c r="P217" s="4" t="s">
        <v>28</v>
      </c>
      <c r="Q217" s="7" t="s">
        <v>85</v>
      </c>
      <c r="R217" s="4" t="s">
        <v>603</v>
      </c>
      <c r="S217" s="43">
        <v>12</v>
      </c>
      <c r="T217" s="44"/>
      <c r="U217" s="7">
        <v>0</v>
      </c>
      <c r="V217" s="44"/>
      <c r="W217" s="43" t="s">
        <v>1</v>
      </c>
      <c r="X217" s="4" t="s">
        <v>604</v>
      </c>
      <c r="Y217" s="45" t="s">
        <v>221</v>
      </c>
      <c r="Z217" s="4" t="s">
        <v>592</v>
      </c>
      <c r="AA217" s="45" t="s">
        <v>593</v>
      </c>
      <c r="AB217" s="4" t="s">
        <v>486</v>
      </c>
      <c r="AC217" s="7" t="s">
        <v>480</v>
      </c>
      <c r="AE217" s="7" t="s">
        <v>1</v>
      </c>
      <c r="AI217" s="7" t="s">
        <v>214</v>
      </c>
      <c r="AJ217" s="7">
        <v>2</v>
      </c>
      <c r="AL217" s="40">
        <f>Table43[[#This Row],[Harga Jual Pcs GT
(-PPN)]]-(Table43[[#This Row],[Harga Jual Pcs GT
(-PPN)]]*6%)</f>
        <v>14023.784799999999</v>
      </c>
      <c r="AM217" s="41">
        <f>Table43[[#This Row],[Harga Beli Pcs
(-PPN)]]*Table43[[#This Row],[ISI/CTN]]</f>
        <v>336570.83519999997</v>
      </c>
      <c r="AN217" s="41">
        <f>Table43[[#This Row],[Harga Beli Pcs
(-PPN)]]*1.11</f>
        <v>15566.401128000001</v>
      </c>
      <c r="AO217" s="41">
        <f>Table43[[#This Row],[Harga Beli Krt
(- PPN)]]*1.11</f>
        <v>373593.627072</v>
      </c>
      <c r="AP217" s="41">
        <v>14918.92</v>
      </c>
      <c r="AQ217" s="41">
        <f>Table43[[#This Row],[Harga Jual Pcs GT
(-PPN)]]*Table43[[#This Row],[ISI/CTN]]</f>
        <v>358054.08</v>
      </c>
      <c r="AR217" s="41">
        <f>Table43[[#This Row],[Harga Jual Pcs GT
(-PPN)]]*1.11</f>
        <v>16560.001200000002</v>
      </c>
      <c r="AS217" s="41">
        <f>Table43[[#This Row],[Harga Jual Krt GT
(- PPN)]]*1.11</f>
        <v>397440.02880000003</v>
      </c>
      <c r="AT217" s="41">
        <v>16112.43</v>
      </c>
      <c r="AU217" s="41">
        <f>(Table43[[#This Row],[Harga Jual Pcs MT
(-PPN)]]*Table43[[#This Row],[ISI/CTN]])</f>
        <v>386698.32</v>
      </c>
      <c r="AV217" s="41">
        <f>Table43[[#This Row],[Harga Jual Pcs MT
(-PPN)]]*1.11</f>
        <v>17884.797300000002</v>
      </c>
      <c r="AW217" s="41">
        <f>Table43[[#This Row],[Harga Jual Pcs MT
(+PPN)]]*Table43[[#This Row],[ISI/CTN]]</f>
        <v>429235.13520000002</v>
      </c>
      <c r="AX217" s="41"/>
      <c r="AY217" s="46"/>
      <c r="AZ217" s="54">
        <v>45553</v>
      </c>
      <c r="BA217" s="7" t="str">
        <f ca="1">IF(TODAY()-Table43[[#This Row],[Efektif
Pembuatan]]&gt;60,"Lama","Baru")</f>
        <v>Lama</v>
      </c>
      <c r="BB217" s="7" t="str">
        <f ca="1">IF(TODAY()-Table43[[#This Row],[Efektif Naik Harga]]&lt;30,"Naik","Sama")</f>
        <v>Sama</v>
      </c>
      <c r="BC217" s="7" t="s">
        <v>235</v>
      </c>
      <c r="BD217" s="7" t="str">
        <f>IF(Table43[[#This Row],[Kode BARANG Win2]]&lt;&gt;"","IDR","")</f>
        <v>IDR</v>
      </c>
      <c r="BE217" s="7" t="str">
        <f>CONCATENATE(Table43[[#This Row],[kode  1 Digit
(Nomor)]],Table43[[#This Row],[kode  4 Digit                (Nomor)]])</f>
        <v>20335</v>
      </c>
      <c r="BF217" s="7" t="str">
        <f>Table43[[#This Row],[Nama            Gramasi atau Jumlah Pack per CTN]]</f>
        <v>335 ML</v>
      </c>
      <c r="BG217" s="7" t="s">
        <v>653</v>
      </c>
      <c r="BH217" s="51" t="s">
        <v>654</v>
      </c>
      <c r="BI217" s="4" t="str">
        <f>IF(Table43[[#This Row],[SATUAN Fix Win]]&lt;&gt;"","KRT")</f>
        <v>KRT</v>
      </c>
      <c r="BJ217" s="4" t="str">
        <f>IF(Table43[[#This Row],[SATUAN Fix Win]]&lt;&gt;"","GD01")</f>
        <v>GD01</v>
      </c>
      <c r="BK217" s="4">
        <f>IF(Table43[[#This Row],[SATUAN Fix Win]]&lt;&gt;"",11611)</f>
        <v>11611</v>
      </c>
      <c r="BL217" s="4">
        <f>IF(Table43[[#This Row],[SATUAN Fix Win]]&lt;&gt;"",11612)</f>
        <v>11612</v>
      </c>
      <c r="BM217" s="47" t="s">
        <v>655</v>
      </c>
      <c r="BN217" s="4">
        <f>IF(Table43[[#This Row],[SATUAN Fix Win]]&lt;&gt;"",1)</f>
        <v>1</v>
      </c>
      <c r="BO217" s="4" t="s">
        <v>656</v>
      </c>
      <c r="BP217" s="4">
        <f>IFERROR(VLOOKUP(Table43[[#This Row],[Kode Pcpl]],'[1]HEINZ ABC'!$A$4:$E$112,8,0),0)</f>
        <v>0</v>
      </c>
      <c r="BQ217" s="55">
        <f>Table43[[#This Row],[Harga Jual Pcs GT
(-PPN)]]-Table43[[#This Row],[HARGA NAIK GT]]</f>
        <v>14918.92</v>
      </c>
      <c r="BR217" s="4">
        <f>IF(Table43[[#This Row],[HARGA NAIK GT]]=0,Table43[[#This Row],[Harga Jual Pcs GT
(-PPN)]],Table43[[#This Row],[HARGA NAIK GT]])</f>
        <v>14918.92</v>
      </c>
      <c r="BS217">
        <f>IFERROR(VLOOKUP(Table43[[#This Row],[Kode Pcpl]],'[1]HEINZ ABC'!$A$4:$E$112,8,0),0)</f>
        <v>0</v>
      </c>
      <c r="BT217" s="58">
        <f>Table43[[#This Row],[Harga Jual Pcs GT
(-PPN)]]-BS217</f>
        <v>14918.92</v>
      </c>
      <c r="BU217">
        <f>IF(BS217=0,Table43[[#This Row],[Harga Jual Pcs MT
(-PPN)]])</f>
        <v>16112.43</v>
      </c>
      <c r="BV217">
        <f>IFERROR(VLOOKUP(Table43[[#This Row],[Kode Pcpl]],[2]Pricelist!$A$4:$K$112,11,0),0)</f>
        <v>0</v>
      </c>
      <c r="BW217">
        <f>IFERROR(VLOOKUP(Table43[[#This Row],[Kode BARANG Win2]],[3]!RECKITT211216[[KDBRG]:[HRG_JL_PCS-PPN]],11,0),0)</f>
        <v>0</v>
      </c>
      <c r="BX217">
        <f t="shared" si="8"/>
        <v>0</v>
      </c>
    </row>
    <row r="218" spans="1:76" x14ac:dyDescent="0.25">
      <c r="A218" s="4" t="str">
        <f>CONCATENATE(Table43[[#This Row],[Kode BARANG Win2]],Table43[[#This Row],[No. Urut
Item Sama]])</f>
        <v>A11200060380101</v>
      </c>
      <c r="B218" s="7">
        <v>1</v>
      </c>
      <c r="C218" s="4">
        <v>189</v>
      </c>
      <c r="D218" s="27">
        <v>150177</v>
      </c>
      <c r="E218" s="27" t="s">
        <v>381</v>
      </c>
      <c r="F218" s="27" t="s">
        <v>399</v>
      </c>
      <c r="G218" s="27">
        <v>12</v>
      </c>
      <c r="H218" s="42" t="s">
        <v>2556</v>
      </c>
      <c r="I218" s="27" t="str">
        <f>Table43[[#This Row],[Nama Jenis Kemasan]]</f>
        <v>PCH</v>
      </c>
      <c r="J218" s="4" t="str">
        <f>TRIM(CONCATENATE(Table43[[#This Row],[Nama            KLP]]," ",Table43[[#This Row],[Nama            Sub KLP]]))</f>
        <v>SAMBAL</v>
      </c>
      <c r="K218" s="4" t="str">
        <f>CONCATENATE(Table43[[#This Row],[kode  2 Digit                (hrf+No)]],Table43[[#This Row],[kode  2 Digit                (Nomor)]],Table43[[#This Row],[kode  1 Digit                (Nomor)]])</f>
        <v>A1120</v>
      </c>
      <c r="L218" s="4" t="str">
        <f>IF(AG218="",CONCATENATE(Q218,S218,U218,W218,Y218,AA218,AC218,AE218,Table43[[#This Row],[Tanda Kode Revisi]]),CONCATENATE(Q218,S218,U218,W218,Y218,AA218,AC218,AG218))</f>
        <v>A1120006038010</v>
      </c>
      <c r="M218" s="11">
        <f t="shared" si="9"/>
        <v>14</v>
      </c>
      <c r="N218" s="14" t="str">
        <f>IF(AF218&lt;&gt;"",TRIM(UPPER(CONCATENATE(P218," ",R218," ",T218," ",V218," ",X218," ",Z218," ","X"," ",Table43[[#This Row],[ISI/CTN]]," ",AF218," ",AB218," ",AD218," ",AH218))),TRIM(UPPER(CONCATENATE(P218," ",R218," ",T218," ",V218," ",X218," ",Z218," ","X"," ",Table43[[#This Row],[ISI/CTN]]," ",AB218," ",AD218," ",AH218))))</f>
        <v>ABC SAMBAL ASLI 380 GR X 12 PCH</v>
      </c>
      <c r="O218" s="11">
        <f t="shared" si="10"/>
        <v>31</v>
      </c>
      <c r="P218" s="4" t="s">
        <v>28</v>
      </c>
      <c r="Q218" s="7" t="s">
        <v>85</v>
      </c>
      <c r="R218" s="4" t="s">
        <v>603</v>
      </c>
      <c r="S218" s="43">
        <v>12</v>
      </c>
      <c r="T218" s="44"/>
      <c r="U218" s="7">
        <v>0</v>
      </c>
      <c r="V218" s="44"/>
      <c r="W218" s="43" t="s">
        <v>1</v>
      </c>
      <c r="X218" s="4" t="s">
        <v>604</v>
      </c>
      <c r="Y218" s="45" t="s">
        <v>221</v>
      </c>
      <c r="Z218" s="4" t="s">
        <v>609</v>
      </c>
      <c r="AA218" s="45" t="s">
        <v>610</v>
      </c>
      <c r="AB218" s="4" t="s">
        <v>479</v>
      </c>
      <c r="AC218" s="7" t="s">
        <v>480</v>
      </c>
      <c r="AE218" s="7" t="s">
        <v>1</v>
      </c>
      <c r="AI218" s="7" t="s">
        <v>215</v>
      </c>
      <c r="AJ218" s="7">
        <v>1</v>
      </c>
      <c r="AL218" s="40">
        <f>Table43[[#This Row],[Harga Jual Pcs GT
(-PPN)]]-(Table43[[#This Row],[Harga Jual Pcs GT
(-PPN)]]*6%)</f>
        <v>13328.015600000001</v>
      </c>
      <c r="AM218" s="41">
        <f>Table43[[#This Row],[Harga Beli Pcs
(-PPN)]]*Table43[[#This Row],[ISI/CTN]]</f>
        <v>159936.18720000001</v>
      </c>
      <c r="AN218" s="41">
        <f>Table43[[#This Row],[Harga Beli Pcs
(-PPN)]]*1.11</f>
        <v>14794.097316000001</v>
      </c>
      <c r="AO218" s="41">
        <f>Table43[[#This Row],[Harga Beli Krt
(- PPN)]]*1.11</f>
        <v>177529.16779200002</v>
      </c>
      <c r="AP218" s="41">
        <v>14178.74</v>
      </c>
      <c r="AQ218" s="41">
        <f>Table43[[#This Row],[Harga Jual Pcs GT
(-PPN)]]*Table43[[#This Row],[ISI/CTN]]</f>
        <v>170144.88</v>
      </c>
      <c r="AR218" s="41">
        <f>Table43[[#This Row],[Harga Jual Pcs GT
(-PPN)]]*1.11</f>
        <v>15738.401400000001</v>
      </c>
      <c r="AS218" s="41">
        <f>Table43[[#This Row],[Harga Jual Krt GT
(- PPN)]]*1.11</f>
        <v>188860.81680000003</v>
      </c>
      <c r="AT218" s="41">
        <v>15313.037837837799</v>
      </c>
      <c r="AU218" s="41">
        <f>(Table43[[#This Row],[Harga Jual Pcs MT
(-PPN)]]*Table43[[#This Row],[ISI/CTN]])</f>
        <v>183756.45405405358</v>
      </c>
      <c r="AV218" s="41">
        <f>Table43[[#This Row],[Harga Jual Pcs MT
(-PPN)]]*1.11</f>
        <v>16997.471999999958</v>
      </c>
      <c r="AW218" s="41">
        <f>Table43[[#This Row],[Harga Jual Pcs MT
(+PPN)]]*Table43[[#This Row],[ISI/CTN]]</f>
        <v>203969.66399999949</v>
      </c>
      <c r="AX218" s="41"/>
      <c r="AY218" s="46">
        <v>45553</v>
      </c>
      <c r="AZ218" s="54">
        <v>45945</v>
      </c>
      <c r="BA218" s="7" t="str">
        <f ca="1">IF(TODAY()-Table43[[#This Row],[Efektif
Pembuatan]]&gt;60,"Lama","Baru")</f>
        <v>Lama</v>
      </c>
      <c r="BB218" s="7" t="str">
        <f ca="1">IF(TODAY()-Table43[[#This Row],[Efektif Naik Harga]]&lt;30,"Naik","Sama")</f>
        <v>Sama</v>
      </c>
      <c r="BC218" s="7" t="s">
        <v>235</v>
      </c>
      <c r="BD218" s="7" t="str">
        <f>IF(Table43[[#This Row],[Kode BARANG Win2]]&lt;&gt;"","IDR","")</f>
        <v>IDR</v>
      </c>
      <c r="BE218" s="7" t="str">
        <f>CONCATENATE(Table43[[#This Row],[kode  1 Digit
(Nomor)]],Table43[[#This Row],[kode  4 Digit                (Nomor)]])</f>
        <v>10380</v>
      </c>
      <c r="BF218" s="7" t="str">
        <f>Table43[[#This Row],[Nama            Gramasi atau Jumlah Pack per CTN]]</f>
        <v>380 GR</v>
      </c>
      <c r="BG218" s="7" t="s">
        <v>653</v>
      </c>
      <c r="BH218" s="51" t="s">
        <v>654</v>
      </c>
      <c r="BI218" s="4" t="str">
        <f>IF(Table43[[#This Row],[SATUAN Fix Win]]&lt;&gt;"","KRT")</f>
        <v>KRT</v>
      </c>
      <c r="BJ218" s="4" t="str">
        <f>IF(Table43[[#This Row],[SATUAN Fix Win]]&lt;&gt;"","GD01")</f>
        <v>GD01</v>
      </c>
      <c r="BK218" s="4">
        <f>IF(Table43[[#This Row],[SATUAN Fix Win]]&lt;&gt;"",11611)</f>
        <v>11611</v>
      </c>
      <c r="BL218" s="4">
        <f>IF(Table43[[#This Row],[SATUAN Fix Win]]&lt;&gt;"",11612)</f>
        <v>11612</v>
      </c>
      <c r="BM218" s="47" t="s">
        <v>655</v>
      </c>
      <c r="BN218" s="4">
        <f>IF(Table43[[#This Row],[SATUAN Fix Win]]&lt;&gt;"",1)</f>
        <v>1</v>
      </c>
      <c r="BO218" s="4" t="s">
        <v>656</v>
      </c>
      <c r="BP218" s="4">
        <f>IFERROR(VLOOKUP(Table43[[#This Row],[Kode Pcpl]],'[1]HEINZ ABC'!$A$4:$E$112,8,0),0)</f>
        <v>0</v>
      </c>
      <c r="BQ218" s="55">
        <f>Table43[[#This Row],[Harga Jual Pcs GT
(-PPN)]]-Table43[[#This Row],[HARGA NAIK GT]]</f>
        <v>14178.74</v>
      </c>
      <c r="BR218" s="4">
        <f>IF(Table43[[#This Row],[HARGA NAIK GT]]=0,Table43[[#This Row],[Harga Jual Pcs GT
(-PPN)]],Table43[[#This Row],[HARGA NAIK GT]])</f>
        <v>14178.74</v>
      </c>
      <c r="BS218">
        <f>IFERROR(VLOOKUP(Table43[[#This Row],[Kode Pcpl]],'[1]HEINZ ABC'!$A$4:$E$112,8,0),0)</f>
        <v>0</v>
      </c>
      <c r="BT218" s="58">
        <f>Table43[[#This Row],[Harga Jual Pcs GT
(-PPN)]]-BS218</f>
        <v>14178.74</v>
      </c>
      <c r="BU218">
        <f>IF(BS218=0,Table43[[#This Row],[Harga Jual Pcs MT
(-PPN)]])</f>
        <v>15313.037837837799</v>
      </c>
      <c r="BV218">
        <f>IFERROR(VLOOKUP(Table43[[#This Row],[Kode Pcpl]],[2]Pricelist!$A$4:$K$112,11,0),0)</f>
        <v>0</v>
      </c>
      <c r="BW218">
        <f>IFERROR(VLOOKUP(Table43[[#This Row],[Kode BARANG Win2]],[3]!RECKITT211216[[KDBRG]:[HRG_JL_PCS-PPN]],11,0),0)</f>
        <v>0</v>
      </c>
      <c r="BX218">
        <f t="shared" si="8"/>
        <v>0</v>
      </c>
    </row>
    <row r="219" spans="1:76" x14ac:dyDescent="0.25">
      <c r="A219" s="4" t="str">
        <f>CONCATENATE(Table43[[#This Row],[Kode BARANG Win2]],Table43[[#This Row],[No. Urut
Item Sama]])</f>
        <v>A11200060380102</v>
      </c>
      <c r="B219" s="7">
        <v>2</v>
      </c>
      <c r="C219" s="4">
        <v>190</v>
      </c>
      <c r="D219" s="27">
        <v>150221</v>
      </c>
      <c r="E219" s="27" t="s">
        <v>381</v>
      </c>
      <c r="F219" s="27" t="s">
        <v>400</v>
      </c>
      <c r="G219" s="27">
        <v>12</v>
      </c>
      <c r="H219" s="42" t="s">
        <v>2536</v>
      </c>
      <c r="I219" s="27" t="str">
        <f>Table43[[#This Row],[Nama Jenis Kemasan]]</f>
        <v>PCH</v>
      </c>
      <c r="J219" s="4" t="str">
        <f>TRIM(CONCATENATE(Table43[[#This Row],[Nama            KLP]]," ",Table43[[#This Row],[Nama            Sub KLP]]))</f>
        <v>SAMBAL</v>
      </c>
      <c r="K219" s="4" t="str">
        <f>CONCATENATE(Table43[[#This Row],[kode  2 Digit                (hrf+No)]],Table43[[#This Row],[kode  2 Digit                (Nomor)]],Table43[[#This Row],[kode  1 Digit                (Nomor)]])</f>
        <v>A1120</v>
      </c>
      <c r="L219" s="4" t="str">
        <f>IF(AG219="",CONCATENATE(Q219,S219,U219,W219,Y219,AA219,AC219,AE219,Table43[[#This Row],[Tanda Kode Revisi]]),CONCATENATE(Q219,S219,U219,W219,Y219,AA219,AC219,AG219))</f>
        <v>A1120006038010</v>
      </c>
      <c r="M219" s="11">
        <f t="shared" si="9"/>
        <v>14</v>
      </c>
      <c r="N219" s="14" t="str">
        <f>IF(AF219&lt;&gt;"",TRIM(UPPER(CONCATENATE(P219," ",R219," ",T219," ",V219," ",X219," ",Z219," ","X"," ",Table43[[#This Row],[ISI/CTN]]," ",AF219," ",AB219," ",AD219," ",AH219))),TRIM(UPPER(CONCATENATE(P219," ",R219," ",T219," ",V219," ",X219," ",Z219," ","X"," ",Table43[[#This Row],[ISI/CTN]]," ",AB219," ",AD219," ",AH219))))</f>
        <v>ABC SAMBAL ASLI 380 GR X 12 PCH</v>
      </c>
      <c r="O219" s="11">
        <f t="shared" si="10"/>
        <v>31</v>
      </c>
      <c r="P219" s="4" t="s">
        <v>28</v>
      </c>
      <c r="Q219" s="7" t="s">
        <v>85</v>
      </c>
      <c r="R219" s="4" t="s">
        <v>603</v>
      </c>
      <c r="S219" s="43">
        <v>12</v>
      </c>
      <c r="T219" s="44"/>
      <c r="U219" s="7">
        <v>0</v>
      </c>
      <c r="V219" s="44"/>
      <c r="W219" s="43" t="s">
        <v>1</v>
      </c>
      <c r="X219" s="4" t="s">
        <v>604</v>
      </c>
      <c r="Y219" s="45" t="s">
        <v>221</v>
      </c>
      <c r="Z219" s="4" t="s">
        <v>609</v>
      </c>
      <c r="AA219" s="45" t="s">
        <v>610</v>
      </c>
      <c r="AB219" s="4" t="s">
        <v>479</v>
      </c>
      <c r="AC219" s="7" t="s">
        <v>480</v>
      </c>
      <c r="AE219" s="7" t="s">
        <v>1</v>
      </c>
      <c r="AI219" s="7" t="s">
        <v>215</v>
      </c>
      <c r="AJ219" s="7">
        <v>1</v>
      </c>
      <c r="AL219" s="40">
        <f>Table43[[#This Row],[Harga Jual Pcs GT
(-PPN)]]-(Table43[[#This Row],[Harga Jual Pcs GT
(-PPN)]]*6%)</f>
        <v>13328.015600000001</v>
      </c>
      <c r="AM219" s="41">
        <f>Table43[[#This Row],[Harga Beli Pcs
(-PPN)]]*Table43[[#This Row],[ISI/CTN]]</f>
        <v>159936.18720000001</v>
      </c>
      <c r="AN219" s="41">
        <f>Table43[[#This Row],[Harga Beli Pcs
(-PPN)]]*1.11</f>
        <v>14794.097316000001</v>
      </c>
      <c r="AO219" s="41">
        <f>Table43[[#This Row],[Harga Beli Krt
(- PPN)]]*1.11</f>
        <v>177529.16779200002</v>
      </c>
      <c r="AP219" s="41">
        <v>14178.74</v>
      </c>
      <c r="AQ219" s="41">
        <f>Table43[[#This Row],[Harga Jual Pcs GT
(-PPN)]]*Table43[[#This Row],[ISI/CTN]]</f>
        <v>170144.88</v>
      </c>
      <c r="AR219" s="41">
        <f>Table43[[#This Row],[Harga Jual Pcs GT
(-PPN)]]*1.11</f>
        <v>15738.401400000001</v>
      </c>
      <c r="AS219" s="41">
        <f>Table43[[#This Row],[Harga Jual Krt GT
(- PPN)]]*1.11</f>
        <v>188860.81680000003</v>
      </c>
      <c r="AT219" s="41">
        <v>15313.037837837799</v>
      </c>
      <c r="AU219" s="41">
        <f>(Table43[[#This Row],[Harga Jual Pcs MT
(-PPN)]]*Table43[[#This Row],[ISI/CTN]])</f>
        <v>183756.45405405358</v>
      </c>
      <c r="AV219" s="41">
        <f>Table43[[#This Row],[Harga Jual Pcs MT
(-PPN)]]*1.11</f>
        <v>16997.471999999958</v>
      </c>
      <c r="AW219" s="41">
        <f>Table43[[#This Row],[Harga Jual Pcs MT
(+PPN)]]*Table43[[#This Row],[ISI/CTN]]</f>
        <v>203969.66399999949</v>
      </c>
      <c r="AX219" s="41"/>
      <c r="AY219" s="46">
        <v>45553</v>
      </c>
      <c r="AZ219" s="54">
        <v>45945</v>
      </c>
      <c r="BA219" s="7" t="str">
        <f ca="1">IF(TODAY()-Table43[[#This Row],[Efektif
Pembuatan]]&gt;60,"Lama","Baru")</f>
        <v>Lama</v>
      </c>
      <c r="BB219" s="7" t="str">
        <f ca="1">IF(TODAY()-Table43[[#This Row],[Efektif Naik Harga]]&lt;30,"Naik","Sama")</f>
        <v>Sama</v>
      </c>
      <c r="BC219" s="7" t="s">
        <v>235</v>
      </c>
      <c r="BD219" s="7" t="str">
        <f>IF(Table43[[#This Row],[Kode BARANG Win2]]&lt;&gt;"","IDR","")</f>
        <v>IDR</v>
      </c>
      <c r="BE219" s="7" t="str">
        <f>CONCATENATE(Table43[[#This Row],[kode  1 Digit
(Nomor)]],Table43[[#This Row],[kode  4 Digit                (Nomor)]])</f>
        <v>10380</v>
      </c>
      <c r="BF219" s="7" t="str">
        <f>Table43[[#This Row],[Nama            Gramasi atau Jumlah Pack per CTN]]</f>
        <v>380 GR</v>
      </c>
      <c r="BG219" s="7" t="s">
        <v>653</v>
      </c>
      <c r="BH219" s="51" t="s">
        <v>654</v>
      </c>
      <c r="BI219" s="4" t="str">
        <f>IF(Table43[[#This Row],[SATUAN Fix Win]]&lt;&gt;"","KRT")</f>
        <v>KRT</v>
      </c>
      <c r="BJ219" s="4" t="str">
        <f>IF(Table43[[#This Row],[SATUAN Fix Win]]&lt;&gt;"","GD01")</f>
        <v>GD01</v>
      </c>
      <c r="BK219" s="4">
        <f>IF(Table43[[#This Row],[SATUAN Fix Win]]&lt;&gt;"",11611)</f>
        <v>11611</v>
      </c>
      <c r="BL219" s="4">
        <f>IF(Table43[[#This Row],[SATUAN Fix Win]]&lt;&gt;"",11612)</f>
        <v>11612</v>
      </c>
      <c r="BM219" s="47" t="s">
        <v>655</v>
      </c>
      <c r="BN219" s="4">
        <f>IF(Table43[[#This Row],[SATUAN Fix Win]]&lt;&gt;"",1)</f>
        <v>1</v>
      </c>
      <c r="BO219" s="4" t="s">
        <v>656</v>
      </c>
      <c r="BP219" s="4">
        <f>IFERROR(VLOOKUP(Table43[[#This Row],[Kode Pcpl]],'[1]HEINZ ABC'!$A$4:$E$112,8,0),0)</f>
        <v>0</v>
      </c>
      <c r="BQ219" s="55">
        <f>Table43[[#This Row],[Harga Jual Pcs GT
(-PPN)]]-Table43[[#This Row],[HARGA NAIK GT]]</f>
        <v>14178.74</v>
      </c>
      <c r="BR219" s="4">
        <f>IF(Table43[[#This Row],[HARGA NAIK GT]]=0,Table43[[#This Row],[Harga Jual Pcs GT
(-PPN)]],Table43[[#This Row],[HARGA NAIK GT]])</f>
        <v>14178.74</v>
      </c>
      <c r="BS219">
        <f>IFERROR(VLOOKUP(Table43[[#This Row],[Kode Pcpl]],'[1]HEINZ ABC'!$A$4:$E$112,8,0),0)</f>
        <v>0</v>
      </c>
      <c r="BT219" s="58">
        <f>Table43[[#This Row],[Harga Jual Pcs GT
(-PPN)]]-BS219</f>
        <v>14178.74</v>
      </c>
      <c r="BU219">
        <f>IF(BS219=0,Table43[[#This Row],[Harga Jual Pcs MT
(-PPN)]])</f>
        <v>15313.037837837799</v>
      </c>
      <c r="BV219">
        <f>IFERROR(VLOOKUP(Table43[[#This Row],[Kode Pcpl]],[2]Pricelist!$A$4:$K$112,11,0),0)</f>
        <v>0</v>
      </c>
      <c r="BW219">
        <f>IFERROR(VLOOKUP(Table43[[#This Row],[Kode BARANG Win2]],[3]!RECKITT211216[[KDBRG]:[HRG_JL_PCS-PPN]],11,0),0)</f>
        <v>0</v>
      </c>
      <c r="BX219">
        <f t="shared" si="8"/>
        <v>0</v>
      </c>
    </row>
    <row r="220" spans="1:76" x14ac:dyDescent="0.25">
      <c r="A220" s="4" t="str">
        <f>CONCATENATE(Table43[[#This Row],[Kode BARANG Win2]],Table43[[#This Row],[No. Urut
Item Sama]])</f>
        <v>A11200060380103</v>
      </c>
      <c r="B220" s="7">
        <v>3</v>
      </c>
      <c r="C220" s="4">
        <v>191</v>
      </c>
      <c r="D220" s="27">
        <v>150325</v>
      </c>
      <c r="E220" s="27" t="s">
        <v>381</v>
      </c>
      <c r="F220" s="27" t="s">
        <v>400</v>
      </c>
      <c r="G220" s="27">
        <v>12</v>
      </c>
      <c r="H220" s="42" t="s">
        <v>2479</v>
      </c>
      <c r="I220" s="27" t="str">
        <f>Table43[[#This Row],[Nama Jenis Kemasan]]</f>
        <v>PCH</v>
      </c>
      <c r="J220" s="4" t="str">
        <f>TRIM(CONCATENATE(Table43[[#This Row],[Nama            KLP]]," ",Table43[[#This Row],[Nama            Sub KLP]]))</f>
        <v>SAMBAL</v>
      </c>
      <c r="K220" s="4" t="str">
        <f>CONCATENATE(Table43[[#This Row],[kode  2 Digit                (hrf+No)]],Table43[[#This Row],[kode  2 Digit                (Nomor)]],Table43[[#This Row],[kode  1 Digit                (Nomor)]])</f>
        <v>A1120</v>
      </c>
      <c r="L220" s="4" t="str">
        <f>IF(AG220="",CONCATENATE(Q220,S220,U220,W220,Y220,AA220,AC220,AE220,Table43[[#This Row],[Tanda Kode Revisi]]),CONCATENATE(Q220,S220,U220,W220,Y220,AA220,AC220,AG220))</f>
        <v>A1120006038010</v>
      </c>
      <c r="M220" s="11">
        <f t="shared" si="9"/>
        <v>14</v>
      </c>
      <c r="N220" s="14" t="str">
        <f>IF(AF220&lt;&gt;"",TRIM(UPPER(CONCATENATE(P220," ",R220," ",T220," ",V220," ",X220," ",Z220," ","X"," ",Table43[[#This Row],[ISI/CTN]]," ",AF220," ",AB220," ",AD220," ",AH220))),TRIM(UPPER(CONCATENATE(P220," ",R220," ",T220," ",V220," ",X220," ",Z220," ","X"," ",Table43[[#This Row],[ISI/CTN]]," ",AB220," ",AD220," ",AH220))))</f>
        <v>ABC SAMBAL ASLI 380 GR X 12 PCH</v>
      </c>
      <c r="O220" s="11">
        <f t="shared" si="10"/>
        <v>31</v>
      </c>
      <c r="P220" s="4" t="s">
        <v>28</v>
      </c>
      <c r="Q220" s="7" t="s">
        <v>85</v>
      </c>
      <c r="R220" s="4" t="s">
        <v>603</v>
      </c>
      <c r="S220" s="43">
        <v>12</v>
      </c>
      <c r="T220" s="44"/>
      <c r="U220" s="7">
        <v>0</v>
      </c>
      <c r="V220" s="44"/>
      <c r="W220" s="43" t="s">
        <v>1</v>
      </c>
      <c r="X220" s="4" t="s">
        <v>604</v>
      </c>
      <c r="Y220" s="45" t="s">
        <v>221</v>
      </c>
      <c r="Z220" s="4" t="s">
        <v>609</v>
      </c>
      <c r="AA220" s="45" t="s">
        <v>610</v>
      </c>
      <c r="AB220" s="4" t="s">
        <v>479</v>
      </c>
      <c r="AC220" s="7" t="s">
        <v>480</v>
      </c>
      <c r="AE220" s="7" t="s">
        <v>1</v>
      </c>
      <c r="AI220" s="7" t="s">
        <v>215</v>
      </c>
      <c r="AJ220" s="7">
        <v>1</v>
      </c>
      <c r="AL220" s="40">
        <f>Table43[[#This Row],[Harga Jual Pcs GT
(-PPN)]]-(Table43[[#This Row],[Harga Jual Pcs GT
(-PPN)]]*6%)</f>
        <v>13328.015600000001</v>
      </c>
      <c r="AM220" s="41">
        <f>Table43[[#This Row],[Harga Beli Pcs
(-PPN)]]*Table43[[#This Row],[ISI/CTN]]</f>
        <v>159936.18720000001</v>
      </c>
      <c r="AN220" s="41">
        <f>Table43[[#This Row],[Harga Beli Pcs
(-PPN)]]*1.11</f>
        <v>14794.097316000001</v>
      </c>
      <c r="AO220" s="41">
        <f>Table43[[#This Row],[Harga Beli Krt
(- PPN)]]*1.11</f>
        <v>177529.16779200002</v>
      </c>
      <c r="AP220" s="41">
        <v>14178.74</v>
      </c>
      <c r="AQ220" s="41">
        <f>Table43[[#This Row],[Harga Jual Pcs GT
(-PPN)]]*Table43[[#This Row],[ISI/CTN]]</f>
        <v>170144.88</v>
      </c>
      <c r="AR220" s="41">
        <f>Table43[[#This Row],[Harga Jual Pcs GT
(-PPN)]]*1.11</f>
        <v>15738.401400000001</v>
      </c>
      <c r="AS220" s="41">
        <f>Table43[[#This Row],[Harga Jual Krt GT
(- PPN)]]*1.11</f>
        <v>188860.81680000003</v>
      </c>
      <c r="AT220" s="41">
        <v>15313.037837837799</v>
      </c>
      <c r="AU220" s="41">
        <f>(Table43[[#This Row],[Harga Jual Pcs MT
(-PPN)]]*Table43[[#This Row],[ISI/CTN]])</f>
        <v>183756.45405405358</v>
      </c>
      <c r="AV220" s="41">
        <f>Table43[[#This Row],[Harga Jual Pcs MT
(-PPN)]]*1.11</f>
        <v>16997.471999999958</v>
      </c>
      <c r="AW220" s="41">
        <f>Table43[[#This Row],[Harga Jual Pcs MT
(+PPN)]]*Table43[[#This Row],[ISI/CTN]]</f>
        <v>203969.66399999949</v>
      </c>
      <c r="AX220" s="41"/>
      <c r="AY220" s="46">
        <v>45587</v>
      </c>
      <c r="AZ220" s="54">
        <v>45945</v>
      </c>
      <c r="BA220" s="7" t="str">
        <f ca="1">IF(TODAY()-Table43[[#This Row],[Efektif
Pembuatan]]&gt;60,"Lama","Baru")</f>
        <v>Lama</v>
      </c>
      <c r="BB220" s="7" t="str">
        <f ca="1">IF(TODAY()-Table43[[#This Row],[Efektif Naik Harga]]&lt;30,"Naik","Sama")</f>
        <v>Sama</v>
      </c>
      <c r="BC220" s="7" t="s">
        <v>235</v>
      </c>
      <c r="BD220" s="7" t="str">
        <f>IF(Table43[[#This Row],[Kode BARANG Win2]]&lt;&gt;"","IDR","")</f>
        <v>IDR</v>
      </c>
      <c r="BE220" s="7" t="str">
        <f>CONCATENATE(Table43[[#This Row],[kode  1 Digit
(Nomor)]],Table43[[#This Row],[kode  4 Digit                (Nomor)]])</f>
        <v>10380</v>
      </c>
      <c r="BF220" s="7" t="str">
        <f>Table43[[#This Row],[Nama            Gramasi atau Jumlah Pack per CTN]]</f>
        <v>380 GR</v>
      </c>
      <c r="BG220" s="7" t="s">
        <v>653</v>
      </c>
      <c r="BH220" s="51" t="s">
        <v>654</v>
      </c>
      <c r="BI220" s="4" t="str">
        <f>IF(Table43[[#This Row],[SATUAN Fix Win]]&lt;&gt;"","KRT")</f>
        <v>KRT</v>
      </c>
      <c r="BJ220" s="4" t="str">
        <f>IF(Table43[[#This Row],[SATUAN Fix Win]]&lt;&gt;"","GD01")</f>
        <v>GD01</v>
      </c>
      <c r="BK220" s="4">
        <f>IF(Table43[[#This Row],[SATUAN Fix Win]]&lt;&gt;"",11611)</f>
        <v>11611</v>
      </c>
      <c r="BL220" s="4">
        <f>IF(Table43[[#This Row],[SATUAN Fix Win]]&lt;&gt;"",11612)</f>
        <v>11612</v>
      </c>
      <c r="BM220" s="47" t="s">
        <v>655</v>
      </c>
      <c r="BN220" s="4">
        <f>IF(Table43[[#This Row],[SATUAN Fix Win]]&lt;&gt;"",1)</f>
        <v>1</v>
      </c>
      <c r="BO220" s="4" t="s">
        <v>656</v>
      </c>
      <c r="BP220" s="4">
        <f>IFERROR(VLOOKUP(Table43[[#This Row],[Kode Pcpl]],'[1]HEINZ ABC'!$A$4:$E$112,8,0),0)</f>
        <v>0</v>
      </c>
      <c r="BQ220" s="55">
        <f>Table43[[#This Row],[Harga Jual Pcs GT
(-PPN)]]-Table43[[#This Row],[HARGA NAIK GT]]</f>
        <v>14178.74</v>
      </c>
      <c r="BR220" s="4">
        <f>IF(Table43[[#This Row],[HARGA NAIK GT]]=0,Table43[[#This Row],[Harga Jual Pcs GT
(-PPN)]],Table43[[#This Row],[HARGA NAIK GT]])</f>
        <v>14178.74</v>
      </c>
      <c r="BS220">
        <f>IFERROR(VLOOKUP(Table43[[#This Row],[Kode Pcpl]],'[1]HEINZ ABC'!$A$4:$E$112,8,0),0)</f>
        <v>0</v>
      </c>
      <c r="BT220" s="58">
        <f>Table43[[#This Row],[Harga Jual Pcs GT
(-PPN)]]-BS220</f>
        <v>14178.74</v>
      </c>
      <c r="BU220">
        <f>IF(BS220=0,Table43[[#This Row],[Harga Jual Pcs MT
(-PPN)]])</f>
        <v>15313.037837837799</v>
      </c>
      <c r="BV220">
        <f>IFERROR(VLOOKUP(Table43[[#This Row],[Kode Pcpl]],[2]Pricelist!$A$4:$K$112,11,0),0)</f>
        <v>0</v>
      </c>
      <c r="BW220">
        <f>IFERROR(VLOOKUP(Table43[[#This Row],[Kode BARANG Win2]],[3]!RECKITT211216[[KDBRG]:[HRG_JL_PCS-PPN]],11,0),0)</f>
        <v>0</v>
      </c>
      <c r="BX220">
        <f t="shared" si="8"/>
        <v>0</v>
      </c>
    </row>
    <row r="221" spans="1:76" x14ac:dyDescent="0.25">
      <c r="A221" s="4" t="str">
        <f>CONCATENATE(Table43[[#This Row],[Kode BARANG Win2]],Table43[[#This Row],[No. Urut
Item Sama]])</f>
        <v>A11200060600101</v>
      </c>
      <c r="B221" s="7">
        <v>1</v>
      </c>
      <c r="C221" s="4">
        <v>192</v>
      </c>
      <c r="D221" s="27">
        <v>150188</v>
      </c>
      <c r="E221" s="27" t="s">
        <v>381</v>
      </c>
      <c r="F221" s="27" t="s">
        <v>401</v>
      </c>
      <c r="G221" s="27">
        <v>12</v>
      </c>
      <c r="H221" s="42" t="s">
        <v>2561</v>
      </c>
      <c r="I221" s="27" t="str">
        <f>Table43[[#This Row],[Nama Jenis Kemasan]]</f>
        <v>BTL</v>
      </c>
      <c r="J221" s="4" t="str">
        <f>TRIM(CONCATENATE(Table43[[#This Row],[Nama            KLP]]," ",Table43[[#This Row],[Nama            Sub KLP]]))</f>
        <v>SAMBAL</v>
      </c>
      <c r="K221" s="4" t="str">
        <f>CONCATENATE(Table43[[#This Row],[kode  2 Digit                (hrf+No)]],Table43[[#This Row],[kode  2 Digit                (Nomor)]],Table43[[#This Row],[kode  1 Digit                (Nomor)]])</f>
        <v>A1120</v>
      </c>
      <c r="L221" s="4" t="str">
        <f>IF(AG221="",CONCATENATE(Q221,S221,U221,W221,Y221,AA221,AC221,AE221,Table43[[#This Row],[Tanda Kode Revisi]]),CONCATENATE(Q221,S221,U221,W221,Y221,AA221,AC221,AG221))</f>
        <v>A1120006060010</v>
      </c>
      <c r="M221" s="11">
        <f t="shared" si="9"/>
        <v>14</v>
      </c>
      <c r="N221" s="14" t="str">
        <f>IF(AF221&lt;&gt;"",TRIM(UPPER(CONCATENATE(P221," ",R221," ",T221," ",V221," ",X221," ",Z221," ","X"," ",Table43[[#This Row],[ISI/CTN]]," ",AF221," ",AB221," ",AD221," ",AH221))),TRIM(UPPER(CONCATENATE(P221," ",R221," ",T221," ",V221," ",X221," ",Z221," ","X"," ",Table43[[#This Row],[ISI/CTN]]," ",AB221," ",AD221," ",AH221))))</f>
        <v>ABC SAMBAL ASLI 600 ML X 12 BTL</v>
      </c>
      <c r="O221" s="11">
        <f t="shared" si="10"/>
        <v>31</v>
      </c>
      <c r="P221" s="4" t="s">
        <v>28</v>
      </c>
      <c r="Q221" s="7" t="s">
        <v>85</v>
      </c>
      <c r="R221" s="4" t="s">
        <v>603</v>
      </c>
      <c r="S221" s="43">
        <v>12</v>
      </c>
      <c r="T221" s="44"/>
      <c r="U221" s="7">
        <v>0</v>
      </c>
      <c r="V221" s="44"/>
      <c r="W221" s="43" t="s">
        <v>1</v>
      </c>
      <c r="X221" s="4" t="s">
        <v>604</v>
      </c>
      <c r="Y221" s="45" t="s">
        <v>221</v>
      </c>
      <c r="Z221" s="4" t="s">
        <v>497</v>
      </c>
      <c r="AA221" s="45" t="s">
        <v>218</v>
      </c>
      <c r="AB221" s="4" t="s">
        <v>486</v>
      </c>
      <c r="AC221" s="7" t="s">
        <v>480</v>
      </c>
      <c r="AE221" s="7" t="s">
        <v>1</v>
      </c>
      <c r="AI221" s="7" t="s">
        <v>214</v>
      </c>
      <c r="AJ221" s="7">
        <v>2</v>
      </c>
      <c r="AL221" s="40">
        <f>Table43[[#This Row],[Harga Jual Pcs GT
(-PPN)]]-(Table43[[#This Row],[Harga Jual Pcs GT
(-PPN)]]*6%)</f>
        <v>22898.738400000002</v>
      </c>
      <c r="AM221" s="41">
        <f>Table43[[#This Row],[Harga Beli Pcs
(-PPN)]]*Table43[[#This Row],[ISI/CTN]]</f>
        <v>274784.86080000002</v>
      </c>
      <c r="AN221" s="41">
        <f>Table43[[#This Row],[Harga Beli Pcs
(-PPN)]]*1.11</f>
        <v>25417.599624000006</v>
      </c>
      <c r="AO221" s="41">
        <f>Table43[[#This Row],[Harga Beli Krt
(- PPN)]]*1.11</f>
        <v>305011.19548800006</v>
      </c>
      <c r="AP221" s="41">
        <v>24360.36</v>
      </c>
      <c r="AQ221" s="41">
        <f>Table43[[#This Row],[Harga Jual Pcs GT
(-PPN)]]*Table43[[#This Row],[ISI/CTN]]</f>
        <v>292324.32</v>
      </c>
      <c r="AR221" s="41">
        <f>Table43[[#This Row],[Harga Jual Pcs GT
(-PPN)]]*1.11</f>
        <v>27039.999600000003</v>
      </c>
      <c r="AS221" s="41">
        <f>Table43[[#This Row],[Harga Jual Krt GT
(- PPN)]]*1.11</f>
        <v>324479.99520000006</v>
      </c>
      <c r="AT221" s="41">
        <v>26309.19</v>
      </c>
      <c r="AU221" s="41">
        <f>(Table43[[#This Row],[Harga Jual Pcs MT
(-PPN)]]*Table43[[#This Row],[ISI/CTN]])</f>
        <v>315710.27999999997</v>
      </c>
      <c r="AV221" s="41">
        <f>Table43[[#This Row],[Harga Jual Pcs MT
(-PPN)]]*1.11</f>
        <v>29203.2009</v>
      </c>
      <c r="AW221" s="41">
        <f>Table43[[#This Row],[Harga Jual Pcs MT
(+PPN)]]*Table43[[#This Row],[ISI/CTN]]</f>
        <v>350438.41080000001</v>
      </c>
      <c r="AX221" s="41"/>
      <c r="AY221" s="46">
        <v>45553</v>
      </c>
      <c r="AZ221" s="54">
        <v>45553</v>
      </c>
      <c r="BA221" s="7" t="str">
        <f ca="1">IF(TODAY()-Table43[[#This Row],[Efektif
Pembuatan]]&gt;60,"Lama","Baru")</f>
        <v>Lama</v>
      </c>
      <c r="BB221" s="7" t="str">
        <f ca="1">IF(TODAY()-Table43[[#This Row],[Efektif Naik Harga]]&lt;30,"Naik","Sama")</f>
        <v>Sama</v>
      </c>
      <c r="BC221" s="7" t="s">
        <v>235</v>
      </c>
      <c r="BD221" s="7" t="str">
        <f>IF(Table43[[#This Row],[Kode BARANG Win2]]&lt;&gt;"","IDR","")</f>
        <v>IDR</v>
      </c>
      <c r="BE221" s="7" t="str">
        <f>CONCATENATE(Table43[[#This Row],[kode  1 Digit
(Nomor)]],Table43[[#This Row],[kode  4 Digit                (Nomor)]])</f>
        <v>20600</v>
      </c>
      <c r="BF221" s="7" t="str">
        <f>Table43[[#This Row],[Nama            Gramasi atau Jumlah Pack per CTN]]</f>
        <v>600 ML</v>
      </c>
      <c r="BG221" s="7" t="s">
        <v>653</v>
      </c>
      <c r="BH221" s="51" t="s">
        <v>654</v>
      </c>
      <c r="BI221" s="4" t="str">
        <f>IF(Table43[[#This Row],[SATUAN Fix Win]]&lt;&gt;"","KRT")</f>
        <v>KRT</v>
      </c>
      <c r="BJ221" s="4" t="str">
        <f>IF(Table43[[#This Row],[SATUAN Fix Win]]&lt;&gt;"","GD01")</f>
        <v>GD01</v>
      </c>
      <c r="BK221" s="4">
        <f>IF(Table43[[#This Row],[SATUAN Fix Win]]&lt;&gt;"",11611)</f>
        <v>11611</v>
      </c>
      <c r="BL221" s="4">
        <f>IF(Table43[[#This Row],[SATUAN Fix Win]]&lt;&gt;"",11612)</f>
        <v>11612</v>
      </c>
      <c r="BM221" s="47" t="s">
        <v>655</v>
      </c>
      <c r="BN221" s="4">
        <f>IF(Table43[[#This Row],[SATUAN Fix Win]]&lt;&gt;"",1)</f>
        <v>1</v>
      </c>
      <c r="BO221" s="4" t="s">
        <v>656</v>
      </c>
      <c r="BP221" s="4">
        <f>IFERROR(VLOOKUP(Table43[[#This Row],[Kode Pcpl]],'[1]HEINZ ABC'!$A$4:$E$112,8,0),0)</f>
        <v>0</v>
      </c>
      <c r="BQ221" s="55">
        <f>Table43[[#This Row],[Harga Jual Pcs GT
(-PPN)]]-Table43[[#This Row],[HARGA NAIK GT]]</f>
        <v>24360.36</v>
      </c>
      <c r="BR221" s="4">
        <f>IF(Table43[[#This Row],[HARGA NAIK GT]]=0,Table43[[#This Row],[Harga Jual Pcs GT
(-PPN)]],Table43[[#This Row],[HARGA NAIK GT]])</f>
        <v>24360.36</v>
      </c>
      <c r="BS221">
        <f>IFERROR(VLOOKUP(Table43[[#This Row],[Kode Pcpl]],'[1]HEINZ ABC'!$A$4:$E$112,8,0),0)</f>
        <v>0</v>
      </c>
      <c r="BT221" s="58">
        <f>Table43[[#This Row],[Harga Jual Pcs GT
(-PPN)]]-BS221</f>
        <v>24360.36</v>
      </c>
      <c r="BU221">
        <f>IF(BS221=0,Table43[[#This Row],[Harga Jual Pcs MT
(-PPN)]])</f>
        <v>26309.19</v>
      </c>
      <c r="BV221">
        <f>IFERROR(VLOOKUP(Table43[[#This Row],[Kode Pcpl]],[2]Pricelist!$A$4:$K$112,11,0),0)</f>
        <v>0</v>
      </c>
      <c r="BW221">
        <f>IFERROR(VLOOKUP(Table43[[#This Row],[Kode BARANG Win2]],[3]!RECKITT211216[[KDBRG]:[HRG_JL_PCS-PPN]],11,0),0)</f>
        <v>0</v>
      </c>
      <c r="BX221">
        <f t="shared" si="8"/>
        <v>0</v>
      </c>
    </row>
    <row r="222" spans="1:76" x14ac:dyDescent="0.25">
      <c r="A222" s="4" t="str">
        <f>CONCATENATE(Table43[[#This Row],[Kode BARANG Win2]],Table43[[#This Row],[No. Urut
Item Sama]])</f>
        <v>A11200060600102</v>
      </c>
      <c r="B222" s="7">
        <v>2</v>
      </c>
      <c r="C222" s="4">
        <v>193</v>
      </c>
      <c r="D222" s="27">
        <v>150332</v>
      </c>
      <c r="E222" s="27" t="s">
        <v>381</v>
      </c>
      <c r="F222" s="27" t="s">
        <v>402</v>
      </c>
      <c r="G222" s="27">
        <v>12</v>
      </c>
      <c r="H222" s="42" t="s">
        <v>2473</v>
      </c>
      <c r="I222" s="27" t="str">
        <f>Table43[[#This Row],[Nama Jenis Kemasan]]</f>
        <v>BTL</v>
      </c>
      <c r="J222" s="4" t="str">
        <f>TRIM(CONCATENATE(Table43[[#This Row],[Nama            KLP]]," ",Table43[[#This Row],[Nama            Sub KLP]]))</f>
        <v>SAMBAL</v>
      </c>
      <c r="K222" s="4" t="str">
        <f>CONCATENATE(Table43[[#This Row],[kode  2 Digit                (hrf+No)]],Table43[[#This Row],[kode  2 Digit                (Nomor)]],Table43[[#This Row],[kode  1 Digit                (Nomor)]])</f>
        <v>A1120</v>
      </c>
      <c r="L222" s="4" t="str">
        <f>IF(AG222="",CONCATENATE(Q222,S222,U222,W222,Y222,AA222,AC222,AE222,Table43[[#This Row],[Tanda Kode Revisi]]),CONCATENATE(Q222,S222,U222,W222,Y222,AA222,AC222,AG222))</f>
        <v>A1120006060010</v>
      </c>
      <c r="M222" s="11">
        <f t="shared" si="9"/>
        <v>14</v>
      </c>
      <c r="N222" s="14" t="str">
        <f>IF(AF222&lt;&gt;"",TRIM(UPPER(CONCATENATE(P222," ",R222," ",T222," ",V222," ",X222," ",Z222," ","X"," ",Table43[[#This Row],[ISI/CTN]]," ",AF222," ",AB222," ",AD222," ",AH222))),TRIM(UPPER(CONCATENATE(P222," ",R222," ",T222," ",V222," ",X222," ",Z222," ","X"," ",Table43[[#This Row],[ISI/CTN]]," ",AB222," ",AD222," ",AH222))))</f>
        <v>ABC SAMBAL ASLI 600 ML X 12 BTL</v>
      </c>
      <c r="O222" s="11">
        <f t="shared" si="10"/>
        <v>31</v>
      </c>
      <c r="P222" s="4" t="s">
        <v>28</v>
      </c>
      <c r="Q222" s="7" t="s">
        <v>85</v>
      </c>
      <c r="R222" s="4" t="s">
        <v>603</v>
      </c>
      <c r="S222" s="43">
        <v>12</v>
      </c>
      <c r="T222" s="44"/>
      <c r="U222" s="7">
        <v>0</v>
      </c>
      <c r="V222" s="44"/>
      <c r="W222" s="43" t="s">
        <v>1</v>
      </c>
      <c r="X222" s="4" t="s">
        <v>604</v>
      </c>
      <c r="Y222" s="45" t="s">
        <v>221</v>
      </c>
      <c r="Z222" s="4" t="s">
        <v>497</v>
      </c>
      <c r="AA222" s="45" t="s">
        <v>218</v>
      </c>
      <c r="AB222" s="4" t="s">
        <v>486</v>
      </c>
      <c r="AC222" s="7" t="s">
        <v>480</v>
      </c>
      <c r="AE222" s="7" t="s">
        <v>1</v>
      </c>
      <c r="AI222" s="7" t="s">
        <v>214</v>
      </c>
      <c r="AJ222" s="7">
        <v>2</v>
      </c>
      <c r="AL222" s="40">
        <f>Table43[[#This Row],[Harga Jual Pcs GT
(-PPN)]]-(Table43[[#This Row],[Harga Jual Pcs GT
(-PPN)]]*6%)</f>
        <v>22898.738400000002</v>
      </c>
      <c r="AM222" s="41">
        <f>Table43[[#This Row],[Harga Beli Pcs
(-PPN)]]*Table43[[#This Row],[ISI/CTN]]</f>
        <v>274784.86080000002</v>
      </c>
      <c r="AN222" s="41">
        <f>Table43[[#This Row],[Harga Beli Pcs
(-PPN)]]*1.11</f>
        <v>25417.599624000006</v>
      </c>
      <c r="AO222" s="41">
        <f>Table43[[#This Row],[Harga Beli Krt
(- PPN)]]*1.11</f>
        <v>305011.19548800006</v>
      </c>
      <c r="AP222" s="41">
        <v>24360.36</v>
      </c>
      <c r="AQ222" s="41">
        <f>Table43[[#This Row],[Harga Jual Pcs GT
(-PPN)]]*Table43[[#This Row],[ISI/CTN]]</f>
        <v>292324.32</v>
      </c>
      <c r="AR222" s="41">
        <f>Table43[[#This Row],[Harga Jual Pcs GT
(-PPN)]]*1.11</f>
        <v>27039.999600000003</v>
      </c>
      <c r="AS222" s="41">
        <f>Table43[[#This Row],[Harga Jual Krt GT
(- PPN)]]*1.11</f>
        <v>324479.99520000006</v>
      </c>
      <c r="AT222" s="41">
        <v>26309.19</v>
      </c>
      <c r="AU222" s="41">
        <f>(Table43[[#This Row],[Harga Jual Pcs MT
(-PPN)]]*Table43[[#This Row],[ISI/CTN]])</f>
        <v>315710.27999999997</v>
      </c>
      <c r="AV222" s="41">
        <f>Table43[[#This Row],[Harga Jual Pcs MT
(-PPN)]]*1.11</f>
        <v>29203.2009</v>
      </c>
      <c r="AW222" s="41">
        <f>Table43[[#This Row],[Harga Jual Pcs MT
(+PPN)]]*Table43[[#This Row],[ISI/CTN]]</f>
        <v>350438.41080000001</v>
      </c>
      <c r="AX222" s="41"/>
      <c r="AY222" s="46"/>
      <c r="AZ222" s="54">
        <v>45553</v>
      </c>
      <c r="BA222" s="7" t="str">
        <f ca="1">IF(TODAY()-Table43[[#This Row],[Efektif
Pembuatan]]&gt;60,"Lama","Baru")</f>
        <v>Lama</v>
      </c>
      <c r="BB222" s="7" t="str">
        <f ca="1">IF(TODAY()-Table43[[#This Row],[Efektif Naik Harga]]&lt;30,"Naik","Sama")</f>
        <v>Sama</v>
      </c>
      <c r="BC222" s="7" t="s">
        <v>235</v>
      </c>
      <c r="BD222" s="7" t="str">
        <f>IF(Table43[[#This Row],[Kode BARANG Win2]]&lt;&gt;"","IDR","")</f>
        <v>IDR</v>
      </c>
      <c r="BE222" s="7" t="str">
        <f>CONCATENATE(Table43[[#This Row],[kode  1 Digit
(Nomor)]],Table43[[#This Row],[kode  4 Digit                (Nomor)]])</f>
        <v>20600</v>
      </c>
      <c r="BF222" s="7" t="str">
        <f>Table43[[#This Row],[Nama            Gramasi atau Jumlah Pack per CTN]]</f>
        <v>600 ML</v>
      </c>
      <c r="BG222" s="7" t="s">
        <v>653</v>
      </c>
      <c r="BH222" s="51" t="s">
        <v>654</v>
      </c>
      <c r="BI222" s="4" t="str">
        <f>IF(Table43[[#This Row],[SATUAN Fix Win]]&lt;&gt;"","KRT")</f>
        <v>KRT</v>
      </c>
      <c r="BJ222" s="4" t="str">
        <f>IF(Table43[[#This Row],[SATUAN Fix Win]]&lt;&gt;"","GD01")</f>
        <v>GD01</v>
      </c>
      <c r="BK222" s="4">
        <f>IF(Table43[[#This Row],[SATUAN Fix Win]]&lt;&gt;"",11611)</f>
        <v>11611</v>
      </c>
      <c r="BL222" s="4">
        <f>IF(Table43[[#This Row],[SATUAN Fix Win]]&lt;&gt;"",11612)</f>
        <v>11612</v>
      </c>
      <c r="BM222" s="47" t="s">
        <v>655</v>
      </c>
      <c r="BN222" s="4">
        <f>IF(Table43[[#This Row],[SATUAN Fix Win]]&lt;&gt;"",1)</f>
        <v>1</v>
      </c>
      <c r="BO222" s="4" t="s">
        <v>656</v>
      </c>
      <c r="BP222" s="4">
        <f>IFERROR(VLOOKUP(Table43[[#This Row],[Kode Pcpl]],'[1]HEINZ ABC'!$A$4:$E$112,8,0),0)</f>
        <v>0</v>
      </c>
      <c r="BQ222" s="55">
        <f>Table43[[#This Row],[Harga Jual Pcs GT
(-PPN)]]-Table43[[#This Row],[HARGA NAIK GT]]</f>
        <v>24360.36</v>
      </c>
      <c r="BR222" s="4">
        <f>IF(Table43[[#This Row],[HARGA NAIK GT]]=0,Table43[[#This Row],[Harga Jual Pcs GT
(-PPN)]],Table43[[#This Row],[HARGA NAIK GT]])</f>
        <v>24360.36</v>
      </c>
      <c r="BS222">
        <f>IFERROR(VLOOKUP(Table43[[#This Row],[Kode Pcpl]],'[1]HEINZ ABC'!$A$4:$E$112,8,0),0)</f>
        <v>0</v>
      </c>
      <c r="BT222" s="58">
        <f>Table43[[#This Row],[Harga Jual Pcs GT
(-PPN)]]-BS222</f>
        <v>24360.36</v>
      </c>
      <c r="BU222">
        <f>IF(BS222=0,Table43[[#This Row],[Harga Jual Pcs MT
(-PPN)]])</f>
        <v>26309.19</v>
      </c>
      <c r="BV222">
        <f>IFERROR(VLOOKUP(Table43[[#This Row],[Kode Pcpl]],[2]Pricelist!$A$4:$K$112,11,0),0)</f>
        <v>0</v>
      </c>
      <c r="BW222">
        <f>IFERROR(VLOOKUP(Table43[[#This Row],[Kode BARANG Win2]],[3]!RECKITT211216[[KDBRG]:[HRG_JL_PCS-PPN]],11,0),0)</f>
        <v>0</v>
      </c>
      <c r="BX222">
        <f t="shared" si="8"/>
        <v>0</v>
      </c>
    </row>
    <row r="223" spans="1:76" x14ac:dyDescent="0.25">
      <c r="A223" s="4" t="str">
        <f>CONCATENATE(Table43[[#This Row],[Kode BARANG Win2]],Table43[[#This Row],[No. Urut
Item Sama]])</f>
        <v>A11200060690101</v>
      </c>
      <c r="B223" s="7">
        <v>1</v>
      </c>
      <c r="C223" s="4">
        <v>194</v>
      </c>
      <c r="D223" s="27">
        <v>150320</v>
      </c>
      <c r="E223" s="27" t="s">
        <v>381</v>
      </c>
      <c r="F223" s="27" t="s">
        <v>403</v>
      </c>
      <c r="G223" s="27">
        <v>6</v>
      </c>
      <c r="H223" s="42">
        <v>0</v>
      </c>
      <c r="I223" s="27" t="str">
        <f>Table43[[#This Row],[Nama Jenis Kemasan]]</f>
        <v>PCS</v>
      </c>
      <c r="J223" s="4" t="str">
        <f>TRIM(CONCATENATE(Table43[[#This Row],[Nama            KLP]]," ",Table43[[#This Row],[Nama            Sub KLP]]))</f>
        <v>SAMBAL</v>
      </c>
      <c r="K223" s="4" t="str">
        <f>CONCATENATE(Table43[[#This Row],[kode  2 Digit                (hrf+No)]],Table43[[#This Row],[kode  2 Digit                (Nomor)]],Table43[[#This Row],[kode  1 Digit                (Nomor)]])</f>
        <v>A1120</v>
      </c>
      <c r="L223" s="4" t="str">
        <f>IF(AG223="",CONCATENATE(Q223,S223,U223,W223,Y223,AA223,AC223,AE223,Table43[[#This Row],[Tanda Kode Revisi]]),CONCATENATE(Q223,S223,U223,W223,Y223,AA223,AC223,AG223))</f>
        <v>A1120006069010</v>
      </c>
      <c r="M223" s="11">
        <f t="shared" si="9"/>
        <v>14</v>
      </c>
      <c r="N223" s="14" t="str">
        <f>IF(AF223&lt;&gt;"",TRIM(UPPER(CONCATENATE(P223," ",R223," ",T223," ",V223," ",X223," ",Z223," ","X"," ",Table43[[#This Row],[ISI/CTN]]," ",AF223," ",AB223," ",AD223," ",AH223))),TRIM(UPPER(CONCATENATE(P223," ",R223," ",T223," ",V223," ",X223," ",Z223," ","X"," ",Table43[[#This Row],[ISI/CTN]]," ",AB223," ",AD223," ",AH223))))</f>
        <v>ABC SAMBAL ASLI 690 GR X 6 PCS</v>
      </c>
      <c r="O223" s="11">
        <f t="shared" si="10"/>
        <v>30</v>
      </c>
      <c r="P223" s="4" t="s">
        <v>28</v>
      </c>
      <c r="Q223" s="7" t="s">
        <v>85</v>
      </c>
      <c r="R223" s="4" t="s">
        <v>603</v>
      </c>
      <c r="S223" s="43">
        <v>12</v>
      </c>
      <c r="T223" s="44"/>
      <c r="U223" s="7">
        <v>0</v>
      </c>
      <c r="V223" s="44"/>
      <c r="W223" s="43" t="s">
        <v>1</v>
      </c>
      <c r="X223" s="4" t="s">
        <v>604</v>
      </c>
      <c r="Y223" s="45" t="s">
        <v>221</v>
      </c>
      <c r="Z223" s="4" t="s">
        <v>611</v>
      </c>
      <c r="AA223" s="45" t="s">
        <v>612</v>
      </c>
      <c r="AB223" s="4" t="s">
        <v>552</v>
      </c>
      <c r="AC223" s="7" t="s">
        <v>480</v>
      </c>
      <c r="AE223" s="7" t="s">
        <v>1</v>
      </c>
      <c r="AI223" s="7" t="s">
        <v>215</v>
      </c>
      <c r="AJ223" s="7">
        <v>1</v>
      </c>
      <c r="AL223" s="40">
        <f>Table43[[#This Row],[Harga Jual Pcs GT
(-PPN)]]-(Table43[[#This Row],[Harga Jual Pcs GT
(-PPN)]]*6%)</f>
        <v>17496.144799999998</v>
      </c>
      <c r="AM223" s="41">
        <f>Table43[[#This Row],[Harga Beli Pcs
(-PPN)]]*Table43[[#This Row],[ISI/CTN]]</f>
        <v>104976.8688</v>
      </c>
      <c r="AN223" s="41">
        <f>Table43[[#This Row],[Harga Beli Pcs
(-PPN)]]*1.11</f>
        <v>19420.720728</v>
      </c>
      <c r="AO223" s="41">
        <f>Table43[[#This Row],[Harga Beli Krt
(- PPN)]]*1.11</f>
        <v>116524.324368</v>
      </c>
      <c r="AP223" s="41">
        <v>18612.919999999998</v>
      </c>
      <c r="AQ223" s="41">
        <f>Table43[[#This Row],[Harga Jual Pcs GT
(-PPN)]]*Table43[[#This Row],[ISI/CTN]]</f>
        <v>111677.51999999999</v>
      </c>
      <c r="AR223" s="41">
        <f>Table43[[#This Row],[Harga Jual Pcs GT
(-PPN)]]*1.11</f>
        <v>20660.341199999999</v>
      </c>
      <c r="AS223" s="41">
        <f>Table43[[#This Row],[Harga Jual Krt GT
(- PPN)]]*1.11</f>
        <v>123962.0472</v>
      </c>
      <c r="AT223" s="41">
        <v>20101.95</v>
      </c>
      <c r="AU223" s="41">
        <f>(Table43[[#This Row],[Harga Jual Pcs MT
(-PPN)]]*Table43[[#This Row],[ISI/CTN]])</f>
        <v>120611.70000000001</v>
      </c>
      <c r="AV223" s="41">
        <f>Table43[[#This Row],[Harga Jual Pcs MT
(-PPN)]]*1.11</f>
        <v>22313.164500000003</v>
      </c>
      <c r="AW223" s="41">
        <f>Table43[[#This Row],[Harga Jual Pcs MT
(+PPN)]]*Table43[[#This Row],[ISI/CTN]]</f>
        <v>133878.98700000002</v>
      </c>
      <c r="AX223" s="41"/>
      <c r="AY223" s="46">
        <v>45553</v>
      </c>
      <c r="AZ223" s="54">
        <v>45553</v>
      </c>
      <c r="BA223" s="7" t="str">
        <f ca="1">IF(TODAY()-Table43[[#This Row],[Efektif
Pembuatan]]&gt;60,"Lama","Baru")</f>
        <v>Lama</v>
      </c>
      <c r="BB223" s="7" t="str">
        <f ca="1">IF(TODAY()-Table43[[#This Row],[Efektif Naik Harga]]&lt;30,"Naik","Sama")</f>
        <v>Sama</v>
      </c>
      <c r="BC223" s="7" t="s">
        <v>235</v>
      </c>
      <c r="BD223" s="7" t="str">
        <f>IF(Table43[[#This Row],[Kode BARANG Win2]]&lt;&gt;"","IDR","")</f>
        <v>IDR</v>
      </c>
      <c r="BE223" s="7" t="str">
        <f>CONCATENATE(Table43[[#This Row],[kode  1 Digit
(Nomor)]],Table43[[#This Row],[kode  4 Digit                (Nomor)]])</f>
        <v>10690</v>
      </c>
      <c r="BF223" s="7" t="str">
        <f>Table43[[#This Row],[Nama            Gramasi atau Jumlah Pack per CTN]]</f>
        <v>690 GR</v>
      </c>
      <c r="BG223" s="7" t="s">
        <v>653</v>
      </c>
      <c r="BH223" s="51" t="s">
        <v>654</v>
      </c>
      <c r="BI223" s="4" t="str">
        <f>IF(Table43[[#This Row],[SATUAN Fix Win]]&lt;&gt;"","KRT")</f>
        <v>KRT</v>
      </c>
      <c r="BJ223" s="4" t="str">
        <f>IF(Table43[[#This Row],[SATUAN Fix Win]]&lt;&gt;"","GD01")</f>
        <v>GD01</v>
      </c>
      <c r="BK223" s="4">
        <f>IF(Table43[[#This Row],[SATUAN Fix Win]]&lt;&gt;"",11611)</f>
        <v>11611</v>
      </c>
      <c r="BL223" s="4">
        <f>IF(Table43[[#This Row],[SATUAN Fix Win]]&lt;&gt;"",11612)</f>
        <v>11612</v>
      </c>
      <c r="BM223" s="47" t="s">
        <v>655</v>
      </c>
      <c r="BN223" s="4">
        <f>IF(Table43[[#This Row],[SATUAN Fix Win]]&lt;&gt;"",1)</f>
        <v>1</v>
      </c>
      <c r="BO223" s="4" t="s">
        <v>656</v>
      </c>
      <c r="BP223" s="4">
        <f>IFERROR(VLOOKUP(Table43[[#This Row],[Kode Pcpl]],'[1]HEINZ ABC'!$A$4:$E$112,8,0),0)</f>
        <v>0</v>
      </c>
      <c r="BQ223" s="55">
        <f>Table43[[#This Row],[Harga Jual Pcs GT
(-PPN)]]-Table43[[#This Row],[HARGA NAIK GT]]</f>
        <v>18612.919999999998</v>
      </c>
      <c r="BR223" s="4">
        <f>IF(Table43[[#This Row],[HARGA NAIK GT]]=0,Table43[[#This Row],[Harga Jual Pcs GT
(-PPN)]],Table43[[#This Row],[HARGA NAIK GT]])</f>
        <v>18612.919999999998</v>
      </c>
      <c r="BS223">
        <f>IFERROR(VLOOKUP(Table43[[#This Row],[Kode Pcpl]],'[1]HEINZ ABC'!$A$4:$E$112,8,0),0)</f>
        <v>0</v>
      </c>
      <c r="BT223" s="58">
        <f>Table43[[#This Row],[Harga Jual Pcs GT
(-PPN)]]-BS223</f>
        <v>18612.919999999998</v>
      </c>
      <c r="BU223">
        <f>IF(BS223=0,Table43[[#This Row],[Harga Jual Pcs MT
(-PPN)]])</f>
        <v>20101.95</v>
      </c>
      <c r="BV223">
        <f>IFERROR(VLOOKUP(Table43[[#This Row],[Kode Pcpl]],[2]Pricelist!$A$4:$K$112,11,0),0)</f>
        <v>0</v>
      </c>
      <c r="BW223">
        <f>IFERROR(VLOOKUP(Table43[[#This Row],[Kode BARANG Win2]],[3]!RECKITT211216[[KDBRG]:[HRG_JL_PCS-PPN]],11,0),0)</f>
        <v>0</v>
      </c>
      <c r="BX223">
        <f t="shared" si="8"/>
        <v>0</v>
      </c>
    </row>
    <row r="224" spans="1:76" x14ac:dyDescent="0.25">
      <c r="A224" s="4" t="str">
        <f>CONCATENATE(Table43[[#This Row],[Kode BARANG Win2]],Table43[[#This Row],[No. Urut
Item Sama]])</f>
        <v>A11200061005101</v>
      </c>
      <c r="B224" s="7">
        <v>1</v>
      </c>
      <c r="C224" s="4">
        <v>195</v>
      </c>
      <c r="D224" s="27">
        <v>150162</v>
      </c>
      <c r="E224" s="27" t="s">
        <v>381</v>
      </c>
      <c r="F224" s="27" t="s">
        <v>404</v>
      </c>
      <c r="G224" s="27">
        <v>1</v>
      </c>
      <c r="H224" s="42">
        <v>0</v>
      </c>
      <c r="I224" s="27" t="str">
        <f>Table43[[#This Row],[Nama Jenis Kemasan]]</f>
        <v>JRG</v>
      </c>
      <c r="J224" s="4" t="str">
        <f>TRIM(CONCATENATE(Table43[[#This Row],[Nama            KLP]]," ",Table43[[#This Row],[Nama            Sub KLP]]))</f>
        <v>SAMBAL</v>
      </c>
      <c r="K224" s="4" t="str">
        <f>CONCATENATE(Table43[[#This Row],[kode  2 Digit                (hrf+No)]],Table43[[#This Row],[kode  2 Digit                (Nomor)]],Table43[[#This Row],[kode  1 Digit                (Nomor)]])</f>
        <v>A1120</v>
      </c>
      <c r="L224" s="4" t="str">
        <f>IF(AG224="",CONCATENATE(Q224,S224,U224,W224,Y224,AA224,AC224,AE224,Table43[[#This Row],[Tanda Kode Revisi]]),CONCATENATE(Q224,S224,U224,W224,Y224,AA224,AC224,AG224))</f>
        <v>A1120006100510</v>
      </c>
      <c r="M224" s="11">
        <f t="shared" si="9"/>
        <v>14</v>
      </c>
      <c r="N224" s="14" t="str">
        <f>IF(AF224&lt;&gt;"",TRIM(UPPER(CONCATENATE(P224," ",R224," ",T224," ",V224," ",X224," ",Z224," ","X"," ",Table43[[#This Row],[ISI/CTN]]," ",AF224," ",AB224," ",AD224," ",AH224))),TRIM(UPPER(CONCATENATE(P224," ",R224," ",T224," ",V224," ",X224," ",Z224," ","X"," ",Table43[[#This Row],[ISI/CTN]]," ",AB224," ",AD224," ",AH224))))</f>
        <v>ABC SAMBAL ASLI 5 KG X 1 JRG</v>
      </c>
      <c r="O224" s="11">
        <f t="shared" si="10"/>
        <v>28</v>
      </c>
      <c r="P224" s="4" t="s">
        <v>28</v>
      </c>
      <c r="Q224" s="7" t="s">
        <v>85</v>
      </c>
      <c r="R224" s="4" t="s">
        <v>603</v>
      </c>
      <c r="S224" s="43">
        <v>12</v>
      </c>
      <c r="T224" s="44"/>
      <c r="U224" s="7">
        <v>0</v>
      </c>
      <c r="V224" s="44"/>
      <c r="W224" s="43" t="s">
        <v>1</v>
      </c>
      <c r="X224" s="4" t="s">
        <v>604</v>
      </c>
      <c r="Y224" s="45" t="s">
        <v>221</v>
      </c>
      <c r="Z224" s="4" t="s">
        <v>613</v>
      </c>
      <c r="AA224" s="45">
        <v>1005</v>
      </c>
      <c r="AB224" s="4" t="s">
        <v>506</v>
      </c>
      <c r="AC224" s="7" t="s">
        <v>480</v>
      </c>
      <c r="AE224" s="7" t="s">
        <v>1</v>
      </c>
      <c r="AI224" s="7" t="s">
        <v>215</v>
      </c>
      <c r="AJ224" s="7">
        <v>1</v>
      </c>
      <c r="AL224" s="40">
        <f>Table43[[#This Row],[Harga Jual Pcs GT
(-PPN)]]-(Table43[[#This Row],[Harga Jual Pcs GT
(-PPN)]]*6%)</f>
        <v>118880.27567567566</v>
      </c>
      <c r="AM224" s="41">
        <f>Table43[[#This Row],[Harga Beli Pcs
(-PPN)]]*Table43[[#This Row],[ISI/CTN]]</f>
        <v>118880.27567567566</v>
      </c>
      <c r="AN224" s="41">
        <f>Table43[[#This Row],[Harga Beli Pcs
(-PPN)]]*1.11</f>
        <v>131957.106</v>
      </c>
      <c r="AO224" s="41">
        <f>Table43[[#This Row],[Harga Beli Krt
(- PPN)]]*1.11</f>
        <v>131957.106</v>
      </c>
      <c r="AP224" s="41">
        <v>126468.37837837836</v>
      </c>
      <c r="AQ224" s="41">
        <f>Table43[[#This Row],[Harga Jual Pcs GT
(-PPN)]]*Table43[[#This Row],[ISI/CTN]]</f>
        <v>126468.37837837836</v>
      </c>
      <c r="AR224" s="41">
        <f>Table43[[#This Row],[Harga Jual Pcs GT
(-PPN)]]*1.11</f>
        <v>140379.9</v>
      </c>
      <c r="AS224" s="41">
        <f>Table43[[#This Row],[Harga Jual Krt GT
(- PPN)]]*1.11</f>
        <v>140379.9</v>
      </c>
      <c r="AT224" s="41">
        <v>136585.84864864862</v>
      </c>
      <c r="AU224" s="41">
        <f>(Table43[[#This Row],[Harga Jual Pcs MT
(-PPN)]]*Table43[[#This Row],[ISI/CTN]])</f>
        <v>136585.84864864862</v>
      </c>
      <c r="AV224" s="41">
        <f>Table43[[#This Row],[Harga Jual Pcs MT
(-PPN)]]*1.11</f>
        <v>151610.29199999999</v>
      </c>
      <c r="AW224" s="41">
        <f>Table43[[#This Row],[Harga Jual Pcs MT
(+PPN)]]*Table43[[#This Row],[ISI/CTN]]</f>
        <v>151610.29199999999</v>
      </c>
      <c r="AX224" s="41"/>
      <c r="AY224" s="46">
        <v>45553</v>
      </c>
      <c r="AZ224" s="54">
        <v>45839</v>
      </c>
      <c r="BA224" s="7" t="str">
        <f ca="1">IF(TODAY()-Table43[[#This Row],[Efektif
Pembuatan]]&gt;60,"Lama","Baru")</f>
        <v>Lama</v>
      </c>
      <c r="BB224" s="7" t="str">
        <f ca="1">IF(TODAY()-Table43[[#This Row],[Efektif Naik Harga]]&lt;30,"Naik","Sama")</f>
        <v>Sama</v>
      </c>
      <c r="BC224" s="7" t="s">
        <v>235</v>
      </c>
      <c r="BD224" s="7" t="str">
        <f>IF(Table43[[#This Row],[Kode BARANG Win2]]&lt;&gt;"","IDR","")</f>
        <v>IDR</v>
      </c>
      <c r="BE224" s="7" t="str">
        <f>CONCATENATE(Table43[[#This Row],[kode  1 Digit
(Nomor)]],Table43[[#This Row],[kode  4 Digit                (Nomor)]])</f>
        <v>11005</v>
      </c>
      <c r="BF224" s="7" t="str">
        <f>Table43[[#This Row],[Nama            Gramasi atau Jumlah Pack per CTN]]</f>
        <v>5 KG</v>
      </c>
      <c r="BG224" s="7" t="s">
        <v>653</v>
      </c>
      <c r="BH224" s="51" t="s">
        <v>654</v>
      </c>
      <c r="BI224" s="4" t="str">
        <f>IF(Table43[[#This Row],[SATUAN Fix Win]]&lt;&gt;"","KRT")</f>
        <v>KRT</v>
      </c>
      <c r="BJ224" s="4" t="str">
        <f>IF(Table43[[#This Row],[SATUAN Fix Win]]&lt;&gt;"","GD01")</f>
        <v>GD01</v>
      </c>
      <c r="BK224" s="4">
        <f>IF(Table43[[#This Row],[SATUAN Fix Win]]&lt;&gt;"",11611)</f>
        <v>11611</v>
      </c>
      <c r="BL224" s="4">
        <f>IF(Table43[[#This Row],[SATUAN Fix Win]]&lt;&gt;"",11612)</f>
        <v>11612</v>
      </c>
      <c r="BM224" s="47" t="s">
        <v>655</v>
      </c>
      <c r="BN224" s="4">
        <f>IF(Table43[[#This Row],[SATUAN Fix Win]]&lt;&gt;"",1)</f>
        <v>1</v>
      </c>
      <c r="BO224" s="4" t="s">
        <v>656</v>
      </c>
      <c r="BP224" s="4">
        <f>IFERROR(VLOOKUP(Table43[[#This Row],[Kode Pcpl]],'[1]HEINZ ABC'!$A$4:$E$112,8,0),0)</f>
        <v>0</v>
      </c>
      <c r="BQ224" s="55">
        <f>Table43[[#This Row],[Harga Jual Pcs GT
(-PPN)]]-Table43[[#This Row],[HARGA NAIK GT]]</f>
        <v>126468.37837837836</v>
      </c>
      <c r="BR224" s="4">
        <f>IF(Table43[[#This Row],[HARGA NAIK GT]]=0,Table43[[#This Row],[Harga Jual Pcs GT
(-PPN)]],Table43[[#This Row],[HARGA NAIK GT]])</f>
        <v>126468.37837837836</v>
      </c>
      <c r="BS224">
        <f>IFERROR(VLOOKUP(Table43[[#This Row],[Kode Pcpl]],'[1]HEINZ ABC'!$A$4:$E$112,8,0),0)</f>
        <v>0</v>
      </c>
      <c r="BT224" s="58">
        <f>Table43[[#This Row],[Harga Jual Pcs GT
(-PPN)]]-BS224</f>
        <v>126468.37837837836</v>
      </c>
      <c r="BU224">
        <f>IF(BS224=0,Table43[[#This Row],[Harga Jual Pcs MT
(-PPN)]])</f>
        <v>136585.84864864862</v>
      </c>
      <c r="BV224">
        <f>IFERROR(VLOOKUP(Table43[[#This Row],[Kode Pcpl]],[2]Pricelist!$A$4:$K$112,11,0),0)</f>
        <v>151610.29199999999</v>
      </c>
      <c r="BW224">
        <f>IFERROR(VLOOKUP(Table43[[#This Row],[Kode BARANG Win2]],[3]!RECKITT211216[[KDBRG]:[HRG_JL_PCS-PPN]],11,0),0)</f>
        <v>0</v>
      </c>
      <c r="BX224">
        <f t="shared" si="8"/>
        <v>136585.84864864862</v>
      </c>
    </row>
    <row r="225" spans="1:76" x14ac:dyDescent="0.25">
      <c r="A225" s="4" t="str">
        <f>CONCATENATE(Table43[[#This Row],[Kode BARANG Win2]],Table43[[#This Row],[No. Urut
Item Sama]])</f>
        <v>A11200061005102</v>
      </c>
      <c r="B225" s="7">
        <v>2</v>
      </c>
      <c r="C225" s="4">
        <v>196</v>
      </c>
      <c r="D225" s="27">
        <v>150333</v>
      </c>
      <c r="E225" s="27" t="s">
        <v>381</v>
      </c>
      <c r="F225" s="27" t="s">
        <v>404</v>
      </c>
      <c r="G225" s="27">
        <v>1</v>
      </c>
      <c r="H225" s="42" t="s">
        <v>2457</v>
      </c>
      <c r="I225" s="27" t="str">
        <f>Table43[[#This Row],[Nama Jenis Kemasan]]</f>
        <v>JRG</v>
      </c>
      <c r="J225" s="4" t="str">
        <f>TRIM(CONCATENATE(Table43[[#This Row],[Nama            KLP]]," ",Table43[[#This Row],[Nama            Sub KLP]]))</f>
        <v>SAMBAL</v>
      </c>
      <c r="K225" s="4" t="str">
        <f>CONCATENATE(Table43[[#This Row],[kode  2 Digit                (hrf+No)]],Table43[[#This Row],[kode  2 Digit                (Nomor)]],Table43[[#This Row],[kode  1 Digit                (Nomor)]])</f>
        <v>A1120</v>
      </c>
      <c r="L225" s="4" t="str">
        <f>IF(AG225="",CONCATENATE(Q225,S225,U225,W225,Y225,AA225,AC225,AE225,Table43[[#This Row],[Tanda Kode Revisi]]),CONCATENATE(Q225,S225,U225,W225,Y225,AA225,AC225,AG225))</f>
        <v>A1120006100510</v>
      </c>
      <c r="M225" s="11">
        <f t="shared" si="9"/>
        <v>14</v>
      </c>
      <c r="N225" s="14" t="str">
        <f>IF(AF225&lt;&gt;"",TRIM(UPPER(CONCATENATE(P225," ",R225," ",T225," ",V225," ",X225," ",Z225," ","X"," ",Table43[[#This Row],[ISI/CTN]]," ",AF225," ",AB225," ",AD225," ",AH225))),TRIM(UPPER(CONCATENATE(P225," ",R225," ",T225," ",V225," ",X225," ",Z225," ","X"," ",Table43[[#This Row],[ISI/CTN]]," ",AB225," ",AD225," ",AH225))))</f>
        <v>ABC SAMBAL ASLI 5 KG X 1 JRG</v>
      </c>
      <c r="O225" s="11">
        <f t="shared" si="10"/>
        <v>28</v>
      </c>
      <c r="P225" s="4" t="s">
        <v>28</v>
      </c>
      <c r="Q225" s="7" t="s">
        <v>85</v>
      </c>
      <c r="R225" s="4" t="s">
        <v>603</v>
      </c>
      <c r="S225" s="43">
        <v>12</v>
      </c>
      <c r="T225" s="44"/>
      <c r="U225" s="7">
        <v>0</v>
      </c>
      <c r="V225" s="44"/>
      <c r="W225" s="43" t="s">
        <v>1</v>
      </c>
      <c r="X225" s="4" t="s">
        <v>604</v>
      </c>
      <c r="Y225" s="45" t="s">
        <v>221</v>
      </c>
      <c r="Z225" s="4" t="s">
        <v>613</v>
      </c>
      <c r="AA225" s="45">
        <v>1005</v>
      </c>
      <c r="AB225" s="4" t="s">
        <v>506</v>
      </c>
      <c r="AC225" s="7" t="s">
        <v>480</v>
      </c>
      <c r="AE225" s="7" t="s">
        <v>1</v>
      </c>
      <c r="AI225" s="7" t="s">
        <v>215</v>
      </c>
      <c r="AJ225" s="7">
        <v>1</v>
      </c>
      <c r="AL225" s="40">
        <f>Table43[[#This Row],[Harga Jual Pcs GT
(-PPN)]]-(Table43[[#This Row],[Harga Jual Pcs GT
(-PPN)]]*6%)</f>
        <v>118880.27567567566</v>
      </c>
      <c r="AM225" s="41">
        <f>Table43[[#This Row],[Harga Beli Pcs
(-PPN)]]*Table43[[#This Row],[ISI/CTN]]</f>
        <v>118880.27567567566</v>
      </c>
      <c r="AN225" s="41">
        <f>Table43[[#This Row],[Harga Beli Pcs
(-PPN)]]*1.11</f>
        <v>131957.106</v>
      </c>
      <c r="AO225" s="41">
        <f>Table43[[#This Row],[Harga Beli Krt
(- PPN)]]*1.11</f>
        <v>131957.106</v>
      </c>
      <c r="AP225" s="41">
        <v>126468.37837837836</v>
      </c>
      <c r="AQ225" s="41">
        <f>Table43[[#This Row],[Harga Jual Pcs GT
(-PPN)]]*Table43[[#This Row],[ISI/CTN]]</f>
        <v>126468.37837837836</v>
      </c>
      <c r="AR225" s="41">
        <f>Table43[[#This Row],[Harga Jual Pcs GT
(-PPN)]]*1.11</f>
        <v>140379.9</v>
      </c>
      <c r="AS225" s="41">
        <f>Table43[[#This Row],[Harga Jual Krt GT
(- PPN)]]*1.11</f>
        <v>140379.9</v>
      </c>
      <c r="AT225" s="41">
        <v>136585.84864864862</v>
      </c>
      <c r="AU225" s="41">
        <f>(Table43[[#This Row],[Harga Jual Pcs MT
(-PPN)]]*Table43[[#This Row],[ISI/CTN]])</f>
        <v>136585.84864864862</v>
      </c>
      <c r="AV225" s="41">
        <f>Table43[[#This Row],[Harga Jual Pcs MT
(-PPN)]]*1.11</f>
        <v>151610.29199999999</v>
      </c>
      <c r="AW225" s="41">
        <f>Table43[[#This Row],[Harga Jual Pcs MT
(+PPN)]]*Table43[[#This Row],[ISI/CTN]]</f>
        <v>151610.29199999999</v>
      </c>
      <c r="AX225" s="41"/>
      <c r="AY225" s="46">
        <v>45556</v>
      </c>
      <c r="AZ225" s="54">
        <v>45839</v>
      </c>
      <c r="BA225" s="7" t="str">
        <f ca="1">IF(TODAY()-Table43[[#This Row],[Efektif
Pembuatan]]&gt;60,"Lama","Baru")</f>
        <v>Lama</v>
      </c>
      <c r="BB225" s="7" t="str">
        <f ca="1">IF(TODAY()-Table43[[#This Row],[Efektif Naik Harga]]&lt;30,"Naik","Sama")</f>
        <v>Sama</v>
      </c>
      <c r="BC225" s="7" t="s">
        <v>235</v>
      </c>
      <c r="BD225" s="7" t="str">
        <f>IF(Table43[[#This Row],[Kode BARANG Win2]]&lt;&gt;"","IDR","")</f>
        <v>IDR</v>
      </c>
      <c r="BE225" s="7" t="str">
        <f>CONCATENATE(Table43[[#This Row],[kode  1 Digit
(Nomor)]],Table43[[#This Row],[kode  4 Digit                (Nomor)]])</f>
        <v>11005</v>
      </c>
      <c r="BF225" s="7" t="str">
        <f>Table43[[#This Row],[Nama            Gramasi atau Jumlah Pack per CTN]]</f>
        <v>5 KG</v>
      </c>
      <c r="BG225" s="7" t="s">
        <v>653</v>
      </c>
      <c r="BH225" s="51" t="s">
        <v>654</v>
      </c>
      <c r="BI225" s="4" t="str">
        <f>IF(Table43[[#This Row],[SATUAN Fix Win]]&lt;&gt;"","KRT")</f>
        <v>KRT</v>
      </c>
      <c r="BJ225" s="4" t="str">
        <f>IF(Table43[[#This Row],[SATUAN Fix Win]]&lt;&gt;"","GD01")</f>
        <v>GD01</v>
      </c>
      <c r="BK225" s="4">
        <f>IF(Table43[[#This Row],[SATUAN Fix Win]]&lt;&gt;"",11611)</f>
        <v>11611</v>
      </c>
      <c r="BL225" s="4">
        <f>IF(Table43[[#This Row],[SATUAN Fix Win]]&lt;&gt;"",11612)</f>
        <v>11612</v>
      </c>
      <c r="BM225" s="47" t="s">
        <v>655</v>
      </c>
      <c r="BN225" s="4">
        <f>IF(Table43[[#This Row],[SATUAN Fix Win]]&lt;&gt;"",1)</f>
        <v>1</v>
      </c>
      <c r="BO225" s="4" t="s">
        <v>656</v>
      </c>
      <c r="BP225" s="4">
        <f>IFERROR(VLOOKUP(Table43[[#This Row],[Kode Pcpl]],'[1]HEINZ ABC'!$A$4:$E$112,8,0),0)</f>
        <v>0</v>
      </c>
      <c r="BQ225" s="55">
        <f>Table43[[#This Row],[Harga Jual Pcs GT
(-PPN)]]-Table43[[#This Row],[HARGA NAIK GT]]</f>
        <v>126468.37837837836</v>
      </c>
      <c r="BR225" s="4">
        <f>IF(Table43[[#This Row],[HARGA NAIK GT]]=0,Table43[[#This Row],[Harga Jual Pcs GT
(-PPN)]],Table43[[#This Row],[HARGA NAIK GT]])</f>
        <v>126468.37837837836</v>
      </c>
      <c r="BS225">
        <f>IFERROR(VLOOKUP(Table43[[#This Row],[Kode Pcpl]],'[1]HEINZ ABC'!$A$4:$E$112,8,0),0)</f>
        <v>0</v>
      </c>
      <c r="BT225" s="58">
        <f>Table43[[#This Row],[Harga Jual Pcs GT
(-PPN)]]-BS225</f>
        <v>126468.37837837836</v>
      </c>
      <c r="BU225">
        <f>IF(BS225=0,Table43[[#This Row],[Harga Jual Pcs MT
(-PPN)]])</f>
        <v>136585.84864864862</v>
      </c>
      <c r="BV225">
        <f>IFERROR(VLOOKUP(Table43[[#This Row],[Kode Pcpl]],[2]Pricelist!$A$4:$K$112,11,0),0)</f>
        <v>151610.29199999999</v>
      </c>
      <c r="BW225">
        <f>IFERROR(VLOOKUP(Table43[[#This Row],[Kode BARANG Win2]],[3]!RECKITT211216[[KDBRG]:[HRG_JL_PCS-PPN]],11,0),0)</f>
        <v>0</v>
      </c>
      <c r="BX225">
        <f t="shared" si="8"/>
        <v>136585.84864864862</v>
      </c>
    </row>
    <row r="226" spans="1:76" x14ac:dyDescent="0.25">
      <c r="A226" s="4" t="str">
        <f>CONCATENATE(Table43[[#This Row],[Kode BARANG Win2]],Table43[[#This Row],[No. Urut
Item Sama]])</f>
        <v>A11200061024101</v>
      </c>
      <c r="B226" s="7">
        <v>1</v>
      </c>
      <c r="C226" s="4">
        <v>197</v>
      </c>
      <c r="D226" s="27">
        <v>150163</v>
      </c>
      <c r="E226" s="27" t="s">
        <v>381</v>
      </c>
      <c r="F226" s="27" t="s">
        <v>405</v>
      </c>
      <c r="G226" s="27">
        <v>1</v>
      </c>
      <c r="H226" s="42" t="s">
        <v>2549</v>
      </c>
      <c r="I226" s="27" t="str">
        <f>Table43[[#This Row],[Nama Jenis Kemasan]]</f>
        <v>JRG</v>
      </c>
      <c r="J226" s="4" t="str">
        <f>TRIM(CONCATENATE(Table43[[#This Row],[Nama            KLP]]," ",Table43[[#This Row],[Nama            Sub KLP]]))</f>
        <v>SAMBAL</v>
      </c>
      <c r="K226" s="4" t="str">
        <f>CONCATENATE(Table43[[#This Row],[kode  2 Digit                (hrf+No)]],Table43[[#This Row],[kode  2 Digit                (Nomor)]],Table43[[#This Row],[kode  1 Digit                (Nomor)]])</f>
        <v>A1120</v>
      </c>
      <c r="L226" s="4" t="str">
        <f>IF(AG226="",CONCATENATE(Q226,S226,U226,W226,Y226,AA226,AC226,AE226,Table43[[#This Row],[Tanda Kode Revisi]]),CONCATENATE(Q226,S226,U226,W226,Y226,AA226,AC226,AG226))</f>
        <v>A1120006102410</v>
      </c>
      <c r="M226" s="11">
        <f t="shared" si="9"/>
        <v>14</v>
      </c>
      <c r="N226" s="14" t="str">
        <f>IF(AF226&lt;&gt;"",TRIM(UPPER(CONCATENATE(P226," ",R226," ",T226," ",V226," ",X226," ",Z226," ","X"," ",Table43[[#This Row],[ISI/CTN]]," ",AF226," ",AB226," ",AD226," ",AH226))),TRIM(UPPER(CONCATENATE(P226," ",R226," ",T226," ",V226," ",X226," ",Z226," ","X"," ",Table43[[#This Row],[ISI/CTN]]," ",AB226," ",AD226," ",AH226))))</f>
        <v>ABC SAMBAL ASLI 24 KG X 1 JRG</v>
      </c>
      <c r="O226" s="11">
        <f t="shared" si="10"/>
        <v>29</v>
      </c>
      <c r="P226" s="4" t="s">
        <v>28</v>
      </c>
      <c r="Q226" s="7" t="s">
        <v>85</v>
      </c>
      <c r="R226" s="4" t="s">
        <v>603</v>
      </c>
      <c r="S226" s="43">
        <v>12</v>
      </c>
      <c r="T226" s="44"/>
      <c r="U226" s="7">
        <v>0</v>
      </c>
      <c r="V226" s="44"/>
      <c r="W226" s="43" t="s">
        <v>1</v>
      </c>
      <c r="X226" s="4" t="s">
        <v>604</v>
      </c>
      <c r="Y226" s="45" t="s">
        <v>221</v>
      </c>
      <c r="Z226" s="4" t="s">
        <v>614</v>
      </c>
      <c r="AA226" s="45" t="s">
        <v>615</v>
      </c>
      <c r="AB226" s="4" t="s">
        <v>506</v>
      </c>
      <c r="AC226" s="7" t="s">
        <v>480</v>
      </c>
      <c r="AE226" s="7" t="s">
        <v>1</v>
      </c>
      <c r="AI226" s="7" t="s">
        <v>215</v>
      </c>
      <c r="AJ226" s="7">
        <v>1</v>
      </c>
      <c r="AL226" s="40">
        <f>Table43[[#This Row],[Harga Jual Pcs GT
(-PPN)]]-(Table43[[#This Row],[Harga Jual Pcs GT
(-PPN)]]*6%)</f>
        <v>459312.79220000003</v>
      </c>
      <c r="AM226" s="41">
        <f>Table43[[#This Row],[Harga Beli Pcs
(-PPN)]]*Table43[[#This Row],[ISI/CTN]]</f>
        <v>459312.79220000003</v>
      </c>
      <c r="AN226" s="41">
        <f>Table43[[#This Row],[Harga Beli Pcs
(-PPN)]]*1.11</f>
        <v>509837.19934200007</v>
      </c>
      <c r="AO226" s="41">
        <f>Table43[[#This Row],[Harga Beli Krt
(- PPN)]]*1.11</f>
        <v>509837.19934200007</v>
      </c>
      <c r="AP226" s="41">
        <v>488630.63</v>
      </c>
      <c r="AQ226" s="41">
        <f>Table43[[#This Row],[Harga Jual Pcs GT
(-PPN)]]*Table43[[#This Row],[ISI/CTN]]</f>
        <v>488630.63</v>
      </c>
      <c r="AR226" s="41">
        <f>Table43[[#This Row],[Harga Jual Pcs GT
(-PPN)]]*1.11</f>
        <v>542379.99930000002</v>
      </c>
      <c r="AS226" s="41">
        <f>Table43[[#This Row],[Harga Jual Krt GT
(- PPN)]]*1.11</f>
        <v>542379.99930000002</v>
      </c>
      <c r="AT226" s="41">
        <v>527721.07999999996</v>
      </c>
      <c r="AU226" s="41">
        <f>(Table43[[#This Row],[Harga Jual Pcs MT
(-PPN)]]*Table43[[#This Row],[ISI/CTN]])</f>
        <v>527721.07999999996</v>
      </c>
      <c r="AV226" s="41">
        <f>Table43[[#This Row],[Harga Jual Pcs MT
(-PPN)]]*1.11</f>
        <v>585770.39879999997</v>
      </c>
      <c r="AW226" s="41">
        <f>Table43[[#This Row],[Harga Jual Pcs MT
(+PPN)]]*Table43[[#This Row],[ISI/CTN]]</f>
        <v>585770.39879999997</v>
      </c>
      <c r="AX226" s="41"/>
      <c r="AY226" s="46">
        <v>45553</v>
      </c>
      <c r="AZ226" s="54">
        <v>45553</v>
      </c>
      <c r="BA226" s="7" t="str">
        <f ca="1">IF(TODAY()-Table43[[#This Row],[Efektif
Pembuatan]]&gt;60,"Lama","Baru")</f>
        <v>Lama</v>
      </c>
      <c r="BB226" s="7" t="str">
        <f ca="1">IF(TODAY()-Table43[[#This Row],[Efektif Naik Harga]]&lt;30,"Naik","Sama")</f>
        <v>Sama</v>
      </c>
      <c r="BC226" s="7" t="s">
        <v>235</v>
      </c>
      <c r="BD226" s="7" t="str">
        <f>IF(Table43[[#This Row],[Kode BARANG Win2]]&lt;&gt;"","IDR","")</f>
        <v>IDR</v>
      </c>
      <c r="BE226" s="7" t="str">
        <f>CONCATENATE(Table43[[#This Row],[kode  1 Digit
(Nomor)]],Table43[[#This Row],[kode  4 Digit                (Nomor)]])</f>
        <v>11024</v>
      </c>
      <c r="BF226" s="7" t="str">
        <f>Table43[[#This Row],[Nama            Gramasi atau Jumlah Pack per CTN]]</f>
        <v>24 KG</v>
      </c>
      <c r="BG226" s="7" t="s">
        <v>653</v>
      </c>
      <c r="BH226" s="51" t="s">
        <v>654</v>
      </c>
      <c r="BI226" s="4" t="str">
        <f>IF(Table43[[#This Row],[SATUAN Fix Win]]&lt;&gt;"","KRT")</f>
        <v>KRT</v>
      </c>
      <c r="BJ226" s="4" t="str">
        <f>IF(Table43[[#This Row],[SATUAN Fix Win]]&lt;&gt;"","GD01")</f>
        <v>GD01</v>
      </c>
      <c r="BK226" s="4">
        <f>IF(Table43[[#This Row],[SATUAN Fix Win]]&lt;&gt;"",11611)</f>
        <v>11611</v>
      </c>
      <c r="BL226" s="4">
        <f>IF(Table43[[#This Row],[SATUAN Fix Win]]&lt;&gt;"",11612)</f>
        <v>11612</v>
      </c>
      <c r="BM226" s="47" t="s">
        <v>655</v>
      </c>
      <c r="BN226" s="4">
        <f>IF(Table43[[#This Row],[SATUAN Fix Win]]&lt;&gt;"",1)</f>
        <v>1</v>
      </c>
      <c r="BO226" s="4" t="s">
        <v>656</v>
      </c>
      <c r="BP226" s="4">
        <f>IFERROR(VLOOKUP(Table43[[#This Row],[Kode Pcpl]],'[1]HEINZ ABC'!$A$4:$E$112,8,0),0)</f>
        <v>0</v>
      </c>
      <c r="BQ226" s="55">
        <f>Table43[[#This Row],[Harga Jual Pcs GT
(-PPN)]]-Table43[[#This Row],[HARGA NAIK GT]]</f>
        <v>488630.63</v>
      </c>
      <c r="BR226" s="4">
        <f>IF(Table43[[#This Row],[HARGA NAIK GT]]=0,Table43[[#This Row],[Harga Jual Pcs GT
(-PPN)]],Table43[[#This Row],[HARGA NAIK GT]])</f>
        <v>488630.63</v>
      </c>
      <c r="BS226">
        <f>IFERROR(VLOOKUP(Table43[[#This Row],[Kode Pcpl]],'[1]HEINZ ABC'!$A$4:$E$112,8,0),0)</f>
        <v>0</v>
      </c>
      <c r="BT226" s="58">
        <f>Table43[[#This Row],[Harga Jual Pcs GT
(-PPN)]]-BS226</f>
        <v>488630.63</v>
      </c>
      <c r="BU226">
        <f>IF(BS226=0,Table43[[#This Row],[Harga Jual Pcs MT
(-PPN)]])</f>
        <v>527721.07999999996</v>
      </c>
      <c r="BV226">
        <f>IFERROR(VLOOKUP(Table43[[#This Row],[Kode Pcpl]],[2]Pricelist!$A$4:$K$112,11,0),0)</f>
        <v>0</v>
      </c>
      <c r="BW226">
        <f>IFERROR(VLOOKUP(Table43[[#This Row],[Kode BARANG Win2]],[3]!RECKITT211216[[KDBRG]:[HRG_JL_PCS-PPN]],11,0),0)</f>
        <v>0</v>
      </c>
      <c r="BX226">
        <f t="shared" si="8"/>
        <v>0</v>
      </c>
    </row>
    <row r="227" spans="1:76" x14ac:dyDescent="0.25">
      <c r="A227" s="4" t="str">
        <f>CONCATENATE(Table43[[#This Row],[Kode BARANG Win2]],Table43[[#This Row],[No. Urut
Item Sama]])</f>
        <v>A11200061024102</v>
      </c>
      <c r="B227" s="7">
        <v>2</v>
      </c>
      <c r="C227" s="4">
        <v>198</v>
      </c>
      <c r="D227" s="27">
        <v>150334</v>
      </c>
      <c r="E227" s="27" t="s">
        <v>381</v>
      </c>
      <c r="F227" s="27" t="s">
        <v>406</v>
      </c>
      <c r="G227" s="27">
        <v>1</v>
      </c>
      <c r="H227" s="42" t="s">
        <v>2458</v>
      </c>
      <c r="I227" s="27" t="str">
        <f>Table43[[#This Row],[Nama Jenis Kemasan]]</f>
        <v>JRG</v>
      </c>
      <c r="J227" s="4" t="str">
        <f>TRIM(CONCATENATE(Table43[[#This Row],[Nama            KLP]]," ",Table43[[#This Row],[Nama            Sub KLP]]))</f>
        <v>SAMBAL</v>
      </c>
      <c r="K227" s="4" t="str">
        <f>CONCATENATE(Table43[[#This Row],[kode  2 Digit                (hrf+No)]],Table43[[#This Row],[kode  2 Digit                (Nomor)]],Table43[[#This Row],[kode  1 Digit                (Nomor)]])</f>
        <v>A1120</v>
      </c>
      <c r="L227" s="4" t="str">
        <f>IF(AG227="",CONCATENATE(Q227,S227,U227,W227,Y227,AA227,AC227,AE227,Table43[[#This Row],[Tanda Kode Revisi]]),CONCATENATE(Q227,S227,U227,W227,Y227,AA227,AC227,AG227))</f>
        <v>A1120006102410</v>
      </c>
      <c r="M227" s="11">
        <f t="shared" si="9"/>
        <v>14</v>
      </c>
      <c r="N227" s="14" t="str">
        <f>IF(AF227&lt;&gt;"",TRIM(UPPER(CONCATENATE(P227," ",R227," ",T227," ",V227," ",X227," ",Z227," ","X"," ",Table43[[#This Row],[ISI/CTN]]," ",AF227," ",AB227," ",AD227," ",AH227))),TRIM(UPPER(CONCATENATE(P227," ",R227," ",T227," ",V227," ",X227," ",Z227," ","X"," ",Table43[[#This Row],[ISI/CTN]]," ",AB227," ",AD227," ",AH227))))</f>
        <v>ABC SAMBAL ASLI 24 KG X 1 JRG</v>
      </c>
      <c r="O227" s="11">
        <f t="shared" si="10"/>
        <v>29</v>
      </c>
      <c r="P227" s="4" t="s">
        <v>28</v>
      </c>
      <c r="Q227" s="7" t="s">
        <v>85</v>
      </c>
      <c r="R227" s="4" t="s">
        <v>603</v>
      </c>
      <c r="S227" s="43">
        <v>12</v>
      </c>
      <c r="T227" s="44"/>
      <c r="U227" s="7">
        <v>0</v>
      </c>
      <c r="V227" s="44"/>
      <c r="W227" s="43" t="s">
        <v>1</v>
      </c>
      <c r="X227" s="4" t="s">
        <v>604</v>
      </c>
      <c r="Y227" s="45" t="s">
        <v>221</v>
      </c>
      <c r="Z227" s="4" t="s">
        <v>614</v>
      </c>
      <c r="AA227" s="45" t="s">
        <v>615</v>
      </c>
      <c r="AB227" s="4" t="s">
        <v>506</v>
      </c>
      <c r="AC227" s="7" t="s">
        <v>480</v>
      </c>
      <c r="AE227" s="7" t="s">
        <v>1</v>
      </c>
      <c r="AI227" s="7" t="s">
        <v>215</v>
      </c>
      <c r="AJ227" s="7">
        <v>1</v>
      </c>
      <c r="AL227" s="40">
        <f>Table43[[#This Row],[Harga Jual Pcs GT
(-PPN)]]-(Table43[[#This Row],[Harga Jual Pcs GT
(-PPN)]]*6%)</f>
        <v>459312.79220000003</v>
      </c>
      <c r="AM227" s="41">
        <f>Table43[[#This Row],[Harga Beli Pcs
(-PPN)]]*Table43[[#This Row],[ISI/CTN]]</f>
        <v>459312.79220000003</v>
      </c>
      <c r="AN227" s="41">
        <f>Table43[[#This Row],[Harga Beli Pcs
(-PPN)]]*1.11</f>
        <v>509837.19934200007</v>
      </c>
      <c r="AO227" s="41">
        <f>Table43[[#This Row],[Harga Beli Krt
(- PPN)]]*1.11</f>
        <v>509837.19934200007</v>
      </c>
      <c r="AP227" s="41">
        <v>488630.63</v>
      </c>
      <c r="AQ227" s="41">
        <f>Table43[[#This Row],[Harga Jual Pcs GT
(-PPN)]]*Table43[[#This Row],[ISI/CTN]]</f>
        <v>488630.63</v>
      </c>
      <c r="AR227" s="41">
        <f>Table43[[#This Row],[Harga Jual Pcs GT
(-PPN)]]*1.11</f>
        <v>542379.99930000002</v>
      </c>
      <c r="AS227" s="41">
        <f>Table43[[#This Row],[Harga Jual Krt GT
(- PPN)]]*1.11</f>
        <v>542379.99930000002</v>
      </c>
      <c r="AT227" s="41">
        <v>527721.07999999996</v>
      </c>
      <c r="AU227" s="41">
        <f>(Table43[[#This Row],[Harga Jual Pcs MT
(-PPN)]]*Table43[[#This Row],[ISI/CTN]])</f>
        <v>527721.07999999996</v>
      </c>
      <c r="AV227" s="41">
        <f>Table43[[#This Row],[Harga Jual Pcs MT
(-PPN)]]*1.11</f>
        <v>585770.39879999997</v>
      </c>
      <c r="AW227" s="41">
        <f>Table43[[#This Row],[Harga Jual Pcs MT
(+PPN)]]*Table43[[#This Row],[ISI/CTN]]</f>
        <v>585770.39879999997</v>
      </c>
      <c r="AX227" s="41"/>
      <c r="AY227" s="46">
        <v>45618</v>
      </c>
      <c r="AZ227" s="54">
        <v>45553</v>
      </c>
      <c r="BA227" s="7" t="str">
        <f ca="1">IF(TODAY()-Table43[[#This Row],[Efektif
Pembuatan]]&gt;60,"Lama","Baru")</f>
        <v>Lama</v>
      </c>
      <c r="BB227" s="7" t="str">
        <f ca="1">IF(TODAY()-Table43[[#This Row],[Efektif Naik Harga]]&lt;30,"Naik","Sama")</f>
        <v>Sama</v>
      </c>
      <c r="BC227" s="7" t="s">
        <v>235</v>
      </c>
      <c r="BD227" s="7" t="str">
        <f>IF(Table43[[#This Row],[Kode BARANG Win2]]&lt;&gt;"","IDR","")</f>
        <v>IDR</v>
      </c>
      <c r="BE227" s="7" t="str">
        <f>CONCATENATE(Table43[[#This Row],[kode  1 Digit
(Nomor)]],Table43[[#This Row],[kode  4 Digit                (Nomor)]])</f>
        <v>11024</v>
      </c>
      <c r="BF227" s="7" t="str">
        <f>Table43[[#This Row],[Nama            Gramasi atau Jumlah Pack per CTN]]</f>
        <v>24 KG</v>
      </c>
      <c r="BG227" s="7" t="s">
        <v>653</v>
      </c>
      <c r="BH227" s="51" t="s">
        <v>654</v>
      </c>
      <c r="BI227" s="4" t="str">
        <f>IF(Table43[[#This Row],[SATUAN Fix Win]]&lt;&gt;"","KRT")</f>
        <v>KRT</v>
      </c>
      <c r="BJ227" s="4" t="str">
        <f>IF(Table43[[#This Row],[SATUAN Fix Win]]&lt;&gt;"","GD01")</f>
        <v>GD01</v>
      </c>
      <c r="BK227" s="4">
        <f>IF(Table43[[#This Row],[SATUAN Fix Win]]&lt;&gt;"",11611)</f>
        <v>11611</v>
      </c>
      <c r="BL227" s="4">
        <f>IF(Table43[[#This Row],[SATUAN Fix Win]]&lt;&gt;"",11612)</f>
        <v>11612</v>
      </c>
      <c r="BM227" s="47" t="s">
        <v>655</v>
      </c>
      <c r="BN227" s="4">
        <f>IF(Table43[[#This Row],[SATUAN Fix Win]]&lt;&gt;"",1)</f>
        <v>1</v>
      </c>
      <c r="BO227" s="4" t="s">
        <v>656</v>
      </c>
      <c r="BP227" s="4">
        <f>IFERROR(VLOOKUP(Table43[[#This Row],[Kode Pcpl]],'[1]HEINZ ABC'!$A$4:$E$112,8,0),0)</f>
        <v>0</v>
      </c>
      <c r="BQ227" s="55">
        <f>Table43[[#This Row],[Harga Jual Pcs GT
(-PPN)]]-Table43[[#This Row],[HARGA NAIK GT]]</f>
        <v>488630.63</v>
      </c>
      <c r="BR227" s="4">
        <f>IF(Table43[[#This Row],[HARGA NAIK GT]]=0,Table43[[#This Row],[Harga Jual Pcs GT
(-PPN)]],Table43[[#This Row],[HARGA NAIK GT]])</f>
        <v>488630.63</v>
      </c>
      <c r="BS227">
        <f>IFERROR(VLOOKUP(Table43[[#This Row],[Kode Pcpl]],'[1]HEINZ ABC'!$A$4:$E$112,8,0),0)</f>
        <v>0</v>
      </c>
      <c r="BT227" s="58">
        <f>Table43[[#This Row],[Harga Jual Pcs GT
(-PPN)]]-BS227</f>
        <v>488630.63</v>
      </c>
      <c r="BU227">
        <f>IF(BS227=0,Table43[[#This Row],[Harga Jual Pcs MT
(-PPN)]])</f>
        <v>527721.07999999996</v>
      </c>
      <c r="BV227">
        <f>IFERROR(VLOOKUP(Table43[[#This Row],[Kode Pcpl]],[2]Pricelist!$A$4:$K$112,11,0),0)</f>
        <v>0</v>
      </c>
      <c r="BW227">
        <f>IFERROR(VLOOKUP(Table43[[#This Row],[Kode BARANG Win2]],[3]!RECKITT211216[[KDBRG]:[HRG_JL_PCS-PPN]],11,0),0)</f>
        <v>0</v>
      </c>
      <c r="BX227">
        <f t="shared" si="8"/>
        <v>0</v>
      </c>
    </row>
    <row r="228" spans="1:76" x14ac:dyDescent="0.25">
      <c r="A228" s="4" t="str">
        <f>CONCATENATE(Table43[[#This Row],[Kode BARANG Win2]],Table43[[#This Row],[No. Urut
Item Sama]])</f>
        <v>A11200071001101</v>
      </c>
      <c r="B228" s="7">
        <v>1</v>
      </c>
      <c r="C228" s="4">
        <v>199</v>
      </c>
      <c r="D228" s="27">
        <v>150119</v>
      </c>
      <c r="E228" s="27" t="s">
        <v>381</v>
      </c>
      <c r="F228" s="27" t="s">
        <v>407</v>
      </c>
      <c r="G228" s="27">
        <v>6</v>
      </c>
      <c r="H228" s="42" t="s">
        <v>2566</v>
      </c>
      <c r="I228" s="27" t="str">
        <f>Table43[[#This Row],[Nama Jenis Kemasan]]</f>
        <v>PCS</v>
      </c>
      <c r="J228" s="4" t="str">
        <f>TRIM(CONCATENATE(Table43[[#This Row],[Nama            KLP]]," ",Table43[[#This Row],[Nama            Sub KLP]]))</f>
        <v>SAMBAL</v>
      </c>
      <c r="K228" s="4" t="str">
        <f>CONCATENATE(Table43[[#This Row],[kode  2 Digit                (hrf+No)]],Table43[[#This Row],[kode  2 Digit                (Nomor)]],Table43[[#This Row],[kode  1 Digit                (Nomor)]])</f>
        <v>A1120</v>
      </c>
      <c r="L228" s="4" t="str">
        <f>IF(AG228="",CONCATENATE(Q228,S228,U228,W228,Y228,AA228,AC228,AE228,Table43[[#This Row],[Tanda Kode Revisi]]),CONCATENATE(Q228,S228,U228,W228,Y228,AA228,AC228,AG228))</f>
        <v>A1120007100110</v>
      </c>
      <c r="M228" s="11">
        <f t="shared" si="9"/>
        <v>14</v>
      </c>
      <c r="N228" s="14" t="str">
        <f>IF(AF228&lt;&gt;"",TRIM(UPPER(CONCATENATE(P228," ",R228," ",T228," ",V228," ",X228," ",Z228," ","X"," ",Table43[[#This Row],[ISI/CTN]]," ",AF228," ",AB228," ",AD228," ",AH228))),TRIM(UPPER(CONCATENATE(P228," ",R228," ",T228," ",V228," ",X228," ",Z228," ","X"," ",Table43[[#This Row],[ISI/CTN]]," ",AB228," ",AD228," ",AH228))))</f>
        <v>ABC SAMBAL ASLI PILLOW 1 KG X 6 PCS</v>
      </c>
      <c r="O228" s="11">
        <f t="shared" si="10"/>
        <v>35</v>
      </c>
      <c r="P228" s="4" t="s">
        <v>28</v>
      </c>
      <c r="Q228" s="7" t="s">
        <v>85</v>
      </c>
      <c r="R228" s="4" t="s">
        <v>603</v>
      </c>
      <c r="S228" s="43">
        <v>12</v>
      </c>
      <c r="T228" s="44"/>
      <c r="U228" s="7">
        <v>0</v>
      </c>
      <c r="V228" s="44"/>
      <c r="W228" s="43">
        <v>0</v>
      </c>
      <c r="X228" s="4" t="s">
        <v>616</v>
      </c>
      <c r="Y228" s="45" t="s">
        <v>222</v>
      </c>
      <c r="Z228" s="4" t="s">
        <v>596</v>
      </c>
      <c r="AA228" s="45">
        <v>1001</v>
      </c>
      <c r="AB228" s="4" t="s">
        <v>552</v>
      </c>
      <c r="AC228" s="7" t="s">
        <v>480</v>
      </c>
      <c r="AE228" s="7" t="s">
        <v>1</v>
      </c>
      <c r="AI228" s="7" t="s">
        <v>215</v>
      </c>
      <c r="AJ228" s="7">
        <v>1</v>
      </c>
      <c r="AL228" s="40">
        <f>Table43[[#This Row],[Harga Jual Pcs GT
(-PPN)]]-(Table43[[#This Row],[Harga Jual Pcs GT
(-PPN)]]*6%)</f>
        <v>25058.200400000002</v>
      </c>
      <c r="AM228" s="41">
        <f>Table43[[#This Row],[Harga Beli Pcs
(-PPN)]]*Table43[[#This Row],[ISI/CTN]]</f>
        <v>150349.20240000001</v>
      </c>
      <c r="AN228" s="41">
        <f>Table43[[#This Row],[Harga Beli Pcs
(-PPN)]]*1.11</f>
        <v>27814.602444000004</v>
      </c>
      <c r="AO228" s="41">
        <f>Table43[[#This Row],[Harga Beli Krt
(- PPN)]]*1.11</f>
        <v>166887.61466400002</v>
      </c>
      <c r="AP228" s="41">
        <v>26657.66</v>
      </c>
      <c r="AQ228" s="41">
        <f>Table43[[#This Row],[Harga Jual Pcs GT
(-PPN)]]*Table43[[#This Row],[ISI/CTN]]</f>
        <v>159945.96</v>
      </c>
      <c r="AR228" s="41">
        <f>Table43[[#This Row],[Harga Jual Pcs GT
(-PPN)]]*1.11</f>
        <v>29590.002600000003</v>
      </c>
      <c r="AS228" s="41">
        <f>Table43[[#This Row],[Harga Jual Krt GT
(- PPN)]]*1.11</f>
        <v>177540.01560000001</v>
      </c>
      <c r="AT228" s="41">
        <v>28790.27</v>
      </c>
      <c r="AU228" s="41">
        <f>(Table43[[#This Row],[Harga Jual Pcs MT
(-PPN)]]*Table43[[#This Row],[ISI/CTN]])</f>
        <v>172741.62</v>
      </c>
      <c r="AV228" s="41">
        <f>Table43[[#This Row],[Harga Jual Pcs MT
(-PPN)]]*1.11</f>
        <v>31957.199700000005</v>
      </c>
      <c r="AW228" s="41">
        <f>Table43[[#This Row],[Harga Jual Pcs MT
(+PPN)]]*Table43[[#This Row],[ISI/CTN]]</f>
        <v>191743.19820000004</v>
      </c>
      <c r="AX228" s="41"/>
      <c r="AY228" s="46">
        <v>45553</v>
      </c>
      <c r="AZ228" s="54">
        <v>45553</v>
      </c>
      <c r="BA228" s="7" t="str">
        <f ca="1">IF(TODAY()-Table43[[#This Row],[Efektif
Pembuatan]]&gt;60,"Lama","Baru")</f>
        <v>Lama</v>
      </c>
      <c r="BB228" s="7" t="str">
        <f ca="1">IF(TODAY()-Table43[[#This Row],[Efektif Naik Harga]]&lt;30,"Naik","Sama")</f>
        <v>Sama</v>
      </c>
      <c r="BC228" s="7" t="s">
        <v>235</v>
      </c>
      <c r="BD228" s="7" t="str">
        <f>IF(Table43[[#This Row],[Kode BARANG Win2]]&lt;&gt;"","IDR","")</f>
        <v>IDR</v>
      </c>
      <c r="BE228" s="7" t="str">
        <f>CONCATENATE(Table43[[#This Row],[kode  1 Digit
(Nomor)]],Table43[[#This Row],[kode  4 Digit                (Nomor)]])</f>
        <v>11001</v>
      </c>
      <c r="BF228" s="7" t="str">
        <f>Table43[[#This Row],[Nama            Gramasi atau Jumlah Pack per CTN]]</f>
        <v>1 KG</v>
      </c>
      <c r="BG228" s="7" t="s">
        <v>653</v>
      </c>
      <c r="BH228" s="51" t="s">
        <v>654</v>
      </c>
      <c r="BI228" s="4" t="str">
        <f>IF(Table43[[#This Row],[SATUAN Fix Win]]&lt;&gt;"","KRT")</f>
        <v>KRT</v>
      </c>
      <c r="BJ228" s="4" t="str">
        <f>IF(Table43[[#This Row],[SATUAN Fix Win]]&lt;&gt;"","GD01")</f>
        <v>GD01</v>
      </c>
      <c r="BK228" s="4">
        <f>IF(Table43[[#This Row],[SATUAN Fix Win]]&lt;&gt;"",11611)</f>
        <v>11611</v>
      </c>
      <c r="BL228" s="4">
        <f>IF(Table43[[#This Row],[SATUAN Fix Win]]&lt;&gt;"",11612)</f>
        <v>11612</v>
      </c>
      <c r="BM228" s="47" t="s">
        <v>655</v>
      </c>
      <c r="BN228" s="4">
        <f>IF(Table43[[#This Row],[SATUAN Fix Win]]&lt;&gt;"",1)</f>
        <v>1</v>
      </c>
      <c r="BO228" s="4" t="s">
        <v>656</v>
      </c>
      <c r="BP228" s="4">
        <f>IFERROR(VLOOKUP(Table43[[#This Row],[Kode Pcpl]],'[1]HEINZ ABC'!$A$4:$E$112,8,0),0)</f>
        <v>0</v>
      </c>
      <c r="BQ228" s="55">
        <f>Table43[[#This Row],[Harga Jual Pcs GT
(-PPN)]]-Table43[[#This Row],[HARGA NAIK GT]]</f>
        <v>26657.66</v>
      </c>
      <c r="BR228" s="4">
        <f>IF(Table43[[#This Row],[HARGA NAIK GT]]=0,Table43[[#This Row],[Harga Jual Pcs GT
(-PPN)]],Table43[[#This Row],[HARGA NAIK GT]])</f>
        <v>26657.66</v>
      </c>
      <c r="BS228">
        <f>IFERROR(VLOOKUP(Table43[[#This Row],[Kode Pcpl]],'[1]HEINZ ABC'!$A$4:$E$112,8,0),0)</f>
        <v>0</v>
      </c>
      <c r="BT228" s="58">
        <f>Table43[[#This Row],[Harga Jual Pcs GT
(-PPN)]]-BS228</f>
        <v>26657.66</v>
      </c>
      <c r="BU228">
        <f>IF(BS228=0,Table43[[#This Row],[Harga Jual Pcs MT
(-PPN)]])</f>
        <v>28790.27</v>
      </c>
      <c r="BV228">
        <f>IFERROR(VLOOKUP(Table43[[#This Row],[Kode Pcpl]],[2]Pricelist!$A$4:$K$112,11,0),0)</f>
        <v>0</v>
      </c>
      <c r="BW228">
        <f>IFERROR(VLOOKUP(Table43[[#This Row],[Kode BARANG Win2]],[3]!RECKITT211216[[KDBRG]:[HRG_JL_PCS-PPN]],11,0),0)</f>
        <v>0</v>
      </c>
      <c r="BX228">
        <f t="shared" si="8"/>
        <v>0</v>
      </c>
    </row>
    <row r="229" spans="1:76" x14ac:dyDescent="0.25">
      <c r="A229" s="4" t="str">
        <f>CONCATENATE(Table43[[#This Row],[Kode BARANG Win2]],Table43[[#This Row],[No. Urut
Item Sama]])</f>
        <v>A11200071001102</v>
      </c>
      <c r="B229" s="7">
        <v>2</v>
      </c>
      <c r="C229" s="4">
        <v>200</v>
      </c>
      <c r="D229" s="27">
        <v>150231</v>
      </c>
      <c r="E229" s="27" t="s">
        <v>381</v>
      </c>
      <c r="F229" s="27" t="s">
        <v>408</v>
      </c>
      <c r="G229" s="27">
        <v>6</v>
      </c>
      <c r="H229" s="42" t="s">
        <v>2540</v>
      </c>
      <c r="I229" s="27" t="str">
        <f>Table43[[#This Row],[Nama Jenis Kemasan]]</f>
        <v>PCS</v>
      </c>
      <c r="J229" s="4" t="str">
        <f>TRIM(CONCATENATE(Table43[[#This Row],[Nama            KLP]]," ",Table43[[#This Row],[Nama            Sub KLP]]))</f>
        <v>SAMBAL</v>
      </c>
      <c r="K229" s="4" t="str">
        <f>CONCATENATE(Table43[[#This Row],[kode  2 Digit                (hrf+No)]],Table43[[#This Row],[kode  2 Digit                (Nomor)]],Table43[[#This Row],[kode  1 Digit                (Nomor)]])</f>
        <v>A1120</v>
      </c>
      <c r="L229" s="4" t="str">
        <f>IF(AG229="",CONCATENATE(Q229,S229,U229,W229,Y229,AA229,AC229,AE229,Table43[[#This Row],[Tanda Kode Revisi]]),CONCATENATE(Q229,S229,U229,W229,Y229,AA229,AC229,AG229))</f>
        <v>A1120007100110</v>
      </c>
      <c r="M229" s="11">
        <f t="shared" si="9"/>
        <v>14</v>
      </c>
      <c r="N229" s="14" t="str">
        <f>IF(AF229&lt;&gt;"",TRIM(UPPER(CONCATENATE(P229," ",R229," ",T229," ",V229," ",X229," ",Z229," ","X"," ",Table43[[#This Row],[ISI/CTN]]," ",AF229," ",AB229," ",AD229," ",AH229))),TRIM(UPPER(CONCATENATE(P229," ",R229," ",T229," ",V229," ",X229," ",Z229," ","X"," ",Table43[[#This Row],[ISI/CTN]]," ",AB229," ",AD229," ",AH229))))</f>
        <v>ABC SAMBAL ASLI PILLOW 1 KG X 6 PCS</v>
      </c>
      <c r="O229" s="11">
        <f t="shared" si="10"/>
        <v>35</v>
      </c>
      <c r="P229" s="4" t="s">
        <v>28</v>
      </c>
      <c r="Q229" s="7" t="s">
        <v>85</v>
      </c>
      <c r="R229" s="4" t="s">
        <v>603</v>
      </c>
      <c r="S229" s="43">
        <v>12</v>
      </c>
      <c r="T229" s="44"/>
      <c r="U229" s="7">
        <v>0</v>
      </c>
      <c r="V229" s="44"/>
      <c r="W229" s="43">
        <v>0</v>
      </c>
      <c r="X229" s="4" t="s">
        <v>616</v>
      </c>
      <c r="Y229" s="45" t="s">
        <v>222</v>
      </c>
      <c r="Z229" s="4" t="s">
        <v>596</v>
      </c>
      <c r="AA229" s="45">
        <v>1001</v>
      </c>
      <c r="AB229" s="4" t="s">
        <v>552</v>
      </c>
      <c r="AC229" s="7" t="s">
        <v>480</v>
      </c>
      <c r="AE229" s="7" t="s">
        <v>1</v>
      </c>
      <c r="AI229" s="7" t="s">
        <v>215</v>
      </c>
      <c r="AJ229" s="7">
        <v>1</v>
      </c>
      <c r="AL229" s="40">
        <f>Table43[[#This Row],[Harga Jual Pcs GT
(-PPN)]]-(Table43[[#This Row],[Harga Jual Pcs GT
(-PPN)]]*6%)</f>
        <v>25058.200400000002</v>
      </c>
      <c r="AM229" s="41">
        <f>Table43[[#This Row],[Harga Beli Pcs
(-PPN)]]*Table43[[#This Row],[ISI/CTN]]</f>
        <v>150349.20240000001</v>
      </c>
      <c r="AN229" s="41">
        <f>Table43[[#This Row],[Harga Beli Pcs
(-PPN)]]*1.11</f>
        <v>27814.602444000004</v>
      </c>
      <c r="AO229" s="41">
        <f>Table43[[#This Row],[Harga Beli Krt
(- PPN)]]*1.11</f>
        <v>166887.61466400002</v>
      </c>
      <c r="AP229" s="41">
        <v>26657.66</v>
      </c>
      <c r="AQ229" s="41">
        <f>Table43[[#This Row],[Harga Jual Pcs GT
(-PPN)]]*Table43[[#This Row],[ISI/CTN]]</f>
        <v>159945.96</v>
      </c>
      <c r="AR229" s="41">
        <f>Table43[[#This Row],[Harga Jual Pcs GT
(-PPN)]]*1.11</f>
        <v>29590.002600000003</v>
      </c>
      <c r="AS229" s="41">
        <f>Table43[[#This Row],[Harga Jual Krt GT
(- PPN)]]*1.11</f>
        <v>177540.01560000001</v>
      </c>
      <c r="AT229" s="41">
        <v>28790.27</v>
      </c>
      <c r="AU229" s="41">
        <f>(Table43[[#This Row],[Harga Jual Pcs MT
(-PPN)]]*Table43[[#This Row],[ISI/CTN]])</f>
        <v>172741.62</v>
      </c>
      <c r="AV229" s="41">
        <f>Table43[[#This Row],[Harga Jual Pcs MT
(-PPN)]]*1.11</f>
        <v>31957.199700000005</v>
      </c>
      <c r="AW229" s="41">
        <f>Table43[[#This Row],[Harga Jual Pcs MT
(+PPN)]]*Table43[[#This Row],[ISI/CTN]]</f>
        <v>191743.19820000004</v>
      </c>
      <c r="AX229" s="41"/>
      <c r="AY229" s="46">
        <v>45553</v>
      </c>
      <c r="AZ229" s="54">
        <v>45553</v>
      </c>
      <c r="BA229" s="7" t="str">
        <f ca="1">IF(TODAY()-Table43[[#This Row],[Efektif
Pembuatan]]&gt;60,"Lama","Baru")</f>
        <v>Lama</v>
      </c>
      <c r="BB229" s="7" t="str">
        <f ca="1">IF(TODAY()-Table43[[#This Row],[Efektif Naik Harga]]&lt;30,"Naik","Sama")</f>
        <v>Sama</v>
      </c>
      <c r="BC229" s="7" t="s">
        <v>235</v>
      </c>
      <c r="BD229" s="7" t="str">
        <f>IF(Table43[[#This Row],[Kode BARANG Win2]]&lt;&gt;"","IDR","")</f>
        <v>IDR</v>
      </c>
      <c r="BE229" s="7" t="str">
        <f>CONCATENATE(Table43[[#This Row],[kode  1 Digit
(Nomor)]],Table43[[#This Row],[kode  4 Digit                (Nomor)]])</f>
        <v>11001</v>
      </c>
      <c r="BF229" s="7" t="str">
        <f>Table43[[#This Row],[Nama            Gramasi atau Jumlah Pack per CTN]]</f>
        <v>1 KG</v>
      </c>
      <c r="BG229" s="7" t="s">
        <v>653</v>
      </c>
      <c r="BH229" s="51" t="s">
        <v>654</v>
      </c>
      <c r="BI229" s="4" t="str">
        <f>IF(Table43[[#This Row],[SATUAN Fix Win]]&lt;&gt;"","KRT")</f>
        <v>KRT</v>
      </c>
      <c r="BJ229" s="4" t="str">
        <f>IF(Table43[[#This Row],[SATUAN Fix Win]]&lt;&gt;"","GD01")</f>
        <v>GD01</v>
      </c>
      <c r="BK229" s="4">
        <f>IF(Table43[[#This Row],[SATUAN Fix Win]]&lt;&gt;"",11611)</f>
        <v>11611</v>
      </c>
      <c r="BL229" s="4">
        <f>IF(Table43[[#This Row],[SATUAN Fix Win]]&lt;&gt;"",11612)</f>
        <v>11612</v>
      </c>
      <c r="BM229" s="47" t="s">
        <v>655</v>
      </c>
      <c r="BN229" s="4">
        <f>IF(Table43[[#This Row],[SATUAN Fix Win]]&lt;&gt;"",1)</f>
        <v>1</v>
      </c>
      <c r="BO229" s="4" t="s">
        <v>656</v>
      </c>
      <c r="BP229" s="4">
        <f>IFERROR(VLOOKUP(Table43[[#This Row],[Kode Pcpl]],'[1]HEINZ ABC'!$A$4:$E$112,8,0),0)</f>
        <v>0</v>
      </c>
      <c r="BQ229" s="55">
        <f>Table43[[#This Row],[Harga Jual Pcs GT
(-PPN)]]-Table43[[#This Row],[HARGA NAIK GT]]</f>
        <v>26657.66</v>
      </c>
      <c r="BR229" s="4">
        <f>IF(Table43[[#This Row],[HARGA NAIK GT]]=0,Table43[[#This Row],[Harga Jual Pcs GT
(-PPN)]],Table43[[#This Row],[HARGA NAIK GT]])</f>
        <v>26657.66</v>
      </c>
      <c r="BS229">
        <f>IFERROR(VLOOKUP(Table43[[#This Row],[Kode Pcpl]],'[1]HEINZ ABC'!$A$4:$E$112,8,0),0)</f>
        <v>0</v>
      </c>
      <c r="BT229" s="58">
        <f>Table43[[#This Row],[Harga Jual Pcs GT
(-PPN)]]-BS229</f>
        <v>26657.66</v>
      </c>
      <c r="BU229">
        <f>IF(BS229=0,Table43[[#This Row],[Harga Jual Pcs MT
(-PPN)]])</f>
        <v>28790.27</v>
      </c>
      <c r="BV229">
        <f>IFERROR(VLOOKUP(Table43[[#This Row],[Kode Pcpl]],[2]Pricelist!$A$4:$K$112,11,0),0)</f>
        <v>0</v>
      </c>
      <c r="BW229">
        <f>IFERROR(VLOOKUP(Table43[[#This Row],[Kode BARANG Win2]],[3]!RECKITT211216[[KDBRG]:[HRG_JL_PCS-PPN]],11,0),0)</f>
        <v>0</v>
      </c>
      <c r="BX229">
        <f t="shared" si="8"/>
        <v>0</v>
      </c>
    </row>
    <row r="230" spans="1:76" x14ac:dyDescent="0.25">
      <c r="A230" s="4" t="str">
        <f>CONCATENATE(Table43[[#This Row],[Kode BARANG Win2]],Table43[[#This Row],[No. Urut
Item Sama]])</f>
        <v>A11200071001103</v>
      </c>
      <c r="B230" s="7">
        <v>3</v>
      </c>
      <c r="C230" s="4">
        <v>201</v>
      </c>
      <c r="D230" s="27">
        <v>150335</v>
      </c>
      <c r="E230" s="27" t="s">
        <v>381</v>
      </c>
      <c r="F230" s="27" t="s">
        <v>408</v>
      </c>
      <c r="G230" s="27">
        <v>6</v>
      </c>
      <c r="H230" s="42" t="s">
        <v>2459</v>
      </c>
      <c r="I230" s="27" t="str">
        <f>Table43[[#This Row],[Nama Jenis Kemasan]]</f>
        <v>PCS</v>
      </c>
      <c r="J230" s="4" t="str">
        <f>TRIM(CONCATENATE(Table43[[#This Row],[Nama            KLP]]," ",Table43[[#This Row],[Nama            Sub KLP]]))</f>
        <v>SAMBAL</v>
      </c>
      <c r="K230" s="4" t="str">
        <f>CONCATENATE(Table43[[#This Row],[kode  2 Digit                (hrf+No)]],Table43[[#This Row],[kode  2 Digit                (Nomor)]],Table43[[#This Row],[kode  1 Digit                (Nomor)]])</f>
        <v>A1120</v>
      </c>
      <c r="L230" s="4" t="str">
        <f>IF(AG230="",CONCATENATE(Q230,S230,U230,W230,Y230,AA230,AC230,AE230,Table43[[#This Row],[Tanda Kode Revisi]]),CONCATENATE(Q230,S230,U230,W230,Y230,AA230,AC230,AG230))</f>
        <v>A1120007100110</v>
      </c>
      <c r="M230" s="11">
        <f t="shared" si="9"/>
        <v>14</v>
      </c>
      <c r="N230" s="14" t="str">
        <f>IF(AF230&lt;&gt;"",TRIM(UPPER(CONCATENATE(P230," ",R230," ",T230," ",V230," ",X230," ",Z230," ","X"," ",Table43[[#This Row],[ISI/CTN]]," ",AF230," ",AB230," ",AD230," ",AH230))),TRIM(UPPER(CONCATENATE(P230," ",R230," ",T230," ",V230," ",X230," ",Z230," ","X"," ",Table43[[#This Row],[ISI/CTN]]," ",AB230," ",AD230," ",AH230))))</f>
        <v>ABC SAMBAL ASLI PILLOW 1 KG X 6 PCS</v>
      </c>
      <c r="O230" s="11">
        <f t="shared" si="10"/>
        <v>35</v>
      </c>
      <c r="P230" s="4" t="s">
        <v>28</v>
      </c>
      <c r="Q230" s="7" t="s">
        <v>85</v>
      </c>
      <c r="R230" s="4" t="s">
        <v>603</v>
      </c>
      <c r="S230" s="43">
        <v>12</v>
      </c>
      <c r="T230" s="44"/>
      <c r="U230" s="7">
        <v>0</v>
      </c>
      <c r="V230" s="44"/>
      <c r="W230" s="43">
        <v>0</v>
      </c>
      <c r="X230" s="4" t="s">
        <v>616</v>
      </c>
      <c r="Y230" s="45" t="s">
        <v>222</v>
      </c>
      <c r="Z230" s="4" t="s">
        <v>596</v>
      </c>
      <c r="AA230" s="45">
        <v>1001</v>
      </c>
      <c r="AB230" s="4" t="s">
        <v>552</v>
      </c>
      <c r="AC230" s="7" t="s">
        <v>480</v>
      </c>
      <c r="AE230" s="7" t="s">
        <v>1</v>
      </c>
      <c r="AI230" s="7" t="s">
        <v>215</v>
      </c>
      <c r="AJ230" s="7">
        <v>1</v>
      </c>
      <c r="AL230" s="40">
        <f>Table43[[#This Row],[Harga Jual Pcs GT
(-PPN)]]-(Table43[[#This Row],[Harga Jual Pcs GT
(-PPN)]]*6%)</f>
        <v>25058.200400000002</v>
      </c>
      <c r="AM230" s="41">
        <f>Table43[[#This Row],[Harga Beli Pcs
(-PPN)]]*Table43[[#This Row],[ISI/CTN]]</f>
        <v>150349.20240000001</v>
      </c>
      <c r="AN230" s="41">
        <f>Table43[[#This Row],[Harga Beli Pcs
(-PPN)]]*1.11</f>
        <v>27814.602444000004</v>
      </c>
      <c r="AO230" s="41">
        <f>Table43[[#This Row],[Harga Beli Krt
(- PPN)]]*1.11</f>
        <v>166887.61466400002</v>
      </c>
      <c r="AP230" s="41">
        <v>26657.66</v>
      </c>
      <c r="AQ230" s="41">
        <f>Table43[[#This Row],[Harga Jual Pcs GT
(-PPN)]]*Table43[[#This Row],[ISI/CTN]]</f>
        <v>159945.96</v>
      </c>
      <c r="AR230" s="41">
        <f>Table43[[#This Row],[Harga Jual Pcs GT
(-PPN)]]*1.11</f>
        <v>29590.002600000003</v>
      </c>
      <c r="AS230" s="41">
        <f>Table43[[#This Row],[Harga Jual Krt GT
(- PPN)]]*1.11</f>
        <v>177540.01560000001</v>
      </c>
      <c r="AT230" s="41">
        <v>28790.27</v>
      </c>
      <c r="AU230" s="41">
        <f>(Table43[[#This Row],[Harga Jual Pcs MT
(-PPN)]]*Table43[[#This Row],[ISI/CTN]])</f>
        <v>172741.62</v>
      </c>
      <c r="AV230" s="41">
        <f>Table43[[#This Row],[Harga Jual Pcs MT
(-PPN)]]*1.11</f>
        <v>31957.199700000005</v>
      </c>
      <c r="AW230" s="41">
        <f>Table43[[#This Row],[Harga Jual Pcs MT
(+PPN)]]*Table43[[#This Row],[ISI/CTN]]</f>
        <v>191743.19820000004</v>
      </c>
      <c r="AX230" s="41"/>
      <c r="AY230" s="46">
        <v>45625</v>
      </c>
      <c r="AZ230" s="54">
        <v>45553</v>
      </c>
      <c r="BA230" s="7" t="str">
        <f ca="1">IF(TODAY()-Table43[[#This Row],[Efektif
Pembuatan]]&gt;60,"Lama","Baru")</f>
        <v>Lama</v>
      </c>
      <c r="BB230" s="7" t="str">
        <f ca="1">IF(TODAY()-Table43[[#This Row],[Efektif Naik Harga]]&lt;30,"Naik","Sama")</f>
        <v>Sama</v>
      </c>
      <c r="BC230" s="7" t="s">
        <v>235</v>
      </c>
      <c r="BD230" s="7" t="str">
        <f>IF(Table43[[#This Row],[Kode BARANG Win2]]&lt;&gt;"","IDR","")</f>
        <v>IDR</v>
      </c>
      <c r="BE230" s="7" t="str">
        <f>CONCATENATE(Table43[[#This Row],[kode  1 Digit
(Nomor)]],Table43[[#This Row],[kode  4 Digit                (Nomor)]])</f>
        <v>11001</v>
      </c>
      <c r="BF230" s="7" t="str">
        <f>Table43[[#This Row],[Nama            Gramasi atau Jumlah Pack per CTN]]</f>
        <v>1 KG</v>
      </c>
      <c r="BG230" s="7" t="s">
        <v>653</v>
      </c>
      <c r="BH230" s="51" t="s">
        <v>654</v>
      </c>
      <c r="BI230" s="4" t="str">
        <f>IF(Table43[[#This Row],[SATUAN Fix Win]]&lt;&gt;"","KRT")</f>
        <v>KRT</v>
      </c>
      <c r="BJ230" s="4" t="str">
        <f>IF(Table43[[#This Row],[SATUAN Fix Win]]&lt;&gt;"","GD01")</f>
        <v>GD01</v>
      </c>
      <c r="BK230" s="4">
        <f>IF(Table43[[#This Row],[SATUAN Fix Win]]&lt;&gt;"",11611)</f>
        <v>11611</v>
      </c>
      <c r="BL230" s="4">
        <f>IF(Table43[[#This Row],[SATUAN Fix Win]]&lt;&gt;"",11612)</f>
        <v>11612</v>
      </c>
      <c r="BM230" s="47" t="s">
        <v>655</v>
      </c>
      <c r="BN230" s="4">
        <f>IF(Table43[[#This Row],[SATUAN Fix Win]]&lt;&gt;"",1)</f>
        <v>1</v>
      </c>
      <c r="BO230" s="4" t="s">
        <v>656</v>
      </c>
      <c r="BP230" s="4">
        <f>IFERROR(VLOOKUP(Table43[[#This Row],[Kode Pcpl]],'[1]HEINZ ABC'!$A$4:$E$112,8,0),0)</f>
        <v>0</v>
      </c>
      <c r="BQ230" s="55">
        <f>Table43[[#This Row],[Harga Jual Pcs GT
(-PPN)]]-Table43[[#This Row],[HARGA NAIK GT]]</f>
        <v>26657.66</v>
      </c>
      <c r="BR230" s="4">
        <f>IF(Table43[[#This Row],[HARGA NAIK GT]]=0,Table43[[#This Row],[Harga Jual Pcs GT
(-PPN)]],Table43[[#This Row],[HARGA NAIK GT]])</f>
        <v>26657.66</v>
      </c>
      <c r="BS230">
        <f>IFERROR(VLOOKUP(Table43[[#This Row],[Kode Pcpl]],'[1]HEINZ ABC'!$A$4:$E$112,8,0),0)</f>
        <v>0</v>
      </c>
      <c r="BT230" s="58">
        <f>Table43[[#This Row],[Harga Jual Pcs GT
(-PPN)]]-BS230</f>
        <v>26657.66</v>
      </c>
      <c r="BU230">
        <f>IF(BS230=0,Table43[[#This Row],[Harga Jual Pcs MT
(-PPN)]])</f>
        <v>28790.27</v>
      </c>
      <c r="BV230">
        <f>IFERROR(VLOOKUP(Table43[[#This Row],[Kode Pcpl]],[2]Pricelist!$A$4:$K$112,11,0),0)</f>
        <v>0</v>
      </c>
      <c r="BW230">
        <f>IFERROR(VLOOKUP(Table43[[#This Row],[Kode BARANG Win2]],[3]!RECKITT211216[[KDBRG]:[HRG_JL_PCS-PPN]],11,0),0)</f>
        <v>0</v>
      </c>
      <c r="BX230">
        <f t="shared" ref="BX230:BX297" si="11">BV230/1.11</f>
        <v>0</v>
      </c>
    </row>
    <row r="231" spans="1:76" x14ac:dyDescent="0.25">
      <c r="A231" s="4" t="str">
        <f>CONCATENATE(Table43[[#This Row],[Kode BARANG Win2]],Table43[[#This Row],[No. Urut
Item Sama]])</f>
        <v>A11200080008101</v>
      </c>
      <c r="B231" s="7">
        <v>1</v>
      </c>
      <c r="C231" s="4">
        <v>202</v>
      </c>
      <c r="D231" s="27">
        <v>150154</v>
      </c>
      <c r="E231" s="27" t="s">
        <v>381</v>
      </c>
      <c r="F231" s="27" t="s">
        <v>409</v>
      </c>
      <c r="G231" s="27">
        <v>21</v>
      </c>
      <c r="H231" s="42" t="s">
        <v>2605</v>
      </c>
      <c r="I231" s="27" t="str">
        <f>Table43[[#This Row],[Nama Jenis Kemasan]]</f>
        <v>PCSX22</v>
      </c>
      <c r="J231" s="4" t="str">
        <f>TRIM(CONCATENATE(Table43[[#This Row],[Nama            KLP]]," ",Table43[[#This Row],[Nama            Sub KLP]]))</f>
        <v>SAMBAL</v>
      </c>
      <c r="K231" s="4" t="str">
        <f>CONCATENATE(Table43[[#This Row],[kode  2 Digit                (hrf+No)]],Table43[[#This Row],[kode  2 Digit                (Nomor)]],Table43[[#This Row],[kode  1 Digit                (Nomor)]])</f>
        <v>A1120</v>
      </c>
      <c r="L231" s="4" t="str">
        <f>IF(AG231="",CONCATENATE(Q231,S231,U231,W231,Y231,AA231,AC231,AE231,Table43[[#This Row],[Tanda Kode Revisi]]),CONCATENATE(Q231,S231,U231,W231,Y231,AA231,AC231,AG231))</f>
        <v>A1120008000810</v>
      </c>
      <c r="M231" s="11">
        <f t="shared" si="9"/>
        <v>14</v>
      </c>
      <c r="N231" s="14" t="str">
        <f>IF(AF231&lt;&gt;"",TRIM(UPPER(CONCATENATE(P231," ",R231," ",T231," ",V231," ",X231," ",Z231," ","X"," ",Table43[[#This Row],[ISI/CTN]]," ",AF231," ",AB231," ",AD231," ",AH231))),TRIM(UPPER(CONCATENATE(P231," ",R231," ",T231," ",V231," ",X231," ",Z231," ","X"," ",Table43[[#This Row],[ISI/CTN]]," ",AB231," ",AD231," ",AH231))))</f>
        <v>ABC SAMBAL EXTRA PEDAS 8 GR X 21 PACK PCSX22</v>
      </c>
      <c r="O231" s="11">
        <f t="shared" si="10"/>
        <v>44</v>
      </c>
      <c r="P231" s="4" t="s">
        <v>28</v>
      </c>
      <c r="Q231" s="7" t="s">
        <v>85</v>
      </c>
      <c r="R231" s="4" t="s">
        <v>603</v>
      </c>
      <c r="S231" s="43">
        <v>12</v>
      </c>
      <c r="T231" s="44"/>
      <c r="U231" s="7">
        <v>0</v>
      </c>
      <c r="V231" s="44"/>
      <c r="W231" s="43" t="s">
        <v>1</v>
      </c>
      <c r="X231" s="4" t="s">
        <v>519</v>
      </c>
      <c r="Y231" s="45" t="s">
        <v>224</v>
      </c>
      <c r="Z231" s="4" t="s">
        <v>589</v>
      </c>
      <c r="AA231" s="45" t="s">
        <v>590</v>
      </c>
      <c r="AB231" s="4" t="s">
        <v>591</v>
      </c>
      <c r="AC231" s="7" t="s">
        <v>480</v>
      </c>
      <c r="AE231" s="7" t="s">
        <v>1</v>
      </c>
      <c r="AF231" s="7" t="s">
        <v>546</v>
      </c>
      <c r="AI231" s="7" t="s">
        <v>215</v>
      </c>
      <c r="AJ231" s="7">
        <v>1</v>
      </c>
      <c r="AL231" s="40">
        <f>Table43[[#This Row],[Harga Jual Pcs GT
(-PPN)]]-(Table43[[#This Row],[Harga Jual Pcs GT
(-PPN)]]*6%)</f>
        <v>5669.6381999999994</v>
      </c>
      <c r="AM231" s="41">
        <f>Table43[[#This Row],[Harga Beli Pcs
(-PPN)]]*Table43[[#This Row],[ISI/CTN]]</f>
        <v>119062.40219999998</v>
      </c>
      <c r="AN231" s="41">
        <f>Table43[[#This Row],[Harga Beli Pcs
(-PPN)]]*1.11</f>
        <v>6293.2984020000004</v>
      </c>
      <c r="AO231" s="41">
        <f>Table43[[#This Row],[Harga Beli Krt
(- PPN)]]*1.11</f>
        <v>132159.26644199999</v>
      </c>
      <c r="AP231" s="41">
        <v>6031.53</v>
      </c>
      <c r="AQ231" s="41">
        <f>Table43[[#This Row],[Harga Jual Pcs GT
(-PPN)]]*Table43[[#This Row],[ISI/CTN]]</f>
        <v>126662.12999999999</v>
      </c>
      <c r="AR231" s="41">
        <f>Table43[[#This Row],[Harga Jual Pcs GT
(-PPN)]]*1.11</f>
        <v>6694.9983000000002</v>
      </c>
      <c r="AS231" s="41">
        <f>Table43[[#This Row],[Harga Jual Krt GT
(- PPN)]]*1.11</f>
        <v>140594.96429999999</v>
      </c>
      <c r="AT231" s="41">
        <v>6573.2727272727261</v>
      </c>
      <c r="AU231" s="41">
        <f>(Table43[[#This Row],[Harga Jual Pcs MT
(-PPN)]]*Table43[[#This Row],[ISI/CTN]])</f>
        <v>138038.72727272724</v>
      </c>
      <c r="AV231" s="41">
        <f>Table43[[#This Row],[Harga Jual Pcs MT
(-PPN)]]*1.11</f>
        <v>7296.3327272727265</v>
      </c>
      <c r="AW231" s="41">
        <f>Table43[[#This Row],[Harga Jual Pcs MT
(+PPN)]]*Table43[[#This Row],[ISI/CTN]]</f>
        <v>153222.98727272724</v>
      </c>
      <c r="AX231" s="41"/>
      <c r="AY231" s="46">
        <v>45553</v>
      </c>
      <c r="AZ231" s="54">
        <v>45945</v>
      </c>
      <c r="BA231" s="7" t="str">
        <f ca="1">IF(TODAY()-Table43[[#This Row],[Efektif
Pembuatan]]&gt;60,"Lama","Baru")</f>
        <v>Lama</v>
      </c>
      <c r="BB231" s="7" t="str">
        <f ca="1">IF(TODAY()-Table43[[#This Row],[Efektif Naik Harga]]&lt;30,"Naik","Sama")</f>
        <v>Sama</v>
      </c>
      <c r="BC231" s="7" t="s">
        <v>235</v>
      </c>
      <c r="BD231" s="7" t="str">
        <f>IF(Table43[[#This Row],[Kode BARANG Win2]]&lt;&gt;"","IDR","")</f>
        <v>IDR</v>
      </c>
      <c r="BE231" s="7" t="str">
        <f>CONCATENATE(Table43[[#This Row],[kode  1 Digit
(Nomor)]],Table43[[#This Row],[kode  4 Digit                (Nomor)]])</f>
        <v>10008</v>
      </c>
      <c r="BF231" s="7" t="str">
        <f>Table43[[#This Row],[Nama            Gramasi atau Jumlah Pack per CTN]]</f>
        <v>8 GR</v>
      </c>
      <c r="BG231" s="7" t="s">
        <v>653</v>
      </c>
      <c r="BH231" s="51" t="s">
        <v>654</v>
      </c>
      <c r="BI231" s="4" t="str">
        <f>IF(Table43[[#This Row],[SATUAN Fix Win]]&lt;&gt;"","KRT")</f>
        <v>KRT</v>
      </c>
      <c r="BJ231" s="4" t="str">
        <f>IF(Table43[[#This Row],[SATUAN Fix Win]]&lt;&gt;"","GD01")</f>
        <v>GD01</v>
      </c>
      <c r="BK231" s="4">
        <f>IF(Table43[[#This Row],[SATUAN Fix Win]]&lt;&gt;"",11611)</f>
        <v>11611</v>
      </c>
      <c r="BL231" s="4">
        <f>IF(Table43[[#This Row],[SATUAN Fix Win]]&lt;&gt;"",11612)</f>
        <v>11612</v>
      </c>
      <c r="BM231" s="47" t="s">
        <v>655</v>
      </c>
      <c r="BN231" s="4">
        <f>IF(Table43[[#This Row],[SATUAN Fix Win]]&lt;&gt;"",1)</f>
        <v>1</v>
      </c>
      <c r="BO231" s="4" t="s">
        <v>656</v>
      </c>
      <c r="BP231" s="4">
        <f>IFERROR(VLOOKUP(Table43[[#This Row],[Kode Pcpl]],'[1]HEINZ ABC'!$A$4:$E$112,8,0),0)</f>
        <v>0</v>
      </c>
      <c r="BQ231" s="55">
        <f>Table43[[#This Row],[Harga Jual Pcs GT
(-PPN)]]-Table43[[#This Row],[HARGA NAIK GT]]</f>
        <v>6031.53</v>
      </c>
      <c r="BR231" s="4">
        <f>IF(Table43[[#This Row],[HARGA NAIK GT]]=0,Table43[[#This Row],[Harga Jual Pcs GT
(-PPN)]],Table43[[#This Row],[HARGA NAIK GT]])</f>
        <v>6031.53</v>
      </c>
      <c r="BS231">
        <f>IFERROR(VLOOKUP(Table43[[#This Row],[Kode Pcpl]],'[1]HEINZ ABC'!$A$4:$E$112,8,0),0)</f>
        <v>0</v>
      </c>
      <c r="BT231" s="58">
        <f>Table43[[#This Row],[Harga Jual Pcs GT
(-PPN)]]-BS231</f>
        <v>6031.53</v>
      </c>
      <c r="BU231">
        <f>IF(BS231=0,Table43[[#This Row],[Harga Jual Pcs MT
(-PPN)]])</f>
        <v>6573.2727272727261</v>
      </c>
      <c r="BV231">
        <f>IFERROR(VLOOKUP(Table43[[#This Row],[Kode Pcpl]],[2]Pricelist!$A$4:$K$112,11,0),0)</f>
        <v>0</v>
      </c>
      <c r="BW231">
        <f>IFERROR(VLOOKUP(Table43[[#This Row],[Kode BARANG Win2]],[3]!RECKITT211216[[KDBRG]:[HRG_JL_PCS-PPN]],11,0),0)</f>
        <v>0</v>
      </c>
      <c r="BX231">
        <f t="shared" si="11"/>
        <v>0</v>
      </c>
    </row>
    <row r="232" spans="1:76" x14ac:dyDescent="0.25">
      <c r="A232" s="4" t="str">
        <f>CONCATENATE(Table43[[#This Row],[Kode BARANG Win2]],Table43[[#This Row],[No. Urut
Item Sama]])</f>
        <v>A11200080008102</v>
      </c>
      <c r="B232" s="7">
        <v>2</v>
      </c>
      <c r="C232" s="4">
        <v>203</v>
      </c>
      <c r="D232" s="27">
        <v>150241</v>
      </c>
      <c r="E232" s="27" t="s">
        <v>381</v>
      </c>
      <c r="F232" s="27" t="s">
        <v>410</v>
      </c>
      <c r="G232" s="27">
        <v>21</v>
      </c>
      <c r="H232" s="42" t="s">
        <v>2606</v>
      </c>
      <c r="I232" s="27" t="str">
        <f>Table43[[#This Row],[Nama Jenis Kemasan]]</f>
        <v>PCSX22</v>
      </c>
      <c r="J232" s="4" t="str">
        <f>TRIM(CONCATENATE(Table43[[#This Row],[Nama            KLP]]," ",Table43[[#This Row],[Nama            Sub KLP]]))</f>
        <v>SAMBAL</v>
      </c>
      <c r="K232" s="4" t="str">
        <f>CONCATENATE(Table43[[#This Row],[kode  2 Digit                (hrf+No)]],Table43[[#This Row],[kode  2 Digit                (Nomor)]],Table43[[#This Row],[kode  1 Digit                (Nomor)]])</f>
        <v>A1120</v>
      </c>
      <c r="L232" s="4" t="str">
        <f>IF(AG232="",CONCATENATE(Q232,S232,U232,W232,Y232,AA232,AC232,AE232,Table43[[#This Row],[Tanda Kode Revisi]]),CONCATENATE(Q232,S232,U232,W232,Y232,AA232,AC232,AG232))</f>
        <v>A1120008000810</v>
      </c>
      <c r="M232" s="11">
        <f t="shared" si="9"/>
        <v>14</v>
      </c>
      <c r="N232" s="14" t="str">
        <f>IF(AF232&lt;&gt;"",TRIM(UPPER(CONCATENATE(P232," ",R232," ",T232," ",V232," ",X232," ",Z232," ","X"," ",Table43[[#This Row],[ISI/CTN]]," ",AF232," ",AB232," ",AD232," ",AH232))),TRIM(UPPER(CONCATENATE(P232," ",R232," ",T232," ",V232," ",X232," ",Z232," ","X"," ",Table43[[#This Row],[ISI/CTN]]," ",AB232," ",AD232," ",AH232))))</f>
        <v>ABC SAMBAL EXTRA PEDAS 8 GR X 21 PACK PCSX22</v>
      </c>
      <c r="O232" s="11">
        <f t="shared" si="10"/>
        <v>44</v>
      </c>
      <c r="P232" s="4" t="s">
        <v>28</v>
      </c>
      <c r="Q232" s="7" t="s">
        <v>85</v>
      </c>
      <c r="R232" s="4" t="s">
        <v>603</v>
      </c>
      <c r="S232" s="43">
        <v>12</v>
      </c>
      <c r="T232" s="44"/>
      <c r="U232" s="7">
        <v>0</v>
      </c>
      <c r="V232" s="44"/>
      <c r="W232" s="43" t="s">
        <v>1</v>
      </c>
      <c r="X232" s="4" t="s">
        <v>519</v>
      </c>
      <c r="Y232" s="45" t="s">
        <v>224</v>
      </c>
      <c r="Z232" s="4" t="s">
        <v>589</v>
      </c>
      <c r="AA232" s="45" t="s">
        <v>590</v>
      </c>
      <c r="AB232" s="4" t="s">
        <v>591</v>
      </c>
      <c r="AC232" s="7" t="s">
        <v>480</v>
      </c>
      <c r="AE232" s="7" t="s">
        <v>1</v>
      </c>
      <c r="AF232" s="7" t="s">
        <v>546</v>
      </c>
      <c r="AI232" s="7" t="s">
        <v>215</v>
      </c>
      <c r="AJ232" s="7">
        <v>1</v>
      </c>
      <c r="AL232" s="40">
        <f>Table43[[#This Row],[Harga Jual Pcs GT
(-PPN)]]-(Table43[[#This Row],[Harga Jual Pcs GT
(-PPN)]]*6%)</f>
        <v>5669.6381999999994</v>
      </c>
      <c r="AM232" s="41">
        <f>Table43[[#This Row],[Harga Beli Pcs
(-PPN)]]*Table43[[#This Row],[ISI/CTN]]</f>
        <v>119062.40219999998</v>
      </c>
      <c r="AN232" s="41">
        <f>Table43[[#This Row],[Harga Beli Pcs
(-PPN)]]*1.11</f>
        <v>6293.2984020000004</v>
      </c>
      <c r="AO232" s="41">
        <f>Table43[[#This Row],[Harga Beli Krt
(- PPN)]]*1.11</f>
        <v>132159.26644199999</v>
      </c>
      <c r="AP232" s="41">
        <v>6031.53</v>
      </c>
      <c r="AQ232" s="41">
        <f>Table43[[#This Row],[Harga Jual Pcs GT
(-PPN)]]*Table43[[#This Row],[ISI/CTN]]</f>
        <v>126662.12999999999</v>
      </c>
      <c r="AR232" s="41">
        <f>Table43[[#This Row],[Harga Jual Pcs GT
(-PPN)]]*1.11</f>
        <v>6694.9983000000002</v>
      </c>
      <c r="AS232" s="41">
        <f>Table43[[#This Row],[Harga Jual Krt GT
(- PPN)]]*1.11</f>
        <v>140594.96429999999</v>
      </c>
      <c r="AT232" s="41">
        <v>6573.2727272727261</v>
      </c>
      <c r="AU232" s="41">
        <f>(Table43[[#This Row],[Harga Jual Pcs MT
(-PPN)]]*Table43[[#This Row],[ISI/CTN]])</f>
        <v>138038.72727272724</v>
      </c>
      <c r="AV232" s="41">
        <f>Table43[[#This Row],[Harga Jual Pcs MT
(-PPN)]]*1.11</f>
        <v>7296.3327272727265</v>
      </c>
      <c r="AW232" s="41">
        <f>Table43[[#This Row],[Harga Jual Pcs MT
(+PPN)]]*Table43[[#This Row],[ISI/CTN]]</f>
        <v>153222.98727272724</v>
      </c>
      <c r="AX232" s="41"/>
      <c r="AY232" s="46">
        <v>45553</v>
      </c>
      <c r="AZ232" s="54">
        <v>45945</v>
      </c>
      <c r="BA232" s="7" t="str">
        <f ca="1">IF(TODAY()-Table43[[#This Row],[Efektif
Pembuatan]]&gt;60,"Lama","Baru")</f>
        <v>Lama</v>
      </c>
      <c r="BB232" s="7" t="str">
        <f ca="1">IF(TODAY()-Table43[[#This Row],[Efektif Naik Harga]]&lt;30,"Naik","Sama")</f>
        <v>Sama</v>
      </c>
      <c r="BC232" s="7" t="s">
        <v>235</v>
      </c>
      <c r="BD232" s="7" t="str">
        <f>IF(Table43[[#This Row],[Kode BARANG Win2]]&lt;&gt;"","IDR","")</f>
        <v>IDR</v>
      </c>
      <c r="BE232" s="7" t="str">
        <f>CONCATENATE(Table43[[#This Row],[kode  1 Digit
(Nomor)]],Table43[[#This Row],[kode  4 Digit                (Nomor)]])</f>
        <v>10008</v>
      </c>
      <c r="BF232" s="7" t="str">
        <f>Table43[[#This Row],[Nama            Gramasi atau Jumlah Pack per CTN]]</f>
        <v>8 GR</v>
      </c>
      <c r="BG232" s="7" t="s">
        <v>653</v>
      </c>
      <c r="BH232" s="51" t="s">
        <v>654</v>
      </c>
      <c r="BI232" s="4" t="str">
        <f>IF(Table43[[#This Row],[SATUAN Fix Win]]&lt;&gt;"","KRT")</f>
        <v>KRT</v>
      </c>
      <c r="BJ232" s="4" t="str">
        <f>IF(Table43[[#This Row],[SATUAN Fix Win]]&lt;&gt;"","GD01")</f>
        <v>GD01</v>
      </c>
      <c r="BK232" s="4">
        <f>IF(Table43[[#This Row],[SATUAN Fix Win]]&lt;&gt;"",11611)</f>
        <v>11611</v>
      </c>
      <c r="BL232" s="4">
        <f>IF(Table43[[#This Row],[SATUAN Fix Win]]&lt;&gt;"",11612)</f>
        <v>11612</v>
      </c>
      <c r="BM232" s="47" t="s">
        <v>655</v>
      </c>
      <c r="BN232" s="4">
        <f>IF(Table43[[#This Row],[SATUAN Fix Win]]&lt;&gt;"",1)</f>
        <v>1</v>
      </c>
      <c r="BO232" s="4" t="s">
        <v>656</v>
      </c>
      <c r="BP232" s="4">
        <f>IFERROR(VLOOKUP(Table43[[#This Row],[Kode Pcpl]],'[1]HEINZ ABC'!$A$4:$E$112,8,0),0)</f>
        <v>0</v>
      </c>
      <c r="BQ232" s="55">
        <f>Table43[[#This Row],[Harga Jual Pcs GT
(-PPN)]]-Table43[[#This Row],[HARGA NAIK GT]]</f>
        <v>6031.53</v>
      </c>
      <c r="BR232" s="4">
        <f>IF(Table43[[#This Row],[HARGA NAIK GT]]=0,Table43[[#This Row],[Harga Jual Pcs GT
(-PPN)]],Table43[[#This Row],[HARGA NAIK GT]])</f>
        <v>6031.53</v>
      </c>
      <c r="BS232">
        <f>IFERROR(VLOOKUP(Table43[[#This Row],[Kode Pcpl]],'[1]HEINZ ABC'!$A$4:$E$112,8,0),0)</f>
        <v>0</v>
      </c>
      <c r="BT232" s="58">
        <f>Table43[[#This Row],[Harga Jual Pcs GT
(-PPN)]]-BS232</f>
        <v>6031.53</v>
      </c>
      <c r="BU232">
        <f>IF(BS232=0,Table43[[#This Row],[Harga Jual Pcs MT
(-PPN)]])</f>
        <v>6573.2727272727261</v>
      </c>
      <c r="BV232">
        <f>IFERROR(VLOOKUP(Table43[[#This Row],[Kode Pcpl]],[2]Pricelist!$A$4:$K$112,11,0),0)</f>
        <v>0</v>
      </c>
      <c r="BW232">
        <f>IFERROR(VLOOKUP(Table43[[#This Row],[Kode BARANG Win2]],[3]!RECKITT211216[[KDBRG]:[HRG_JL_PCS-PPN]],11,0),0)</f>
        <v>0</v>
      </c>
      <c r="BX232">
        <f t="shared" si="11"/>
        <v>0</v>
      </c>
    </row>
    <row r="233" spans="1:76" x14ac:dyDescent="0.25">
      <c r="A233" s="4" t="str">
        <f>CONCATENATE(Table43[[#This Row],[Kode BARANG Win2]],Table43[[#This Row],[No. Urut
Item Sama]])</f>
        <v>A11200080008104</v>
      </c>
      <c r="B233" s="7">
        <v>4</v>
      </c>
      <c r="D233" s="27">
        <v>150241</v>
      </c>
      <c r="E233" s="27"/>
      <c r="F233" s="27" t="s">
        <v>2992</v>
      </c>
      <c r="G233" s="27">
        <v>21</v>
      </c>
      <c r="H233" s="42" t="s">
        <v>2606</v>
      </c>
      <c r="I233" s="27" t="str">
        <f>Table43[[#This Row],[Nama Jenis Kemasan]]</f>
        <v>PCSX22</v>
      </c>
      <c r="J233" s="4" t="str">
        <f>TRIM(CONCATENATE(Table43[[#This Row],[Nama            KLP]]," ",Table43[[#This Row],[Nama            Sub KLP]]))</f>
        <v>SAMBAL</v>
      </c>
      <c r="K233" s="4" t="str">
        <f>CONCATENATE(Table43[[#This Row],[kode  2 Digit                (hrf+No)]],Table43[[#This Row],[kode  2 Digit                (Nomor)]],Table43[[#This Row],[kode  1 Digit                (Nomor)]])</f>
        <v>A1120</v>
      </c>
      <c r="L233" s="4" t="str">
        <f>IF(AG233="",CONCATENATE(Q233,S233,U233,W233,Y233,AA233,AC233,AE233,Table43[[#This Row],[Tanda Kode Revisi]]),CONCATENATE(Q233,S233,U233,W233,Y233,AA233,AC233,AG233))</f>
        <v>A1120008000810</v>
      </c>
      <c r="M233" s="11">
        <f>LEN(L233)</f>
        <v>14</v>
      </c>
      <c r="N233" s="14" t="str">
        <f>IF(AF233&lt;&gt;"",TRIM(UPPER(CONCATENATE(P233," ",R233," ",T233," ",V233," ",X233," ",Z233," ","X"," ",Table43[[#This Row],[ISI/CTN]]," ",AF233," ",AB233," ",AD233," ",AH233))),TRIM(UPPER(CONCATENATE(P233," ",R233," ",T233," ",V233," ",X233," ",Z233," ","X"," ",Table43[[#This Row],[ISI/CTN]]," ",AB233," ",AD233," ",AH233))))</f>
        <v>ABC SAMBAL EXTRA PEDAS 8 GR X 21 PACK PCSX22</v>
      </c>
      <c r="O233" s="11">
        <f>LEN(N233)</f>
        <v>44</v>
      </c>
      <c r="P233" s="4" t="s">
        <v>28</v>
      </c>
      <c r="Q233" s="7" t="s">
        <v>85</v>
      </c>
      <c r="R233" s="4" t="s">
        <v>603</v>
      </c>
      <c r="S233" s="43">
        <v>12</v>
      </c>
      <c r="T233" s="44"/>
      <c r="U233" s="7">
        <v>0</v>
      </c>
      <c r="V233" s="44"/>
      <c r="W233" s="43" t="s">
        <v>1</v>
      </c>
      <c r="X233" s="4" t="s">
        <v>519</v>
      </c>
      <c r="Y233" s="45" t="s">
        <v>224</v>
      </c>
      <c r="Z233" s="4" t="s">
        <v>589</v>
      </c>
      <c r="AA233" s="45" t="s">
        <v>590</v>
      </c>
      <c r="AB233" s="4" t="s">
        <v>591</v>
      </c>
      <c r="AC233" s="7" t="s">
        <v>480</v>
      </c>
      <c r="AE233" s="7" t="s">
        <v>1</v>
      </c>
      <c r="AF233" s="7" t="s">
        <v>546</v>
      </c>
      <c r="AL233" s="40">
        <f>Table43[[#This Row],[Harga Jual Pcs GT
(-PPN)]]-(Table43[[#This Row],[Harga Jual Pcs GT
(-PPN)]]*6%)</f>
        <v>0</v>
      </c>
      <c r="AM233" s="41">
        <f>Table43[[#This Row],[Harga Beli Pcs
(-PPN)]]*Table43[[#This Row],[ISI/CTN]]</f>
        <v>0</v>
      </c>
      <c r="AN233" s="41">
        <f>Table43[[#This Row],[Harga Beli Pcs
(-PPN)]]*1.11</f>
        <v>0</v>
      </c>
      <c r="AO233" s="41">
        <f>Table43[[#This Row],[Harga Beli Krt
(- PPN)]]*1.11</f>
        <v>0</v>
      </c>
      <c r="AP233" s="41"/>
      <c r="AQ233" s="41">
        <f>Table43[[#This Row],[Harga Jual Pcs GT
(-PPN)]]*Table43[[#This Row],[ISI/CTN]]</f>
        <v>0</v>
      </c>
      <c r="AR233" s="41">
        <f>Table43[[#This Row],[Harga Jual Pcs GT
(-PPN)]]*1.11</f>
        <v>0</v>
      </c>
      <c r="AS233" s="41">
        <f>Table43[[#This Row],[Harga Jual Krt GT
(- PPN)]]*1.11</f>
        <v>0</v>
      </c>
      <c r="AT233" s="41"/>
      <c r="AU233" s="41">
        <f>(Table43[[#This Row],[Harga Jual Pcs MT
(-PPN)]]*Table43[[#This Row],[ISI/CTN]])</f>
        <v>0</v>
      </c>
      <c r="AV233" s="41">
        <f>Table43[[#This Row],[Harga Jual Pcs MT
(-PPN)]]*1.11</f>
        <v>0</v>
      </c>
      <c r="AW233" s="41">
        <f>Table43[[#This Row],[Harga Jual Pcs MT
(+PPN)]]*Table43[[#This Row],[ISI/CTN]]</f>
        <v>0</v>
      </c>
      <c r="AX233" s="41"/>
      <c r="AY233" s="46"/>
      <c r="AZ233" s="54"/>
      <c r="BA233" s="7" t="str">
        <f ca="1">IF(TODAY()-Table43[[#This Row],[Efektif
Pembuatan]]&gt;60,"Lama","Baru")</f>
        <v>Lama</v>
      </c>
      <c r="BB233" s="7" t="str">
        <f ca="1">IF(TODAY()-Table43[[#This Row],[Efektif Naik Harga]]&lt;30,"Naik","Sama")</f>
        <v>Sama</v>
      </c>
      <c r="BC233" s="7"/>
      <c r="BD233" s="7" t="str">
        <f>IF(Table43[[#This Row],[Kode BARANG Win2]]&lt;&gt;"","IDR","")</f>
        <v>IDR</v>
      </c>
      <c r="BE233" s="7" t="str">
        <f>CONCATENATE(Table43[[#This Row],[kode  1 Digit
(Nomor)]],Table43[[#This Row],[kode  4 Digit                (Nomor)]])</f>
        <v>0008</v>
      </c>
      <c r="BF233" s="7" t="str">
        <f>Table43[[#This Row],[Nama            Gramasi atau Jumlah Pack per CTN]]</f>
        <v>8 GR</v>
      </c>
      <c r="BG233" s="7"/>
      <c r="BH233" s="51"/>
      <c r="BI233" s="4" t="str">
        <f>IF(Table43[[#This Row],[SATUAN Fix Win]]&lt;&gt;"","KRT")</f>
        <v>KRT</v>
      </c>
      <c r="BJ233" s="4" t="str">
        <f>IF(Table43[[#This Row],[SATUAN Fix Win]]&lt;&gt;"","GD01")</f>
        <v>GD01</v>
      </c>
      <c r="BK233" s="4">
        <f>IF(Table43[[#This Row],[SATUAN Fix Win]]&lt;&gt;"",11611)</f>
        <v>11611</v>
      </c>
      <c r="BL233" s="4">
        <f>IF(Table43[[#This Row],[SATUAN Fix Win]]&lt;&gt;"",11612)</f>
        <v>11612</v>
      </c>
      <c r="BM233" s="47"/>
      <c r="BN233" s="4">
        <f>IF(Table43[[#This Row],[SATUAN Fix Win]]&lt;&gt;"",1)</f>
        <v>1</v>
      </c>
      <c r="BP233" s="4">
        <f>IFERROR(VLOOKUP(Table43[[#This Row],[Kode Pcpl]],'[1]HEINZ ABC'!$A$4:$E$112,8,0),0)</f>
        <v>0</v>
      </c>
      <c r="BQ233" s="55">
        <f>Table43[[#This Row],[Harga Jual Pcs GT
(-PPN)]]-Table43[[#This Row],[HARGA NAIK GT]]</f>
        <v>0</v>
      </c>
      <c r="BR233" s="4">
        <f>IF(Table43[[#This Row],[HARGA NAIK GT]]=0,Table43[[#This Row],[Harga Jual Pcs GT
(-PPN)]],Table43[[#This Row],[HARGA NAIK GT]])</f>
        <v>0</v>
      </c>
      <c r="BT233" s="58"/>
    </row>
    <row r="234" spans="1:76" x14ac:dyDescent="0.25">
      <c r="A234" s="4" t="str">
        <f>CONCATENATE(Table43[[#This Row],[Kode BARANG Win2]],Table43[[#This Row],[No. Urut
Item Sama]])</f>
        <v>A11200080008103</v>
      </c>
      <c r="B234" s="7">
        <v>3</v>
      </c>
      <c r="C234" s="4">
        <v>204</v>
      </c>
      <c r="D234" s="27">
        <v>150339</v>
      </c>
      <c r="E234" s="27" t="s">
        <v>381</v>
      </c>
      <c r="F234" s="27" t="s">
        <v>984</v>
      </c>
      <c r="G234" s="27">
        <v>21</v>
      </c>
      <c r="H234" s="42" t="s">
        <v>2483</v>
      </c>
      <c r="I234" s="27" t="str">
        <f>Table43[[#This Row],[Nama Jenis Kemasan]]</f>
        <v>PCSX22</v>
      </c>
      <c r="J234" s="4" t="str">
        <f>TRIM(CONCATENATE(Table43[[#This Row],[Nama            KLP]]," ",Table43[[#This Row],[Nama            Sub KLP]]))</f>
        <v>SAMBAL</v>
      </c>
      <c r="K234" s="4" t="str">
        <f>CONCATENATE(Table43[[#This Row],[kode  2 Digit                (hrf+No)]],Table43[[#This Row],[kode  2 Digit                (Nomor)]],Table43[[#This Row],[kode  1 Digit                (Nomor)]])</f>
        <v>A1120</v>
      </c>
      <c r="L234" s="4" t="str">
        <f>IF(AG234="",CONCATENATE(Q234,S234,U234,W234,Y234,AA234,AC234,AE234,Table43[[#This Row],[Tanda Kode Revisi]]),CONCATENATE(Q234,S234,U234,W234,Y234,AA234,AC234,AG234))</f>
        <v>A1120008000810</v>
      </c>
      <c r="M234" s="11">
        <f t="shared" si="9"/>
        <v>14</v>
      </c>
      <c r="N234" s="14" t="str">
        <f>IF(AF234&lt;&gt;"",TRIM(UPPER(CONCATENATE(P234," ",R234," ",T234," ",V234," ",X234," ",Z234," ","X"," ",Table43[[#This Row],[ISI/CTN]]," ",AF234," ",AB234," ",AD234," ",AH234))),TRIM(UPPER(CONCATENATE(P234," ",R234," ",T234," ",V234," ",X234," ",Z234," ","X"," ",Table43[[#This Row],[ISI/CTN]]," ",AB234," ",AD234," ",AH234))))</f>
        <v>ABC SAMBAL EXTRA PEDAS 8 GR X 21 PACK PCSX22</v>
      </c>
      <c r="O234" s="11">
        <f t="shared" si="10"/>
        <v>44</v>
      </c>
      <c r="P234" s="4" t="s">
        <v>28</v>
      </c>
      <c r="Q234" s="7" t="s">
        <v>85</v>
      </c>
      <c r="R234" s="4" t="s">
        <v>603</v>
      </c>
      <c r="S234" s="43">
        <v>12</v>
      </c>
      <c r="T234" s="44"/>
      <c r="U234" s="7">
        <v>0</v>
      </c>
      <c r="V234" s="44"/>
      <c r="W234" s="43" t="s">
        <v>1</v>
      </c>
      <c r="X234" s="4" t="s">
        <v>519</v>
      </c>
      <c r="Y234" s="45" t="s">
        <v>224</v>
      </c>
      <c r="Z234" s="4" t="s">
        <v>589</v>
      </c>
      <c r="AA234" s="45" t="s">
        <v>590</v>
      </c>
      <c r="AB234" s="4" t="s">
        <v>591</v>
      </c>
      <c r="AC234" s="7" t="s">
        <v>480</v>
      </c>
      <c r="AE234" s="7" t="s">
        <v>1</v>
      </c>
      <c r="AF234" s="7" t="s">
        <v>546</v>
      </c>
      <c r="AL234" s="40">
        <f>Table43[[#This Row],[Harga Jual Pcs GT
(-PPN)]]-(Table43[[#This Row],[Harga Jual Pcs GT
(-PPN)]]*6%)</f>
        <v>5669.6381999999994</v>
      </c>
      <c r="AM234" s="41">
        <f>Table43[[#This Row],[Harga Beli Pcs
(-PPN)]]*Table43[[#This Row],[ISI/CTN]]</f>
        <v>119062.40219999998</v>
      </c>
      <c r="AN234" s="41">
        <f>Table43[[#This Row],[Harga Beli Pcs
(-PPN)]]*1.11</f>
        <v>6293.2984020000004</v>
      </c>
      <c r="AO234" s="41">
        <f>Table43[[#This Row],[Harga Beli Krt
(- PPN)]]*1.11</f>
        <v>132159.26644199999</v>
      </c>
      <c r="AP234" s="41">
        <v>6031.53</v>
      </c>
      <c r="AQ234" s="41">
        <f>Table43[[#This Row],[Harga Jual Pcs GT
(-PPN)]]*Table43[[#This Row],[ISI/CTN]]</f>
        <v>126662.12999999999</v>
      </c>
      <c r="AR234" s="41">
        <f>Table43[[#This Row],[Harga Jual Pcs GT
(-PPN)]]*1.11</f>
        <v>6694.9983000000002</v>
      </c>
      <c r="AS234" s="41">
        <f>Table43[[#This Row],[Harga Jual Krt GT
(- PPN)]]*1.11</f>
        <v>140594.96429999999</v>
      </c>
      <c r="AT234" s="41">
        <v>6573.2727272727261</v>
      </c>
      <c r="AU234" s="41">
        <f>(Table43[[#This Row],[Harga Jual Pcs MT
(-PPN)]]*Table43[[#This Row],[ISI/CTN]])</f>
        <v>138038.72727272724</v>
      </c>
      <c r="AV234" s="41">
        <f>Table43[[#This Row],[Harga Jual Pcs MT
(-PPN)]]*1.11</f>
        <v>7296.3327272727265</v>
      </c>
      <c r="AW234" s="41">
        <f>Table43[[#This Row],[Harga Jual Pcs MT
(+PPN)]]*Table43[[#This Row],[ISI/CTN]]</f>
        <v>153222.98727272724</v>
      </c>
      <c r="AX234" s="41"/>
      <c r="AY234" s="46"/>
      <c r="AZ234" s="54">
        <v>45945</v>
      </c>
      <c r="BA234" s="7" t="str">
        <f ca="1">IF(TODAY()-Table43[[#This Row],[Efektif
Pembuatan]]&gt;60,"Lama","Baru")</f>
        <v>Lama</v>
      </c>
      <c r="BB234" s="7" t="str">
        <f ca="1">IF(TODAY()-Table43[[#This Row],[Efektif Naik Harga]]&lt;30,"Naik","Sama")</f>
        <v>Sama</v>
      </c>
      <c r="BC234" s="7"/>
      <c r="BD234" s="7" t="str">
        <f>IF(Table43[[#This Row],[Kode BARANG Win2]]&lt;&gt;"","IDR","")</f>
        <v>IDR</v>
      </c>
      <c r="BE234" s="7" t="str">
        <f>CONCATENATE(Table43[[#This Row],[kode  1 Digit
(Nomor)]],Table43[[#This Row],[kode  4 Digit                (Nomor)]])</f>
        <v>0008</v>
      </c>
      <c r="BF234" s="7" t="str">
        <f>Table43[[#This Row],[Nama            Gramasi atau Jumlah Pack per CTN]]</f>
        <v>8 GR</v>
      </c>
      <c r="BG234" s="7"/>
      <c r="BH234" s="51"/>
      <c r="BI234" s="4" t="str">
        <f>IF(Table43[[#This Row],[SATUAN Fix Win]]&lt;&gt;"","KRT")</f>
        <v>KRT</v>
      </c>
      <c r="BJ234" s="4" t="str">
        <f>IF(Table43[[#This Row],[SATUAN Fix Win]]&lt;&gt;"","GD01")</f>
        <v>GD01</v>
      </c>
      <c r="BK234" s="4">
        <f>IF(Table43[[#This Row],[SATUAN Fix Win]]&lt;&gt;"",11611)</f>
        <v>11611</v>
      </c>
      <c r="BL234" s="4">
        <f>IF(Table43[[#This Row],[SATUAN Fix Win]]&lt;&gt;"",11612)</f>
        <v>11612</v>
      </c>
      <c r="BM234" s="47"/>
      <c r="BN234" s="4">
        <f>IF(Table43[[#This Row],[SATUAN Fix Win]]&lt;&gt;"",1)</f>
        <v>1</v>
      </c>
      <c r="BP234" s="4">
        <f>IFERROR(VLOOKUP(Table43[[#This Row],[Kode Pcpl]],'[1]HEINZ ABC'!$A$4:$E$112,8,0),0)</f>
        <v>0</v>
      </c>
      <c r="BQ234" s="55">
        <f>Table43[[#This Row],[Harga Jual Pcs GT
(-PPN)]]-Table43[[#This Row],[HARGA NAIK GT]]</f>
        <v>6031.53</v>
      </c>
      <c r="BR234" s="4">
        <f>IF(Table43[[#This Row],[HARGA NAIK GT]]=0,Table43[[#This Row],[Harga Jual Pcs GT
(-PPN)]],Table43[[#This Row],[HARGA NAIK GT]])</f>
        <v>6031.53</v>
      </c>
      <c r="BS234">
        <f>IFERROR(VLOOKUP(Table43[[#This Row],[Kode Pcpl]],'[1]HEINZ ABC'!$A$4:$E$112,8,0),0)</f>
        <v>0</v>
      </c>
      <c r="BT234" s="58">
        <f>Table43[[#This Row],[Harga Jual Pcs GT
(-PPN)]]-BS234</f>
        <v>6031.53</v>
      </c>
      <c r="BU234">
        <f>IF(BS234=0,Table43[[#This Row],[Harga Jual Pcs MT
(-PPN)]])</f>
        <v>6573.2727272727261</v>
      </c>
      <c r="BV234">
        <f>IFERROR(VLOOKUP(Table43[[#This Row],[Kode Pcpl]],[2]Pricelist!$A$4:$K$112,11,0),0)</f>
        <v>0</v>
      </c>
      <c r="BW234">
        <f>IFERROR(VLOOKUP(Table43[[#This Row],[Kode BARANG Win2]],[3]!RECKITT211216[[KDBRG]:[HRG_JL_PCS-PPN]],11,0),0)</f>
        <v>0</v>
      </c>
      <c r="BX234">
        <f t="shared" si="11"/>
        <v>0</v>
      </c>
    </row>
    <row r="235" spans="1:76" x14ac:dyDescent="0.25">
      <c r="A235" s="4" t="str">
        <f>CONCATENATE(Table43[[#This Row],[Kode BARANG Win2]],Table43[[#This Row],[No. Urut
Item Sama]])</f>
        <v>A11200080015101</v>
      </c>
      <c r="B235" s="7">
        <v>1</v>
      </c>
      <c r="C235" s="4">
        <v>205</v>
      </c>
      <c r="D235" s="27">
        <v>150153</v>
      </c>
      <c r="E235" s="27" t="s">
        <v>381</v>
      </c>
      <c r="F235" s="27" t="s">
        <v>411</v>
      </c>
      <c r="G235" s="27">
        <v>30</v>
      </c>
      <c r="H235" s="42">
        <v>0</v>
      </c>
      <c r="I235" s="27" t="str">
        <f>Table43[[#This Row],[Nama Jenis Kemasan]]</f>
        <v>PCSX10</v>
      </c>
      <c r="J235" s="4" t="str">
        <f>TRIM(CONCATENATE(Table43[[#This Row],[Nama            KLP]]," ",Table43[[#This Row],[Nama            Sub KLP]]))</f>
        <v>SAMBAL</v>
      </c>
      <c r="K235" s="4" t="str">
        <f>CONCATENATE(Table43[[#This Row],[kode  2 Digit                (hrf+No)]],Table43[[#This Row],[kode  2 Digit                (Nomor)]],Table43[[#This Row],[kode  1 Digit                (Nomor)]])</f>
        <v>A1120</v>
      </c>
      <c r="L235" s="4" t="str">
        <f>IF(AG235="",CONCATENATE(Q235,S235,U235,W235,Y235,AA235,AC235,AE235,Table43[[#This Row],[Tanda Kode Revisi]]),CONCATENATE(Q235,S235,U235,W235,Y235,AA235,AC235,AG235))</f>
        <v>A1120008001510</v>
      </c>
      <c r="M235" s="11">
        <f t="shared" si="9"/>
        <v>14</v>
      </c>
      <c r="N235" s="14" t="str">
        <f>IF(AF235&lt;&gt;"",TRIM(UPPER(CONCATENATE(P235," ",R235," ",T235," ",V235," ",X235," ",Z235," ","X"," ",Table43[[#This Row],[ISI/CTN]]," ",AF235," ",AB235," ",AD235," ",AH235))),TRIM(UPPER(CONCATENATE(P235," ",R235," ",T235," ",V235," ",X235," ",Z235," ","X"," ",Table43[[#This Row],[ISI/CTN]]," ",AB235," ",AD235," ",AH235))))</f>
        <v>ABC SAMBAL EXTRA PEDAS 15 GR X 30 PACK PCSX10</v>
      </c>
      <c r="O235" s="11">
        <f t="shared" si="10"/>
        <v>45</v>
      </c>
      <c r="P235" s="4" t="s">
        <v>28</v>
      </c>
      <c r="Q235" s="7" t="s">
        <v>85</v>
      </c>
      <c r="R235" s="4" t="s">
        <v>603</v>
      </c>
      <c r="S235" s="43">
        <v>12</v>
      </c>
      <c r="T235" s="44"/>
      <c r="U235" s="7">
        <v>0</v>
      </c>
      <c r="V235" s="44"/>
      <c r="W235" s="43" t="s">
        <v>1</v>
      </c>
      <c r="X235" s="4" t="s">
        <v>519</v>
      </c>
      <c r="Y235" s="45" t="s">
        <v>224</v>
      </c>
      <c r="Z235" s="4" t="s">
        <v>522</v>
      </c>
      <c r="AA235" s="45" t="s">
        <v>523</v>
      </c>
      <c r="AB235" s="4" t="s">
        <v>605</v>
      </c>
      <c r="AC235" s="7" t="s">
        <v>480</v>
      </c>
      <c r="AE235" s="7" t="s">
        <v>1</v>
      </c>
      <c r="AF235" s="7" t="s">
        <v>546</v>
      </c>
      <c r="AI235" s="7" t="s">
        <v>215</v>
      </c>
      <c r="AJ235" s="7">
        <v>1</v>
      </c>
      <c r="AL235" s="40">
        <f>Table43[[#This Row],[Harga Jual Pcs GT
(-PPN)]]-(Table43[[#This Row],[Harga Jual Pcs GT
(-PPN)]]*6%)</f>
        <v>5669.6381999999994</v>
      </c>
      <c r="AM235" s="41">
        <f>Table43[[#This Row],[Harga Beli Pcs
(-PPN)]]*Table43[[#This Row],[ISI/CTN]]</f>
        <v>170089.14599999998</v>
      </c>
      <c r="AN235" s="41">
        <f>Table43[[#This Row],[Harga Beli Pcs
(-PPN)]]*1.11</f>
        <v>6293.2984020000004</v>
      </c>
      <c r="AO235" s="41">
        <f>Table43[[#This Row],[Harga Beli Krt
(- PPN)]]*1.11</f>
        <v>188798.95205999998</v>
      </c>
      <c r="AP235" s="41">
        <v>6031.53</v>
      </c>
      <c r="AQ235" s="41">
        <f>Table43[[#This Row],[Harga Jual Pcs GT
(-PPN)]]*Table43[[#This Row],[ISI/CTN]]</f>
        <v>180945.9</v>
      </c>
      <c r="AR235" s="41">
        <f>Table43[[#This Row],[Harga Jual Pcs GT
(-PPN)]]*1.11</f>
        <v>6694.9983000000002</v>
      </c>
      <c r="AS235" s="41">
        <f>Table43[[#This Row],[Harga Jual Krt GT
(- PPN)]]*1.11</f>
        <v>200849.94900000002</v>
      </c>
      <c r="AT235" s="41">
        <v>6573.2727272727261</v>
      </c>
      <c r="AU235" s="41">
        <f>(Table43[[#This Row],[Harga Jual Pcs MT
(-PPN)]]*Table43[[#This Row],[ISI/CTN]])</f>
        <v>197198.18181818179</v>
      </c>
      <c r="AV235" s="41">
        <f>Table43[[#This Row],[Harga Jual Pcs MT
(-PPN)]]*1.11</f>
        <v>7296.3327272727265</v>
      </c>
      <c r="AW235" s="41">
        <f>Table43[[#This Row],[Harga Jual Pcs MT
(+PPN)]]*Table43[[#This Row],[ISI/CTN]]</f>
        <v>218889.98181818178</v>
      </c>
      <c r="AX235" s="41"/>
      <c r="AY235" s="46">
        <v>45553</v>
      </c>
      <c r="AZ235" s="54">
        <v>45945</v>
      </c>
      <c r="BA235" s="7" t="str">
        <f ca="1">IF(TODAY()-Table43[[#This Row],[Efektif
Pembuatan]]&gt;60,"Lama","Baru")</f>
        <v>Lama</v>
      </c>
      <c r="BB235" s="7" t="str">
        <f ca="1">IF(TODAY()-Table43[[#This Row],[Efektif Naik Harga]]&lt;30,"Naik","Sama")</f>
        <v>Sama</v>
      </c>
      <c r="BC235" s="7" t="s">
        <v>235</v>
      </c>
      <c r="BD235" s="7" t="str">
        <f>IF(Table43[[#This Row],[Kode BARANG Win2]]&lt;&gt;"","IDR","")</f>
        <v>IDR</v>
      </c>
      <c r="BE235" s="7" t="str">
        <f>CONCATENATE(Table43[[#This Row],[kode  1 Digit
(Nomor)]],Table43[[#This Row],[kode  4 Digit                (Nomor)]])</f>
        <v>10015</v>
      </c>
      <c r="BF235" s="7" t="str">
        <f>Table43[[#This Row],[Nama            Gramasi atau Jumlah Pack per CTN]]</f>
        <v>15 GR</v>
      </c>
      <c r="BG235" s="7" t="s">
        <v>653</v>
      </c>
      <c r="BH235" s="51" t="s">
        <v>654</v>
      </c>
      <c r="BI235" s="4" t="str">
        <f>IF(Table43[[#This Row],[SATUAN Fix Win]]&lt;&gt;"","KRT")</f>
        <v>KRT</v>
      </c>
      <c r="BJ235" s="4" t="str">
        <f>IF(Table43[[#This Row],[SATUAN Fix Win]]&lt;&gt;"","GD01")</f>
        <v>GD01</v>
      </c>
      <c r="BK235" s="4">
        <f>IF(Table43[[#This Row],[SATUAN Fix Win]]&lt;&gt;"",11611)</f>
        <v>11611</v>
      </c>
      <c r="BL235" s="4">
        <f>IF(Table43[[#This Row],[SATUAN Fix Win]]&lt;&gt;"",11612)</f>
        <v>11612</v>
      </c>
      <c r="BM235" s="47" t="s">
        <v>655</v>
      </c>
      <c r="BN235" s="4">
        <f>IF(Table43[[#This Row],[SATUAN Fix Win]]&lt;&gt;"",1)</f>
        <v>1</v>
      </c>
      <c r="BO235" s="4" t="s">
        <v>656</v>
      </c>
      <c r="BP235" s="4">
        <f>IFERROR(VLOOKUP(Table43[[#This Row],[Kode Pcpl]],'[1]HEINZ ABC'!$A$4:$E$112,8,0),0)</f>
        <v>0</v>
      </c>
      <c r="BQ235" s="55">
        <f>Table43[[#This Row],[Harga Jual Pcs GT
(-PPN)]]-Table43[[#This Row],[HARGA NAIK GT]]</f>
        <v>6031.53</v>
      </c>
      <c r="BR235" s="4">
        <f>IF(Table43[[#This Row],[HARGA NAIK GT]]=0,Table43[[#This Row],[Harga Jual Pcs GT
(-PPN)]],Table43[[#This Row],[HARGA NAIK GT]])</f>
        <v>6031.53</v>
      </c>
      <c r="BS235">
        <f>IFERROR(VLOOKUP(Table43[[#This Row],[Kode Pcpl]],'[1]HEINZ ABC'!$A$4:$E$112,8,0),0)</f>
        <v>0</v>
      </c>
      <c r="BT235" s="58">
        <f>Table43[[#This Row],[Harga Jual Pcs GT
(-PPN)]]-BS235</f>
        <v>6031.53</v>
      </c>
      <c r="BU235">
        <f>IF(BS235=0,Table43[[#This Row],[Harga Jual Pcs MT
(-PPN)]])</f>
        <v>6573.2727272727261</v>
      </c>
      <c r="BV235">
        <f>IFERROR(VLOOKUP(Table43[[#This Row],[Kode Pcpl]],[2]Pricelist!$A$4:$K$112,11,0),0)</f>
        <v>0</v>
      </c>
      <c r="BW235">
        <f>IFERROR(VLOOKUP(Table43[[#This Row],[Kode BARANG Win2]],[3]!RECKITT211216[[KDBRG]:[HRG_JL_PCS-PPN]],11,0),0)</f>
        <v>0</v>
      </c>
      <c r="BX235">
        <f t="shared" si="11"/>
        <v>0</v>
      </c>
    </row>
    <row r="236" spans="1:76" x14ac:dyDescent="0.25">
      <c r="A236" s="4" t="str">
        <f>CONCATENATE(Table43[[#This Row],[Kode BARANG Win2]],Table43[[#This Row],[No. Urut
Item Sama]])</f>
        <v>A11200080015102</v>
      </c>
      <c r="B236" s="7">
        <v>2</v>
      </c>
      <c r="C236" s="4">
        <v>206</v>
      </c>
      <c r="D236" s="27">
        <v>150211</v>
      </c>
      <c r="E236" s="27" t="s">
        <v>381</v>
      </c>
      <c r="F236" s="27" t="s">
        <v>412</v>
      </c>
      <c r="G236" s="27">
        <v>30</v>
      </c>
      <c r="H236" s="42" t="s">
        <v>2608</v>
      </c>
      <c r="I236" s="27" t="str">
        <f>Table43[[#This Row],[Nama Jenis Kemasan]]</f>
        <v>PCSX10</v>
      </c>
      <c r="J236" s="4" t="str">
        <f>TRIM(CONCATENATE(Table43[[#This Row],[Nama            KLP]]," ",Table43[[#This Row],[Nama            Sub KLP]]))</f>
        <v>SAMBAL</v>
      </c>
      <c r="K236" s="4" t="str">
        <f>CONCATENATE(Table43[[#This Row],[kode  2 Digit                (hrf+No)]],Table43[[#This Row],[kode  2 Digit                (Nomor)]],Table43[[#This Row],[kode  1 Digit                (Nomor)]])</f>
        <v>A1120</v>
      </c>
      <c r="L236" s="4" t="str">
        <f>IF(AG236="",CONCATENATE(Q236,S236,U236,W236,Y236,AA236,AC236,AE236,Table43[[#This Row],[Tanda Kode Revisi]]),CONCATENATE(Q236,S236,U236,W236,Y236,AA236,AC236,AG236))</f>
        <v>A1120008001510</v>
      </c>
      <c r="M236" s="11">
        <f t="shared" si="9"/>
        <v>14</v>
      </c>
      <c r="N236" s="14" t="str">
        <f>IF(AF236&lt;&gt;"",TRIM(UPPER(CONCATENATE(P236," ",R236," ",T236," ",V236," ",X236," ",Z236," ","X"," ",Table43[[#This Row],[ISI/CTN]]," ",AF236," ",AB236," ",AD236," ",AH236))),TRIM(UPPER(CONCATENATE(P236," ",R236," ",T236," ",V236," ",X236," ",Z236," ","X"," ",Table43[[#This Row],[ISI/CTN]]," ",AB236," ",AD236," ",AH236))))</f>
        <v>ABC SAMBAL EXTRA PEDAS 15 GR X 30 PACK PCSX10</v>
      </c>
      <c r="O236" s="11">
        <f t="shared" si="10"/>
        <v>45</v>
      </c>
      <c r="P236" s="4" t="s">
        <v>28</v>
      </c>
      <c r="Q236" s="7" t="s">
        <v>85</v>
      </c>
      <c r="R236" s="4" t="s">
        <v>603</v>
      </c>
      <c r="S236" s="43">
        <v>12</v>
      </c>
      <c r="T236" s="44"/>
      <c r="U236" s="7">
        <v>0</v>
      </c>
      <c r="V236" s="44"/>
      <c r="W236" s="43" t="s">
        <v>1</v>
      </c>
      <c r="X236" s="4" t="s">
        <v>519</v>
      </c>
      <c r="Y236" s="45" t="s">
        <v>224</v>
      </c>
      <c r="Z236" s="4" t="s">
        <v>522</v>
      </c>
      <c r="AA236" s="45" t="s">
        <v>523</v>
      </c>
      <c r="AB236" s="4" t="s">
        <v>605</v>
      </c>
      <c r="AC236" s="7" t="s">
        <v>480</v>
      </c>
      <c r="AE236" s="7" t="s">
        <v>1</v>
      </c>
      <c r="AF236" s="7" t="s">
        <v>546</v>
      </c>
      <c r="AI236" s="7" t="s">
        <v>215</v>
      </c>
      <c r="AJ236" s="7">
        <v>1</v>
      </c>
      <c r="AL236" s="40">
        <f>Table43[[#This Row],[Harga Jual Pcs GT
(-PPN)]]-(Table43[[#This Row],[Harga Jual Pcs GT
(-PPN)]]*6%)</f>
        <v>5669.6381999999994</v>
      </c>
      <c r="AM236" s="41">
        <f>Table43[[#This Row],[Harga Beli Pcs
(-PPN)]]*Table43[[#This Row],[ISI/CTN]]</f>
        <v>170089.14599999998</v>
      </c>
      <c r="AN236" s="41">
        <f>Table43[[#This Row],[Harga Beli Pcs
(-PPN)]]*1.11</f>
        <v>6293.2984020000004</v>
      </c>
      <c r="AO236" s="41">
        <f>Table43[[#This Row],[Harga Beli Krt
(- PPN)]]*1.11</f>
        <v>188798.95205999998</v>
      </c>
      <c r="AP236" s="41">
        <v>6031.53</v>
      </c>
      <c r="AQ236" s="41">
        <f>Table43[[#This Row],[Harga Jual Pcs GT
(-PPN)]]*Table43[[#This Row],[ISI/CTN]]</f>
        <v>180945.9</v>
      </c>
      <c r="AR236" s="41">
        <f>Table43[[#This Row],[Harga Jual Pcs GT
(-PPN)]]*1.11</f>
        <v>6694.9983000000002</v>
      </c>
      <c r="AS236" s="41">
        <f>Table43[[#This Row],[Harga Jual Krt GT
(- PPN)]]*1.11</f>
        <v>200849.94900000002</v>
      </c>
      <c r="AT236" s="41">
        <v>6573.2727272727261</v>
      </c>
      <c r="AU236" s="41">
        <f>(Table43[[#This Row],[Harga Jual Pcs MT
(-PPN)]]*Table43[[#This Row],[ISI/CTN]])</f>
        <v>197198.18181818179</v>
      </c>
      <c r="AV236" s="41">
        <f>Table43[[#This Row],[Harga Jual Pcs MT
(-PPN)]]*1.11</f>
        <v>7296.3327272727265</v>
      </c>
      <c r="AW236" s="41">
        <f>Table43[[#This Row],[Harga Jual Pcs MT
(+PPN)]]*Table43[[#This Row],[ISI/CTN]]</f>
        <v>218889.98181818178</v>
      </c>
      <c r="AX236" s="41"/>
      <c r="AY236" s="46">
        <v>45553</v>
      </c>
      <c r="AZ236" s="54">
        <v>45945</v>
      </c>
      <c r="BA236" s="7" t="str">
        <f ca="1">IF(TODAY()-Table43[[#This Row],[Efektif
Pembuatan]]&gt;60,"Lama","Baru")</f>
        <v>Lama</v>
      </c>
      <c r="BB236" s="7" t="str">
        <f ca="1">IF(TODAY()-Table43[[#This Row],[Efektif Naik Harga]]&lt;30,"Naik","Sama")</f>
        <v>Sama</v>
      </c>
      <c r="BC236" s="7" t="s">
        <v>235</v>
      </c>
      <c r="BD236" s="7" t="str">
        <f>IF(Table43[[#This Row],[Kode BARANG Win2]]&lt;&gt;"","IDR","")</f>
        <v>IDR</v>
      </c>
      <c r="BE236" s="7" t="str">
        <f>CONCATENATE(Table43[[#This Row],[kode  1 Digit
(Nomor)]],Table43[[#This Row],[kode  4 Digit                (Nomor)]])</f>
        <v>10015</v>
      </c>
      <c r="BF236" s="7" t="str">
        <f>Table43[[#This Row],[Nama            Gramasi atau Jumlah Pack per CTN]]</f>
        <v>15 GR</v>
      </c>
      <c r="BG236" s="7" t="s">
        <v>653</v>
      </c>
      <c r="BH236" s="51" t="s">
        <v>654</v>
      </c>
      <c r="BI236" s="4" t="str">
        <f>IF(Table43[[#This Row],[SATUAN Fix Win]]&lt;&gt;"","KRT")</f>
        <v>KRT</v>
      </c>
      <c r="BJ236" s="4" t="str">
        <f>IF(Table43[[#This Row],[SATUAN Fix Win]]&lt;&gt;"","GD01")</f>
        <v>GD01</v>
      </c>
      <c r="BK236" s="4">
        <f>IF(Table43[[#This Row],[SATUAN Fix Win]]&lt;&gt;"",11611)</f>
        <v>11611</v>
      </c>
      <c r="BL236" s="4">
        <f>IF(Table43[[#This Row],[SATUAN Fix Win]]&lt;&gt;"",11612)</f>
        <v>11612</v>
      </c>
      <c r="BM236" s="47" t="s">
        <v>655</v>
      </c>
      <c r="BN236" s="4">
        <f>IF(Table43[[#This Row],[SATUAN Fix Win]]&lt;&gt;"",1)</f>
        <v>1</v>
      </c>
      <c r="BO236" s="4" t="s">
        <v>656</v>
      </c>
      <c r="BP236" s="4">
        <f>IFERROR(VLOOKUP(Table43[[#This Row],[Kode Pcpl]],'[1]HEINZ ABC'!$A$4:$E$112,8,0),0)</f>
        <v>0</v>
      </c>
      <c r="BQ236" s="55">
        <f>Table43[[#This Row],[Harga Jual Pcs GT
(-PPN)]]-Table43[[#This Row],[HARGA NAIK GT]]</f>
        <v>6031.53</v>
      </c>
      <c r="BR236" s="4">
        <f>IF(Table43[[#This Row],[HARGA NAIK GT]]=0,Table43[[#This Row],[Harga Jual Pcs GT
(-PPN)]],Table43[[#This Row],[HARGA NAIK GT]])</f>
        <v>6031.53</v>
      </c>
      <c r="BS236">
        <f>IFERROR(VLOOKUP(Table43[[#This Row],[Kode Pcpl]],'[1]HEINZ ABC'!$A$4:$E$112,8,0),0)</f>
        <v>0</v>
      </c>
      <c r="BT236" s="58">
        <f>Table43[[#This Row],[Harga Jual Pcs GT
(-PPN)]]-BS236</f>
        <v>6031.53</v>
      </c>
      <c r="BU236">
        <f>IF(BS236=0,Table43[[#This Row],[Harga Jual Pcs MT
(-PPN)]])</f>
        <v>6573.2727272727261</v>
      </c>
      <c r="BV236">
        <f>IFERROR(VLOOKUP(Table43[[#This Row],[Kode Pcpl]],[2]Pricelist!$A$4:$K$112,11,0),0)</f>
        <v>0</v>
      </c>
      <c r="BW236">
        <f>IFERROR(VLOOKUP(Table43[[#This Row],[Kode BARANG Win2]],[3]!RECKITT211216[[KDBRG]:[HRG_JL_PCS-PPN]],11,0),0)</f>
        <v>0</v>
      </c>
      <c r="BX236">
        <f t="shared" si="11"/>
        <v>0</v>
      </c>
    </row>
    <row r="237" spans="1:76" x14ac:dyDescent="0.25">
      <c r="A237" s="4" t="str">
        <f>CONCATENATE(Table43[[#This Row],[Kode BARANG Win2]],Table43[[#This Row],[No. Urut
Item Sama]])</f>
        <v>A11200080015103</v>
      </c>
      <c r="B237" s="7">
        <v>3</v>
      </c>
      <c r="C237" s="4">
        <v>207</v>
      </c>
      <c r="D237" s="27">
        <v>150240</v>
      </c>
      <c r="E237" s="27" t="s">
        <v>381</v>
      </c>
      <c r="F237" s="27" t="s">
        <v>413</v>
      </c>
      <c r="G237" s="27">
        <v>30</v>
      </c>
      <c r="H237" s="42" t="s">
        <v>2609</v>
      </c>
      <c r="I237" s="27" t="str">
        <f>Table43[[#This Row],[Nama Jenis Kemasan]]</f>
        <v>PCSX10</v>
      </c>
      <c r="J237" s="4" t="str">
        <f>TRIM(CONCATENATE(Table43[[#This Row],[Nama            KLP]]," ",Table43[[#This Row],[Nama            Sub KLP]]))</f>
        <v>SAMBAL</v>
      </c>
      <c r="K237" s="4" t="str">
        <f>CONCATENATE(Table43[[#This Row],[kode  2 Digit                (hrf+No)]],Table43[[#This Row],[kode  2 Digit                (Nomor)]],Table43[[#This Row],[kode  1 Digit                (Nomor)]])</f>
        <v>A1120</v>
      </c>
      <c r="L237" s="4" t="str">
        <f>IF(AG237="",CONCATENATE(Q237,S237,U237,W237,Y237,AA237,AC237,AE237,Table43[[#This Row],[Tanda Kode Revisi]]),CONCATENATE(Q237,S237,U237,W237,Y237,AA237,AC237,AG237))</f>
        <v>A1120008001510</v>
      </c>
      <c r="M237" s="11">
        <f t="shared" si="9"/>
        <v>14</v>
      </c>
      <c r="N237" s="14" t="str">
        <f>IF(AF237&lt;&gt;"",TRIM(UPPER(CONCATENATE(P237," ",R237," ",T237," ",V237," ",X237," ",Z237," ","X"," ",Table43[[#This Row],[ISI/CTN]]," ",AF237," ",AB237," ",AD237," ",AH237))),TRIM(UPPER(CONCATENATE(P237," ",R237," ",T237," ",V237," ",X237," ",Z237," ","X"," ",Table43[[#This Row],[ISI/CTN]]," ",AB237," ",AD237," ",AH237))))</f>
        <v>ABC SAMBAL EXTRA PEDAS 15 GR X 30 PACK PCSX10</v>
      </c>
      <c r="O237" s="11">
        <f t="shared" si="10"/>
        <v>45</v>
      </c>
      <c r="P237" s="4" t="s">
        <v>28</v>
      </c>
      <c r="Q237" s="7" t="s">
        <v>85</v>
      </c>
      <c r="R237" s="4" t="s">
        <v>603</v>
      </c>
      <c r="S237" s="43">
        <v>12</v>
      </c>
      <c r="T237" s="44"/>
      <c r="U237" s="7">
        <v>0</v>
      </c>
      <c r="V237" s="44"/>
      <c r="W237" s="43" t="s">
        <v>1</v>
      </c>
      <c r="X237" s="4" t="s">
        <v>519</v>
      </c>
      <c r="Y237" s="45" t="s">
        <v>224</v>
      </c>
      <c r="Z237" s="4" t="s">
        <v>522</v>
      </c>
      <c r="AA237" s="45" t="s">
        <v>523</v>
      </c>
      <c r="AB237" s="4" t="s">
        <v>605</v>
      </c>
      <c r="AC237" s="7" t="s">
        <v>480</v>
      </c>
      <c r="AE237" s="7" t="s">
        <v>1</v>
      </c>
      <c r="AF237" s="7" t="s">
        <v>546</v>
      </c>
      <c r="AI237" s="7" t="s">
        <v>215</v>
      </c>
      <c r="AJ237" s="7">
        <v>1</v>
      </c>
      <c r="AL237" s="40">
        <f>Table43[[#This Row],[Harga Jual Pcs GT
(-PPN)]]-(Table43[[#This Row],[Harga Jual Pcs GT
(-PPN)]]*6%)</f>
        <v>5669.6381999999994</v>
      </c>
      <c r="AM237" s="41">
        <f>Table43[[#This Row],[Harga Beli Pcs
(-PPN)]]*Table43[[#This Row],[ISI/CTN]]</f>
        <v>170089.14599999998</v>
      </c>
      <c r="AN237" s="41">
        <f>Table43[[#This Row],[Harga Beli Pcs
(-PPN)]]*1.11</f>
        <v>6293.2984020000004</v>
      </c>
      <c r="AO237" s="41">
        <f>Table43[[#This Row],[Harga Beli Krt
(- PPN)]]*1.11</f>
        <v>188798.95205999998</v>
      </c>
      <c r="AP237" s="41">
        <v>6031.53</v>
      </c>
      <c r="AQ237" s="41">
        <f>Table43[[#This Row],[Harga Jual Pcs GT
(-PPN)]]*Table43[[#This Row],[ISI/CTN]]</f>
        <v>180945.9</v>
      </c>
      <c r="AR237" s="41">
        <f>Table43[[#This Row],[Harga Jual Pcs GT
(-PPN)]]*1.11</f>
        <v>6694.9983000000002</v>
      </c>
      <c r="AS237" s="41">
        <f>Table43[[#This Row],[Harga Jual Krt GT
(- PPN)]]*1.11</f>
        <v>200849.94900000002</v>
      </c>
      <c r="AT237" s="41">
        <v>6573.2727272727261</v>
      </c>
      <c r="AU237" s="41">
        <f>(Table43[[#This Row],[Harga Jual Pcs MT
(-PPN)]]*Table43[[#This Row],[ISI/CTN]])</f>
        <v>197198.18181818179</v>
      </c>
      <c r="AV237" s="41">
        <f>Table43[[#This Row],[Harga Jual Pcs MT
(-PPN)]]*1.11</f>
        <v>7296.3327272727265</v>
      </c>
      <c r="AW237" s="41">
        <f>Table43[[#This Row],[Harga Jual Pcs MT
(+PPN)]]*Table43[[#This Row],[ISI/CTN]]</f>
        <v>218889.98181818178</v>
      </c>
      <c r="AX237" s="41"/>
      <c r="AY237" s="46">
        <v>45553</v>
      </c>
      <c r="AZ237" s="54">
        <v>45945</v>
      </c>
      <c r="BA237" s="7" t="str">
        <f ca="1">IF(TODAY()-Table43[[#This Row],[Efektif
Pembuatan]]&gt;60,"Lama","Baru")</f>
        <v>Lama</v>
      </c>
      <c r="BB237" s="7" t="str">
        <f ca="1">IF(TODAY()-Table43[[#This Row],[Efektif Naik Harga]]&lt;30,"Naik","Sama")</f>
        <v>Sama</v>
      </c>
      <c r="BC237" s="7" t="s">
        <v>235</v>
      </c>
      <c r="BD237" s="7" t="str">
        <f>IF(Table43[[#This Row],[Kode BARANG Win2]]&lt;&gt;"","IDR","")</f>
        <v>IDR</v>
      </c>
      <c r="BE237" s="7" t="str">
        <f>CONCATENATE(Table43[[#This Row],[kode  1 Digit
(Nomor)]],Table43[[#This Row],[kode  4 Digit                (Nomor)]])</f>
        <v>10015</v>
      </c>
      <c r="BF237" s="7" t="str">
        <f>Table43[[#This Row],[Nama            Gramasi atau Jumlah Pack per CTN]]</f>
        <v>15 GR</v>
      </c>
      <c r="BG237" s="7" t="s">
        <v>653</v>
      </c>
      <c r="BH237" s="51" t="s">
        <v>654</v>
      </c>
      <c r="BI237" s="4" t="str">
        <f>IF(Table43[[#This Row],[SATUAN Fix Win]]&lt;&gt;"","KRT")</f>
        <v>KRT</v>
      </c>
      <c r="BJ237" s="4" t="str">
        <f>IF(Table43[[#This Row],[SATUAN Fix Win]]&lt;&gt;"","GD01")</f>
        <v>GD01</v>
      </c>
      <c r="BK237" s="4">
        <f>IF(Table43[[#This Row],[SATUAN Fix Win]]&lt;&gt;"",11611)</f>
        <v>11611</v>
      </c>
      <c r="BL237" s="4">
        <f>IF(Table43[[#This Row],[SATUAN Fix Win]]&lt;&gt;"",11612)</f>
        <v>11612</v>
      </c>
      <c r="BM237" s="47" t="s">
        <v>655</v>
      </c>
      <c r="BN237" s="4">
        <f>IF(Table43[[#This Row],[SATUAN Fix Win]]&lt;&gt;"",1)</f>
        <v>1</v>
      </c>
      <c r="BO237" s="4" t="s">
        <v>656</v>
      </c>
      <c r="BP237" s="4">
        <f>IFERROR(VLOOKUP(Table43[[#This Row],[Kode Pcpl]],'[1]HEINZ ABC'!$A$4:$E$112,8,0),0)</f>
        <v>0</v>
      </c>
      <c r="BQ237" s="55">
        <f>Table43[[#This Row],[Harga Jual Pcs GT
(-PPN)]]-Table43[[#This Row],[HARGA NAIK GT]]</f>
        <v>6031.53</v>
      </c>
      <c r="BR237" s="4">
        <f>IF(Table43[[#This Row],[HARGA NAIK GT]]=0,Table43[[#This Row],[Harga Jual Pcs GT
(-PPN)]],Table43[[#This Row],[HARGA NAIK GT]])</f>
        <v>6031.53</v>
      </c>
      <c r="BS237">
        <f>IFERROR(VLOOKUP(Table43[[#This Row],[Kode Pcpl]],'[1]HEINZ ABC'!$A$4:$E$112,8,0),0)</f>
        <v>0</v>
      </c>
      <c r="BT237" s="58">
        <f>Table43[[#This Row],[Harga Jual Pcs GT
(-PPN)]]-BS237</f>
        <v>6031.53</v>
      </c>
      <c r="BU237">
        <f>IF(BS237=0,Table43[[#This Row],[Harga Jual Pcs MT
(-PPN)]])</f>
        <v>6573.2727272727261</v>
      </c>
      <c r="BV237">
        <f>IFERROR(VLOOKUP(Table43[[#This Row],[Kode Pcpl]],[2]Pricelist!$A$4:$K$112,11,0),0)</f>
        <v>0</v>
      </c>
      <c r="BW237">
        <f>IFERROR(VLOOKUP(Table43[[#This Row],[Kode BARANG Win2]],[3]!RECKITT211216[[KDBRG]:[HRG_JL_PCS-PPN]],11,0),0)</f>
        <v>0</v>
      </c>
      <c r="BX237">
        <f t="shared" si="11"/>
        <v>0</v>
      </c>
    </row>
    <row r="238" spans="1:76" x14ac:dyDescent="0.25">
      <c r="A238" s="4" t="str">
        <f>CONCATENATE(Table43[[#This Row],[Kode BARANG Win2]],Table43[[#This Row],[No. Urut
Item Sama]])</f>
        <v>A11200080015104</v>
      </c>
      <c r="B238" s="7">
        <v>4</v>
      </c>
      <c r="C238" s="4">
        <v>208</v>
      </c>
      <c r="D238" s="27">
        <v>150340</v>
      </c>
      <c r="E238" s="27" t="s">
        <v>381</v>
      </c>
      <c r="F238" s="27" t="s">
        <v>987</v>
      </c>
      <c r="G238" s="27">
        <v>30</v>
      </c>
      <c r="H238" s="42" t="s">
        <v>2485</v>
      </c>
      <c r="I238" s="27" t="str">
        <f>Table43[[#This Row],[Nama Jenis Kemasan]]</f>
        <v>PCSX10</v>
      </c>
      <c r="J238" s="4" t="str">
        <f>TRIM(CONCATENATE(Table43[[#This Row],[Nama            KLP]]," ",Table43[[#This Row],[Nama            Sub KLP]]))</f>
        <v>SAMBAL</v>
      </c>
      <c r="K238" s="4" t="str">
        <f>CONCATENATE(Table43[[#This Row],[kode  2 Digit                (hrf+No)]],Table43[[#This Row],[kode  2 Digit                (Nomor)]],Table43[[#This Row],[kode  1 Digit                (Nomor)]])</f>
        <v>A1120</v>
      </c>
      <c r="L238" s="4" t="str">
        <f>IF(AG238="",CONCATENATE(Q238,S238,U238,W238,Y238,AA238,AC238,AE238,Table43[[#This Row],[Tanda Kode Revisi]]),CONCATENATE(Q238,S238,U238,W238,Y238,AA238,AC238,AG238))</f>
        <v>A1120008001510</v>
      </c>
      <c r="M238" s="11">
        <f t="shared" si="9"/>
        <v>14</v>
      </c>
      <c r="N238" s="14" t="str">
        <f>IF(AF238&lt;&gt;"",TRIM(UPPER(CONCATENATE(P238," ",R238," ",T238," ",V238," ",X238," ",Z238," ","X"," ",Table43[[#This Row],[ISI/CTN]]," ",AF238," ",AB238," ",AD238," ",AH238))),TRIM(UPPER(CONCATENATE(P238," ",R238," ",T238," ",V238," ",X238," ",Z238," ","X"," ",Table43[[#This Row],[ISI/CTN]]," ",AB238," ",AD238," ",AH238))))</f>
        <v>ABC SAMBAL EXTRA PEDAS 15 GR X 30 PACK PCSX10</v>
      </c>
      <c r="O238" s="11">
        <f t="shared" si="10"/>
        <v>45</v>
      </c>
      <c r="P238" s="4" t="s">
        <v>28</v>
      </c>
      <c r="Q238" s="7" t="s">
        <v>85</v>
      </c>
      <c r="R238" s="4" t="s">
        <v>603</v>
      </c>
      <c r="S238" s="43">
        <v>12</v>
      </c>
      <c r="T238" s="44"/>
      <c r="U238" s="7">
        <v>0</v>
      </c>
      <c r="V238" s="44"/>
      <c r="W238" s="43" t="s">
        <v>1</v>
      </c>
      <c r="X238" s="4" t="s">
        <v>519</v>
      </c>
      <c r="Y238" s="45" t="s">
        <v>224</v>
      </c>
      <c r="Z238" s="4" t="s">
        <v>522</v>
      </c>
      <c r="AA238" s="45" t="s">
        <v>523</v>
      </c>
      <c r="AB238" s="4" t="s">
        <v>605</v>
      </c>
      <c r="AC238" s="7" t="s">
        <v>480</v>
      </c>
      <c r="AE238" s="7" t="s">
        <v>1</v>
      </c>
      <c r="AF238" s="7" t="s">
        <v>546</v>
      </c>
      <c r="AI238" s="7" t="s">
        <v>215</v>
      </c>
      <c r="AJ238" s="7">
        <v>1</v>
      </c>
      <c r="AL238" s="40">
        <v>5377.4768000000004</v>
      </c>
      <c r="AM238" s="41">
        <f>Table43[[#This Row],[Harga Beli Pcs
(-PPN)]]*Table43[[#This Row],[ISI/CTN]]</f>
        <v>161324.304</v>
      </c>
      <c r="AN238" s="41">
        <f>Table43[[#This Row],[Harga Beli Pcs
(-PPN)]]*1.11</f>
        <v>5968.999248000001</v>
      </c>
      <c r="AO238" s="41">
        <f>Table43[[#This Row],[Harga Beli Krt
(- PPN)]]*1.11</f>
        <v>179069.97744000002</v>
      </c>
      <c r="AP238" s="41">
        <v>6031.53</v>
      </c>
      <c r="AQ238" s="41">
        <f>Table43[[#This Row],[Harga Jual Pcs GT
(-PPN)]]*Table43[[#This Row],[ISI/CTN]]</f>
        <v>180945.9</v>
      </c>
      <c r="AR238" s="41">
        <f>Table43[[#This Row],[Harga Jual Pcs GT
(-PPN)]]*1.11</f>
        <v>6694.9983000000002</v>
      </c>
      <c r="AS238" s="41">
        <f>Table43[[#This Row],[Harga Jual Krt GT
(- PPN)]]*1.11</f>
        <v>200849.94900000002</v>
      </c>
      <c r="AT238" s="41">
        <v>6573.2727272727261</v>
      </c>
      <c r="AU238" s="41">
        <f>(Table43[[#This Row],[Harga Jual Pcs MT
(-PPN)]]*Table43[[#This Row],[ISI/CTN]])</f>
        <v>197198.18181818179</v>
      </c>
      <c r="AV238" s="41">
        <f>Table43[[#This Row],[Harga Jual Pcs MT
(-PPN)]]*1.11</f>
        <v>7296.3327272727265</v>
      </c>
      <c r="AW238" s="41">
        <f>Table43[[#This Row],[Harga Jual Pcs MT
(+PPN)]]*Table43[[#This Row],[ISI/CTN]]</f>
        <v>218889.98181818178</v>
      </c>
      <c r="AX238" s="41"/>
      <c r="AY238" s="46">
        <v>45671</v>
      </c>
      <c r="AZ238" s="54">
        <v>45945</v>
      </c>
      <c r="BA238" s="7" t="str">
        <f ca="1">IF(TODAY()-Table43[[#This Row],[Efektif
Pembuatan]]&gt;60,"Lama","Baru")</f>
        <v>Lama</v>
      </c>
      <c r="BB238" s="7" t="str">
        <f ca="1">IF(TODAY()-Table43[[#This Row],[Efektif Naik Harga]]&lt;30,"Naik","Sama")</f>
        <v>Sama</v>
      </c>
      <c r="BC238" s="7"/>
      <c r="BD238" s="7" t="str">
        <f>IF(Table43[[#This Row],[Kode BARANG Win2]]&lt;&gt;"","IDR","")</f>
        <v>IDR</v>
      </c>
      <c r="BE238" s="7" t="str">
        <f>CONCATENATE(Table43[[#This Row],[kode  1 Digit
(Nomor)]],Table43[[#This Row],[kode  4 Digit                (Nomor)]])</f>
        <v>10015</v>
      </c>
      <c r="BF238" s="7" t="str">
        <f>Table43[[#This Row],[Nama            Gramasi atau Jumlah Pack per CTN]]</f>
        <v>15 GR</v>
      </c>
      <c r="BG238" s="7"/>
      <c r="BH238" s="51"/>
      <c r="BI238" s="4" t="str">
        <f>IF(Table43[[#This Row],[SATUAN Fix Win]]&lt;&gt;"","KRT")</f>
        <v>KRT</v>
      </c>
      <c r="BJ238" s="4" t="str">
        <f>IF(Table43[[#This Row],[SATUAN Fix Win]]&lt;&gt;"","GD01")</f>
        <v>GD01</v>
      </c>
      <c r="BK238" s="4">
        <f>IF(Table43[[#This Row],[SATUAN Fix Win]]&lt;&gt;"",11611)</f>
        <v>11611</v>
      </c>
      <c r="BL238" s="4">
        <f>IF(Table43[[#This Row],[SATUAN Fix Win]]&lt;&gt;"",11612)</f>
        <v>11612</v>
      </c>
      <c r="BM238" s="47"/>
      <c r="BN238" s="4">
        <f>IF(Table43[[#This Row],[SATUAN Fix Win]]&lt;&gt;"",1)</f>
        <v>1</v>
      </c>
      <c r="BP238" s="4">
        <f>IFERROR(VLOOKUP(Table43[[#This Row],[Kode Pcpl]],'[1]HEINZ ABC'!$A$4:$E$112,8,0),0)</f>
        <v>0</v>
      </c>
      <c r="BQ238" s="55">
        <f>Table43[[#This Row],[Harga Jual Pcs GT
(-PPN)]]-Table43[[#This Row],[HARGA NAIK GT]]</f>
        <v>6031.53</v>
      </c>
      <c r="BR238" s="4">
        <f>IF(Table43[[#This Row],[HARGA NAIK GT]]=0,Table43[[#This Row],[Harga Jual Pcs GT
(-PPN)]],Table43[[#This Row],[HARGA NAIK GT]])</f>
        <v>6031.53</v>
      </c>
      <c r="BS238">
        <f>IFERROR(VLOOKUP(Table43[[#This Row],[Kode Pcpl]],'[1]HEINZ ABC'!$A$4:$E$112,8,0),0)</f>
        <v>0</v>
      </c>
      <c r="BT238" s="58">
        <f>Table43[[#This Row],[Harga Jual Pcs GT
(-PPN)]]-BS238</f>
        <v>6031.53</v>
      </c>
      <c r="BU238">
        <f>IF(BS238=0,Table43[[#This Row],[Harga Jual Pcs MT
(-PPN)]])</f>
        <v>6573.2727272727261</v>
      </c>
      <c r="BV238">
        <f>IFERROR(VLOOKUP(Table43[[#This Row],[Kode Pcpl]],[2]Pricelist!$A$4:$K$112,11,0),0)</f>
        <v>0</v>
      </c>
      <c r="BW238">
        <f>IFERROR(VLOOKUP(Table43[[#This Row],[Kode BARANG Win2]],[3]!RECKITT211216[[KDBRG]:[HRG_JL_PCS-PPN]],11,0),0)</f>
        <v>0</v>
      </c>
      <c r="BX238">
        <f t="shared" si="11"/>
        <v>0</v>
      </c>
    </row>
    <row r="239" spans="1:76" x14ac:dyDescent="0.25">
      <c r="A239" s="4" t="str">
        <f>CONCATENATE(Table43[[#This Row],[Kode BARANG Win2]],Table43[[#This Row],[No. Urut
Item Sama]])</f>
        <v>A11200080075101</v>
      </c>
      <c r="B239" s="7">
        <v>1</v>
      </c>
      <c r="C239" s="4">
        <v>209</v>
      </c>
      <c r="D239" s="27">
        <v>150181</v>
      </c>
      <c r="E239" s="27" t="s">
        <v>381</v>
      </c>
      <c r="F239" s="27" t="s">
        <v>414</v>
      </c>
      <c r="G239" s="27">
        <v>48</v>
      </c>
      <c r="H239" s="42" t="s">
        <v>2586</v>
      </c>
      <c r="I239" s="27" t="str">
        <f>Table43[[#This Row],[Nama Jenis Kemasan]]</f>
        <v>PCH</v>
      </c>
      <c r="J239" s="4" t="str">
        <f>TRIM(CONCATENATE(Table43[[#This Row],[Nama            KLP]]," ",Table43[[#This Row],[Nama            Sub KLP]]))</f>
        <v>SAMBAL</v>
      </c>
      <c r="K239" s="4" t="str">
        <f>CONCATENATE(Table43[[#This Row],[kode  2 Digit                (hrf+No)]],Table43[[#This Row],[kode  2 Digit                (Nomor)]],Table43[[#This Row],[kode  1 Digit                (Nomor)]])</f>
        <v>A1120</v>
      </c>
      <c r="L239" s="4" t="str">
        <f>IF(AG239="",CONCATENATE(Q239,S239,U239,W239,Y239,AA239,AC239,AE239,Table43[[#This Row],[Tanda Kode Revisi]]),CONCATENATE(Q239,S239,U239,W239,Y239,AA239,AC239,AG239))</f>
        <v>A1120008007510</v>
      </c>
      <c r="M239" s="11">
        <f t="shared" si="9"/>
        <v>14</v>
      </c>
      <c r="N239" s="14" t="str">
        <f>IF(AF239&lt;&gt;"",TRIM(UPPER(CONCATENATE(P239," ",R239," ",T239," ",V239," ",X239," ",Z239," ","X"," ",Table43[[#This Row],[ISI/CTN]]," ",AF239," ",AB239," ",AD239," ",AH239))),TRIM(UPPER(CONCATENATE(P239," ",R239," ",T239," ",V239," ",X239," ",Z239," ","X"," ",Table43[[#This Row],[ISI/CTN]]," ",AB239," ",AD239," ",AH239))))</f>
        <v>ABC SAMBAL EXTRA PEDAS 65 GR X 48 PCH</v>
      </c>
      <c r="O239" s="11">
        <f t="shared" si="10"/>
        <v>37</v>
      </c>
      <c r="P239" s="4" t="s">
        <v>28</v>
      </c>
      <c r="Q239" s="7" t="s">
        <v>85</v>
      </c>
      <c r="R239" s="4" t="s">
        <v>603</v>
      </c>
      <c r="S239" s="43">
        <v>12</v>
      </c>
      <c r="T239" s="44"/>
      <c r="U239" s="7">
        <v>0</v>
      </c>
      <c r="V239" s="44"/>
      <c r="W239" s="43" t="s">
        <v>1</v>
      </c>
      <c r="X239" s="4" t="s">
        <v>519</v>
      </c>
      <c r="Y239" s="45" t="s">
        <v>224</v>
      </c>
      <c r="Z239" s="4" t="s">
        <v>617</v>
      </c>
      <c r="AA239" s="45" t="s">
        <v>521</v>
      </c>
      <c r="AB239" s="4" t="s">
        <v>479</v>
      </c>
      <c r="AC239" s="7" t="s">
        <v>480</v>
      </c>
      <c r="AE239" s="7" t="s">
        <v>1</v>
      </c>
      <c r="AI239" s="7" t="s">
        <v>215</v>
      </c>
      <c r="AJ239" s="7">
        <v>1</v>
      </c>
      <c r="AL239" s="40">
        <f>Table43[[#This Row],[Harga Jual Pcs GT
(-PPN)]]-(Table43[[#This Row],[Harga Jual Pcs GT
(-PPN)]]*6%)</f>
        <v>2224.2467999999999</v>
      </c>
      <c r="AM239" s="41">
        <f>Table43[[#This Row],[Harga Beli Pcs
(-PPN)]]*Table43[[#This Row],[ISI/CTN]]</f>
        <v>106763.84639999999</v>
      </c>
      <c r="AN239" s="41">
        <f>Table43[[#This Row],[Harga Beli Pcs
(-PPN)]]*1.11</f>
        <v>2468.9139479999999</v>
      </c>
      <c r="AO239" s="41">
        <f>Table43[[#This Row],[Harga Beli Krt
(- PPN)]]*1.11</f>
        <v>118507.869504</v>
      </c>
      <c r="AP239" s="41">
        <v>2366.2199999999998</v>
      </c>
      <c r="AQ239" s="41">
        <f>Table43[[#This Row],[Harga Jual Pcs GT
(-PPN)]]*Table43[[#This Row],[ISI/CTN]]</f>
        <v>113578.56</v>
      </c>
      <c r="AR239" s="41">
        <f>Table43[[#This Row],[Harga Jual Pcs GT
(-PPN)]]*1.11</f>
        <v>2626.5041999999999</v>
      </c>
      <c r="AS239" s="41">
        <f>Table43[[#This Row],[Harga Jual Krt GT
(- PPN)]]*1.11</f>
        <v>126072.20160000001</v>
      </c>
      <c r="AT239" s="41">
        <v>2555.5135135135179</v>
      </c>
      <c r="AU239" s="41">
        <f>(Table43[[#This Row],[Harga Jual Pcs MT
(-PPN)]]*Table43[[#This Row],[ISI/CTN]])</f>
        <v>122664.64864864886</v>
      </c>
      <c r="AV239" s="41">
        <f>Table43[[#This Row],[Harga Jual Pcs MT
(-PPN)]]*1.11</f>
        <v>2836.6200000000049</v>
      </c>
      <c r="AW239" s="41">
        <f>Table43[[#This Row],[Harga Jual Pcs MT
(+PPN)]]*Table43[[#This Row],[ISI/CTN]]</f>
        <v>136157.76000000024</v>
      </c>
      <c r="AX239" s="41"/>
      <c r="AY239" s="46">
        <v>45553</v>
      </c>
      <c r="AZ239" s="54">
        <v>45945</v>
      </c>
      <c r="BA239" s="7" t="str">
        <f ca="1">IF(TODAY()-Table43[[#This Row],[Efektif
Pembuatan]]&gt;60,"Lama","Baru")</f>
        <v>Lama</v>
      </c>
      <c r="BB239" s="7" t="str">
        <f ca="1">IF(TODAY()-Table43[[#This Row],[Efektif Naik Harga]]&lt;30,"Naik","Sama")</f>
        <v>Sama</v>
      </c>
      <c r="BC239" s="7" t="s">
        <v>235</v>
      </c>
      <c r="BD239" s="7" t="str">
        <f>IF(Table43[[#This Row],[Kode BARANG Win2]]&lt;&gt;"","IDR","")</f>
        <v>IDR</v>
      </c>
      <c r="BE239" s="7" t="str">
        <f>CONCATENATE(Table43[[#This Row],[kode  1 Digit
(Nomor)]],Table43[[#This Row],[kode  4 Digit                (Nomor)]])</f>
        <v>10075</v>
      </c>
      <c r="BF239" s="7" t="str">
        <f>Table43[[#This Row],[Nama            Gramasi atau Jumlah Pack per CTN]]</f>
        <v>65 GR</v>
      </c>
      <c r="BG239" s="7" t="s">
        <v>653</v>
      </c>
      <c r="BH239" s="51" t="s">
        <v>654</v>
      </c>
      <c r="BI239" s="4" t="str">
        <f>IF(Table43[[#This Row],[SATUAN Fix Win]]&lt;&gt;"","KRT")</f>
        <v>KRT</v>
      </c>
      <c r="BJ239" s="4" t="str">
        <f>IF(Table43[[#This Row],[SATUAN Fix Win]]&lt;&gt;"","GD01")</f>
        <v>GD01</v>
      </c>
      <c r="BK239" s="4">
        <f>IF(Table43[[#This Row],[SATUAN Fix Win]]&lt;&gt;"",11611)</f>
        <v>11611</v>
      </c>
      <c r="BL239" s="4">
        <f>IF(Table43[[#This Row],[SATUAN Fix Win]]&lt;&gt;"",11612)</f>
        <v>11612</v>
      </c>
      <c r="BM239" s="47" t="s">
        <v>655</v>
      </c>
      <c r="BN239" s="4">
        <f>IF(Table43[[#This Row],[SATUAN Fix Win]]&lt;&gt;"",1)</f>
        <v>1</v>
      </c>
      <c r="BO239" s="4" t="s">
        <v>656</v>
      </c>
      <c r="BP239" s="4">
        <f>IFERROR(VLOOKUP(Table43[[#This Row],[Kode Pcpl]],'[1]HEINZ ABC'!$A$4:$E$112,8,0),0)</f>
        <v>0</v>
      </c>
      <c r="BQ239" s="55">
        <f>Table43[[#This Row],[Harga Jual Pcs GT
(-PPN)]]-Table43[[#This Row],[HARGA NAIK GT]]</f>
        <v>2366.2199999999998</v>
      </c>
      <c r="BR239" s="4">
        <f>IF(Table43[[#This Row],[HARGA NAIK GT]]=0,Table43[[#This Row],[Harga Jual Pcs GT
(-PPN)]],Table43[[#This Row],[HARGA NAIK GT]])</f>
        <v>2366.2199999999998</v>
      </c>
      <c r="BS239">
        <f>IFERROR(VLOOKUP(Table43[[#This Row],[Kode Pcpl]],'[1]HEINZ ABC'!$A$4:$E$112,8,0),0)</f>
        <v>0</v>
      </c>
      <c r="BT239" s="58">
        <f>Table43[[#This Row],[Harga Jual Pcs GT
(-PPN)]]-BS239</f>
        <v>2366.2199999999998</v>
      </c>
      <c r="BU239">
        <f>IF(BS239=0,Table43[[#This Row],[Harga Jual Pcs MT
(-PPN)]])</f>
        <v>2555.5135135135179</v>
      </c>
      <c r="BV239">
        <f>IFERROR(VLOOKUP(Table43[[#This Row],[Kode Pcpl]],[2]Pricelist!$A$4:$K$112,11,0),0)</f>
        <v>0</v>
      </c>
      <c r="BW239">
        <f>IFERROR(VLOOKUP(Table43[[#This Row],[Kode BARANG Win2]],[3]!RECKITT211216[[KDBRG]:[HRG_JL_PCS-PPN]],11,0),0)</f>
        <v>0</v>
      </c>
      <c r="BX239">
        <f t="shared" si="11"/>
        <v>0</v>
      </c>
    </row>
    <row r="240" spans="1:76" x14ac:dyDescent="0.25">
      <c r="A240" s="4" t="str">
        <f>CONCATENATE(Table43[[#This Row],[Kode BARANG Win2]],Table43[[#This Row],[No. Urut
Item Sama]])</f>
        <v>A11200080075102</v>
      </c>
      <c r="B240" s="7">
        <v>2</v>
      </c>
      <c r="C240" s="4">
        <v>210</v>
      </c>
      <c r="D240" s="27">
        <v>150233</v>
      </c>
      <c r="E240" s="27" t="s">
        <v>381</v>
      </c>
      <c r="F240" s="27" t="s">
        <v>415</v>
      </c>
      <c r="G240" s="27">
        <v>48</v>
      </c>
      <c r="H240" s="42" t="s">
        <v>2587</v>
      </c>
      <c r="I240" s="27" t="str">
        <f>Table43[[#This Row],[Nama Jenis Kemasan]]</f>
        <v>PCH</v>
      </c>
      <c r="J240" s="4" t="str">
        <f>TRIM(CONCATENATE(Table43[[#This Row],[Nama            KLP]]," ",Table43[[#This Row],[Nama            Sub KLP]]))</f>
        <v>SAMBAL</v>
      </c>
      <c r="K240" s="4" t="str">
        <f>CONCATENATE(Table43[[#This Row],[kode  2 Digit                (hrf+No)]],Table43[[#This Row],[kode  2 Digit                (Nomor)]],Table43[[#This Row],[kode  1 Digit                (Nomor)]])</f>
        <v>A1120</v>
      </c>
      <c r="L240" s="4" t="str">
        <f>IF(AG240="",CONCATENATE(Q240,S240,U240,W240,Y240,AA240,AC240,AE240,Table43[[#This Row],[Tanda Kode Revisi]]),CONCATENATE(Q240,S240,U240,W240,Y240,AA240,AC240,AG240))</f>
        <v>A1120008007510</v>
      </c>
      <c r="M240" s="11">
        <f t="shared" si="9"/>
        <v>14</v>
      </c>
      <c r="N240" s="14" t="str">
        <f>IF(AF240&lt;&gt;"",TRIM(UPPER(CONCATENATE(P240," ",R240," ",T240," ",V240," ",X240," ",Z240," ","X"," ",Table43[[#This Row],[ISI/CTN]]," ",AF240," ",AB240," ",AD240," ",AH240))),TRIM(UPPER(CONCATENATE(P240," ",R240," ",T240," ",V240," ",X240," ",Z240," ","X"," ",Table43[[#This Row],[ISI/CTN]]," ",AB240," ",AD240," ",AH240))))</f>
        <v>ABC SAMBAL EXTRA PEDAS 65 GR X 48 PCH</v>
      </c>
      <c r="O240" s="11">
        <f t="shared" si="10"/>
        <v>37</v>
      </c>
      <c r="P240" s="4" t="s">
        <v>28</v>
      </c>
      <c r="Q240" s="7" t="s">
        <v>85</v>
      </c>
      <c r="R240" s="4" t="s">
        <v>603</v>
      </c>
      <c r="S240" s="43">
        <v>12</v>
      </c>
      <c r="T240" s="44"/>
      <c r="U240" s="7">
        <v>0</v>
      </c>
      <c r="V240" s="44"/>
      <c r="W240" s="43" t="s">
        <v>1</v>
      </c>
      <c r="X240" s="4" t="s">
        <v>519</v>
      </c>
      <c r="Y240" s="45" t="s">
        <v>224</v>
      </c>
      <c r="Z240" s="4" t="s">
        <v>617</v>
      </c>
      <c r="AA240" s="45" t="s">
        <v>521</v>
      </c>
      <c r="AB240" s="4" t="s">
        <v>479</v>
      </c>
      <c r="AC240" s="7" t="s">
        <v>480</v>
      </c>
      <c r="AE240" s="7" t="s">
        <v>1</v>
      </c>
      <c r="AI240" s="7" t="s">
        <v>215</v>
      </c>
      <c r="AJ240" s="7">
        <v>1</v>
      </c>
      <c r="AL240" s="40">
        <f>Table43[[#This Row],[Harga Jual Pcs GT
(-PPN)]]-(Table43[[#This Row],[Harga Jual Pcs GT
(-PPN)]]*6%)</f>
        <v>2224.2467999999999</v>
      </c>
      <c r="AM240" s="41">
        <f>Table43[[#This Row],[Harga Beli Pcs
(-PPN)]]*Table43[[#This Row],[ISI/CTN]]</f>
        <v>106763.84639999999</v>
      </c>
      <c r="AN240" s="41">
        <f>Table43[[#This Row],[Harga Beli Pcs
(-PPN)]]*1.11</f>
        <v>2468.9139479999999</v>
      </c>
      <c r="AO240" s="41">
        <f>Table43[[#This Row],[Harga Beli Krt
(- PPN)]]*1.11</f>
        <v>118507.869504</v>
      </c>
      <c r="AP240" s="41">
        <v>2366.2199999999998</v>
      </c>
      <c r="AQ240" s="41">
        <f>Table43[[#This Row],[Harga Jual Pcs GT
(-PPN)]]*Table43[[#This Row],[ISI/CTN]]</f>
        <v>113578.56</v>
      </c>
      <c r="AR240" s="41">
        <f>Table43[[#This Row],[Harga Jual Pcs GT
(-PPN)]]*1.11</f>
        <v>2626.5041999999999</v>
      </c>
      <c r="AS240" s="41">
        <f>Table43[[#This Row],[Harga Jual Krt GT
(- PPN)]]*1.11</f>
        <v>126072.20160000001</v>
      </c>
      <c r="AT240" s="41">
        <v>2555.5135135135179</v>
      </c>
      <c r="AU240" s="41">
        <f>(Table43[[#This Row],[Harga Jual Pcs MT
(-PPN)]]*Table43[[#This Row],[ISI/CTN]])</f>
        <v>122664.64864864886</v>
      </c>
      <c r="AV240" s="41">
        <f>Table43[[#This Row],[Harga Jual Pcs MT
(-PPN)]]*1.11</f>
        <v>2836.6200000000049</v>
      </c>
      <c r="AW240" s="41">
        <f>Table43[[#This Row],[Harga Jual Pcs MT
(+PPN)]]*Table43[[#This Row],[ISI/CTN]]</f>
        <v>136157.76000000024</v>
      </c>
      <c r="AX240" s="41"/>
      <c r="AY240" s="46">
        <v>45553</v>
      </c>
      <c r="AZ240" s="54">
        <v>45945</v>
      </c>
      <c r="BA240" s="7" t="str">
        <f ca="1">IF(TODAY()-Table43[[#This Row],[Efektif
Pembuatan]]&gt;60,"Lama","Baru")</f>
        <v>Lama</v>
      </c>
      <c r="BB240" s="7" t="str">
        <f ca="1">IF(TODAY()-Table43[[#This Row],[Efektif Naik Harga]]&lt;30,"Naik","Sama")</f>
        <v>Sama</v>
      </c>
      <c r="BC240" s="7" t="s">
        <v>235</v>
      </c>
      <c r="BD240" s="7" t="str">
        <f>IF(Table43[[#This Row],[Kode BARANG Win2]]&lt;&gt;"","IDR","")</f>
        <v>IDR</v>
      </c>
      <c r="BE240" s="7" t="str">
        <f>CONCATENATE(Table43[[#This Row],[kode  1 Digit
(Nomor)]],Table43[[#This Row],[kode  4 Digit                (Nomor)]])</f>
        <v>10075</v>
      </c>
      <c r="BF240" s="7" t="str">
        <f>Table43[[#This Row],[Nama            Gramasi atau Jumlah Pack per CTN]]</f>
        <v>65 GR</v>
      </c>
      <c r="BG240" s="7" t="s">
        <v>653</v>
      </c>
      <c r="BH240" s="51" t="s">
        <v>654</v>
      </c>
      <c r="BI240" s="4" t="str">
        <f>IF(Table43[[#This Row],[SATUAN Fix Win]]&lt;&gt;"","KRT")</f>
        <v>KRT</v>
      </c>
      <c r="BJ240" s="4" t="str">
        <f>IF(Table43[[#This Row],[SATUAN Fix Win]]&lt;&gt;"","GD01")</f>
        <v>GD01</v>
      </c>
      <c r="BK240" s="4">
        <f>IF(Table43[[#This Row],[SATUAN Fix Win]]&lt;&gt;"",11611)</f>
        <v>11611</v>
      </c>
      <c r="BL240" s="4">
        <f>IF(Table43[[#This Row],[SATUAN Fix Win]]&lt;&gt;"",11612)</f>
        <v>11612</v>
      </c>
      <c r="BM240" s="47" t="s">
        <v>655</v>
      </c>
      <c r="BN240" s="4">
        <f>IF(Table43[[#This Row],[SATUAN Fix Win]]&lt;&gt;"",1)</f>
        <v>1</v>
      </c>
      <c r="BO240" s="4" t="s">
        <v>656</v>
      </c>
      <c r="BP240" s="4">
        <f>IFERROR(VLOOKUP(Table43[[#This Row],[Kode Pcpl]],'[1]HEINZ ABC'!$A$4:$E$112,8,0),0)</f>
        <v>0</v>
      </c>
      <c r="BQ240" s="55">
        <f>Table43[[#This Row],[Harga Jual Pcs GT
(-PPN)]]-Table43[[#This Row],[HARGA NAIK GT]]</f>
        <v>2366.2199999999998</v>
      </c>
      <c r="BR240" s="4">
        <f>IF(Table43[[#This Row],[HARGA NAIK GT]]=0,Table43[[#This Row],[Harga Jual Pcs GT
(-PPN)]],Table43[[#This Row],[HARGA NAIK GT]])</f>
        <v>2366.2199999999998</v>
      </c>
      <c r="BS240">
        <f>IFERROR(VLOOKUP(Table43[[#This Row],[Kode Pcpl]],'[1]HEINZ ABC'!$A$4:$E$112,8,0),0)</f>
        <v>0</v>
      </c>
      <c r="BT240" s="58">
        <f>Table43[[#This Row],[Harga Jual Pcs GT
(-PPN)]]-BS240</f>
        <v>2366.2199999999998</v>
      </c>
      <c r="BU240">
        <f>IF(BS240=0,Table43[[#This Row],[Harga Jual Pcs MT
(-PPN)]])</f>
        <v>2555.5135135135179</v>
      </c>
      <c r="BV240">
        <f>IFERROR(VLOOKUP(Table43[[#This Row],[Kode Pcpl]],[2]Pricelist!$A$4:$K$112,11,0),0)</f>
        <v>0</v>
      </c>
      <c r="BW240">
        <f>IFERROR(VLOOKUP(Table43[[#This Row],[Kode BARANG Win2]],[3]!RECKITT211216[[KDBRG]:[HRG_JL_PCS-PPN]],11,0),0)</f>
        <v>0</v>
      </c>
      <c r="BX240">
        <f t="shared" si="11"/>
        <v>0</v>
      </c>
    </row>
    <row r="241" spans="1:76" x14ac:dyDescent="0.25">
      <c r="A241" s="4" t="str">
        <f>CONCATENATE(Table43[[#This Row],[Kode BARANG Win2]],Table43[[#This Row],[No. Urut
Item Sama]])</f>
        <v>A11200080075103</v>
      </c>
      <c r="B241" s="7">
        <v>3</v>
      </c>
      <c r="C241" s="4">
        <v>211</v>
      </c>
      <c r="D241" s="27">
        <v>150309</v>
      </c>
      <c r="E241" s="27" t="s">
        <v>381</v>
      </c>
      <c r="F241" s="27" t="s">
        <v>416</v>
      </c>
      <c r="G241" s="27">
        <v>48</v>
      </c>
      <c r="H241" s="42" t="s">
        <v>2482</v>
      </c>
      <c r="I241" s="27" t="str">
        <f>Table43[[#This Row],[Nama Jenis Kemasan]]</f>
        <v>PCH</v>
      </c>
      <c r="J241" s="4" t="str">
        <f>TRIM(CONCATENATE(Table43[[#This Row],[Nama            KLP]]," ",Table43[[#This Row],[Nama            Sub KLP]]))</f>
        <v>SAMBAL</v>
      </c>
      <c r="K241" s="4" t="str">
        <f>CONCATENATE(Table43[[#This Row],[kode  2 Digit                (hrf+No)]],Table43[[#This Row],[kode  2 Digit                (Nomor)]],Table43[[#This Row],[kode  1 Digit                (Nomor)]])</f>
        <v>A1120</v>
      </c>
      <c r="L241" s="4" t="str">
        <f>IF(AG241="",CONCATENATE(Q241,S241,U241,W241,Y241,AA241,AC241,AE241,Table43[[#This Row],[Tanda Kode Revisi]]),CONCATENATE(Q241,S241,U241,W241,Y241,AA241,AC241,AG241))</f>
        <v>A1120008007510</v>
      </c>
      <c r="M241" s="11">
        <f t="shared" si="9"/>
        <v>14</v>
      </c>
      <c r="N241" s="14" t="str">
        <f>IF(AF241&lt;&gt;"",TRIM(UPPER(CONCATENATE(P241," ",R241," ",T241," ",V241," ",X241," ",Z241," ","X"," ",Table43[[#This Row],[ISI/CTN]]," ",AF241," ",AB241," ",AD241," ",AH241))),TRIM(UPPER(CONCATENATE(P241," ",R241," ",T241," ",V241," ",X241," ",Z241," ","X"," ",Table43[[#This Row],[ISI/CTN]]," ",AB241," ",AD241," ",AH241))))</f>
        <v>ABC SAMBAL EXTRA PEDAS 65 GR X 48 PCH</v>
      </c>
      <c r="O241" s="11">
        <f t="shared" si="10"/>
        <v>37</v>
      </c>
      <c r="P241" s="4" t="s">
        <v>28</v>
      </c>
      <c r="Q241" s="7" t="s">
        <v>85</v>
      </c>
      <c r="R241" s="4" t="s">
        <v>603</v>
      </c>
      <c r="S241" s="43">
        <v>12</v>
      </c>
      <c r="T241" s="44"/>
      <c r="U241" s="7">
        <v>0</v>
      </c>
      <c r="V241" s="44"/>
      <c r="W241" s="43" t="s">
        <v>1</v>
      </c>
      <c r="X241" s="4" t="s">
        <v>519</v>
      </c>
      <c r="Y241" s="45" t="s">
        <v>224</v>
      </c>
      <c r="Z241" s="4" t="s">
        <v>617</v>
      </c>
      <c r="AA241" s="45" t="s">
        <v>521</v>
      </c>
      <c r="AB241" s="4" t="s">
        <v>479</v>
      </c>
      <c r="AC241" s="7" t="s">
        <v>480</v>
      </c>
      <c r="AE241" s="7" t="s">
        <v>1</v>
      </c>
      <c r="AI241" s="7" t="s">
        <v>215</v>
      </c>
      <c r="AJ241" s="7">
        <v>1</v>
      </c>
      <c r="AL241" s="40">
        <f>Table43[[#This Row],[Harga Jual Pcs GT
(-PPN)]]-(Table43[[#This Row],[Harga Jual Pcs GT
(-PPN)]]*6%)</f>
        <v>2224.2467999999999</v>
      </c>
      <c r="AM241" s="41">
        <f>Table43[[#This Row],[Harga Beli Pcs
(-PPN)]]*Table43[[#This Row],[ISI/CTN]]</f>
        <v>106763.84639999999</v>
      </c>
      <c r="AN241" s="41">
        <f>Table43[[#This Row],[Harga Beli Pcs
(-PPN)]]*1.11</f>
        <v>2468.9139479999999</v>
      </c>
      <c r="AO241" s="41">
        <f>Table43[[#This Row],[Harga Beli Krt
(- PPN)]]*1.11</f>
        <v>118507.869504</v>
      </c>
      <c r="AP241" s="41">
        <v>2366.2199999999998</v>
      </c>
      <c r="AQ241" s="41">
        <f>Table43[[#This Row],[Harga Jual Pcs GT
(-PPN)]]*Table43[[#This Row],[ISI/CTN]]</f>
        <v>113578.56</v>
      </c>
      <c r="AR241" s="41">
        <f>Table43[[#This Row],[Harga Jual Pcs GT
(-PPN)]]*1.11</f>
        <v>2626.5041999999999</v>
      </c>
      <c r="AS241" s="41">
        <f>Table43[[#This Row],[Harga Jual Krt GT
(- PPN)]]*1.11</f>
        <v>126072.20160000001</v>
      </c>
      <c r="AT241" s="41">
        <v>2555.5135135135179</v>
      </c>
      <c r="AU241" s="41">
        <f>(Table43[[#This Row],[Harga Jual Pcs MT
(-PPN)]]*Table43[[#This Row],[ISI/CTN]])</f>
        <v>122664.64864864886</v>
      </c>
      <c r="AV241" s="41">
        <f>Table43[[#This Row],[Harga Jual Pcs MT
(-PPN)]]*1.11</f>
        <v>2836.6200000000049</v>
      </c>
      <c r="AW241" s="41">
        <f>Table43[[#This Row],[Harga Jual Pcs MT
(+PPN)]]*Table43[[#This Row],[ISI/CTN]]</f>
        <v>136157.76000000024</v>
      </c>
      <c r="AX241" s="41"/>
      <c r="AY241" s="46">
        <v>45589</v>
      </c>
      <c r="AZ241" s="54">
        <v>45945</v>
      </c>
      <c r="BA241" s="7" t="str">
        <f ca="1">IF(TODAY()-Table43[[#This Row],[Efektif
Pembuatan]]&gt;60,"Lama","Baru")</f>
        <v>Lama</v>
      </c>
      <c r="BB241" s="7" t="str">
        <f ca="1">IF(TODAY()-Table43[[#This Row],[Efektif Naik Harga]]&lt;30,"Naik","Sama")</f>
        <v>Sama</v>
      </c>
      <c r="BC241" s="7" t="s">
        <v>235</v>
      </c>
      <c r="BD241" s="7" t="str">
        <f>IF(Table43[[#This Row],[Kode BARANG Win2]]&lt;&gt;"","IDR","")</f>
        <v>IDR</v>
      </c>
      <c r="BE241" s="7" t="str">
        <f>CONCATENATE(Table43[[#This Row],[kode  1 Digit
(Nomor)]],Table43[[#This Row],[kode  4 Digit                (Nomor)]])</f>
        <v>10075</v>
      </c>
      <c r="BF241" s="7" t="str">
        <f>Table43[[#This Row],[Nama            Gramasi atau Jumlah Pack per CTN]]</f>
        <v>65 GR</v>
      </c>
      <c r="BG241" s="7" t="s">
        <v>653</v>
      </c>
      <c r="BH241" s="51" t="s">
        <v>654</v>
      </c>
      <c r="BI241" s="4" t="str">
        <f>IF(Table43[[#This Row],[SATUAN Fix Win]]&lt;&gt;"","KRT")</f>
        <v>KRT</v>
      </c>
      <c r="BJ241" s="4" t="str">
        <f>IF(Table43[[#This Row],[SATUAN Fix Win]]&lt;&gt;"","GD01")</f>
        <v>GD01</v>
      </c>
      <c r="BK241" s="4">
        <f>IF(Table43[[#This Row],[SATUAN Fix Win]]&lt;&gt;"",11611)</f>
        <v>11611</v>
      </c>
      <c r="BL241" s="4">
        <f>IF(Table43[[#This Row],[SATUAN Fix Win]]&lt;&gt;"",11612)</f>
        <v>11612</v>
      </c>
      <c r="BM241" s="47" t="s">
        <v>655</v>
      </c>
      <c r="BN241" s="4">
        <f>IF(Table43[[#This Row],[SATUAN Fix Win]]&lt;&gt;"",1)</f>
        <v>1</v>
      </c>
      <c r="BO241" s="4" t="s">
        <v>656</v>
      </c>
      <c r="BP241" s="4">
        <f>IFERROR(VLOOKUP(Table43[[#This Row],[Kode Pcpl]],'[1]HEINZ ABC'!$A$4:$E$112,8,0),0)</f>
        <v>0</v>
      </c>
      <c r="BQ241" s="55">
        <f>Table43[[#This Row],[Harga Jual Pcs GT
(-PPN)]]-Table43[[#This Row],[HARGA NAIK GT]]</f>
        <v>2366.2199999999998</v>
      </c>
      <c r="BR241" s="4">
        <f>IF(Table43[[#This Row],[HARGA NAIK GT]]=0,Table43[[#This Row],[Harga Jual Pcs GT
(-PPN)]],Table43[[#This Row],[HARGA NAIK GT]])</f>
        <v>2366.2199999999998</v>
      </c>
      <c r="BS241">
        <f>IFERROR(VLOOKUP(Table43[[#This Row],[Kode Pcpl]],'[1]HEINZ ABC'!$A$4:$E$112,8,0),0)</f>
        <v>0</v>
      </c>
      <c r="BT241" s="58">
        <f>Table43[[#This Row],[Harga Jual Pcs GT
(-PPN)]]-BS241</f>
        <v>2366.2199999999998</v>
      </c>
      <c r="BU241">
        <f>IF(BS241=0,Table43[[#This Row],[Harga Jual Pcs MT
(-PPN)]])</f>
        <v>2555.5135135135179</v>
      </c>
      <c r="BV241">
        <f>IFERROR(VLOOKUP(Table43[[#This Row],[Kode Pcpl]],[2]Pricelist!$A$4:$K$112,11,0),0)</f>
        <v>0</v>
      </c>
      <c r="BW241">
        <f>IFERROR(VLOOKUP(Table43[[#This Row],[Kode BARANG Win2]],[3]!RECKITT211216[[KDBRG]:[HRG_JL_PCS-PPN]],11,0),0)</f>
        <v>0</v>
      </c>
      <c r="BX241">
        <f t="shared" si="11"/>
        <v>0</v>
      </c>
    </row>
    <row r="242" spans="1:76" x14ac:dyDescent="0.25">
      <c r="A242" s="4" t="str">
        <f>CONCATENATE(Table43[[#This Row],[Kode BARANG Win2]],Table43[[#This Row],[No. Urut
Item Sama]])</f>
        <v>A11200080130101</v>
      </c>
      <c r="B242" s="7">
        <v>1</v>
      </c>
      <c r="C242" s="4">
        <v>212</v>
      </c>
      <c r="D242" s="27">
        <v>150295</v>
      </c>
      <c r="E242" s="27" t="s">
        <v>381</v>
      </c>
      <c r="F242" s="27" t="s">
        <v>417</v>
      </c>
      <c r="G242" s="27">
        <v>48</v>
      </c>
      <c r="H242" s="42" t="s">
        <v>2592</v>
      </c>
      <c r="I242" s="27" t="str">
        <f>Table43[[#This Row],[Nama Jenis Kemasan]]</f>
        <v>BTL</v>
      </c>
      <c r="J242" s="4" t="str">
        <f>TRIM(CONCATENATE(Table43[[#This Row],[Nama            KLP]]," ",Table43[[#This Row],[Nama            Sub KLP]]))</f>
        <v>SAMBAL</v>
      </c>
      <c r="K242" s="4" t="str">
        <f>CONCATENATE(Table43[[#This Row],[kode  2 Digit                (hrf+No)]],Table43[[#This Row],[kode  2 Digit                (Nomor)]],Table43[[#This Row],[kode  1 Digit                (Nomor)]])</f>
        <v>A1120</v>
      </c>
      <c r="L242" s="4" t="str">
        <f>IF(AG242="",CONCATENATE(Q242,S242,U242,W242,Y242,AA242,AC242,AE242,Table43[[#This Row],[Tanda Kode Revisi]]),CONCATENATE(Q242,S242,U242,W242,Y242,AA242,AC242,AG242))</f>
        <v>A1120008013010</v>
      </c>
      <c r="M242" s="11">
        <f t="shared" si="9"/>
        <v>14</v>
      </c>
      <c r="N242" s="14" t="str">
        <f>IF(AF242&lt;&gt;"",TRIM(UPPER(CONCATENATE(P242," ",R242," ",T242," ",V242," ",X242," ",Z242," ","X"," ",Table43[[#This Row],[ISI/CTN]]," ",AF242," ",AB242," ",AD242," ",AH242))),TRIM(UPPER(CONCATENATE(P242," ",R242," ",T242," ",V242," ",X242," ",Z242," ","X"," ",Table43[[#This Row],[ISI/CTN]]," ",AB242," ",AD242," ",AH242))))</f>
        <v>ABC SAMBAL EXTRA PEDAS 130 ML X 48 BTL</v>
      </c>
      <c r="O242" s="11">
        <f t="shared" si="10"/>
        <v>38</v>
      </c>
      <c r="P242" s="4" t="s">
        <v>28</v>
      </c>
      <c r="Q242" s="7" t="s">
        <v>85</v>
      </c>
      <c r="R242" s="4" t="s">
        <v>603</v>
      </c>
      <c r="S242" s="43">
        <v>12</v>
      </c>
      <c r="T242" s="44"/>
      <c r="U242" s="7">
        <v>0</v>
      </c>
      <c r="V242" s="44"/>
      <c r="W242" s="43" t="s">
        <v>1</v>
      </c>
      <c r="X242" s="4" t="s">
        <v>519</v>
      </c>
      <c r="Y242" s="45" t="s">
        <v>224</v>
      </c>
      <c r="Z242" s="4" t="s">
        <v>606</v>
      </c>
      <c r="AA242" s="45" t="s">
        <v>485</v>
      </c>
      <c r="AB242" s="4" t="s">
        <v>486</v>
      </c>
      <c r="AC242" s="7" t="s">
        <v>480</v>
      </c>
      <c r="AE242" s="7" t="s">
        <v>1</v>
      </c>
      <c r="AI242" s="7" t="s">
        <v>214</v>
      </c>
      <c r="AJ242" s="7">
        <v>2</v>
      </c>
      <c r="AL242" s="40">
        <f>Table43[[#This Row],[Harga Jual Pcs GT
(-PPN)]]-(Table43[[#This Row],[Harga Jual Pcs GT
(-PPN)]]*6%)</f>
        <v>5504.5459999999994</v>
      </c>
      <c r="AM242" s="41">
        <f>Table43[[#This Row],[Harga Beli Pcs
(-PPN)]]*Table43[[#This Row],[ISI/CTN]]</f>
        <v>264218.20799999998</v>
      </c>
      <c r="AN242" s="41">
        <f>Table43[[#This Row],[Harga Beli Pcs
(-PPN)]]*1.11</f>
        <v>6110.0460599999997</v>
      </c>
      <c r="AO242" s="41">
        <f>Table43[[#This Row],[Harga Beli Krt
(- PPN)]]*1.11</f>
        <v>293282.21088000003</v>
      </c>
      <c r="AP242" s="41">
        <v>5855.9</v>
      </c>
      <c r="AQ242" s="41">
        <f>Table43[[#This Row],[Harga Jual Pcs GT
(-PPN)]]*Table43[[#This Row],[ISI/CTN]]</f>
        <v>281083.19999999995</v>
      </c>
      <c r="AR242" s="41">
        <f>Table43[[#This Row],[Harga Jual Pcs GT
(-PPN)]]*1.11</f>
        <v>6500.049</v>
      </c>
      <c r="AS242" s="41">
        <f>Table43[[#This Row],[Harga Jual Krt GT
(- PPN)]]*1.11</f>
        <v>312002.35199999996</v>
      </c>
      <c r="AT242" s="41">
        <v>0</v>
      </c>
      <c r="AU242" s="41">
        <f>(Table43[[#This Row],[Harga Jual Pcs MT
(-PPN)]]*Table43[[#This Row],[ISI/CTN]])</f>
        <v>0</v>
      </c>
      <c r="AV242" s="41">
        <f>Table43[[#This Row],[Harga Jual Pcs MT
(-PPN)]]*1.11</f>
        <v>0</v>
      </c>
      <c r="AW242" s="41">
        <f>Table43[[#This Row],[Harga Jual Pcs MT
(+PPN)]]*Table43[[#This Row],[ISI/CTN]]</f>
        <v>0</v>
      </c>
      <c r="AX242" s="41"/>
      <c r="AY242" s="46">
        <v>45553</v>
      </c>
      <c r="AZ242" s="54">
        <v>45553</v>
      </c>
      <c r="BA242" s="7" t="str">
        <f ca="1">IF(TODAY()-Table43[[#This Row],[Efektif
Pembuatan]]&gt;60,"Lama","Baru")</f>
        <v>Lama</v>
      </c>
      <c r="BB242" s="7" t="str">
        <f ca="1">IF(TODAY()-Table43[[#This Row],[Efektif Naik Harga]]&lt;30,"Naik","Sama")</f>
        <v>Sama</v>
      </c>
      <c r="BC242" s="7" t="s">
        <v>235</v>
      </c>
      <c r="BD242" s="7" t="str">
        <f>IF(Table43[[#This Row],[Kode BARANG Win2]]&lt;&gt;"","IDR","")</f>
        <v>IDR</v>
      </c>
      <c r="BE242" s="7" t="str">
        <f>CONCATENATE(Table43[[#This Row],[kode  1 Digit
(Nomor)]],Table43[[#This Row],[kode  4 Digit                (Nomor)]])</f>
        <v>20130</v>
      </c>
      <c r="BF242" s="7" t="str">
        <f>Table43[[#This Row],[Nama            Gramasi atau Jumlah Pack per CTN]]</f>
        <v>130 ML</v>
      </c>
      <c r="BG242" s="7" t="s">
        <v>653</v>
      </c>
      <c r="BH242" s="51" t="s">
        <v>654</v>
      </c>
      <c r="BI242" s="4" t="str">
        <f>IF(Table43[[#This Row],[SATUAN Fix Win]]&lt;&gt;"","KRT")</f>
        <v>KRT</v>
      </c>
      <c r="BJ242" s="4" t="str">
        <f>IF(Table43[[#This Row],[SATUAN Fix Win]]&lt;&gt;"","GD01")</f>
        <v>GD01</v>
      </c>
      <c r="BK242" s="4">
        <f>IF(Table43[[#This Row],[SATUAN Fix Win]]&lt;&gt;"",11611)</f>
        <v>11611</v>
      </c>
      <c r="BL242" s="4">
        <f>IF(Table43[[#This Row],[SATUAN Fix Win]]&lt;&gt;"",11612)</f>
        <v>11612</v>
      </c>
      <c r="BM242" s="47" t="s">
        <v>655</v>
      </c>
      <c r="BN242" s="4">
        <f>IF(Table43[[#This Row],[SATUAN Fix Win]]&lt;&gt;"",1)</f>
        <v>1</v>
      </c>
      <c r="BO242" s="4" t="s">
        <v>656</v>
      </c>
      <c r="BP242" s="4">
        <f>IFERROR(VLOOKUP(Table43[[#This Row],[Kode Pcpl]],'[1]HEINZ ABC'!$A$4:$E$112,8,0),0)</f>
        <v>0</v>
      </c>
      <c r="BQ242" s="55">
        <f>Table43[[#This Row],[Harga Jual Pcs GT
(-PPN)]]-Table43[[#This Row],[HARGA NAIK GT]]</f>
        <v>5855.9</v>
      </c>
      <c r="BR242" s="4">
        <f>IF(Table43[[#This Row],[HARGA NAIK GT]]=0,Table43[[#This Row],[Harga Jual Pcs GT
(-PPN)]],Table43[[#This Row],[HARGA NAIK GT]])</f>
        <v>5855.9</v>
      </c>
      <c r="BS242">
        <f>IFERROR(VLOOKUP(Table43[[#This Row],[Kode Pcpl]],'[1]HEINZ ABC'!$A$4:$E$112,8,0),0)</f>
        <v>0</v>
      </c>
      <c r="BT242" s="58">
        <f>Table43[[#This Row],[Harga Jual Pcs GT
(-PPN)]]-BS242</f>
        <v>5855.9</v>
      </c>
      <c r="BU242">
        <f>IF(BS242=0,Table43[[#This Row],[Harga Jual Pcs MT
(-PPN)]])</f>
        <v>0</v>
      </c>
      <c r="BV242">
        <f>IFERROR(VLOOKUP(Table43[[#This Row],[Kode Pcpl]],[2]Pricelist!$A$4:$K$112,11,0),0)</f>
        <v>0</v>
      </c>
      <c r="BW242">
        <f>IFERROR(VLOOKUP(Table43[[#This Row],[Kode BARANG Win2]],[3]!RECKITT211216[[KDBRG]:[HRG_JL_PCS-PPN]],11,0),0)</f>
        <v>0</v>
      </c>
      <c r="BX242">
        <f t="shared" si="11"/>
        <v>0</v>
      </c>
    </row>
    <row r="243" spans="1:76" x14ac:dyDescent="0.25">
      <c r="A243" s="4" t="str">
        <f>CONCATENATE(Table43[[#This Row],[Kode BARANG Win2]],Table43[[#This Row],[No. Urut
Item Sama]])</f>
        <v>A11200080130102</v>
      </c>
      <c r="B243" s="7">
        <v>2</v>
      </c>
      <c r="C243" s="4">
        <v>213</v>
      </c>
      <c r="D243" s="27">
        <v>150374</v>
      </c>
      <c r="E243" s="27" t="s">
        <v>381</v>
      </c>
      <c r="F243" s="27" t="s">
        <v>418</v>
      </c>
      <c r="G243" s="27">
        <v>48</v>
      </c>
      <c r="H243" s="42" t="s">
        <v>2467</v>
      </c>
      <c r="I243" s="27" t="str">
        <f>Table43[[#This Row],[Nama Jenis Kemasan]]</f>
        <v>BTL</v>
      </c>
      <c r="J243" s="4" t="str">
        <f>TRIM(CONCATENATE(Table43[[#This Row],[Nama            KLP]]," ",Table43[[#This Row],[Nama            Sub KLP]]))</f>
        <v>SAMBAL</v>
      </c>
      <c r="K243" s="4" t="str">
        <f>CONCATENATE(Table43[[#This Row],[kode  2 Digit                (hrf+No)]],Table43[[#This Row],[kode  2 Digit                (Nomor)]],Table43[[#This Row],[kode  1 Digit                (Nomor)]])</f>
        <v>A1120</v>
      </c>
      <c r="L243" s="4" t="str">
        <f>IF(AG243="",CONCATENATE(Q243,S243,U243,W243,Y243,AA243,AC243,AE243,Table43[[#This Row],[Tanda Kode Revisi]]),CONCATENATE(Q243,S243,U243,W243,Y243,AA243,AC243,AG243))</f>
        <v>A1120008013010</v>
      </c>
      <c r="M243" s="11">
        <f t="shared" si="9"/>
        <v>14</v>
      </c>
      <c r="N243" s="14" t="str">
        <f>IF(AF243&lt;&gt;"",TRIM(UPPER(CONCATENATE(P243," ",R243," ",T243," ",V243," ",X243," ",Z243," ","X"," ",Table43[[#This Row],[ISI/CTN]]," ",AF243," ",AB243," ",AD243," ",AH243))),TRIM(UPPER(CONCATENATE(P243," ",R243," ",T243," ",V243," ",X243," ",Z243," ","X"," ",Table43[[#This Row],[ISI/CTN]]," ",AB243," ",AD243," ",AH243))))</f>
        <v>ABC SAMBAL EXTRA PEDAS 130 ML X 48 BTL</v>
      </c>
      <c r="O243" s="11">
        <f t="shared" si="10"/>
        <v>38</v>
      </c>
      <c r="P243" s="4" t="s">
        <v>28</v>
      </c>
      <c r="Q243" s="7" t="s">
        <v>85</v>
      </c>
      <c r="R243" s="4" t="s">
        <v>603</v>
      </c>
      <c r="S243" s="43">
        <v>12</v>
      </c>
      <c r="T243" s="44"/>
      <c r="U243" s="7">
        <v>0</v>
      </c>
      <c r="V243" s="44"/>
      <c r="W243" s="43" t="s">
        <v>1</v>
      </c>
      <c r="X243" s="4" t="s">
        <v>519</v>
      </c>
      <c r="Y243" s="45" t="s">
        <v>224</v>
      </c>
      <c r="Z243" s="4" t="s">
        <v>606</v>
      </c>
      <c r="AA243" s="45" t="s">
        <v>485</v>
      </c>
      <c r="AB243" s="4" t="s">
        <v>486</v>
      </c>
      <c r="AC243" s="7" t="s">
        <v>480</v>
      </c>
      <c r="AE243" s="7" t="s">
        <v>1</v>
      </c>
      <c r="AI243" s="7" t="s">
        <v>214</v>
      </c>
      <c r="AJ243" s="7">
        <v>2</v>
      </c>
      <c r="AL243" s="40">
        <f>Table43[[#This Row],[Harga Jual Pcs GT
(-PPN)]]-(Table43[[#This Row],[Harga Jual Pcs GT
(-PPN)]]*6%)</f>
        <v>5504.5459999999994</v>
      </c>
      <c r="AM243" s="41">
        <f>Table43[[#This Row],[Harga Beli Pcs
(-PPN)]]*Table43[[#This Row],[ISI/CTN]]</f>
        <v>264218.20799999998</v>
      </c>
      <c r="AN243" s="41">
        <f>Table43[[#This Row],[Harga Beli Pcs
(-PPN)]]*1.11</f>
        <v>6110.0460599999997</v>
      </c>
      <c r="AO243" s="41">
        <f>Table43[[#This Row],[Harga Beli Krt
(- PPN)]]*1.11</f>
        <v>293282.21088000003</v>
      </c>
      <c r="AP243" s="41">
        <v>5855.9</v>
      </c>
      <c r="AQ243" s="41">
        <f>Table43[[#This Row],[Harga Jual Pcs GT
(-PPN)]]*Table43[[#This Row],[ISI/CTN]]</f>
        <v>281083.19999999995</v>
      </c>
      <c r="AR243" s="41">
        <f>Table43[[#This Row],[Harga Jual Pcs GT
(-PPN)]]*1.11</f>
        <v>6500.049</v>
      </c>
      <c r="AS243" s="41">
        <f>Table43[[#This Row],[Harga Jual Krt GT
(- PPN)]]*1.11</f>
        <v>312002.35199999996</v>
      </c>
      <c r="AT243" s="41">
        <v>0</v>
      </c>
      <c r="AU243" s="41">
        <f>(Table43[[#This Row],[Harga Jual Pcs MT
(-PPN)]]*Table43[[#This Row],[ISI/CTN]])</f>
        <v>0</v>
      </c>
      <c r="AV243" s="41">
        <f>Table43[[#This Row],[Harga Jual Pcs MT
(-PPN)]]*1.11</f>
        <v>0</v>
      </c>
      <c r="AW243" s="41">
        <f>Table43[[#This Row],[Harga Jual Pcs MT
(+PPN)]]*Table43[[#This Row],[ISI/CTN]]</f>
        <v>0</v>
      </c>
      <c r="AX243" s="41"/>
      <c r="AY243" s="46"/>
      <c r="AZ243" s="54">
        <v>45553</v>
      </c>
      <c r="BA243" s="7" t="str">
        <f ca="1">IF(TODAY()-Table43[[#This Row],[Efektif
Pembuatan]]&gt;60,"Lama","Baru")</f>
        <v>Lama</v>
      </c>
      <c r="BB243" s="7" t="str">
        <f ca="1">IF(TODAY()-Table43[[#This Row],[Efektif Naik Harga]]&lt;30,"Naik","Sama")</f>
        <v>Sama</v>
      </c>
      <c r="BC243" s="7" t="s">
        <v>235</v>
      </c>
      <c r="BD243" s="7" t="str">
        <f>IF(Table43[[#This Row],[Kode BARANG Win2]]&lt;&gt;"","IDR","")</f>
        <v>IDR</v>
      </c>
      <c r="BE243" s="7" t="str">
        <f>CONCATENATE(Table43[[#This Row],[kode  1 Digit
(Nomor)]],Table43[[#This Row],[kode  4 Digit                (Nomor)]])</f>
        <v>20130</v>
      </c>
      <c r="BF243" s="7" t="str">
        <f>Table43[[#This Row],[Nama            Gramasi atau Jumlah Pack per CTN]]</f>
        <v>130 ML</v>
      </c>
      <c r="BG243" s="7" t="s">
        <v>653</v>
      </c>
      <c r="BH243" s="51" t="s">
        <v>654</v>
      </c>
      <c r="BI243" s="4" t="str">
        <f>IF(Table43[[#This Row],[SATUAN Fix Win]]&lt;&gt;"","KRT")</f>
        <v>KRT</v>
      </c>
      <c r="BJ243" s="4" t="str">
        <f>IF(Table43[[#This Row],[SATUAN Fix Win]]&lt;&gt;"","GD01")</f>
        <v>GD01</v>
      </c>
      <c r="BK243" s="4">
        <f>IF(Table43[[#This Row],[SATUAN Fix Win]]&lt;&gt;"",11611)</f>
        <v>11611</v>
      </c>
      <c r="BL243" s="4">
        <f>IF(Table43[[#This Row],[SATUAN Fix Win]]&lt;&gt;"",11612)</f>
        <v>11612</v>
      </c>
      <c r="BM243" s="47" t="s">
        <v>655</v>
      </c>
      <c r="BN243" s="4">
        <f>IF(Table43[[#This Row],[SATUAN Fix Win]]&lt;&gt;"",1)</f>
        <v>1</v>
      </c>
      <c r="BO243" s="4" t="s">
        <v>656</v>
      </c>
      <c r="BP243" s="4">
        <f>IFERROR(VLOOKUP(Table43[[#This Row],[Kode Pcpl]],'[1]HEINZ ABC'!$A$4:$E$112,8,0),0)</f>
        <v>0</v>
      </c>
      <c r="BQ243" s="55">
        <f>Table43[[#This Row],[Harga Jual Pcs GT
(-PPN)]]-Table43[[#This Row],[HARGA NAIK GT]]</f>
        <v>5855.9</v>
      </c>
      <c r="BR243" s="4">
        <f>IF(Table43[[#This Row],[HARGA NAIK GT]]=0,Table43[[#This Row],[Harga Jual Pcs GT
(-PPN)]],Table43[[#This Row],[HARGA NAIK GT]])</f>
        <v>5855.9</v>
      </c>
      <c r="BS243">
        <f>IFERROR(VLOOKUP(Table43[[#This Row],[Kode Pcpl]],'[1]HEINZ ABC'!$A$4:$E$112,8,0),0)</f>
        <v>0</v>
      </c>
      <c r="BT243" s="58">
        <f>Table43[[#This Row],[Harga Jual Pcs GT
(-PPN)]]-BS243</f>
        <v>5855.9</v>
      </c>
      <c r="BU243">
        <f>IF(BS243=0,Table43[[#This Row],[Harga Jual Pcs MT
(-PPN)]])</f>
        <v>0</v>
      </c>
      <c r="BV243">
        <f>IFERROR(VLOOKUP(Table43[[#This Row],[Kode Pcpl]],[2]Pricelist!$A$4:$K$112,11,0),0)</f>
        <v>0</v>
      </c>
      <c r="BW243">
        <f>IFERROR(VLOOKUP(Table43[[#This Row],[Kode BARANG Win2]],[3]!RECKITT211216[[KDBRG]:[HRG_JL_PCS-PPN]],11,0),0)</f>
        <v>0</v>
      </c>
      <c r="BX243">
        <f t="shared" si="11"/>
        <v>0</v>
      </c>
    </row>
    <row r="244" spans="1:76" x14ac:dyDescent="0.25">
      <c r="A244" s="4" t="str">
        <f>CONCATENATE(Table43[[#This Row],[Kode BARANG Win2]],Table43[[#This Row],[No. Urut
Item Sama]])</f>
        <v>A11200080130111</v>
      </c>
      <c r="B244" s="7">
        <v>1</v>
      </c>
      <c r="C244" s="4">
        <v>214</v>
      </c>
      <c r="D244" s="27">
        <v>150976</v>
      </c>
      <c r="E244" s="27" t="s">
        <v>381</v>
      </c>
      <c r="F244" s="27" t="s">
        <v>419</v>
      </c>
      <c r="G244" s="27">
        <v>48</v>
      </c>
      <c r="H244" s="42" t="s">
        <v>2466</v>
      </c>
      <c r="I244" s="27" t="str">
        <f>Table43[[#This Row],[Nama Jenis Kemasan]]</f>
        <v>BTL</v>
      </c>
      <c r="J244" s="4" t="str">
        <f>TRIM(CONCATENATE(Table43[[#This Row],[Nama            KLP]]," ",Table43[[#This Row],[Nama            Sub KLP]]))</f>
        <v>SAMBAL</v>
      </c>
      <c r="K244" s="4" t="str">
        <f>CONCATENATE(Table43[[#This Row],[kode  2 Digit                (hrf+No)]],Table43[[#This Row],[kode  2 Digit                (Nomor)]],Table43[[#This Row],[kode  1 Digit                (Nomor)]])</f>
        <v>A1120</v>
      </c>
      <c r="L244" s="4" t="str">
        <f>IF(AG244="",CONCATENATE(Q244,S244,U244,W244,Y244,AA244,AC244,AE244,Table43[[#This Row],[Tanda Kode Revisi]]),CONCATENATE(Q244,S244,U244,W244,Y244,AA244,AC244,AG244))</f>
        <v>A1120008013011</v>
      </c>
      <c r="M244" s="11">
        <f t="shared" si="9"/>
        <v>14</v>
      </c>
      <c r="N244" s="14" t="str">
        <f>IF(AF244&lt;&gt;"",TRIM(UPPER(CONCATENATE(P244," ",R244," ",T244," ",V244," ",X244," ",Z244," ","X"," ",Table43[[#This Row],[ISI/CTN]]," ",AF244," ",AB244," ",AD244," ",AH244))),TRIM(UPPER(CONCATENATE(P244," ",R244," ",T244," ",V244," ",X244," ",Z244," ","X"," ",Table43[[#This Row],[ISI/CTN]]," ",AB244," ",AD244," ",AH244))))</f>
        <v>ABC SAMBAL EXTRA PEDAS 130 ML X 48 BTL BANDED</v>
      </c>
      <c r="O244" s="11">
        <f t="shared" si="10"/>
        <v>45</v>
      </c>
      <c r="P244" s="4" t="s">
        <v>28</v>
      </c>
      <c r="Q244" s="7" t="s">
        <v>85</v>
      </c>
      <c r="R244" s="4" t="s">
        <v>603</v>
      </c>
      <c r="S244" s="43">
        <v>12</v>
      </c>
      <c r="T244" s="44"/>
      <c r="U244" s="7">
        <v>0</v>
      </c>
      <c r="V244" s="44"/>
      <c r="W244" s="43" t="s">
        <v>1</v>
      </c>
      <c r="X244" s="4" t="s">
        <v>519</v>
      </c>
      <c r="Y244" s="45" t="s">
        <v>224</v>
      </c>
      <c r="Z244" s="4" t="s">
        <v>606</v>
      </c>
      <c r="AA244" s="45" t="s">
        <v>485</v>
      </c>
      <c r="AB244" s="4" t="s">
        <v>486</v>
      </c>
      <c r="AC244" s="7" t="s">
        <v>480</v>
      </c>
      <c r="AD244" s="4" t="s">
        <v>496</v>
      </c>
      <c r="AE244" s="7">
        <v>1</v>
      </c>
      <c r="AI244" s="7" t="s">
        <v>214</v>
      </c>
      <c r="AJ244" s="7">
        <v>2</v>
      </c>
      <c r="AL244" s="40">
        <f>Table43[[#This Row],[Harga Jual Pcs GT
(-PPN)]]-(Table43[[#This Row],[Harga Jual Pcs GT
(-PPN)]]*6%)</f>
        <v>5504.5459999999994</v>
      </c>
      <c r="AM244" s="41">
        <f>Table43[[#This Row],[Harga Beli Pcs
(-PPN)]]*Table43[[#This Row],[ISI/CTN]]</f>
        <v>264218.20799999998</v>
      </c>
      <c r="AN244" s="41">
        <f>Table43[[#This Row],[Harga Beli Pcs
(-PPN)]]*1.11</f>
        <v>6110.0460599999997</v>
      </c>
      <c r="AO244" s="41">
        <f>Table43[[#This Row],[Harga Beli Krt
(- PPN)]]*1.11</f>
        <v>293282.21088000003</v>
      </c>
      <c r="AP244" s="41">
        <v>5855.9</v>
      </c>
      <c r="AQ244" s="41">
        <f>Table43[[#This Row],[Harga Jual Pcs GT
(-PPN)]]*Table43[[#This Row],[ISI/CTN]]</f>
        <v>281083.19999999995</v>
      </c>
      <c r="AR244" s="41">
        <f>Table43[[#This Row],[Harga Jual Pcs GT
(-PPN)]]*1.11</f>
        <v>6500.049</v>
      </c>
      <c r="AS244" s="41">
        <f>Table43[[#This Row],[Harga Jual Krt GT
(- PPN)]]*1.11</f>
        <v>312002.35199999996</v>
      </c>
      <c r="AT244" s="41">
        <v>0</v>
      </c>
      <c r="AU244" s="41">
        <f>(Table43[[#This Row],[Harga Jual Pcs MT
(-PPN)]]*Table43[[#This Row],[ISI/CTN]])</f>
        <v>0</v>
      </c>
      <c r="AV244" s="41">
        <f>Table43[[#This Row],[Harga Jual Pcs MT
(-PPN)]]*1.11</f>
        <v>0</v>
      </c>
      <c r="AW244" s="41">
        <f>Table43[[#This Row],[Harga Jual Pcs MT
(+PPN)]]*Table43[[#This Row],[ISI/CTN]]</f>
        <v>0</v>
      </c>
      <c r="AX244" s="41"/>
      <c r="AY244" s="46">
        <v>45553</v>
      </c>
      <c r="AZ244" s="54">
        <v>45553</v>
      </c>
      <c r="BA244" s="7" t="str">
        <f ca="1">IF(TODAY()-Table43[[#This Row],[Efektif
Pembuatan]]&gt;60,"Lama","Baru")</f>
        <v>Lama</v>
      </c>
      <c r="BB244" s="7" t="str">
        <f ca="1">IF(TODAY()-Table43[[#This Row],[Efektif Naik Harga]]&lt;30,"Naik","Sama")</f>
        <v>Sama</v>
      </c>
      <c r="BC244" s="7" t="s">
        <v>235</v>
      </c>
      <c r="BD244" s="7" t="str">
        <f>IF(Table43[[#This Row],[Kode BARANG Win2]]&lt;&gt;"","IDR","")</f>
        <v>IDR</v>
      </c>
      <c r="BE244" s="7" t="str">
        <f>CONCATENATE(Table43[[#This Row],[kode  1 Digit
(Nomor)]],Table43[[#This Row],[kode  4 Digit                (Nomor)]])</f>
        <v>20130</v>
      </c>
      <c r="BF244" s="7" t="str">
        <f>Table43[[#This Row],[Nama            Gramasi atau Jumlah Pack per CTN]]</f>
        <v>130 ML</v>
      </c>
      <c r="BG244" s="7" t="s">
        <v>653</v>
      </c>
      <c r="BH244" s="51" t="s">
        <v>654</v>
      </c>
      <c r="BI244" s="4" t="str">
        <f>IF(Table43[[#This Row],[SATUAN Fix Win]]&lt;&gt;"","KRT")</f>
        <v>KRT</v>
      </c>
      <c r="BJ244" s="4" t="str">
        <f>IF(Table43[[#This Row],[SATUAN Fix Win]]&lt;&gt;"","GD01")</f>
        <v>GD01</v>
      </c>
      <c r="BK244" s="4">
        <f>IF(Table43[[#This Row],[SATUAN Fix Win]]&lt;&gt;"",11611)</f>
        <v>11611</v>
      </c>
      <c r="BL244" s="4">
        <f>IF(Table43[[#This Row],[SATUAN Fix Win]]&lt;&gt;"",11612)</f>
        <v>11612</v>
      </c>
      <c r="BM244" s="47" t="s">
        <v>655</v>
      </c>
      <c r="BN244" s="4">
        <f>IF(Table43[[#This Row],[SATUAN Fix Win]]&lt;&gt;"",1)</f>
        <v>1</v>
      </c>
      <c r="BO244" s="4" t="s">
        <v>656</v>
      </c>
      <c r="BP244" s="4">
        <f>IFERROR(VLOOKUP(Table43[[#This Row],[Kode Pcpl]],'[1]HEINZ ABC'!$A$4:$E$112,8,0),0)</f>
        <v>0</v>
      </c>
      <c r="BQ244" s="55">
        <f>Table43[[#This Row],[Harga Jual Pcs GT
(-PPN)]]-Table43[[#This Row],[HARGA NAIK GT]]</f>
        <v>5855.9</v>
      </c>
      <c r="BR244" s="4">
        <f>IF(Table43[[#This Row],[HARGA NAIK GT]]=0,Table43[[#This Row],[Harga Jual Pcs GT
(-PPN)]],Table43[[#This Row],[HARGA NAIK GT]])</f>
        <v>5855.9</v>
      </c>
      <c r="BS244">
        <f>IFERROR(VLOOKUP(Table43[[#This Row],[Kode Pcpl]],'[1]HEINZ ABC'!$A$4:$E$112,8,0),0)</f>
        <v>0</v>
      </c>
      <c r="BT244" s="58">
        <f>Table43[[#This Row],[Harga Jual Pcs GT
(-PPN)]]-BS244</f>
        <v>5855.9</v>
      </c>
      <c r="BU244">
        <f>IF(BS244=0,Table43[[#This Row],[Harga Jual Pcs MT
(-PPN)]])</f>
        <v>0</v>
      </c>
      <c r="BV244">
        <f>IFERROR(VLOOKUP(Table43[[#This Row],[Kode Pcpl]],[2]Pricelist!$A$4:$K$112,11,0),0)</f>
        <v>0</v>
      </c>
      <c r="BW244">
        <f>IFERROR(VLOOKUP(Table43[[#This Row],[Kode BARANG Win2]],[3]!RECKITT211216[[KDBRG]:[HRG_JL_PCS-PPN]],11,0),0)</f>
        <v>0</v>
      </c>
      <c r="BX244">
        <f t="shared" si="11"/>
        <v>0</v>
      </c>
    </row>
    <row r="245" spans="1:76" x14ac:dyDescent="0.25">
      <c r="A245" s="4" t="str">
        <f>CONCATENATE(Table43[[#This Row],[Kode BARANG Win2]],Table43[[#This Row],[No. Urut
Item Sama]])</f>
        <v>A11200080135101</v>
      </c>
      <c r="B245" s="7">
        <v>1</v>
      </c>
      <c r="C245" s="4">
        <v>215</v>
      </c>
      <c r="D245" s="27">
        <v>150191</v>
      </c>
      <c r="E245" s="27" t="s">
        <v>381</v>
      </c>
      <c r="F245" s="27" t="s">
        <v>420</v>
      </c>
      <c r="G245" s="27">
        <v>48</v>
      </c>
      <c r="H245" s="42" t="s">
        <v>2594</v>
      </c>
      <c r="I245" s="27" t="str">
        <f>Table43[[#This Row],[Nama Jenis Kemasan]]</f>
        <v>BTL</v>
      </c>
      <c r="J245" s="4" t="str">
        <f>TRIM(CONCATENATE(Table43[[#This Row],[Nama            KLP]]," ",Table43[[#This Row],[Nama            Sub KLP]]))</f>
        <v>SAMBAL</v>
      </c>
      <c r="K245" s="4" t="str">
        <f>CONCATENATE(Table43[[#This Row],[kode  2 Digit                (hrf+No)]],Table43[[#This Row],[kode  2 Digit                (Nomor)]],Table43[[#This Row],[kode  1 Digit                (Nomor)]])</f>
        <v>A1120</v>
      </c>
      <c r="L245" s="4" t="str">
        <f>IF(AG245="",CONCATENATE(Q245,S245,U245,W245,Y245,AA245,AC245,AE245,Table43[[#This Row],[Tanda Kode Revisi]]),CONCATENATE(Q245,S245,U245,W245,Y245,AA245,AC245,AG245))</f>
        <v>A1120008013510</v>
      </c>
      <c r="M245" s="11">
        <f t="shared" si="9"/>
        <v>14</v>
      </c>
      <c r="N245" s="14" t="str">
        <f>IF(AF245&lt;&gt;"",TRIM(UPPER(CONCATENATE(P245," ",R245," ",T245," ",V245," ",X245," ",Z245," ","X"," ",Table43[[#This Row],[ISI/CTN]]," ",AF245," ",AB245," ",AD245," ",AH245))),TRIM(UPPER(CONCATENATE(P245," ",R245," ",T245," ",V245," ",X245," ",Z245," ","X"," ",Table43[[#This Row],[ISI/CTN]]," ",AB245," ",AD245," ",AH245))))</f>
        <v>ABC SAMBAL EXTRA PEDAS 135 ML X 48 BTL</v>
      </c>
      <c r="O245" s="11">
        <f t="shared" si="10"/>
        <v>38</v>
      </c>
      <c r="P245" s="4" t="s">
        <v>28</v>
      </c>
      <c r="Q245" s="7" t="s">
        <v>85</v>
      </c>
      <c r="R245" s="4" t="s">
        <v>603</v>
      </c>
      <c r="S245" s="43">
        <v>12</v>
      </c>
      <c r="T245" s="44"/>
      <c r="U245" s="7">
        <v>0</v>
      </c>
      <c r="V245" s="44"/>
      <c r="W245" s="43" t="s">
        <v>1</v>
      </c>
      <c r="X245" s="4" t="s">
        <v>519</v>
      </c>
      <c r="Y245" s="45" t="s">
        <v>224</v>
      </c>
      <c r="Z245" s="4" t="s">
        <v>484</v>
      </c>
      <c r="AA245" s="45" t="s">
        <v>487</v>
      </c>
      <c r="AB245" s="4" t="s">
        <v>486</v>
      </c>
      <c r="AC245" s="7" t="s">
        <v>480</v>
      </c>
      <c r="AE245" s="7" t="s">
        <v>1</v>
      </c>
      <c r="AI245" s="7" t="s">
        <v>214</v>
      </c>
      <c r="AJ245" s="7">
        <v>2</v>
      </c>
      <c r="AL245" s="40">
        <f>Table43[[#This Row],[Harga Jual Pcs GT
(-PPN)]]-(Table43[[#This Row],[Harga Jual Pcs GT
(-PPN)]]*6%)</f>
        <v>6097.3005999999996</v>
      </c>
      <c r="AM245" s="41">
        <f>Table43[[#This Row],[Harga Beli Pcs
(-PPN)]]*Table43[[#This Row],[ISI/CTN]]</f>
        <v>292670.42879999999</v>
      </c>
      <c r="AN245" s="41">
        <f>Table43[[#This Row],[Harga Beli Pcs
(-PPN)]]*1.11</f>
        <v>6768.0036660000005</v>
      </c>
      <c r="AO245" s="41">
        <f>Table43[[#This Row],[Harga Beli Krt
(- PPN)]]*1.11</f>
        <v>324864.17596800003</v>
      </c>
      <c r="AP245" s="41">
        <v>6486.49</v>
      </c>
      <c r="AQ245" s="41">
        <f>Table43[[#This Row],[Harga Jual Pcs GT
(-PPN)]]*Table43[[#This Row],[ISI/CTN]]</f>
        <v>311351.52</v>
      </c>
      <c r="AR245" s="41">
        <f>Table43[[#This Row],[Harga Jual Pcs GT
(-PPN)]]*1.11</f>
        <v>7200.0039000000006</v>
      </c>
      <c r="AS245" s="41">
        <f>Table43[[#This Row],[Harga Jual Krt GT
(- PPN)]]*1.11</f>
        <v>345600.18720000004</v>
      </c>
      <c r="AT245" s="41">
        <v>6810.8108108108117</v>
      </c>
      <c r="AU245" s="41">
        <f>(Table43[[#This Row],[Harga Jual Pcs MT
(-PPN)]]*Table43[[#This Row],[ISI/CTN]])</f>
        <v>326918.91891891893</v>
      </c>
      <c r="AV245" s="41">
        <f>Table43[[#This Row],[Harga Jual Pcs MT
(-PPN)]]*1.11</f>
        <v>7560.0000000000018</v>
      </c>
      <c r="AW245" s="41">
        <f>Table43[[#This Row],[Harga Jual Pcs MT
(+PPN)]]*Table43[[#This Row],[ISI/CTN]]</f>
        <v>362880.00000000012</v>
      </c>
      <c r="AX245" s="41"/>
      <c r="AY245" s="46">
        <v>45553</v>
      </c>
      <c r="AZ245" s="54">
        <v>45553</v>
      </c>
      <c r="BA245" s="7" t="str">
        <f ca="1">IF(TODAY()-Table43[[#This Row],[Efektif
Pembuatan]]&gt;60,"Lama","Baru")</f>
        <v>Lama</v>
      </c>
      <c r="BB245" s="7" t="str">
        <f ca="1">IF(TODAY()-Table43[[#This Row],[Efektif Naik Harga]]&lt;30,"Naik","Sama")</f>
        <v>Sama</v>
      </c>
      <c r="BC245" s="7" t="s">
        <v>235</v>
      </c>
      <c r="BD245" s="7" t="str">
        <f>IF(Table43[[#This Row],[Kode BARANG Win2]]&lt;&gt;"","IDR","")</f>
        <v>IDR</v>
      </c>
      <c r="BE245" s="7" t="str">
        <f>CONCATENATE(Table43[[#This Row],[kode  1 Digit
(Nomor)]],Table43[[#This Row],[kode  4 Digit                (Nomor)]])</f>
        <v>20135</v>
      </c>
      <c r="BF245" s="7" t="str">
        <f>Table43[[#This Row],[Nama            Gramasi atau Jumlah Pack per CTN]]</f>
        <v>135 ML</v>
      </c>
      <c r="BG245" s="7" t="s">
        <v>653</v>
      </c>
      <c r="BH245" s="51" t="s">
        <v>654</v>
      </c>
      <c r="BI245" s="4" t="str">
        <f>IF(Table43[[#This Row],[SATUAN Fix Win]]&lt;&gt;"","KRT")</f>
        <v>KRT</v>
      </c>
      <c r="BJ245" s="4" t="str">
        <f>IF(Table43[[#This Row],[SATUAN Fix Win]]&lt;&gt;"","GD01")</f>
        <v>GD01</v>
      </c>
      <c r="BK245" s="4">
        <f>IF(Table43[[#This Row],[SATUAN Fix Win]]&lt;&gt;"",11611)</f>
        <v>11611</v>
      </c>
      <c r="BL245" s="4">
        <f>IF(Table43[[#This Row],[SATUAN Fix Win]]&lt;&gt;"",11612)</f>
        <v>11612</v>
      </c>
      <c r="BM245" s="47" t="s">
        <v>655</v>
      </c>
      <c r="BN245" s="4">
        <f>IF(Table43[[#This Row],[SATUAN Fix Win]]&lt;&gt;"",1)</f>
        <v>1</v>
      </c>
      <c r="BO245" s="4" t="s">
        <v>656</v>
      </c>
      <c r="BP245" s="4">
        <f>IFERROR(VLOOKUP(Table43[[#This Row],[Kode Pcpl]],'[1]HEINZ ABC'!$A$4:$E$112,8,0),0)</f>
        <v>0</v>
      </c>
      <c r="BQ245" s="55">
        <f>Table43[[#This Row],[Harga Jual Pcs GT
(-PPN)]]-Table43[[#This Row],[HARGA NAIK GT]]</f>
        <v>6486.49</v>
      </c>
      <c r="BR245" s="4">
        <f>IF(Table43[[#This Row],[HARGA NAIK GT]]=0,Table43[[#This Row],[Harga Jual Pcs GT
(-PPN)]],Table43[[#This Row],[HARGA NAIK GT]])</f>
        <v>6486.49</v>
      </c>
      <c r="BS245">
        <f>IFERROR(VLOOKUP(Table43[[#This Row],[Kode Pcpl]],'[1]HEINZ ABC'!$A$4:$E$112,8,0),0)</f>
        <v>0</v>
      </c>
      <c r="BT245" s="58">
        <f>Table43[[#This Row],[Harga Jual Pcs GT
(-PPN)]]-BS245</f>
        <v>6486.49</v>
      </c>
      <c r="BU245">
        <f>IF(BS245=0,Table43[[#This Row],[Harga Jual Pcs MT
(-PPN)]])</f>
        <v>6810.8108108108117</v>
      </c>
      <c r="BV245">
        <f>IFERROR(VLOOKUP(Table43[[#This Row],[Kode Pcpl]],[2]Pricelist!$A$4:$K$112,11,0),0)</f>
        <v>0</v>
      </c>
      <c r="BW245">
        <f>IFERROR(VLOOKUP(Table43[[#This Row],[Kode BARANG Win2]],[3]!RECKITT211216[[KDBRG]:[HRG_JL_PCS-PPN]],11,0),0)</f>
        <v>0</v>
      </c>
      <c r="BX245">
        <f t="shared" si="11"/>
        <v>0</v>
      </c>
    </row>
    <row r="246" spans="1:76" x14ac:dyDescent="0.25">
      <c r="A246" s="4" t="str">
        <f>CONCATENATE(Table43[[#This Row],[Kode BARANG Win2]],Table43[[#This Row],[No. Urut
Item Sama]])</f>
        <v>A11200080135102</v>
      </c>
      <c r="B246" s="7">
        <v>2</v>
      </c>
      <c r="C246" s="4">
        <v>216</v>
      </c>
      <c r="D246" s="27">
        <v>150234</v>
      </c>
      <c r="E246" s="27" t="s">
        <v>381</v>
      </c>
      <c r="F246" s="27" t="s">
        <v>421</v>
      </c>
      <c r="G246" s="27">
        <v>48</v>
      </c>
      <c r="H246" s="42" t="s">
        <v>2595</v>
      </c>
      <c r="I246" s="27" t="str">
        <f>Table43[[#This Row],[Nama Jenis Kemasan]]</f>
        <v>BTL</v>
      </c>
      <c r="J246" s="4" t="str">
        <f>TRIM(CONCATENATE(Table43[[#This Row],[Nama            KLP]]," ",Table43[[#This Row],[Nama            Sub KLP]]))</f>
        <v>SAMBAL</v>
      </c>
      <c r="K246" s="4" t="str">
        <f>CONCATENATE(Table43[[#This Row],[kode  2 Digit                (hrf+No)]],Table43[[#This Row],[kode  2 Digit                (Nomor)]],Table43[[#This Row],[kode  1 Digit                (Nomor)]])</f>
        <v>A1120</v>
      </c>
      <c r="L246" s="4" t="str">
        <f>IF(AG246="",CONCATENATE(Q246,S246,U246,W246,Y246,AA246,AC246,AE246,Table43[[#This Row],[Tanda Kode Revisi]]),CONCATENATE(Q246,S246,U246,W246,Y246,AA246,AC246,AG246))</f>
        <v>A1120008013510</v>
      </c>
      <c r="M246" s="11">
        <f t="shared" si="9"/>
        <v>14</v>
      </c>
      <c r="N246" s="14" t="str">
        <f>IF(AF246&lt;&gt;"",TRIM(UPPER(CONCATENATE(P246," ",R246," ",T246," ",V246," ",X246," ",Z246," ","X"," ",Table43[[#This Row],[ISI/CTN]]," ",AF246," ",AB246," ",AD246," ",AH246))),TRIM(UPPER(CONCATENATE(P246," ",R246," ",T246," ",V246," ",X246," ",Z246," ","X"," ",Table43[[#This Row],[ISI/CTN]]," ",AB246," ",AD246," ",AH246))))</f>
        <v>ABC SAMBAL EXTRA PEDAS 135 ML X 48 BTL</v>
      </c>
      <c r="O246" s="11">
        <f t="shared" si="10"/>
        <v>38</v>
      </c>
      <c r="P246" s="4" t="s">
        <v>28</v>
      </c>
      <c r="Q246" s="7" t="s">
        <v>85</v>
      </c>
      <c r="R246" s="4" t="s">
        <v>603</v>
      </c>
      <c r="S246" s="43">
        <v>12</v>
      </c>
      <c r="T246" s="44"/>
      <c r="U246" s="7">
        <v>0</v>
      </c>
      <c r="V246" s="44"/>
      <c r="W246" s="43" t="s">
        <v>1</v>
      </c>
      <c r="X246" s="4" t="s">
        <v>519</v>
      </c>
      <c r="Y246" s="45" t="s">
        <v>224</v>
      </c>
      <c r="Z246" s="4" t="s">
        <v>484</v>
      </c>
      <c r="AA246" s="45" t="s">
        <v>487</v>
      </c>
      <c r="AB246" s="4" t="s">
        <v>486</v>
      </c>
      <c r="AC246" s="7" t="s">
        <v>480</v>
      </c>
      <c r="AE246" s="7" t="s">
        <v>1</v>
      </c>
      <c r="AI246" s="7" t="s">
        <v>214</v>
      </c>
      <c r="AJ246" s="7">
        <v>2</v>
      </c>
      <c r="AL246" s="40">
        <f>Table43[[#This Row],[Harga Jual Pcs GT
(-PPN)]]-(Table43[[#This Row],[Harga Jual Pcs GT
(-PPN)]]*6%)</f>
        <v>6097.3005999999996</v>
      </c>
      <c r="AM246" s="41">
        <f>Table43[[#This Row],[Harga Beli Pcs
(-PPN)]]*Table43[[#This Row],[ISI/CTN]]</f>
        <v>292670.42879999999</v>
      </c>
      <c r="AN246" s="41">
        <f>Table43[[#This Row],[Harga Beli Pcs
(-PPN)]]*1.11</f>
        <v>6768.0036660000005</v>
      </c>
      <c r="AO246" s="41">
        <f>Table43[[#This Row],[Harga Beli Krt
(- PPN)]]*1.11</f>
        <v>324864.17596800003</v>
      </c>
      <c r="AP246" s="41">
        <v>6486.49</v>
      </c>
      <c r="AQ246" s="41">
        <f>Table43[[#This Row],[Harga Jual Pcs GT
(-PPN)]]*Table43[[#This Row],[ISI/CTN]]</f>
        <v>311351.52</v>
      </c>
      <c r="AR246" s="41">
        <f>Table43[[#This Row],[Harga Jual Pcs GT
(-PPN)]]*1.11</f>
        <v>7200.0039000000006</v>
      </c>
      <c r="AS246" s="41">
        <f>Table43[[#This Row],[Harga Jual Krt GT
(- PPN)]]*1.11</f>
        <v>345600.18720000004</v>
      </c>
      <c r="AT246" s="41">
        <v>6810.8108108108117</v>
      </c>
      <c r="AU246" s="41">
        <f>(Table43[[#This Row],[Harga Jual Pcs MT
(-PPN)]]*Table43[[#This Row],[ISI/CTN]])</f>
        <v>326918.91891891893</v>
      </c>
      <c r="AV246" s="41">
        <f>Table43[[#This Row],[Harga Jual Pcs MT
(-PPN)]]*1.11</f>
        <v>7560.0000000000018</v>
      </c>
      <c r="AW246" s="41">
        <f>Table43[[#This Row],[Harga Jual Pcs MT
(+PPN)]]*Table43[[#This Row],[ISI/CTN]]</f>
        <v>362880.00000000012</v>
      </c>
      <c r="AX246" s="41"/>
      <c r="AY246" s="46">
        <v>45553</v>
      </c>
      <c r="AZ246" s="54">
        <v>45553</v>
      </c>
      <c r="BA246" s="7" t="str">
        <f ca="1">IF(TODAY()-Table43[[#This Row],[Efektif
Pembuatan]]&gt;60,"Lama","Baru")</f>
        <v>Lama</v>
      </c>
      <c r="BB246" s="7" t="str">
        <f ca="1">IF(TODAY()-Table43[[#This Row],[Efektif Naik Harga]]&lt;30,"Naik","Sama")</f>
        <v>Sama</v>
      </c>
      <c r="BC246" s="7" t="s">
        <v>235</v>
      </c>
      <c r="BD246" s="7" t="str">
        <f>IF(Table43[[#This Row],[Kode BARANG Win2]]&lt;&gt;"","IDR","")</f>
        <v>IDR</v>
      </c>
      <c r="BE246" s="7" t="str">
        <f>CONCATENATE(Table43[[#This Row],[kode  1 Digit
(Nomor)]],Table43[[#This Row],[kode  4 Digit                (Nomor)]])</f>
        <v>20135</v>
      </c>
      <c r="BF246" s="7" t="str">
        <f>Table43[[#This Row],[Nama            Gramasi atau Jumlah Pack per CTN]]</f>
        <v>135 ML</v>
      </c>
      <c r="BG246" s="7" t="s">
        <v>653</v>
      </c>
      <c r="BH246" s="51" t="s">
        <v>654</v>
      </c>
      <c r="BI246" s="4" t="str">
        <f>IF(Table43[[#This Row],[SATUAN Fix Win]]&lt;&gt;"","KRT")</f>
        <v>KRT</v>
      </c>
      <c r="BJ246" s="4" t="str">
        <f>IF(Table43[[#This Row],[SATUAN Fix Win]]&lt;&gt;"","GD01")</f>
        <v>GD01</v>
      </c>
      <c r="BK246" s="4">
        <f>IF(Table43[[#This Row],[SATUAN Fix Win]]&lt;&gt;"",11611)</f>
        <v>11611</v>
      </c>
      <c r="BL246" s="4">
        <f>IF(Table43[[#This Row],[SATUAN Fix Win]]&lt;&gt;"",11612)</f>
        <v>11612</v>
      </c>
      <c r="BM246" s="47" t="s">
        <v>655</v>
      </c>
      <c r="BN246" s="4">
        <f>IF(Table43[[#This Row],[SATUAN Fix Win]]&lt;&gt;"",1)</f>
        <v>1</v>
      </c>
      <c r="BO246" s="4" t="s">
        <v>656</v>
      </c>
      <c r="BP246" s="4">
        <f>IFERROR(VLOOKUP(Table43[[#This Row],[Kode Pcpl]],'[1]HEINZ ABC'!$A$4:$E$112,8,0),0)</f>
        <v>0</v>
      </c>
      <c r="BQ246" s="55">
        <f>Table43[[#This Row],[Harga Jual Pcs GT
(-PPN)]]-Table43[[#This Row],[HARGA NAIK GT]]</f>
        <v>6486.49</v>
      </c>
      <c r="BR246" s="4">
        <f>IF(Table43[[#This Row],[HARGA NAIK GT]]=0,Table43[[#This Row],[Harga Jual Pcs GT
(-PPN)]],Table43[[#This Row],[HARGA NAIK GT]])</f>
        <v>6486.49</v>
      </c>
      <c r="BS246">
        <f>IFERROR(VLOOKUP(Table43[[#This Row],[Kode Pcpl]],'[1]HEINZ ABC'!$A$4:$E$112,8,0),0)</f>
        <v>0</v>
      </c>
      <c r="BT246" s="58">
        <f>Table43[[#This Row],[Harga Jual Pcs GT
(-PPN)]]-BS246</f>
        <v>6486.49</v>
      </c>
      <c r="BU246">
        <f>IF(BS246=0,Table43[[#This Row],[Harga Jual Pcs MT
(-PPN)]])</f>
        <v>6810.8108108108117</v>
      </c>
      <c r="BV246">
        <f>IFERROR(VLOOKUP(Table43[[#This Row],[Kode Pcpl]],[2]Pricelist!$A$4:$K$112,11,0),0)</f>
        <v>0</v>
      </c>
      <c r="BW246">
        <f>IFERROR(VLOOKUP(Table43[[#This Row],[Kode BARANG Win2]],[3]!RECKITT211216[[KDBRG]:[HRG_JL_PCS-PPN]],11,0),0)</f>
        <v>0</v>
      </c>
      <c r="BX246">
        <f t="shared" si="11"/>
        <v>0</v>
      </c>
    </row>
    <row r="247" spans="1:76" x14ac:dyDescent="0.25">
      <c r="A247" s="4" t="str">
        <f>CONCATENATE(Table43[[#This Row],[Kode BARANG Win2]],Table43[[#This Row],[No. Urut
Item Sama]])</f>
        <v>A11200080270101</v>
      </c>
      <c r="B247" s="7">
        <v>1</v>
      </c>
      <c r="C247" s="4">
        <v>217</v>
      </c>
      <c r="D247" s="27">
        <v>150192</v>
      </c>
      <c r="E247" s="27" t="s">
        <v>381</v>
      </c>
      <c r="F247" s="27" t="s">
        <v>422</v>
      </c>
      <c r="G247" s="27">
        <v>24</v>
      </c>
      <c r="H247" s="42" t="s">
        <v>2590</v>
      </c>
      <c r="I247" s="27" t="str">
        <f>Table43[[#This Row],[Nama Jenis Kemasan]]</f>
        <v>BTL</v>
      </c>
      <c r="J247" s="4" t="str">
        <f>TRIM(CONCATENATE(Table43[[#This Row],[Nama            KLP]]," ",Table43[[#This Row],[Nama            Sub KLP]]))</f>
        <v>SAMBAL</v>
      </c>
      <c r="K247" s="4" t="str">
        <f>CONCATENATE(Table43[[#This Row],[kode  2 Digit                (hrf+No)]],Table43[[#This Row],[kode  2 Digit                (Nomor)]],Table43[[#This Row],[kode  1 Digit                (Nomor)]])</f>
        <v>A1120</v>
      </c>
      <c r="L247" s="4" t="str">
        <f>IF(AG247="",CONCATENATE(Q247,S247,U247,W247,Y247,AA247,AC247,AE247,Table43[[#This Row],[Tanda Kode Revisi]]),CONCATENATE(Q247,S247,U247,W247,Y247,AA247,AC247,AG247))</f>
        <v>A1120008027010</v>
      </c>
      <c r="M247" s="11">
        <f t="shared" si="9"/>
        <v>14</v>
      </c>
      <c r="N247" s="14" t="str">
        <f>IF(AF247&lt;&gt;"",TRIM(UPPER(CONCATENATE(P247," ",R247," ",T247," ",V247," ",X247," ",Z247," ","X"," ",Table43[[#This Row],[ISI/CTN]]," ",AF247," ",AB247," ",AD247," ",AH247))),TRIM(UPPER(CONCATENATE(P247," ",R247," ",T247," ",V247," ",X247," ",Z247," ","X"," ",Table43[[#This Row],[ISI/CTN]]," ",AB247," ",AD247," ",AH247))))</f>
        <v>ABC SAMBAL EXTRA PEDAS 270 ML X 24 BTL</v>
      </c>
      <c r="O247" s="11">
        <f t="shared" si="10"/>
        <v>38</v>
      </c>
      <c r="P247" s="4" t="s">
        <v>28</v>
      </c>
      <c r="Q247" s="7" t="s">
        <v>85</v>
      </c>
      <c r="R247" s="4" t="s">
        <v>603</v>
      </c>
      <c r="S247" s="43">
        <v>12</v>
      </c>
      <c r="T247" s="44"/>
      <c r="U247" s="7">
        <v>0</v>
      </c>
      <c r="V247" s="44"/>
      <c r="W247" s="43" t="s">
        <v>1</v>
      </c>
      <c r="X247" s="4" t="s">
        <v>519</v>
      </c>
      <c r="Y247" s="45" t="s">
        <v>224</v>
      </c>
      <c r="Z247" s="4" t="s">
        <v>607</v>
      </c>
      <c r="AA247" s="45" t="s">
        <v>608</v>
      </c>
      <c r="AB247" s="4" t="s">
        <v>486</v>
      </c>
      <c r="AC247" s="7" t="s">
        <v>480</v>
      </c>
      <c r="AE247" s="7" t="s">
        <v>1</v>
      </c>
      <c r="AI247" s="7" t="s">
        <v>214</v>
      </c>
      <c r="AJ247" s="7">
        <v>2</v>
      </c>
      <c r="AL247" s="40">
        <f>Table43[[#This Row],[Harga Jual Pcs GT
(-PPN)]]-(Table43[[#This Row],[Harga Jual Pcs GT
(-PPN)]]*6%)</f>
        <v>11271.5306</v>
      </c>
      <c r="AM247" s="41">
        <f>Table43[[#This Row],[Harga Beli Pcs
(-PPN)]]*Table43[[#This Row],[ISI/CTN]]</f>
        <v>270516.73440000002</v>
      </c>
      <c r="AN247" s="41">
        <f>Table43[[#This Row],[Harga Beli Pcs
(-PPN)]]*1.11</f>
        <v>12511.398966000001</v>
      </c>
      <c r="AO247" s="41">
        <f>Table43[[#This Row],[Harga Beli Krt
(- PPN)]]*1.11</f>
        <v>300273.57518400002</v>
      </c>
      <c r="AP247" s="41">
        <v>11990.99</v>
      </c>
      <c r="AQ247" s="41">
        <f>Table43[[#This Row],[Harga Jual Pcs GT
(-PPN)]]*Table43[[#This Row],[ISI/CTN]]</f>
        <v>287783.76</v>
      </c>
      <c r="AR247" s="41">
        <f>Table43[[#This Row],[Harga Jual Pcs GT
(-PPN)]]*1.11</f>
        <v>13309.998900000001</v>
      </c>
      <c r="AS247" s="41">
        <f>Table43[[#This Row],[Harga Jual Krt GT
(- PPN)]]*1.11</f>
        <v>319439.97360000003</v>
      </c>
      <c r="AT247" s="41">
        <v>12950.28</v>
      </c>
      <c r="AU247" s="41">
        <f>(Table43[[#This Row],[Harga Jual Pcs MT
(-PPN)]]*Table43[[#This Row],[ISI/CTN]])</f>
        <v>310806.72000000003</v>
      </c>
      <c r="AV247" s="41">
        <f>Table43[[#This Row],[Harga Jual Pcs MT
(-PPN)]]*1.11</f>
        <v>14374.810800000001</v>
      </c>
      <c r="AW247" s="41">
        <f>Table43[[#This Row],[Harga Jual Pcs MT
(+PPN)]]*Table43[[#This Row],[ISI/CTN]]</f>
        <v>344995.45920000004</v>
      </c>
      <c r="AX247" s="41"/>
      <c r="AY247" s="46">
        <v>45553</v>
      </c>
      <c r="AZ247" s="54">
        <v>45553</v>
      </c>
      <c r="BA247" s="7" t="str">
        <f ca="1">IF(TODAY()-Table43[[#This Row],[Efektif
Pembuatan]]&gt;60,"Lama","Baru")</f>
        <v>Lama</v>
      </c>
      <c r="BB247" s="7" t="str">
        <f ca="1">IF(TODAY()-Table43[[#This Row],[Efektif Naik Harga]]&lt;30,"Naik","Sama")</f>
        <v>Sama</v>
      </c>
      <c r="BC247" s="7" t="s">
        <v>235</v>
      </c>
      <c r="BD247" s="7" t="str">
        <f>IF(Table43[[#This Row],[Kode BARANG Win2]]&lt;&gt;"","IDR","")</f>
        <v>IDR</v>
      </c>
      <c r="BE247" s="7" t="str">
        <f>CONCATENATE(Table43[[#This Row],[kode  1 Digit
(Nomor)]],Table43[[#This Row],[kode  4 Digit                (Nomor)]])</f>
        <v>20270</v>
      </c>
      <c r="BF247" s="7" t="str">
        <f>Table43[[#This Row],[Nama            Gramasi atau Jumlah Pack per CTN]]</f>
        <v>270 ML</v>
      </c>
      <c r="BG247" s="7" t="s">
        <v>653</v>
      </c>
      <c r="BH247" s="51" t="s">
        <v>654</v>
      </c>
      <c r="BI247" s="4" t="str">
        <f>IF(Table43[[#This Row],[SATUAN Fix Win]]&lt;&gt;"","KRT")</f>
        <v>KRT</v>
      </c>
      <c r="BJ247" s="4" t="str">
        <f>IF(Table43[[#This Row],[SATUAN Fix Win]]&lt;&gt;"","GD01")</f>
        <v>GD01</v>
      </c>
      <c r="BK247" s="4">
        <f>IF(Table43[[#This Row],[SATUAN Fix Win]]&lt;&gt;"",11611)</f>
        <v>11611</v>
      </c>
      <c r="BL247" s="4">
        <f>IF(Table43[[#This Row],[SATUAN Fix Win]]&lt;&gt;"",11612)</f>
        <v>11612</v>
      </c>
      <c r="BM247" s="47" t="s">
        <v>655</v>
      </c>
      <c r="BN247" s="4">
        <f>IF(Table43[[#This Row],[SATUAN Fix Win]]&lt;&gt;"",1)</f>
        <v>1</v>
      </c>
      <c r="BO247" s="4" t="s">
        <v>656</v>
      </c>
      <c r="BP247" s="4">
        <f>IFERROR(VLOOKUP(Table43[[#This Row],[Kode Pcpl]],'[1]HEINZ ABC'!$A$4:$E$112,8,0),0)</f>
        <v>0</v>
      </c>
      <c r="BQ247" s="55">
        <f>Table43[[#This Row],[Harga Jual Pcs GT
(-PPN)]]-Table43[[#This Row],[HARGA NAIK GT]]</f>
        <v>11990.99</v>
      </c>
      <c r="BR247" s="4">
        <f>IF(Table43[[#This Row],[HARGA NAIK GT]]=0,Table43[[#This Row],[Harga Jual Pcs GT
(-PPN)]],Table43[[#This Row],[HARGA NAIK GT]])</f>
        <v>11990.99</v>
      </c>
      <c r="BS247">
        <f>IFERROR(VLOOKUP(Table43[[#This Row],[Kode Pcpl]],'[1]HEINZ ABC'!$A$4:$E$112,8,0),0)</f>
        <v>0</v>
      </c>
      <c r="BT247" s="58">
        <f>Table43[[#This Row],[Harga Jual Pcs GT
(-PPN)]]-BS247</f>
        <v>11990.99</v>
      </c>
      <c r="BU247">
        <f>IF(BS247=0,Table43[[#This Row],[Harga Jual Pcs MT
(-PPN)]])</f>
        <v>12950.28</v>
      </c>
      <c r="BV247">
        <f>IFERROR(VLOOKUP(Table43[[#This Row],[Kode Pcpl]],[2]Pricelist!$A$4:$K$112,11,0),0)</f>
        <v>0</v>
      </c>
      <c r="BW247">
        <f>IFERROR(VLOOKUP(Table43[[#This Row],[Kode BARANG Win2]],[3]!RECKITT211216[[KDBRG]:[HRG_JL_PCS-PPN]],11,0),0)</f>
        <v>0</v>
      </c>
      <c r="BX247">
        <f t="shared" si="11"/>
        <v>0</v>
      </c>
    </row>
    <row r="248" spans="1:76" x14ac:dyDescent="0.25">
      <c r="A248" s="4" t="str">
        <f>CONCATENATE(Table43[[#This Row],[Kode BARANG Win2]],Table43[[#This Row],[No. Urut
Item Sama]])</f>
        <v>A11200080270102</v>
      </c>
      <c r="B248" s="7">
        <v>2</v>
      </c>
      <c r="C248" s="4">
        <v>218</v>
      </c>
      <c r="D248" s="27">
        <v>150235</v>
      </c>
      <c r="E248" s="27" t="s">
        <v>381</v>
      </c>
      <c r="F248" s="27" t="s">
        <v>423</v>
      </c>
      <c r="G248" s="27">
        <v>24</v>
      </c>
      <c r="H248" s="42" t="s">
        <v>2591</v>
      </c>
      <c r="I248" s="27" t="str">
        <f>Table43[[#This Row],[Nama Jenis Kemasan]]</f>
        <v>BTL</v>
      </c>
      <c r="J248" s="4" t="str">
        <f>TRIM(CONCATENATE(Table43[[#This Row],[Nama            KLP]]," ",Table43[[#This Row],[Nama            Sub KLP]]))</f>
        <v>SAMBAL</v>
      </c>
      <c r="K248" s="4" t="str">
        <f>CONCATENATE(Table43[[#This Row],[kode  2 Digit                (hrf+No)]],Table43[[#This Row],[kode  2 Digit                (Nomor)]],Table43[[#This Row],[kode  1 Digit                (Nomor)]])</f>
        <v>A1120</v>
      </c>
      <c r="L248" s="4" t="str">
        <f>IF(AG248="",CONCATENATE(Q248,S248,U248,W248,Y248,AA248,AC248,AE248,Table43[[#This Row],[Tanda Kode Revisi]]),CONCATENATE(Q248,S248,U248,W248,Y248,AA248,AC248,AG248))</f>
        <v>A1120008027010</v>
      </c>
      <c r="M248" s="11">
        <f t="shared" si="9"/>
        <v>14</v>
      </c>
      <c r="N248" s="14" t="str">
        <f>IF(AF248&lt;&gt;"",TRIM(UPPER(CONCATENATE(P248," ",R248," ",T248," ",V248," ",X248," ",Z248," ","X"," ",Table43[[#This Row],[ISI/CTN]]," ",AF248," ",AB248," ",AD248," ",AH248))),TRIM(UPPER(CONCATENATE(P248," ",R248," ",T248," ",V248," ",X248," ",Z248," ","X"," ",Table43[[#This Row],[ISI/CTN]]," ",AB248," ",AD248," ",AH248))))</f>
        <v>ABC SAMBAL EXTRA PEDAS 270 ML X 24 BTL</v>
      </c>
      <c r="O248" s="11">
        <f t="shared" si="10"/>
        <v>38</v>
      </c>
      <c r="P248" s="4" t="s">
        <v>28</v>
      </c>
      <c r="Q248" s="7" t="s">
        <v>85</v>
      </c>
      <c r="R248" s="4" t="s">
        <v>603</v>
      </c>
      <c r="S248" s="43">
        <v>12</v>
      </c>
      <c r="T248" s="44"/>
      <c r="U248" s="7">
        <v>0</v>
      </c>
      <c r="V248" s="44"/>
      <c r="W248" s="43" t="s">
        <v>1</v>
      </c>
      <c r="X248" s="4" t="s">
        <v>519</v>
      </c>
      <c r="Y248" s="45" t="s">
        <v>224</v>
      </c>
      <c r="Z248" s="4" t="s">
        <v>607</v>
      </c>
      <c r="AA248" s="45" t="s">
        <v>608</v>
      </c>
      <c r="AB248" s="4" t="s">
        <v>486</v>
      </c>
      <c r="AC248" s="7" t="s">
        <v>480</v>
      </c>
      <c r="AE248" s="7" t="s">
        <v>1</v>
      </c>
      <c r="AI248" s="7" t="s">
        <v>214</v>
      </c>
      <c r="AJ248" s="7">
        <v>2</v>
      </c>
      <c r="AL248" s="40">
        <f>Table43[[#This Row],[Harga Jual Pcs GT
(-PPN)]]-(Table43[[#This Row],[Harga Jual Pcs GT
(-PPN)]]*6%)</f>
        <v>11271.5306</v>
      </c>
      <c r="AM248" s="41">
        <f>Table43[[#This Row],[Harga Beli Pcs
(-PPN)]]*Table43[[#This Row],[ISI/CTN]]</f>
        <v>270516.73440000002</v>
      </c>
      <c r="AN248" s="41">
        <f>Table43[[#This Row],[Harga Beli Pcs
(-PPN)]]*1.11</f>
        <v>12511.398966000001</v>
      </c>
      <c r="AO248" s="41">
        <f>Table43[[#This Row],[Harga Beli Krt
(- PPN)]]*1.11</f>
        <v>300273.57518400002</v>
      </c>
      <c r="AP248" s="41">
        <v>11990.99</v>
      </c>
      <c r="AQ248" s="41">
        <f>Table43[[#This Row],[Harga Jual Pcs GT
(-PPN)]]*Table43[[#This Row],[ISI/CTN]]</f>
        <v>287783.76</v>
      </c>
      <c r="AR248" s="41">
        <f>Table43[[#This Row],[Harga Jual Pcs GT
(-PPN)]]*1.11</f>
        <v>13309.998900000001</v>
      </c>
      <c r="AS248" s="41">
        <f>Table43[[#This Row],[Harga Jual Krt GT
(- PPN)]]*1.11</f>
        <v>319439.97360000003</v>
      </c>
      <c r="AT248" s="41">
        <v>12950.28</v>
      </c>
      <c r="AU248" s="41">
        <f>(Table43[[#This Row],[Harga Jual Pcs MT
(-PPN)]]*Table43[[#This Row],[ISI/CTN]])</f>
        <v>310806.72000000003</v>
      </c>
      <c r="AV248" s="41">
        <f>Table43[[#This Row],[Harga Jual Pcs MT
(-PPN)]]*1.11</f>
        <v>14374.810800000001</v>
      </c>
      <c r="AW248" s="41">
        <f>Table43[[#This Row],[Harga Jual Pcs MT
(+PPN)]]*Table43[[#This Row],[ISI/CTN]]</f>
        <v>344995.45920000004</v>
      </c>
      <c r="AX248" s="41"/>
      <c r="AY248" s="46">
        <v>45553</v>
      </c>
      <c r="AZ248" s="54">
        <v>45553</v>
      </c>
      <c r="BA248" s="7" t="str">
        <f ca="1">IF(TODAY()-Table43[[#This Row],[Efektif
Pembuatan]]&gt;60,"Lama","Baru")</f>
        <v>Lama</v>
      </c>
      <c r="BB248" s="7" t="str">
        <f ca="1">IF(TODAY()-Table43[[#This Row],[Efektif Naik Harga]]&lt;30,"Naik","Sama")</f>
        <v>Sama</v>
      </c>
      <c r="BC248" s="7" t="s">
        <v>235</v>
      </c>
      <c r="BD248" s="7" t="str">
        <f>IF(Table43[[#This Row],[Kode BARANG Win2]]&lt;&gt;"","IDR","")</f>
        <v>IDR</v>
      </c>
      <c r="BE248" s="7" t="str">
        <f>CONCATENATE(Table43[[#This Row],[kode  1 Digit
(Nomor)]],Table43[[#This Row],[kode  4 Digit                (Nomor)]])</f>
        <v>20270</v>
      </c>
      <c r="BF248" s="7" t="str">
        <f>Table43[[#This Row],[Nama            Gramasi atau Jumlah Pack per CTN]]</f>
        <v>270 ML</v>
      </c>
      <c r="BG248" s="7" t="s">
        <v>653</v>
      </c>
      <c r="BH248" s="51" t="s">
        <v>654</v>
      </c>
      <c r="BI248" s="4" t="str">
        <f>IF(Table43[[#This Row],[SATUAN Fix Win]]&lt;&gt;"","KRT")</f>
        <v>KRT</v>
      </c>
      <c r="BJ248" s="4" t="str">
        <f>IF(Table43[[#This Row],[SATUAN Fix Win]]&lt;&gt;"","GD01")</f>
        <v>GD01</v>
      </c>
      <c r="BK248" s="4">
        <f>IF(Table43[[#This Row],[SATUAN Fix Win]]&lt;&gt;"",11611)</f>
        <v>11611</v>
      </c>
      <c r="BL248" s="4">
        <f>IF(Table43[[#This Row],[SATUAN Fix Win]]&lt;&gt;"",11612)</f>
        <v>11612</v>
      </c>
      <c r="BM248" s="47" t="s">
        <v>655</v>
      </c>
      <c r="BN248" s="4">
        <f>IF(Table43[[#This Row],[SATUAN Fix Win]]&lt;&gt;"",1)</f>
        <v>1</v>
      </c>
      <c r="BO248" s="4" t="s">
        <v>656</v>
      </c>
      <c r="BP248" s="4">
        <f>IFERROR(VLOOKUP(Table43[[#This Row],[Kode Pcpl]],'[1]HEINZ ABC'!$A$4:$E$112,8,0),0)</f>
        <v>0</v>
      </c>
      <c r="BQ248" s="55">
        <f>Table43[[#This Row],[Harga Jual Pcs GT
(-PPN)]]-Table43[[#This Row],[HARGA NAIK GT]]</f>
        <v>11990.99</v>
      </c>
      <c r="BR248" s="4">
        <f>IF(Table43[[#This Row],[HARGA NAIK GT]]=0,Table43[[#This Row],[Harga Jual Pcs GT
(-PPN)]],Table43[[#This Row],[HARGA NAIK GT]])</f>
        <v>11990.99</v>
      </c>
      <c r="BS248">
        <f>IFERROR(VLOOKUP(Table43[[#This Row],[Kode Pcpl]],'[1]HEINZ ABC'!$A$4:$E$112,8,0),0)</f>
        <v>0</v>
      </c>
      <c r="BT248" s="58">
        <f>Table43[[#This Row],[Harga Jual Pcs GT
(-PPN)]]-BS248</f>
        <v>11990.99</v>
      </c>
      <c r="BU248">
        <f>IF(BS248=0,Table43[[#This Row],[Harga Jual Pcs MT
(-PPN)]])</f>
        <v>12950.28</v>
      </c>
      <c r="BV248">
        <f>IFERROR(VLOOKUP(Table43[[#This Row],[Kode Pcpl]],[2]Pricelist!$A$4:$K$112,11,0),0)</f>
        <v>0</v>
      </c>
      <c r="BW248">
        <f>IFERROR(VLOOKUP(Table43[[#This Row],[Kode BARANG Win2]],[3]!RECKITT211216[[KDBRG]:[HRG_JL_PCS-PPN]],11,0),0)</f>
        <v>0</v>
      </c>
      <c r="BX248">
        <f t="shared" si="11"/>
        <v>0</v>
      </c>
    </row>
    <row r="249" spans="1:76" x14ac:dyDescent="0.25">
      <c r="A249" s="4" t="str">
        <f>CONCATENATE(Table43[[#This Row],[Kode BARANG Win2]],Table43[[#This Row],[No. Urut
Item Sama]])</f>
        <v>A11200080270103</v>
      </c>
      <c r="B249" s="7">
        <v>3</v>
      </c>
      <c r="C249" s="4">
        <v>219</v>
      </c>
      <c r="D249" s="27">
        <v>150350</v>
      </c>
      <c r="E249" s="27" t="s">
        <v>381</v>
      </c>
      <c r="F249" s="27" t="s">
        <v>424</v>
      </c>
      <c r="G249" s="27">
        <v>24</v>
      </c>
      <c r="H249" s="42" t="s">
        <v>2588</v>
      </c>
      <c r="I249" s="27" t="str">
        <f>Table43[[#This Row],[Nama Jenis Kemasan]]</f>
        <v>BTL</v>
      </c>
      <c r="J249" s="4" t="str">
        <f>TRIM(CONCATENATE(Table43[[#This Row],[Nama            KLP]]," ",Table43[[#This Row],[Nama            Sub KLP]]))</f>
        <v>SAMBAL</v>
      </c>
      <c r="K249" s="4" t="str">
        <f>CONCATENATE(Table43[[#This Row],[kode  2 Digit                (hrf+No)]],Table43[[#This Row],[kode  2 Digit                (Nomor)]],Table43[[#This Row],[kode  1 Digit                (Nomor)]])</f>
        <v>A1120</v>
      </c>
      <c r="L249" s="4" t="str">
        <f>IF(AG249="",CONCATENATE(Q249,S249,U249,W249,Y249,AA249,AC249,AE249,Table43[[#This Row],[Tanda Kode Revisi]]),CONCATENATE(Q249,S249,U249,W249,Y249,AA249,AC249,AG249))</f>
        <v>A1120008027010</v>
      </c>
      <c r="M249" s="11">
        <f t="shared" si="9"/>
        <v>14</v>
      </c>
      <c r="N249" s="14" t="str">
        <f>IF(AF249&lt;&gt;"",TRIM(UPPER(CONCATENATE(P249," ",R249," ",T249," ",V249," ",X249," ",Z249," ","X"," ",Table43[[#This Row],[ISI/CTN]]," ",AF249," ",AB249," ",AD249," ",AH249))),TRIM(UPPER(CONCATENATE(P249," ",R249," ",T249," ",V249," ",X249," ",Z249," ","X"," ",Table43[[#This Row],[ISI/CTN]]," ",AB249," ",AD249," ",AH249))))</f>
        <v>ABC SAMBAL EXTRA PEDAS 270 ML X 24 BTL</v>
      </c>
      <c r="O249" s="11">
        <f t="shared" si="10"/>
        <v>38</v>
      </c>
      <c r="P249" s="4" t="s">
        <v>28</v>
      </c>
      <c r="Q249" s="7" t="s">
        <v>85</v>
      </c>
      <c r="R249" s="4" t="s">
        <v>603</v>
      </c>
      <c r="S249" s="43">
        <v>12</v>
      </c>
      <c r="T249" s="44"/>
      <c r="U249" s="7">
        <v>0</v>
      </c>
      <c r="V249" s="44"/>
      <c r="W249" s="43" t="s">
        <v>1</v>
      </c>
      <c r="X249" s="4" t="s">
        <v>519</v>
      </c>
      <c r="Y249" s="45" t="s">
        <v>224</v>
      </c>
      <c r="Z249" s="4" t="s">
        <v>607</v>
      </c>
      <c r="AA249" s="45" t="s">
        <v>608</v>
      </c>
      <c r="AB249" s="4" t="s">
        <v>486</v>
      </c>
      <c r="AC249" s="7" t="s">
        <v>480</v>
      </c>
      <c r="AE249" s="7" t="s">
        <v>1</v>
      </c>
      <c r="AI249" s="7" t="s">
        <v>214</v>
      </c>
      <c r="AJ249" s="7">
        <v>2</v>
      </c>
      <c r="AL249" s="40">
        <f>Table43[[#This Row],[Harga Jual Pcs GT
(-PPN)]]-(Table43[[#This Row],[Harga Jual Pcs GT
(-PPN)]]*6%)</f>
        <v>11271.5306</v>
      </c>
      <c r="AM249" s="41">
        <f>Table43[[#This Row],[Harga Beli Pcs
(-PPN)]]*Table43[[#This Row],[ISI/CTN]]</f>
        <v>270516.73440000002</v>
      </c>
      <c r="AN249" s="41">
        <f>Table43[[#This Row],[Harga Beli Pcs
(-PPN)]]*1.11</f>
        <v>12511.398966000001</v>
      </c>
      <c r="AO249" s="41">
        <f>Table43[[#This Row],[Harga Beli Krt
(- PPN)]]*1.11</f>
        <v>300273.57518400002</v>
      </c>
      <c r="AP249" s="41">
        <v>11990.99</v>
      </c>
      <c r="AQ249" s="41">
        <f>Table43[[#This Row],[Harga Jual Pcs GT
(-PPN)]]*Table43[[#This Row],[ISI/CTN]]</f>
        <v>287783.76</v>
      </c>
      <c r="AR249" s="41">
        <f>Table43[[#This Row],[Harga Jual Pcs GT
(-PPN)]]*1.11</f>
        <v>13309.998900000001</v>
      </c>
      <c r="AS249" s="41">
        <f>Table43[[#This Row],[Harga Jual Krt GT
(- PPN)]]*1.11</f>
        <v>319439.97360000003</v>
      </c>
      <c r="AT249" s="41">
        <v>12950.28</v>
      </c>
      <c r="AU249" s="41">
        <f>(Table43[[#This Row],[Harga Jual Pcs MT
(-PPN)]]*Table43[[#This Row],[ISI/CTN]])</f>
        <v>310806.72000000003</v>
      </c>
      <c r="AV249" s="41">
        <f>Table43[[#This Row],[Harga Jual Pcs MT
(-PPN)]]*1.11</f>
        <v>14374.810800000001</v>
      </c>
      <c r="AW249" s="41">
        <f>Table43[[#This Row],[Harga Jual Pcs MT
(+PPN)]]*Table43[[#This Row],[ISI/CTN]]</f>
        <v>344995.45920000004</v>
      </c>
      <c r="AX249" s="41"/>
      <c r="AY249" s="46">
        <v>45553</v>
      </c>
      <c r="AZ249" s="54">
        <v>45553</v>
      </c>
      <c r="BA249" s="7" t="str">
        <f ca="1">IF(TODAY()-Table43[[#This Row],[Efektif
Pembuatan]]&gt;60,"Lama","Baru")</f>
        <v>Lama</v>
      </c>
      <c r="BB249" s="7" t="str">
        <f ca="1">IF(TODAY()-Table43[[#This Row],[Efektif Naik Harga]]&lt;30,"Naik","Sama")</f>
        <v>Sama</v>
      </c>
      <c r="BC249" s="7" t="s">
        <v>235</v>
      </c>
      <c r="BD249" s="7" t="str">
        <f>IF(Table43[[#This Row],[Kode BARANG Win2]]&lt;&gt;"","IDR","")</f>
        <v>IDR</v>
      </c>
      <c r="BE249" s="7" t="str">
        <f>CONCATENATE(Table43[[#This Row],[kode  1 Digit
(Nomor)]],Table43[[#This Row],[kode  4 Digit                (Nomor)]])</f>
        <v>20270</v>
      </c>
      <c r="BF249" s="7" t="str">
        <f>Table43[[#This Row],[Nama            Gramasi atau Jumlah Pack per CTN]]</f>
        <v>270 ML</v>
      </c>
      <c r="BG249" s="7" t="s">
        <v>653</v>
      </c>
      <c r="BH249" s="51" t="s">
        <v>654</v>
      </c>
      <c r="BI249" s="4" t="str">
        <f>IF(Table43[[#This Row],[SATUAN Fix Win]]&lt;&gt;"","KRT")</f>
        <v>KRT</v>
      </c>
      <c r="BJ249" s="4" t="str">
        <f>IF(Table43[[#This Row],[SATUAN Fix Win]]&lt;&gt;"","GD01")</f>
        <v>GD01</v>
      </c>
      <c r="BK249" s="4">
        <f>IF(Table43[[#This Row],[SATUAN Fix Win]]&lt;&gt;"",11611)</f>
        <v>11611</v>
      </c>
      <c r="BL249" s="4">
        <f>IF(Table43[[#This Row],[SATUAN Fix Win]]&lt;&gt;"",11612)</f>
        <v>11612</v>
      </c>
      <c r="BM249" s="47" t="s">
        <v>655</v>
      </c>
      <c r="BN249" s="4">
        <f>IF(Table43[[#This Row],[SATUAN Fix Win]]&lt;&gt;"",1)</f>
        <v>1</v>
      </c>
      <c r="BO249" s="4" t="s">
        <v>656</v>
      </c>
      <c r="BP249" s="4">
        <f>IFERROR(VLOOKUP(Table43[[#This Row],[Kode Pcpl]],'[1]HEINZ ABC'!$A$4:$E$112,8,0),0)</f>
        <v>0</v>
      </c>
      <c r="BQ249" s="55">
        <f>Table43[[#This Row],[Harga Jual Pcs GT
(-PPN)]]-Table43[[#This Row],[HARGA NAIK GT]]</f>
        <v>11990.99</v>
      </c>
      <c r="BR249" s="4">
        <f>IF(Table43[[#This Row],[HARGA NAIK GT]]=0,Table43[[#This Row],[Harga Jual Pcs GT
(-PPN)]],Table43[[#This Row],[HARGA NAIK GT]])</f>
        <v>11990.99</v>
      </c>
      <c r="BS249">
        <f>IFERROR(VLOOKUP(Table43[[#This Row],[Kode Pcpl]],'[1]HEINZ ABC'!$A$4:$E$112,8,0),0)</f>
        <v>0</v>
      </c>
      <c r="BT249" s="58">
        <f>Table43[[#This Row],[Harga Jual Pcs GT
(-PPN)]]-BS249</f>
        <v>11990.99</v>
      </c>
      <c r="BU249">
        <f>IF(BS249=0,Table43[[#This Row],[Harga Jual Pcs MT
(-PPN)]])</f>
        <v>12950.28</v>
      </c>
      <c r="BV249">
        <f>IFERROR(VLOOKUP(Table43[[#This Row],[Kode Pcpl]],[2]Pricelist!$A$4:$K$112,11,0),0)</f>
        <v>0</v>
      </c>
      <c r="BW249">
        <f>IFERROR(VLOOKUP(Table43[[#This Row],[Kode BARANG Win2]],[3]!RECKITT211216[[KDBRG]:[HRG_JL_PCS-PPN]],11,0),0)</f>
        <v>0</v>
      </c>
      <c r="BX249">
        <f t="shared" si="11"/>
        <v>0</v>
      </c>
    </row>
    <row r="250" spans="1:76" x14ac:dyDescent="0.25">
      <c r="A250" s="4" t="str">
        <f>CONCATENATE(Table43[[#This Row],[Kode BARANG Win2]],Table43[[#This Row],[No. Urut
Item Sama]])</f>
        <v>A11200080270104</v>
      </c>
      <c r="B250" s="7">
        <v>4</v>
      </c>
      <c r="C250" s="4">
        <v>220</v>
      </c>
      <c r="D250" s="27">
        <v>150343</v>
      </c>
      <c r="E250" s="27" t="s">
        <v>381</v>
      </c>
      <c r="F250" s="27" t="s">
        <v>424</v>
      </c>
      <c r="G250" s="27">
        <v>24</v>
      </c>
      <c r="H250" s="42" t="s">
        <v>2472</v>
      </c>
      <c r="I250" s="27" t="str">
        <f>Table43[[#This Row],[Nama Jenis Kemasan]]</f>
        <v>BTL</v>
      </c>
      <c r="J250" s="4" t="str">
        <f>TRIM(CONCATENATE(Table43[[#This Row],[Nama            KLP]]," ",Table43[[#This Row],[Nama            Sub KLP]]))</f>
        <v>SAMBAL</v>
      </c>
      <c r="K250" s="4" t="str">
        <f>CONCATENATE(Table43[[#This Row],[kode  2 Digit                (hrf+No)]],Table43[[#This Row],[kode  2 Digit                (Nomor)]],Table43[[#This Row],[kode  1 Digit                (Nomor)]])</f>
        <v>A1120</v>
      </c>
      <c r="L250" s="4" t="str">
        <f>IF(AG250="",CONCATENATE(Q250,S250,U250,W250,Y250,AA250,AC250,AE250,Table43[[#This Row],[Tanda Kode Revisi]]),CONCATENATE(Q250,S250,U250,W250,Y250,AA250,AC250,AG250))</f>
        <v>A1120008027010</v>
      </c>
      <c r="M250" s="11">
        <f t="shared" si="9"/>
        <v>14</v>
      </c>
      <c r="N250" s="14" t="str">
        <f>IF(AF250&lt;&gt;"",TRIM(UPPER(CONCATENATE(P250," ",R250," ",T250," ",V250," ",X250," ",Z250," ","X"," ",Table43[[#This Row],[ISI/CTN]]," ",AF250," ",AB250," ",AD250," ",AH250))),TRIM(UPPER(CONCATENATE(P250," ",R250," ",T250," ",V250," ",X250," ",Z250," ","X"," ",Table43[[#This Row],[ISI/CTN]]," ",AB250," ",AD250," ",AH250))))</f>
        <v>ABC SAMBAL EXTRA PEDAS 270 ML X 24 BTL</v>
      </c>
      <c r="O250" s="11">
        <f t="shared" si="10"/>
        <v>38</v>
      </c>
      <c r="P250" s="4" t="s">
        <v>28</v>
      </c>
      <c r="Q250" s="7" t="s">
        <v>85</v>
      </c>
      <c r="R250" s="4" t="s">
        <v>603</v>
      </c>
      <c r="S250" s="43">
        <v>12</v>
      </c>
      <c r="T250" s="44"/>
      <c r="U250" s="7">
        <v>0</v>
      </c>
      <c r="V250" s="44"/>
      <c r="W250" s="43" t="s">
        <v>1</v>
      </c>
      <c r="X250" s="4" t="s">
        <v>519</v>
      </c>
      <c r="Y250" s="45" t="s">
        <v>224</v>
      </c>
      <c r="Z250" s="4" t="s">
        <v>607</v>
      </c>
      <c r="AA250" s="45" t="s">
        <v>608</v>
      </c>
      <c r="AB250" s="4" t="s">
        <v>486</v>
      </c>
      <c r="AC250" s="7" t="s">
        <v>480</v>
      </c>
      <c r="AE250" s="7" t="s">
        <v>1</v>
      </c>
      <c r="AI250" s="7" t="s">
        <v>214</v>
      </c>
      <c r="AJ250" s="7">
        <v>2</v>
      </c>
      <c r="AL250" s="40">
        <f>Table43[[#This Row],[Harga Jual Pcs GT
(-PPN)]]-(Table43[[#This Row],[Harga Jual Pcs GT
(-PPN)]]*6%)</f>
        <v>11271.5306</v>
      </c>
      <c r="AM250" s="41">
        <f>Table43[[#This Row],[Harga Beli Pcs
(-PPN)]]*Table43[[#This Row],[ISI/CTN]]</f>
        <v>270516.73440000002</v>
      </c>
      <c r="AN250" s="41">
        <f>Table43[[#This Row],[Harga Beli Pcs
(-PPN)]]*1.11</f>
        <v>12511.398966000001</v>
      </c>
      <c r="AO250" s="41">
        <f>Table43[[#This Row],[Harga Beli Krt
(- PPN)]]*1.11</f>
        <v>300273.57518400002</v>
      </c>
      <c r="AP250" s="41">
        <v>11990.99</v>
      </c>
      <c r="AQ250" s="41">
        <f>Table43[[#This Row],[Harga Jual Pcs GT
(-PPN)]]*Table43[[#This Row],[ISI/CTN]]</f>
        <v>287783.76</v>
      </c>
      <c r="AR250" s="41">
        <f>Table43[[#This Row],[Harga Jual Pcs GT
(-PPN)]]*1.11</f>
        <v>13309.998900000001</v>
      </c>
      <c r="AS250" s="41">
        <f>Table43[[#This Row],[Harga Jual Krt GT
(- PPN)]]*1.11</f>
        <v>319439.97360000003</v>
      </c>
      <c r="AT250" s="41">
        <v>12950.28</v>
      </c>
      <c r="AU250" s="41">
        <f>(Table43[[#This Row],[Harga Jual Pcs MT
(-PPN)]]*Table43[[#This Row],[ISI/CTN]])</f>
        <v>310806.72000000003</v>
      </c>
      <c r="AV250" s="41">
        <f>Table43[[#This Row],[Harga Jual Pcs MT
(-PPN)]]*1.11</f>
        <v>14374.810800000001</v>
      </c>
      <c r="AW250" s="41">
        <f>Table43[[#This Row],[Harga Jual Pcs MT
(+PPN)]]*Table43[[#This Row],[ISI/CTN]]</f>
        <v>344995.45920000004</v>
      </c>
      <c r="AX250" s="41"/>
      <c r="AY250" s="46"/>
      <c r="AZ250" s="54">
        <v>45553</v>
      </c>
      <c r="BA250" s="7" t="str">
        <f ca="1">IF(TODAY()-Table43[[#This Row],[Efektif
Pembuatan]]&gt;60,"Lama","Baru")</f>
        <v>Lama</v>
      </c>
      <c r="BB250" s="7" t="str">
        <f ca="1">IF(TODAY()-Table43[[#This Row],[Efektif Naik Harga]]&lt;30,"Naik","Sama")</f>
        <v>Sama</v>
      </c>
      <c r="BC250" s="7" t="s">
        <v>235</v>
      </c>
      <c r="BD250" s="7" t="str">
        <f>IF(Table43[[#This Row],[Kode BARANG Win2]]&lt;&gt;"","IDR","")</f>
        <v>IDR</v>
      </c>
      <c r="BE250" s="7" t="str">
        <f>CONCATENATE(Table43[[#This Row],[kode  1 Digit
(Nomor)]],Table43[[#This Row],[kode  4 Digit                (Nomor)]])</f>
        <v>20270</v>
      </c>
      <c r="BF250" s="7" t="str">
        <f>Table43[[#This Row],[Nama            Gramasi atau Jumlah Pack per CTN]]</f>
        <v>270 ML</v>
      </c>
      <c r="BG250" s="7" t="s">
        <v>653</v>
      </c>
      <c r="BH250" s="51" t="s">
        <v>654</v>
      </c>
      <c r="BI250" s="4" t="str">
        <f>IF(Table43[[#This Row],[SATUAN Fix Win]]&lt;&gt;"","KRT")</f>
        <v>KRT</v>
      </c>
      <c r="BJ250" s="4" t="str">
        <f>IF(Table43[[#This Row],[SATUAN Fix Win]]&lt;&gt;"","GD01")</f>
        <v>GD01</v>
      </c>
      <c r="BK250" s="4">
        <f>IF(Table43[[#This Row],[SATUAN Fix Win]]&lt;&gt;"",11611)</f>
        <v>11611</v>
      </c>
      <c r="BL250" s="4">
        <f>IF(Table43[[#This Row],[SATUAN Fix Win]]&lt;&gt;"",11612)</f>
        <v>11612</v>
      </c>
      <c r="BM250" s="47" t="s">
        <v>655</v>
      </c>
      <c r="BN250" s="4">
        <f>IF(Table43[[#This Row],[SATUAN Fix Win]]&lt;&gt;"",1)</f>
        <v>1</v>
      </c>
      <c r="BO250" s="4" t="s">
        <v>656</v>
      </c>
      <c r="BP250" s="4">
        <f>IFERROR(VLOOKUP(Table43[[#This Row],[Kode Pcpl]],'[1]HEINZ ABC'!$A$4:$E$112,8,0),0)</f>
        <v>0</v>
      </c>
      <c r="BQ250" s="55">
        <f>Table43[[#This Row],[Harga Jual Pcs GT
(-PPN)]]-Table43[[#This Row],[HARGA NAIK GT]]</f>
        <v>11990.99</v>
      </c>
      <c r="BR250" s="4">
        <f>IF(Table43[[#This Row],[HARGA NAIK GT]]=0,Table43[[#This Row],[Harga Jual Pcs GT
(-PPN)]],Table43[[#This Row],[HARGA NAIK GT]])</f>
        <v>11990.99</v>
      </c>
      <c r="BS250">
        <f>IFERROR(VLOOKUP(Table43[[#This Row],[Kode Pcpl]],'[1]HEINZ ABC'!$A$4:$E$112,8,0),0)</f>
        <v>0</v>
      </c>
      <c r="BT250" s="58">
        <f>Table43[[#This Row],[Harga Jual Pcs GT
(-PPN)]]-BS250</f>
        <v>11990.99</v>
      </c>
      <c r="BU250">
        <f>IF(BS250=0,Table43[[#This Row],[Harga Jual Pcs MT
(-PPN)]])</f>
        <v>12950.28</v>
      </c>
      <c r="BV250">
        <f>IFERROR(VLOOKUP(Table43[[#This Row],[Kode Pcpl]],[2]Pricelist!$A$4:$K$112,11,0),0)</f>
        <v>0</v>
      </c>
      <c r="BW250">
        <f>IFERROR(VLOOKUP(Table43[[#This Row],[Kode BARANG Win2]],[3]!RECKITT211216[[KDBRG]:[HRG_JL_PCS-PPN]],11,0),0)</f>
        <v>0</v>
      </c>
      <c r="BX250">
        <f t="shared" si="11"/>
        <v>0</v>
      </c>
    </row>
    <row r="251" spans="1:76" x14ac:dyDescent="0.25">
      <c r="A251" s="4" t="str">
        <f>CONCATENATE(Table43[[#This Row],[Kode BARANG Win2]],Table43[[#This Row],[No. Urut
Item Sama]])</f>
        <v>A11200080335101</v>
      </c>
      <c r="B251" s="7">
        <v>1</v>
      </c>
      <c r="C251" s="4">
        <v>221</v>
      </c>
      <c r="D251" s="27">
        <v>150081</v>
      </c>
      <c r="E251" s="27" t="s">
        <v>381</v>
      </c>
      <c r="F251" s="27" t="s">
        <v>425</v>
      </c>
      <c r="G251" s="27">
        <v>24</v>
      </c>
      <c r="H251" s="42" t="s">
        <v>2615</v>
      </c>
      <c r="I251" s="27" t="str">
        <f>Table43[[#This Row],[Nama Jenis Kemasan]]</f>
        <v>BTL</v>
      </c>
      <c r="J251" s="4" t="str">
        <f>TRIM(CONCATENATE(Table43[[#This Row],[Nama            KLP]]," ",Table43[[#This Row],[Nama            Sub KLP]]))</f>
        <v>SAMBAL</v>
      </c>
      <c r="K251" s="4" t="str">
        <f>CONCATENATE(Table43[[#This Row],[kode  2 Digit                (hrf+No)]],Table43[[#This Row],[kode  2 Digit                (Nomor)]],Table43[[#This Row],[kode  1 Digit                (Nomor)]])</f>
        <v>A1120</v>
      </c>
      <c r="L251" s="4" t="str">
        <f>IF(AG251="",CONCATENATE(Q251,S251,U251,W251,Y251,AA251,AC251,AE251,Table43[[#This Row],[Tanda Kode Revisi]]),CONCATENATE(Q251,S251,U251,W251,Y251,AA251,AC251,AG251))</f>
        <v>A1120008033510</v>
      </c>
      <c r="M251" s="11">
        <f t="shared" si="9"/>
        <v>14</v>
      </c>
      <c r="N251" s="14" t="str">
        <f>IF(AF251&lt;&gt;"",TRIM(UPPER(CONCATENATE(P251," ",R251," ",T251," ",V251," ",X251," ",Z251," ","X"," ",Table43[[#This Row],[ISI/CTN]]," ",AF251," ",AB251," ",AD251," ",AH251))),TRIM(UPPER(CONCATENATE(P251," ",R251," ",T251," ",V251," ",X251," ",Z251," ","X"," ",Table43[[#This Row],[ISI/CTN]]," ",AB251," ",AD251," ",AH251))))</f>
        <v>ABC SAMBAL EXTRA PEDAS 335 ML X 24 BTL</v>
      </c>
      <c r="O251" s="11">
        <f t="shared" si="10"/>
        <v>38</v>
      </c>
      <c r="P251" s="4" t="s">
        <v>28</v>
      </c>
      <c r="Q251" s="7" t="s">
        <v>85</v>
      </c>
      <c r="R251" s="4" t="s">
        <v>603</v>
      </c>
      <c r="S251" s="43">
        <v>12</v>
      </c>
      <c r="T251" s="44"/>
      <c r="U251" s="7">
        <v>0</v>
      </c>
      <c r="V251" s="44"/>
      <c r="W251" s="43" t="s">
        <v>1</v>
      </c>
      <c r="X251" s="4" t="s">
        <v>519</v>
      </c>
      <c r="Y251" s="45" t="s">
        <v>224</v>
      </c>
      <c r="Z251" s="4" t="s">
        <v>592</v>
      </c>
      <c r="AA251" s="45" t="s">
        <v>593</v>
      </c>
      <c r="AB251" s="4" t="s">
        <v>486</v>
      </c>
      <c r="AC251" s="7" t="s">
        <v>480</v>
      </c>
      <c r="AE251" s="7" t="s">
        <v>1</v>
      </c>
      <c r="AI251" s="7" t="s">
        <v>214</v>
      </c>
      <c r="AJ251" s="7">
        <v>2</v>
      </c>
      <c r="AL251" s="40">
        <f>Table43[[#This Row],[Harga Jual Pcs GT
(-PPN)]]-(Table43[[#This Row],[Harga Jual Pcs GT
(-PPN)]]*6%)</f>
        <v>14023.784799999999</v>
      </c>
      <c r="AM251" s="41">
        <f>Table43[[#This Row],[Harga Beli Pcs
(-PPN)]]*Table43[[#This Row],[ISI/CTN]]</f>
        <v>336570.83519999997</v>
      </c>
      <c r="AN251" s="41">
        <f>Table43[[#This Row],[Harga Beli Pcs
(-PPN)]]*1.11</f>
        <v>15566.401128000001</v>
      </c>
      <c r="AO251" s="41">
        <f>Table43[[#This Row],[Harga Beli Krt
(- PPN)]]*1.11</f>
        <v>373593.627072</v>
      </c>
      <c r="AP251" s="41">
        <v>14918.92</v>
      </c>
      <c r="AQ251" s="41">
        <f>Table43[[#This Row],[Harga Jual Pcs GT
(-PPN)]]*Table43[[#This Row],[ISI/CTN]]</f>
        <v>358054.08</v>
      </c>
      <c r="AR251" s="41">
        <f>Table43[[#This Row],[Harga Jual Pcs GT
(-PPN)]]*1.11</f>
        <v>16560.001200000002</v>
      </c>
      <c r="AS251" s="41">
        <f>Table43[[#This Row],[Harga Jual Krt GT
(- PPN)]]*1.11</f>
        <v>397440.02880000003</v>
      </c>
      <c r="AT251" s="41">
        <v>16112.43</v>
      </c>
      <c r="AU251" s="41">
        <f>(Table43[[#This Row],[Harga Jual Pcs MT
(-PPN)]]*Table43[[#This Row],[ISI/CTN]])</f>
        <v>386698.32</v>
      </c>
      <c r="AV251" s="41">
        <f>Table43[[#This Row],[Harga Jual Pcs MT
(-PPN)]]*1.11</f>
        <v>17884.797300000002</v>
      </c>
      <c r="AW251" s="41">
        <f>Table43[[#This Row],[Harga Jual Pcs MT
(+PPN)]]*Table43[[#This Row],[ISI/CTN]]</f>
        <v>429235.13520000002</v>
      </c>
      <c r="AX251" s="41"/>
      <c r="AY251" s="46">
        <v>45553</v>
      </c>
      <c r="AZ251" s="54">
        <v>45553</v>
      </c>
      <c r="BA251" s="7" t="str">
        <f ca="1">IF(TODAY()-Table43[[#This Row],[Efektif
Pembuatan]]&gt;60,"Lama","Baru")</f>
        <v>Lama</v>
      </c>
      <c r="BB251" s="7" t="str">
        <f ca="1">IF(TODAY()-Table43[[#This Row],[Efektif Naik Harga]]&lt;30,"Naik","Sama")</f>
        <v>Sama</v>
      </c>
      <c r="BC251" s="7" t="s">
        <v>235</v>
      </c>
      <c r="BD251" s="7" t="str">
        <f>IF(Table43[[#This Row],[Kode BARANG Win2]]&lt;&gt;"","IDR","")</f>
        <v>IDR</v>
      </c>
      <c r="BE251" s="7" t="str">
        <f>CONCATENATE(Table43[[#This Row],[kode  1 Digit
(Nomor)]],Table43[[#This Row],[kode  4 Digit                (Nomor)]])</f>
        <v>20335</v>
      </c>
      <c r="BF251" s="7" t="str">
        <f>Table43[[#This Row],[Nama            Gramasi atau Jumlah Pack per CTN]]</f>
        <v>335 ML</v>
      </c>
      <c r="BG251" s="7" t="s">
        <v>653</v>
      </c>
      <c r="BH251" s="51" t="s">
        <v>654</v>
      </c>
      <c r="BI251" s="4" t="str">
        <f>IF(Table43[[#This Row],[SATUAN Fix Win]]&lt;&gt;"","KRT")</f>
        <v>KRT</v>
      </c>
      <c r="BJ251" s="4" t="str">
        <f>IF(Table43[[#This Row],[SATUAN Fix Win]]&lt;&gt;"","GD01")</f>
        <v>GD01</v>
      </c>
      <c r="BK251" s="4">
        <f>IF(Table43[[#This Row],[SATUAN Fix Win]]&lt;&gt;"",11611)</f>
        <v>11611</v>
      </c>
      <c r="BL251" s="4">
        <f>IF(Table43[[#This Row],[SATUAN Fix Win]]&lt;&gt;"",11612)</f>
        <v>11612</v>
      </c>
      <c r="BM251" s="47" t="s">
        <v>655</v>
      </c>
      <c r="BN251" s="4">
        <f>IF(Table43[[#This Row],[SATUAN Fix Win]]&lt;&gt;"",1)</f>
        <v>1</v>
      </c>
      <c r="BO251" s="4" t="s">
        <v>656</v>
      </c>
      <c r="BP251" s="4">
        <f>IFERROR(VLOOKUP(Table43[[#This Row],[Kode Pcpl]],'[1]HEINZ ABC'!$A$4:$E$112,8,0),0)</f>
        <v>0</v>
      </c>
      <c r="BQ251" s="55">
        <f>Table43[[#This Row],[Harga Jual Pcs GT
(-PPN)]]-Table43[[#This Row],[HARGA NAIK GT]]</f>
        <v>14918.92</v>
      </c>
      <c r="BR251" s="4">
        <f>IF(Table43[[#This Row],[HARGA NAIK GT]]=0,Table43[[#This Row],[Harga Jual Pcs GT
(-PPN)]],Table43[[#This Row],[HARGA NAIK GT]])</f>
        <v>14918.92</v>
      </c>
      <c r="BS251">
        <f>IFERROR(VLOOKUP(Table43[[#This Row],[Kode Pcpl]],'[1]HEINZ ABC'!$A$4:$E$112,8,0),0)</f>
        <v>0</v>
      </c>
      <c r="BT251" s="58">
        <f>Table43[[#This Row],[Harga Jual Pcs GT
(-PPN)]]-BS251</f>
        <v>14918.92</v>
      </c>
      <c r="BU251">
        <f>IF(BS251=0,Table43[[#This Row],[Harga Jual Pcs MT
(-PPN)]])</f>
        <v>16112.43</v>
      </c>
      <c r="BV251">
        <f>IFERROR(VLOOKUP(Table43[[#This Row],[Kode Pcpl]],[2]Pricelist!$A$4:$K$112,11,0),0)</f>
        <v>0</v>
      </c>
      <c r="BW251">
        <f>IFERROR(VLOOKUP(Table43[[#This Row],[Kode BARANG Win2]],[3]!RECKITT211216[[KDBRG]:[HRG_JL_PCS-PPN]],11,0),0)</f>
        <v>0</v>
      </c>
      <c r="BX251">
        <f t="shared" si="11"/>
        <v>0</v>
      </c>
    </row>
    <row r="252" spans="1:76" x14ac:dyDescent="0.25">
      <c r="A252" s="4" t="str">
        <f>CONCATENATE(Table43[[#This Row],[Kode BARANG Win2]],Table43[[#This Row],[No. Urut
Item Sama]])</f>
        <v>A11200080335102</v>
      </c>
      <c r="B252" s="7">
        <v>2</v>
      </c>
      <c r="C252" s="4">
        <v>222</v>
      </c>
      <c r="D252" s="27">
        <v>150172</v>
      </c>
      <c r="E252" s="27" t="s">
        <v>381</v>
      </c>
      <c r="F252" s="27" t="s">
        <v>426</v>
      </c>
      <c r="G252" s="27">
        <v>24</v>
      </c>
      <c r="H252" s="42" t="s">
        <v>2580</v>
      </c>
      <c r="I252" s="27" t="str">
        <f>Table43[[#This Row],[Nama Jenis Kemasan]]</f>
        <v>BTL</v>
      </c>
      <c r="J252" s="4" t="str">
        <f>TRIM(CONCATENATE(Table43[[#This Row],[Nama            KLP]]," ",Table43[[#This Row],[Nama            Sub KLP]]))</f>
        <v>SAMBAL</v>
      </c>
      <c r="K252" s="4" t="str">
        <f>CONCATENATE(Table43[[#This Row],[kode  2 Digit                (hrf+No)]],Table43[[#This Row],[kode  2 Digit                (Nomor)]],Table43[[#This Row],[kode  1 Digit                (Nomor)]])</f>
        <v>A1120</v>
      </c>
      <c r="L252" s="4" t="str">
        <f>IF(AG252="",CONCATENATE(Q252,S252,U252,W252,Y252,AA252,AC252,AE252,Table43[[#This Row],[Tanda Kode Revisi]]),CONCATENATE(Q252,S252,U252,W252,Y252,AA252,AC252,AG252))</f>
        <v>A1120008033510</v>
      </c>
      <c r="M252" s="11">
        <f t="shared" si="9"/>
        <v>14</v>
      </c>
      <c r="N252" s="14" t="str">
        <f>IF(AF252&lt;&gt;"",TRIM(UPPER(CONCATENATE(P252," ",R252," ",T252," ",V252," ",X252," ",Z252," ","X"," ",Table43[[#This Row],[ISI/CTN]]," ",AF252," ",AB252," ",AD252," ",AH252))),TRIM(UPPER(CONCATENATE(P252," ",R252," ",T252," ",V252," ",X252," ",Z252," ","X"," ",Table43[[#This Row],[ISI/CTN]]," ",AB252," ",AD252," ",AH252))))</f>
        <v>ABC SAMBAL EXTRA PEDAS 335 ML X 24 BTL</v>
      </c>
      <c r="O252" s="11">
        <f t="shared" si="10"/>
        <v>38</v>
      </c>
      <c r="P252" s="4" t="s">
        <v>28</v>
      </c>
      <c r="Q252" s="7" t="s">
        <v>85</v>
      </c>
      <c r="R252" s="4" t="s">
        <v>603</v>
      </c>
      <c r="S252" s="43">
        <v>12</v>
      </c>
      <c r="T252" s="44"/>
      <c r="U252" s="7">
        <v>0</v>
      </c>
      <c r="V252" s="44"/>
      <c r="W252" s="43" t="s">
        <v>1</v>
      </c>
      <c r="X252" s="4" t="s">
        <v>519</v>
      </c>
      <c r="Y252" s="45" t="s">
        <v>224</v>
      </c>
      <c r="Z252" s="4" t="s">
        <v>592</v>
      </c>
      <c r="AA252" s="45" t="s">
        <v>593</v>
      </c>
      <c r="AB252" s="4" t="s">
        <v>486</v>
      </c>
      <c r="AC252" s="7" t="s">
        <v>480</v>
      </c>
      <c r="AE252" s="7" t="s">
        <v>1</v>
      </c>
      <c r="AI252" s="7" t="s">
        <v>214</v>
      </c>
      <c r="AJ252" s="7">
        <v>2</v>
      </c>
      <c r="AL252" s="40">
        <f>Table43[[#This Row],[Harga Jual Pcs GT
(-PPN)]]-(Table43[[#This Row],[Harga Jual Pcs GT
(-PPN)]]*6%)</f>
        <v>14023.784799999999</v>
      </c>
      <c r="AM252" s="41">
        <f>Table43[[#This Row],[Harga Beli Pcs
(-PPN)]]*Table43[[#This Row],[ISI/CTN]]</f>
        <v>336570.83519999997</v>
      </c>
      <c r="AN252" s="41">
        <f>Table43[[#This Row],[Harga Beli Pcs
(-PPN)]]*1.11</f>
        <v>15566.401128000001</v>
      </c>
      <c r="AO252" s="41">
        <f>Table43[[#This Row],[Harga Beli Krt
(- PPN)]]*1.11</f>
        <v>373593.627072</v>
      </c>
      <c r="AP252" s="41">
        <v>14918.92</v>
      </c>
      <c r="AQ252" s="41">
        <f>Table43[[#This Row],[Harga Jual Pcs GT
(-PPN)]]*Table43[[#This Row],[ISI/CTN]]</f>
        <v>358054.08</v>
      </c>
      <c r="AR252" s="41">
        <f>Table43[[#This Row],[Harga Jual Pcs GT
(-PPN)]]*1.11</f>
        <v>16560.001200000002</v>
      </c>
      <c r="AS252" s="41">
        <f>Table43[[#This Row],[Harga Jual Krt GT
(- PPN)]]*1.11</f>
        <v>397440.02880000003</v>
      </c>
      <c r="AT252" s="41">
        <v>16112.43</v>
      </c>
      <c r="AU252" s="41">
        <f>(Table43[[#This Row],[Harga Jual Pcs MT
(-PPN)]]*Table43[[#This Row],[ISI/CTN]])</f>
        <v>386698.32</v>
      </c>
      <c r="AV252" s="41">
        <f>Table43[[#This Row],[Harga Jual Pcs MT
(-PPN)]]*1.11</f>
        <v>17884.797300000002</v>
      </c>
      <c r="AW252" s="41">
        <f>Table43[[#This Row],[Harga Jual Pcs MT
(+PPN)]]*Table43[[#This Row],[ISI/CTN]]</f>
        <v>429235.13520000002</v>
      </c>
      <c r="AX252" s="41"/>
      <c r="AY252" s="46">
        <v>45553</v>
      </c>
      <c r="AZ252" s="54">
        <v>45553</v>
      </c>
      <c r="BA252" s="7" t="str">
        <f ca="1">IF(TODAY()-Table43[[#This Row],[Efektif
Pembuatan]]&gt;60,"Lama","Baru")</f>
        <v>Lama</v>
      </c>
      <c r="BB252" s="7" t="str">
        <f ca="1">IF(TODAY()-Table43[[#This Row],[Efektif Naik Harga]]&lt;30,"Naik","Sama")</f>
        <v>Sama</v>
      </c>
      <c r="BC252" s="7" t="s">
        <v>235</v>
      </c>
      <c r="BD252" s="7" t="str">
        <f>IF(Table43[[#This Row],[Kode BARANG Win2]]&lt;&gt;"","IDR","")</f>
        <v>IDR</v>
      </c>
      <c r="BE252" s="7" t="str">
        <f>CONCATENATE(Table43[[#This Row],[kode  1 Digit
(Nomor)]],Table43[[#This Row],[kode  4 Digit                (Nomor)]])</f>
        <v>20335</v>
      </c>
      <c r="BF252" s="7" t="str">
        <f>Table43[[#This Row],[Nama            Gramasi atau Jumlah Pack per CTN]]</f>
        <v>335 ML</v>
      </c>
      <c r="BG252" s="7" t="s">
        <v>653</v>
      </c>
      <c r="BH252" s="51" t="s">
        <v>654</v>
      </c>
      <c r="BI252" s="4" t="str">
        <f>IF(Table43[[#This Row],[SATUAN Fix Win]]&lt;&gt;"","KRT")</f>
        <v>KRT</v>
      </c>
      <c r="BJ252" s="4" t="str">
        <f>IF(Table43[[#This Row],[SATUAN Fix Win]]&lt;&gt;"","GD01")</f>
        <v>GD01</v>
      </c>
      <c r="BK252" s="4">
        <f>IF(Table43[[#This Row],[SATUAN Fix Win]]&lt;&gt;"",11611)</f>
        <v>11611</v>
      </c>
      <c r="BL252" s="4">
        <f>IF(Table43[[#This Row],[SATUAN Fix Win]]&lt;&gt;"",11612)</f>
        <v>11612</v>
      </c>
      <c r="BM252" s="47" t="s">
        <v>655</v>
      </c>
      <c r="BN252" s="4">
        <f>IF(Table43[[#This Row],[SATUAN Fix Win]]&lt;&gt;"",1)</f>
        <v>1</v>
      </c>
      <c r="BO252" s="4" t="s">
        <v>656</v>
      </c>
      <c r="BP252" s="4">
        <f>IFERROR(VLOOKUP(Table43[[#This Row],[Kode Pcpl]],'[1]HEINZ ABC'!$A$4:$E$112,8,0),0)</f>
        <v>0</v>
      </c>
      <c r="BQ252" s="55">
        <f>Table43[[#This Row],[Harga Jual Pcs GT
(-PPN)]]-Table43[[#This Row],[HARGA NAIK GT]]</f>
        <v>14918.92</v>
      </c>
      <c r="BR252" s="4">
        <f>IF(Table43[[#This Row],[HARGA NAIK GT]]=0,Table43[[#This Row],[Harga Jual Pcs GT
(-PPN)]],Table43[[#This Row],[HARGA NAIK GT]])</f>
        <v>14918.92</v>
      </c>
      <c r="BS252">
        <f>IFERROR(VLOOKUP(Table43[[#This Row],[Kode Pcpl]],'[1]HEINZ ABC'!$A$4:$E$112,8,0),0)</f>
        <v>0</v>
      </c>
      <c r="BT252" s="58">
        <f>Table43[[#This Row],[Harga Jual Pcs GT
(-PPN)]]-BS252</f>
        <v>14918.92</v>
      </c>
      <c r="BU252">
        <f>IF(BS252=0,Table43[[#This Row],[Harga Jual Pcs MT
(-PPN)]])</f>
        <v>16112.43</v>
      </c>
      <c r="BV252">
        <f>IFERROR(VLOOKUP(Table43[[#This Row],[Kode Pcpl]],[2]Pricelist!$A$4:$K$112,11,0),0)</f>
        <v>0</v>
      </c>
      <c r="BW252">
        <f>IFERROR(VLOOKUP(Table43[[#This Row],[Kode BARANG Win2]],[3]!RECKITT211216[[KDBRG]:[HRG_JL_PCS-PPN]],11,0),0)</f>
        <v>0</v>
      </c>
      <c r="BX252">
        <f t="shared" si="11"/>
        <v>0</v>
      </c>
    </row>
    <row r="253" spans="1:76" x14ac:dyDescent="0.25">
      <c r="A253" s="4" t="str">
        <f>CONCATENATE(Table43[[#This Row],[Kode BARANG Win2]],Table43[[#This Row],[No. Urut
Item Sama]])</f>
        <v>A11200080335103</v>
      </c>
      <c r="B253" s="7">
        <v>3</v>
      </c>
      <c r="C253" s="4">
        <v>223</v>
      </c>
      <c r="D253" s="27">
        <v>150226</v>
      </c>
      <c r="E253" s="27" t="s">
        <v>381</v>
      </c>
      <c r="F253" s="27" t="s">
        <v>427</v>
      </c>
      <c r="G253" s="27">
        <v>24</v>
      </c>
      <c r="H253" s="42">
        <v>0</v>
      </c>
      <c r="I253" s="27" t="str">
        <f>Table43[[#This Row],[Nama Jenis Kemasan]]</f>
        <v>BTL</v>
      </c>
      <c r="J253" s="4" t="str">
        <f>TRIM(CONCATENATE(Table43[[#This Row],[Nama            KLP]]," ",Table43[[#This Row],[Nama            Sub KLP]]))</f>
        <v>SAMBAL</v>
      </c>
      <c r="K253" s="4" t="str">
        <f>CONCATENATE(Table43[[#This Row],[kode  2 Digit                (hrf+No)]],Table43[[#This Row],[kode  2 Digit                (Nomor)]],Table43[[#This Row],[kode  1 Digit                (Nomor)]])</f>
        <v>A1120</v>
      </c>
      <c r="L253" s="4" t="str">
        <f>IF(AG253="",CONCATENATE(Q253,S253,U253,W253,Y253,AA253,AC253,AE253,Table43[[#This Row],[Tanda Kode Revisi]]),CONCATENATE(Q253,S253,U253,W253,Y253,AA253,AC253,AG253))</f>
        <v>A1120008033510</v>
      </c>
      <c r="M253" s="11">
        <f t="shared" si="9"/>
        <v>14</v>
      </c>
      <c r="N253" s="14" t="str">
        <f>IF(AF253&lt;&gt;"",TRIM(UPPER(CONCATENATE(P253," ",R253," ",T253," ",V253," ",X253," ",Z253," ","X"," ",Table43[[#This Row],[ISI/CTN]]," ",AF253," ",AB253," ",AD253," ",AH253))),TRIM(UPPER(CONCATENATE(P253," ",R253," ",T253," ",V253," ",X253," ",Z253," ","X"," ",Table43[[#This Row],[ISI/CTN]]," ",AB253," ",AD253," ",AH253))))</f>
        <v>ABC SAMBAL EXTRA PEDAS 335 ML X 24 BTL</v>
      </c>
      <c r="O253" s="11">
        <f t="shared" si="10"/>
        <v>38</v>
      </c>
      <c r="P253" s="4" t="s">
        <v>28</v>
      </c>
      <c r="Q253" s="7" t="s">
        <v>85</v>
      </c>
      <c r="R253" s="4" t="s">
        <v>603</v>
      </c>
      <c r="S253" s="43">
        <v>12</v>
      </c>
      <c r="T253" s="44"/>
      <c r="U253" s="7">
        <v>0</v>
      </c>
      <c r="V253" s="44"/>
      <c r="W253" s="43" t="s">
        <v>1</v>
      </c>
      <c r="X253" s="4" t="s">
        <v>519</v>
      </c>
      <c r="Y253" s="45" t="s">
        <v>224</v>
      </c>
      <c r="Z253" s="4" t="s">
        <v>592</v>
      </c>
      <c r="AA253" s="45" t="s">
        <v>593</v>
      </c>
      <c r="AB253" s="4" t="s">
        <v>486</v>
      </c>
      <c r="AC253" s="7" t="s">
        <v>480</v>
      </c>
      <c r="AE253" s="7" t="s">
        <v>1</v>
      </c>
      <c r="AI253" s="7" t="s">
        <v>214</v>
      </c>
      <c r="AJ253" s="7">
        <v>2</v>
      </c>
      <c r="AL253" s="40">
        <f>Table43[[#This Row],[Harga Jual Pcs GT
(-PPN)]]-(Table43[[#This Row],[Harga Jual Pcs GT
(-PPN)]]*6%)</f>
        <v>14023.784799999999</v>
      </c>
      <c r="AM253" s="41">
        <f>Table43[[#This Row],[Harga Beli Pcs
(-PPN)]]*Table43[[#This Row],[ISI/CTN]]</f>
        <v>336570.83519999997</v>
      </c>
      <c r="AN253" s="41">
        <f>Table43[[#This Row],[Harga Beli Pcs
(-PPN)]]*1.11</f>
        <v>15566.401128000001</v>
      </c>
      <c r="AO253" s="41">
        <f>Table43[[#This Row],[Harga Beli Krt
(- PPN)]]*1.11</f>
        <v>373593.627072</v>
      </c>
      <c r="AP253" s="41">
        <v>14918.92</v>
      </c>
      <c r="AQ253" s="41">
        <f>Table43[[#This Row],[Harga Jual Pcs GT
(-PPN)]]*Table43[[#This Row],[ISI/CTN]]</f>
        <v>358054.08</v>
      </c>
      <c r="AR253" s="41">
        <f>Table43[[#This Row],[Harga Jual Pcs GT
(-PPN)]]*1.11</f>
        <v>16560.001200000002</v>
      </c>
      <c r="AS253" s="41">
        <f>Table43[[#This Row],[Harga Jual Krt GT
(- PPN)]]*1.11</f>
        <v>397440.02880000003</v>
      </c>
      <c r="AT253" s="41">
        <v>16112.43</v>
      </c>
      <c r="AU253" s="41">
        <f>(Table43[[#This Row],[Harga Jual Pcs MT
(-PPN)]]*Table43[[#This Row],[ISI/CTN]])</f>
        <v>386698.32</v>
      </c>
      <c r="AV253" s="41">
        <f>Table43[[#This Row],[Harga Jual Pcs MT
(-PPN)]]*1.11</f>
        <v>17884.797300000002</v>
      </c>
      <c r="AW253" s="41">
        <f>Table43[[#This Row],[Harga Jual Pcs MT
(+PPN)]]*Table43[[#This Row],[ISI/CTN]]</f>
        <v>429235.13520000002</v>
      </c>
      <c r="AX253" s="41"/>
      <c r="AY253" s="46">
        <v>45553</v>
      </c>
      <c r="AZ253" s="54">
        <v>45553</v>
      </c>
      <c r="BA253" s="7" t="str">
        <f ca="1">IF(TODAY()-Table43[[#This Row],[Efektif
Pembuatan]]&gt;60,"Lama","Baru")</f>
        <v>Lama</v>
      </c>
      <c r="BB253" s="7" t="str">
        <f ca="1">IF(TODAY()-Table43[[#This Row],[Efektif Naik Harga]]&lt;30,"Naik","Sama")</f>
        <v>Sama</v>
      </c>
      <c r="BC253" s="7" t="s">
        <v>235</v>
      </c>
      <c r="BD253" s="7" t="str">
        <f>IF(Table43[[#This Row],[Kode BARANG Win2]]&lt;&gt;"","IDR","")</f>
        <v>IDR</v>
      </c>
      <c r="BE253" s="7" t="str">
        <f>CONCATENATE(Table43[[#This Row],[kode  1 Digit
(Nomor)]],Table43[[#This Row],[kode  4 Digit                (Nomor)]])</f>
        <v>20335</v>
      </c>
      <c r="BF253" s="7" t="str">
        <f>Table43[[#This Row],[Nama            Gramasi atau Jumlah Pack per CTN]]</f>
        <v>335 ML</v>
      </c>
      <c r="BG253" s="7" t="s">
        <v>653</v>
      </c>
      <c r="BH253" s="51" t="s">
        <v>654</v>
      </c>
      <c r="BI253" s="4" t="str">
        <f>IF(Table43[[#This Row],[SATUAN Fix Win]]&lt;&gt;"","KRT")</f>
        <v>KRT</v>
      </c>
      <c r="BJ253" s="4" t="str">
        <f>IF(Table43[[#This Row],[SATUAN Fix Win]]&lt;&gt;"","GD01")</f>
        <v>GD01</v>
      </c>
      <c r="BK253" s="4">
        <f>IF(Table43[[#This Row],[SATUAN Fix Win]]&lt;&gt;"",11611)</f>
        <v>11611</v>
      </c>
      <c r="BL253" s="4">
        <f>IF(Table43[[#This Row],[SATUAN Fix Win]]&lt;&gt;"",11612)</f>
        <v>11612</v>
      </c>
      <c r="BM253" s="47" t="s">
        <v>655</v>
      </c>
      <c r="BN253" s="4">
        <f>IF(Table43[[#This Row],[SATUAN Fix Win]]&lt;&gt;"",1)</f>
        <v>1</v>
      </c>
      <c r="BO253" s="4" t="s">
        <v>656</v>
      </c>
      <c r="BP253" s="4">
        <f>IFERROR(VLOOKUP(Table43[[#This Row],[Kode Pcpl]],'[1]HEINZ ABC'!$A$4:$E$112,8,0),0)</f>
        <v>0</v>
      </c>
      <c r="BQ253" s="55">
        <f>Table43[[#This Row],[Harga Jual Pcs GT
(-PPN)]]-Table43[[#This Row],[HARGA NAIK GT]]</f>
        <v>14918.92</v>
      </c>
      <c r="BR253" s="4">
        <f>IF(Table43[[#This Row],[HARGA NAIK GT]]=0,Table43[[#This Row],[Harga Jual Pcs GT
(-PPN)]],Table43[[#This Row],[HARGA NAIK GT]])</f>
        <v>14918.92</v>
      </c>
      <c r="BS253">
        <f>IFERROR(VLOOKUP(Table43[[#This Row],[Kode Pcpl]],'[1]HEINZ ABC'!$A$4:$E$112,8,0),0)</f>
        <v>0</v>
      </c>
      <c r="BT253" s="58">
        <f>Table43[[#This Row],[Harga Jual Pcs GT
(-PPN)]]-BS253</f>
        <v>14918.92</v>
      </c>
      <c r="BU253">
        <f>IF(BS253=0,Table43[[#This Row],[Harga Jual Pcs MT
(-PPN)]])</f>
        <v>16112.43</v>
      </c>
      <c r="BV253">
        <f>IFERROR(VLOOKUP(Table43[[#This Row],[Kode Pcpl]],[2]Pricelist!$A$4:$K$112,11,0),0)</f>
        <v>0</v>
      </c>
      <c r="BW253">
        <f>IFERROR(VLOOKUP(Table43[[#This Row],[Kode BARANG Win2]],[3]!RECKITT211216[[KDBRG]:[HRG_JL_PCS-PPN]],11,0),0)</f>
        <v>0</v>
      </c>
      <c r="BX253">
        <f t="shared" si="11"/>
        <v>0</v>
      </c>
    </row>
    <row r="254" spans="1:76" x14ac:dyDescent="0.25">
      <c r="A254" s="4" t="str">
        <f>CONCATENATE(Table43[[#This Row],[Kode BARANG Win2]],Table43[[#This Row],[No. Urut
Item Sama]])</f>
        <v>A11200080335104</v>
      </c>
      <c r="B254" s="7">
        <v>4</v>
      </c>
      <c r="C254" s="4">
        <v>224</v>
      </c>
      <c r="D254" s="27">
        <v>150341</v>
      </c>
      <c r="E254" s="27" t="s">
        <v>381</v>
      </c>
      <c r="F254" s="27" t="s">
        <v>428</v>
      </c>
      <c r="G254" s="27">
        <v>24</v>
      </c>
      <c r="H254" s="42" t="s">
        <v>2476</v>
      </c>
      <c r="I254" s="27" t="str">
        <f>Table43[[#This Row],[Nama Jenis Kemasan]]</f>
        <v>BTL</v>
      </c>
      <c r="J254" s="4" t="str">
        <f>TRIM(CONCATENATE(Table43[[#This Row],[Nama            KLP]]," ",Table43[[#This Row],[Nama            Sub KLP]]))</f>
        <v>SAMBAL</v>
      </c>
      <c r="K254" s="4" t="str">
        <f>CONCATENATE(Table43[[#This Row],[kode  2 Digit                (hrf+No)]],Table43[[#This Row],[kode  2 Digit                (Nomor)]],Table43[[#This Row],[kode  1 Digit                (Nomor)]])</f>
        <v>A1120</v>
      </c>
      <c r="L254" s="4" t="str">
        <f>IF(AG254="",CONCATENATE(Q254,S254,U254,W254,Y254,AA254,AC254,AE254,Table43[[#This Row],[Tanda Kode Revisi]]),CONCATENATE(Q254,S254,U254,W254,Y254,AA254,AC254,AG254))</f>
        <v>A1120008033510</v>
      </c>
      <c r="M254" s="11">
        <f t="shared" si="9"/>
        <v>14</v>
      </c>
      <c r="N254" s="14" t="str">
        <f>IF(AF254&lt;&gt;"",TRIM(UPPER(CONCATENATE(P254," ",R254," ",T254," ",V254," ",X254," ",Z254," ","X"," ",Table43[[#This Row],[ISI/CTN]]," ",AF254," ",AB254," ",AD254," ",AH254))),TRIM(UPPER(CONCATENATE(P254," ",R254," ",T254," ",V254," ",X254," ",Z254," ","X"," ",Table43[[#This Row],[ISI/CTN]]," ",AB254," ",AD254," ",AH254))))</f>
        <v>ABC SAMBAL EXTRA PEDAS 335 ML X 24 BTL</v>
      </c>
      <c r="O254" s="11">
        <f t="shared" si="10"/>
        <v>38</v>
      </c>
      <c r="P254" s="4" t="s">
        <v>28</v>
      </c>
      <c r="Q254" s="7" t="s">
        <v>85</v>
      </c>
      <c r="R254" s="4" t="s">
        <v>603</v>
      </c>
      <c r="S254" s="43">
        <v>12</v>
      </c>
      <c r="T254" s="44"/>
      <c r="U254" s="7">
        <v>0</v>
      </c>
      <c r="V254" s="44"/>
      <c r="W254" s="43" t="s">
        <v>1</v>
      </c>
      <c r="X254" s="4" t="s">
        <v>519</v>
      </c>
      <c r="Y254" s="45" t="s">
        <v>224</v>
      </c>
      <c r="Z254" s="4" t="s">
        <v>592</v>
      </c>
      <c r="AA254" s="45" t="s">
        <v>593</v>
      </c>
      <c r="AB254" s="4" t="s">
        <v>486</v>
      </c>
      <c r="AC254" s="7" t="s">
        <v>480</v>
      </c>
      <c r="AE254" s="7" t="s">
        <v>1</v>
      </c>
      <c r="AI254" s="7" t="s">
        <v>214</v>
      </c>
      <c r="AJ254" s="7">
        <v>2</v>
      </c>
      <c r="AL254" s="40">
        <f>Table43[[#This Row],[Harga Jual Pcs GT
(-PPN)]]-(Table43[[#This Row],[Harga Jual Pcs GT
(-PPN)]]*6%)</f>
        <v>14023.784799999999</v>
      </c>
      <c r="AM254" s="41">
        <f>Table43[[#This Row],[Harga Beli Pcs
(-PPN)]]*Table43[[#This Row],[ISI/CTN]]</f>
        <v>336570.83519999997</v>
      </c>
      <c r="AN254" s="41">
        <f>Table43[[#This Row],[Harga Beli Pcs
(-PPN)]]*1.11</f>
        <v>15566.401128000001</v>
      </c>
      <c r="AO254" s="41">
        <f>Table43[[#This Row],[Harga Beli Krt
(- PPN)]]*1.11</f>
        <v>373593.627072</v>
      </c>
      <c r="AP254" s="41">
        <v>14918.92</v>
      </c>
      <c r="AQ254" s="41">
        <f>Table43[[#This Row],[Harga Jual Pcs GT
(-PPN)]]*Table43[[#This Row],[ISI/CTN]]</f>
        <v>358054.08</v>
      </c>
      <c r="AR254" s="41">
        <f>Table43[[#This Row],[Harga Jual Pcs GT
(-PPN)]]*1.11</f>
        <v>16560.001200000002</v>
      </c>
      <c r="AS254" s="41">
        <f>Table43[[#This Row],[Harga Jual Krt GT
(- PPN)]]*1.11</f>
        <v>397440.02880000003</v>
      </c>
      <c r="AT254" s="41">
        <v>16112.43</v>
      </c>
      <c r="AU254" s="41">
        <f>(Table43[[#This Row],[Harga Jual Pcs MT
(-PPN)]]*Table43[[#This Row],[ISI/CTN]])</f>
        <v>386698.32</v>
      </c>
      <c r="AV254" s="41">
        <f>Table43[[#This Row],[Harga Jual Pcs MT
(-PPN)]]*1.11</f>
        <v>17884.797300000002</v>
      </c>
      <c r="AW254" s="41">
        <f>Table43[[#This Row],[Harga Jual Pcs MT
(+PPN)]]*Table43[[#This Row],[ISI/CTN]]</f>
        <v>429235.13520000002</v>
      </c>
      <c r="AX254" s="41"/>
      <c r="AY254" s="46">
        <v>45559</v>
      </c>
      <c r="AZ254" s="54">
        <v>45553</v>
      </c>
      <c r="BA254" s="7" t="str">
        <f ca="1">IF(TODAY()-Table43[[#This Row],[Efektif
Pembuatan]]&gt;60,"Lama","Baru")</f>
        <v>Lama</v>
      </c>
      <c r="BB254" s="7" t="str">
        <f ca="1">IF(TODAY()-Table43[[#This Row],[Efektif Naik Harga]]&lt;30,"Naik","Sama")</f>
        <v>Sama</v>
      </c>
      <c r="BC254" s="7" t="s">
        <v>235</v>
      </c>
      <c r="BD254" s="7" t="str">
        <f>IF(Table43[[#This Row],[Kode BARANG Win2]]&lt;&gt;"","IDR","")</f>
        <v>IDR</v>
      </c>
      <c r="BE254" s="7" t="str">
        <f>CONCATENATE(Table43[[#This Row],[kode  1 Digit
(Nomor)]],Table43[[#This Row],[kode  4 Digit                (Nomor)]])</f>
        <v>20335</v>
      </c>
      <c r="BF254" s="7" t="str">
        <f>Table43[[#This Row],[Nama            Gramasi atau Jumlah Pack per CTN]]</f>
        <v>335 ML</v>
      </c>
      <c r="BG254" s="7" t="s">
        <v>653</v>
      </c>
      <c r="BH254" s="51" t="s">
        <v>654</v>
      </c>
      <c r="BI254" s="4" t="str">
        <f>IF(Table43[[#This Row],[SATUAN Fix Win]]&lt;&gt;"","KRT")</f>
        <v>KRT</v>
      </c>
      <c r="BJ254" s="4" t="str">
        <f>IF(Table43[[#This Row],[SATUAN Fix Win]]&lt;&gt;"","GD01")</f>
        <v>GD01</v>
      </c>
      <c r="BK254" s="4">
        <f>IF(Table43[[#This Row],[SATUAN Fix Win]]&lt;&gt;"",11611)</f>
        <v>11611</v>
      </c>
      <c r="BL254" s="4">
        <f>IF(Table43[[#This Row],[SATUAN Fix Win]]&lt;&gt;"",11612)</f>
        <v>11612</v>
      </c>
      <c r="BM254" s="47" t="s">
        <v>655</v>
      </c>
      <c r="BN254" s="4">
        <f>IF(Table43[[#This Row],[SATUAN Fix Win]]&lt;&gt;"",1)</f>
        <v>1</v>
      </c>
      <c r="BO254" s="4" t="s">
        <v>656</v>
      </c>
      <c r="BP254" s="4">
        <f>IFERROR(VLOOKUP(Table43[[#This Row],[Kode Pcpl]],'[1]HEINZ ABC'!$A$4:$E$112,8,0),0)</f>
        <v>0</v>
      </c>
      <c r="BQ254" s="55">
        <f>Table43[[#This Row],[Harga Jual Pcs GT
(-PPN)]]-Table43[[#This Row],[HARGA NAIK GT]]</f>
        <v>14918.92</v>
      </c>
      <c r="BR254" s="4">
        <f>IF(Table43[[#This Row],[HARGA NAIK GT]]=0,Table43[[#This Row],[Harga Jual Pcs GT
(-PPN)]],Table43[[#This Row],[HARGA NAIK GT]])</f>
        <v>14918.92</v>
      </c>
      <c r="BS254">
        <f>IFERROR(VLOOKUP(Table43[[#This Row],[Kode Pcpl]],'[1]HEINZ ABC'!$A$4:$E$112,8,0),0)</f>
        <v>0</v>
      </c>
      <c r="BT254" s="58">
        <f>Table43[[#This Row],[Harga Jual Pcs GT
(-PPN)]]-BS254</f>
        <v>14918.92</v>
      </c>
      <c r="BU254">
        <f>IF(BS254=0,Table43[[#This Row],[Harga Jual Pcs MT
(-PPN)]])</f>
        <v>16112.43</v>
      </c>
      <c r="BV254">
        <f>IFERROR(VLOOKUP(Table43[[#This Row],[Kode Pcpl]],[2]Pricelist!$A$4:$K$112,11,0),0)</f>
        <v>0</v>
      </c>
      <c r="BW254">
        <f>IFERROR(VLOOKUP(Table43[[#This Row],[Kode BARANG Win2]],[3]!RECKITT211216[[KDBRG]:[HRG_JL_PCS-PPN]],11,0),0)</f>
        <v>0</v>
      </c>
      <c r="BX254">
        <f t="shared" si="11"/>
        <v>0</v>
      </c>
    </row>
    <row r="255" spans="1:76" x14ac:dyDescent="0.25">
      <c r="A255" s="4" t="str">
        <f>CONCATENATE(Table43[[#This Row],[Kode BARANG Win2]],Table43[[#This Row],[No. Urut
Item Sama]])</f>
        <v>A11200080380101</v>
      </c>
      <c r="B255" s="7">
        <v>1</v>
      </c>
      <c r="C255" s="4">
        <v>225</v>
      </c>
      <c r="D255" s="27">
        <v>150178</v>
      </c>
      <c r="E255" s="27" t="s">
        <v>381</v>
      </c>
      <c r="F255" s="27" t="s">
        <v>429</v>
      </c>
      <c r="G255" s="27">
        <v>12</v>
      </c>
      <c r="H255" s="42" t="s">
        <v>2582</v>
      </c>
      <c r="I255" s="27" t="str">
        <f>Table43[[#This Row],[Nama Jenis Kemasan]]</f>
        <v>PCH</v>
      </c>
      <c r="J255" s="4" t="str">
        <f>TRIM(CONCATENATE(Table43[[#This Row],[Nama            KLP]]," ",Table43[[#This Row],[Nama            Sub KLP]]))</f>
        <v>SAMBAL</v>
      </c>
      <c r="K255" s="4" t="str">
        <f>CONCATENATE(Table43[[#This Row],[kode  2 Digit                (hrf+No)]],Table43[[#This Row],[kode  2 Digit                (Nomor)]],Table43[[#This Row],[kode  1 Digit                (Nomor)]])</f>
        <v>A1120</v>
      </c>
      <c r="L255" s="4" t="str">
        <f>IF(AG255="",CONCATENATE(Q255,S255,U255,W255,Y255,AA255,AC255,AE255,Table43[[#This Row],[Tanda Kode Revisi]]),CONCATENATE(Q255,S255,U255,W255,Y255,AA255,AC255,AG255))</f>
        <v>A1120008038010</v>
      </c>
      <c r="M255" s="11">
        <f t="shared" si="9"/>
        <v>14</v>
      </c>
      <c r="N255" s="14" t="str">
        <f>IF(AF255&lt;&gt;"",TRIM(UPPER(CONCATENATE(P255," ",R255," ",T255," ",V255," ",X255," ",Z255," ","X"," ",Table43[[#This Row],[ISI/CTN]]," ",AF255," ",AB255," ",AD255," ",AH255))),TRIM(UPPER(CONCATENATE(P255," ",R255," ",T255," ",V255," ",X255," ",Z255," ","X"," ",Table43[[#This Row],[ISI/CTN]]," ",AB255," ",AD255," ",AH255))))</f>
        <v>ABC SAMBAL EXTRA PEDAS 380 GR X 12 PCH</v>
      </c>
      <c r="O255" s="11">
        <f t="shared" si="10"/>
        <v>38</v>
      </c>
      <c r="P255" s="4" t="s">
        <v>28</v>
      </c>
      <c r="Q255" s="7" t="s">
        <v>85</v>
      </c>
      <c r="R255" s="4" t="s">
        <v>603</v>
      </c>
      <c r="S255" s="43">
        <v>12</v>
      </c>
      <c r="T255" s="44"/>
      <c r="U255" s="7">
        <v>0</v>
      </c>
      <c r="V255" s="44"/>
      <c r="W255" s="43" t="s">
        <v>1</v>
      </c>
      <c r="X255" s="4" t="s">
        <v>519</v>
      </c>
      <c r="Y255" s="45" t="s">
        <v>224</v>
      </c>
      <c r="Z255" s="4" t="s">
        <v>609</v>
      </c>
      <c r="AA255" s="45" t="s">
        <v>610</v>
      </c>
      <c r="AB255" s="4" t="s">
        <v>479</v>
      </c>
      <c r="AC255" s="7" t="s">
        <v>480</v>
      </c>
      <c r="AE255" s="7" t="s">
        <v>1</v>
      </c>
      <c r="AI255" s="7" t="s">
        <v>215</v>
      </c>
      <c r="AJ255" s="7">
        <v>1</v>
      </c>
      <c r="AL255" s="40">
        <f>Table43[[#This Row],[Harga Jual Pcs GT
(-PPN)]]-(Table43[[#This Row],[Harga Jual Pcs GT
(-PPN)]]*6%)</f>
        <v>12939.8238</v>
      </c>
      <c r="AM255" s="41">
        <f>Table43[[#This Row],[Harga Beli Pcs
(-PPN)]]*Table43[[#This Row],[ISI/CTN]]</f>
        <v>155277.88560000001</v>
      </c>
      <c r="AN255" s="41">
        <f>Table43[[#This Row],[Harga Beli Pcs
(-PPN)]]*1.11</f>
        <v>14363.204418000001</v>
      </c>
      <c r="AO255" s="41">
        <f>Table43[[#This Row],[Harga Beli Krt
(- PPN)]]*1.11</f>
        <v>172358.45301600001</v>
      </c>
      <c r="AP255" s="41">
        <v>13765.77</v>
      </c>
      <c r="AQ255" s="41">
        <f>Table43[[#This Row],[Harga Jual Pcs GT
(-PPN)]]*Table43[[#This Row],[ISI/CTN]]</f>
        <v>165189.24</v>
      </c>
      <c r="AR255" s="41">
        <f>Table43[[#This Row],[Harga Jual Pcs GT
(-PPN)]]*1.11</f>
        <v>15280.004700000001</v>
      </c>
      <c r="AS255" s="41">
        <f>Table43[[#This Row],[Harga Jual Krt GT
(- PPN)]]*1.11</f>
        <v>183360.0564</v>
      </c>
      <c r="AT255" s="41">
        <v>15313.037837837799</v>
      </c>
      <c r="AU255" s="41">
        <f>(Table43[[#This Row],[Harga Jual Pcs MT
(-PPN)]]*Table43[[#This Row],[ISI/CTN]])</f>
        <v>183756.45405405358</v>
      </c>
      <c r="AV255" s="41">
        <f>Table43[[#This Row],[Harga Jual Pcs MT
(-PPN)]]*1.11</f>
        <v>16997.471999999958</v>
      </c>
      <c r="AW255" s="41">
        <f>Table43[[#This Row],[Harga Jual Pcs MT
(+PPN)]]*Table43[[#This Row],[ISI/CTN]]</f>
        <v>203969.66399999949</v>
      </c>
      <c r="AX255" s="41"/>
      <c r="AY255" s="46">
        <v>45553</v>
      </c>
      <c r="AZ255" s="54">
        <v>45945</v>
      </c>
      <c r="BA255" s="7" t="str">
        <f ca="1">IF(TODAY()-Table43[[#This Row],[Efektif
Pembuatan]]&gt;60,"Lama","Baru")</f>
        <v>Lama</v>
      </c>
      <c r="BB255" s="7" t="str">
        <f ca="1">IF(TODAY()-Table43[[#This Row],[Efektif Naik Harga]]&lt;30,"Naik","Sama")</f>
        <v>Sama</v>
      </c>
      <c r="BC255" s="7" t="s">
        <v>235</v>
      </c>
      <c r="BD255" s="7" t="str">
        <f>IF(Table43[[#This Row],[Kode BARANG Win2]]&lt;&gt;"","IDR","")</f>
        <v>IDR</v>
      </c>
      <c r="BE255" s="7" t="str">
        <f>CONCATENATE(Table43[[#This Row],[kode  1 Digit
(Nomor)]],Table43[[#This Row],[kode  4 Digit                (Nomor)]])</f>
        <v>10380</v>
      </c>
      <c r="BF255" s="7" t="str">
        <f>Table43[[#This Row],[Nama            Gramasi atau Jumlah Pack per CTN]]</f>
        <v>380 GR</v>
      </c>
      <c r="BG255" s="7" t="s">
        <v>653</v>
      </c>
      <c r="BH255" s="51" t="s">
        <v>654</v>
      </c>
      <c r="BI255" s="4" t="str">
        <f>IF(Table43[[#This Row],[SATUAN Fix Win]]&lt;&gt;"","KRT")</f>
        <v>KRT</v>
      </c>
      <c r="BJ255" s="4" t="str">
        <f>IF(Table43[[#This Row],[SATUAN Fix Win]]&lt;&gt;"","GD01")</f>
        <v>GD01</v>
      </c>
      <c r="BK255" s="4">
        <f>IF(Table43[[#This Row],[SATUAN Fix Win]]&lt;&gt;"",11611)</f>
        <v>11611</v>
      </c>
      <c r="BL255" s="4">
        <f>IF(Table43[[#This Row],[SATUAN Fix Win]]&lt;&gt;"",11612)</f>
        <v>11612</v>
      </c>
      <c r="BM255" s="47" t="s">
        <v>655</v>
      </c>
      <c r="BN255" s="4">
        <f>IF(Table43[[#This Row],[SATUAN Fix Win]]&lt;&gt;"",1)</f>
        <v>1</v>
      </c>
      <c r="BO255" s="4" t="s">
        <v>656</v>
      </c>
      <c r="BP255" s="4">
        <f>IFERROR(VLOOKUP(Table43[[#This Row],[Kode Pcpl]],'[1]HEINZ ABC'!$A$4:$E$112,8,0),0)</f>
        <v>0</v>
      </c>
      <c r="BQ255" s="55">
        <f>Table43[[#This Row],[Harga Jual Pcs GT
(-PPN)]]-Table43[[#This Row],[HARGA NAIK GT]]</f>
        <v>13765.77</v>
      </c>
      <c r="BR255" s="4">
        <f>IF(Table43[[#This Row],[HARGA NAIK GT]]=0,Table43[[#This Row],[Harga Jual Pcs GT
(-PPN)]],Table43[[#This Row],[HARGA NAIK GT]])</f>
        <v>13765.77</v>
      </c>
      <c r="BS255">
        <f>IFERROR(VLOOKUP(Table43[[#This Row],[Kode Pcpl]],'[1]HEINZ ABC'!$A$4:$E$112,8,0),0)</f>
        <v>0</v>
      </c>
      <c r="BT255" s="58">
        <f>Table43[[#This Row],[Harga Jual Pcs GT
(-PPN)]]-BS255</f>
        <v>13765.77</v>
      </c>
      <c r="BU255">
        <f>IF(BS255=0,Table43[[#This Row],[Harga Jual Pcs MT
(-PPN)]])</f>
        <v>15313.037837837799</v>
      </c>
      <c r="BV255">
        <f>IFERROR(VLOOKUP(Table43[[#This Row],[Kode Pcpl]],[2]Pricelist!$A$4:$K$112,11,0),0)</f>
        <v>0</v>
      </c>
      <c r="BW255">
        <f>IFERROR(VLOOKUP(Table43[[#This Row],[Kode BARANG Win2]],[3]!RECKITT211216[[KDBRG]:[HRG_JL_PCS-PPN]],11,0),0)</f>
        <v>0</v>
      </c>
      <c r="BX255">
        <f t="shared" si="11"/>
        <v>0</v>
      </c>
    </row>
    <row r="256" spans="1:76" x14ac:dyDescent="0.25">
      <c r="A256" s="4" t="str">
        <f>CONCATENATE(Table43[[#This Row],[Kode BARANG Win2]],Table43[[#This Row],[No. Urut
Item Sama]])</f>
        <v>A11200080380102</v>
      </c>
      <c r="B256" s="7">
        <v>2</v>
      </c>
      <c r="C256" s="4">
        <v>226</v>
      </c>
      <c r="D256" s="27">
        <v>150232</v>
      </c>
      <c r="E256" s="27" t="s">
        <v>381</v>
      </c>
      <c r="F256" s="27" t="s">
        <v>430</v>
      </c>
      <c r="G256" s="27">
        <v>12</v>
      </c>
      <c r="H256" s="42" t="s">
        <v>2583</v>
      </c>
      <c r="I256" s="27" t="str">
        <f>Table43[[#This Row],[Nama Jenis Kemasan]]</f>
        <v>PCH</v>
      </c>
      <c r="J256" s="4" t="str">
        <f>TRIM(CONCATENATE(Table43[[#This Row],[Nama            KLP]]," ",Table43[[#This Row],[Nama            Sub KLP]]))</f>
        <v>SAMBAL</v>
      </c>
      <c r="K256" s="4" t="str">
        <f>CONCATENATE(Table43[[#This Row],[kode  2 Digit                (hrf+No)]],Table43[[#This Row],[kode  2 Digit                (Nomor)]],Table43[[#This Row],[kode  1 Digit                (Nomor)]])</f>
        <v>A1120</v>
      </c>
      <c r="L256" s="4" t="str">
        <f>IF(AG256="",CONCATENATE(Q256,S256,U256,W256,Y256,AA256,AC256,AE256,Table43[[#This Row],[Tanda Kode Revisi]]),CONCATENATE(Q256,S256,U256,W256,Y256,AA256,AC256,AG256))</f>
        <v>A1120008038010</v>
      </c>
      <c r="M256" s="11">
        <f t="shared" si="9"/>
        <v>14</v>
      </c>
      <c r="N256" s="14" t="str">
        <f>IF(AF256&lt;&gt;"",TRIM(UPPER(CONCATENATE(P256," ",R256," ",T256," ",V256," ",X256," ",Z256," ","X"," ",Table43[[#This Row],[ISI/CTN]]," ",AF256," ",AB256," ",AD256," ",AH256))),TRIM(UPPER(CONCATENATE(P256," ",R256," ",T256," ",V256," ",X256," ",Z256," ","X"," ",Table43[[#This Row],[ISI/CTN]]," ",AB256," ",AD256," ",AH256))))</f>
        <v>ABC SAMBAL EXTRA PEDAS 380 GR X 12 PCH</v>
      </c>
      <c r="O256" s="11">
        <f t="shared" si="10"/>
        <v>38</v>
      </c>
      <c r="P256" s="4" t="s">
        <v>28</v>
      </c>
      <c r="Q256" s="7" t="s">
        <v>85</v>
      </c>
      <c r="R256" s="4" t="s">
        <v>603</v>
      </c>
      <c r="S256" s="43">
        <v>12</v>
      </c>
      <c r="T256" s="44"/>
      <c r="U256" s="7">
        <v>0</v>
      </c>
      <c r="V256" s="44"/>
      <c r="W256" s="43" t="s">
        <v>1</v>
      </c>
      <c r="X256" s="4" t="s">
        <v>519</v>
      </c>
      <c r="Y256" s="45" t="s">
        <v>224</v>
      </c>
      <c r="Z256" s="4" t="s">
        <v>609</v>
      </c>
      <c r="AA256" s="45" t="s">
        <v>610</v>
      </c>
      <c r="AB256" s="4" t="s">
        <v>479</v>
      </c>
      <c r="AC256" s="7" t="s">
        <v>480</v>
      </c>
      <c r="AE256" s="7" t="s">
        <v>1</v>
      </c>
      <c r="AI256" s="7" t="s">
        <v>215</v>
      </c>
      <c r="AJ256" s="7">
        <v>1</v>
      </c>
      <c r="AL256" s="40">
        <f>Table43[[#This Row],[Harga Jual Pcs GT
(-PPN)]]-(Table43[[#This Row],[Harga Jual Pcs GT
(-PPN)]]*6%)</f>
        <v>13328.015600000001</v>
      </c>
      <c r="AM256" s="41">
        <f>Table43[[#This Row],[Harga Beli Pcs
(-PPN)]]*Table43[[#This Row],[ISI/CTN]]</f>
        <v>159936.18720000001</v>
      </c>
      <c r="AN256" s="41">
        <f>Table43[[#This Row],[Harga Beli Pcs
(-PPN)]]*1.11</f>
        <v>14794.097316000001</v>
      </c>
      <c r="AO256" s="41">
        <f>Table43[[#This Row],[Harga Beli Krt
(- PPN)]]*1.11</f>
        <v>177529.16779200002</v>
      </c>
      <c r="AP256" s="41">
        <v>14178.74</v>
      </c>
      <c r="AQ256" s="41">
        <f>Table43[[#This Row],[Harga Jual Pcs GT
(-PPN)]]*Table43[[#This Row],[ISI/CTN]]</f>
        <v>170144.88</v>
      </c>
      <c r="AR256" s="41">
        <f>Table43[[#This Row],[Harga Jual Pcs GT
(-PPN)]]*1.11</f>
        <v>15738.401400000001</v>
      </c>
      <c r="AS256" s="41">
        <f>Table43[[#This Row],[Harga Jual Krt GT
(- PPN)]]*1.11</f>
        <v>188860.81680000003</v>
      </c>
      <c r="AT256" s="41">
        <v>15313.037837837799</v>
      </c>
      <c r="AU256" s="41">
        <f>(Table43[[#This Row],[Harga Jual Pcs MT
(-PPN)]]*Table43[[#This Row],[ISI/CTN]])</f>
        <v>183756.45405405358</v>
      </c>
      <c r="AV256" s="41">
        <f>Table43[[#This Row],[Harga Jual Pcs MT
(-PPN)]]*1.11</f>
        <v>16997.471999999958</v>
      </c>
      <c r="AW256" s="41">
        <f>Table43[[#This Row],[Harga Jual Pcs MT
(+PPN)]]*Table43[[#This Row],[ISI/CTN]]</f>
        <v>203969.66399999949</v>
      </c>
      <c r="AX256" s="41"/>
      <c r="AY256" s="46">
        <v>45553</v>
      </c>
      <c r="AZ256" s="54">
        <v>45945</v>
      </c>
      <c r="BA256" s="7" t="str">
        <f ca="1">IF(TODAY()-Table43[[#This Row],[Efektif
Pembuatan]]&gt;60,"Lama","Baru")</f>
        <v>Lama</v>
      </c>
      <c r="BB256" s="7" t="str">
        <f ca="1">IF(TODAY()-Table43[[#This Row],[Efektif Naik Harga]]&lt;30,"Naik","Sama")</f>
        <v>Sama</v>
      </c>
      <c r="BC256" s="7" t="s">
        <v>235</v>
      </c>
      <c r="BD256" s="7" t="str">
        <f>IF(Table43[[#This Row],[Kode BARANG Win2]]&lt;&gt;"","IDR","")</f>
        <v>IDR</v>
      </c>
      <c r="BE256" s="7" t="str">
        <f>CONCATENATE(Table43[[#This Row],[kode  1 Digit
(Nomor)]],Table43[[#This Row],[kode  4 Digit                (Nomor)]])</f>
        <v>10380</v>
      </c>
      <c r="BF256" s="7" t="str">
        <f>Table43[[#This Row],[Nama            Gramasi atau Jumlah Pack per CTN]]</f>
        <v>380 GR</v>
      </c>
      <c r="BG256" s="7" t="s">
        <v>653</v>
      </c>
      <c r="BH256" s="51" t="s">
        <v>654</v>
      </c>
      <c r="BI256" s="4" t="str">
        <f>IF(Table43[[#This Row],[SATUAN Fix Win]]&lt;&gt;"","KRT")</f>
        <v>KRT</v>
      </c>
      <c r="BJ256" s="4" t="str">
        <f>IF(Table43[[#This Row],[SATUAN Fix Win]]&lt;&gt;"","GD01")</f>
        <v>GD01</v>
      </c>
      <c r="BK256" s="4">
        <f>IF(Table43[[#This Row],[SATUAN Fix Win]]&lt;&gt;"",11611)</f>
        <v>11611</v>
      </c>
      <c r="BL256" s="4">
        <f>IF(Table43[[#This Row],[SATUAN Fix Win]]&lt;&gt;"",11612)</f>
        <v>11612</v>
      </c>
      <c r="BM256" s="47" t="s">
        <v>655</v>
      </c>
      <c r="BN256" s="4">
        <f>IF(Table43[[#This Row],[SATUAN Fix Win]]&lt;&gt;"",1)</f>
        <v>1</v>
      </c>
      <c r="BO256" s="4" t="s">
        <v>656</v>
      </c>
      <c r="BP256" s="4">
        <f>IFERROR(VLOOKUP(Table43[[#This Row],[Kode Pcpl]],'[1]HEINZ ABC'!$A$4:$E$112,8,0),0)</f>
        <v>0</v>
      </c>
      <c r="BQ256" s="55">
        <f>Table43[[#This Row],[Harga Jual Pcs GT
(-PPN)]]-Table43[[#This Row],[HARGA NAIK GT]]</f>
        <v>14178.74</v>
      </c>
      <c r="BR256" s="4">
        <f>IF(Table43[[#This Row],[HARGA NAIK GT]]=0,Table43[[#This Row],[Harga Jual Pcs GT
(-PPN)]],Table43[[#This Row],[HARGA NAIK GT]])</f>
        <v>14178.74</v>
      </c>
      <c r="BS256">
        <f>IFERROR(VLOOKUP(Table43[[#This Row],[Kode Pcpl]],'[1]HEINZ ABC'!$A$4:$E$112,8,0),0)</f>
        <v>0</v>
      </c>
      <c r="BT256" s="58">
        <f>Table43[[#This Row],[Harga Jual Pcs GT
(-PPN)]]-BS256</f>
        <v>14178.74</v>
      </c>
      <c r="BU256">
        <f>IF(BS256=0,Table43[[#This Row],[Harga Jual Pcs MT
(-PPN)]])</f>
        <v>15313.037837837799</v>
      </c>
      <c r="BV256">
        <f>IFERROR(VLOOKUP(Table43[[#This Row],[Kode Pcpl]],[2]Pricelist!$A$4:$K$112,11,0),0)</f>
        <v>0</v>
      </c>
      <c r="BW256">
        <f>IFERROR(VLOOKUP(Table43[[#This Row],[Kode BARANG Win2]],[3]!RECKITT211216[[KDBRG]:[HRG_JL_PCS-PPN]],11,0),0)</f>
        <v>0</v>
      </c>
      <c r="BX256">
        <f t="shared" si="11"/>
        <v>0</v>
      </c>
    </row>
    <row r="257" spans="1:76" x14ac:dyDescent="0.25">
      <c r="A257" s="4" t="str">
        <f>CONCATENATE(Table43[[#This Row],[Kode BARANG Win2]],Table43[[#This Row],[No. Urut
Item Sama]])</f>
        <v>A11200080380103</v>
      </c>
      <c r="B257" s="7">
        <v>3</v>
      </c>
      <c r="C257" s="4">
        <v>227</v>
      </c>
      <c r="D257" s="27">
        <v>150346</v>
      </c>
      <c r="E257" s="27" t="s">
        <v>381</v>
      </c>
      <c r="F257" s="27" t="s">
        <v>431</v>
      </c>
      <c r="G257" s="27">
        <v>12</v>
      </c>
      <c r="H257" s="42" t="s">
        <v>2481</v>
      </c>
      <c r="I257" s="27" t="str">
        <f>Table43[[#This Row],[Nama Jenis Kemasan]]</f>
        <v>PCH</v>
      </c>
      <c r="J257" s="4" t="str">
        <f>TRIM(CONCATENATE(Table43[[#This Row],[Nama            KLP]]," ",Table43[[#This Row],[Nama            Sub KLP]]))</f>
        <v>SAMBAL</v>
      </c>
      <c r="K257" s="4" t="str">
        <f>CONCATENATE(Table43[[#This Row],[kode  2 Digit                (hrf+No)]],Table43[[#This Row],[kode  2 Digit                (Nomor)]],Table43[[#This Row],[kode  1 Digit                (Nomor)]])</f>
        <v>A1120</v>
      </c>
      <c r="L257" s="4" t="str">
        <f>IF(AG257="",CONCATENATE(Q257,S257,U257,W257,Y257,AA257,AC257,AE257,Table43[[#This Row],[Tanda Kode Revisi]]),CONCATENATE(Q257,S257,U257,W257,Y257,AA257,AC257,AG257))</f>
        <v>A1120008038010</v>
      </c>
      <c r="M257" s="11">
        <f t="shared" si="9"/>
        <v>14</v>
      </c>
      <c r="N257" s="14" t="str">
        <f>IF(AF257&lt;&gt;"",TRIM(UPPER(CONCATENATE(P257," ",R257," ",T257," ",V257," ",X257," ",Z257," ","X"," ",Table43[[#This Row],[ISI/CTN]]," ",AF257," ",AB257," ",AD257," ",AH257))),TRIM(UPPER(CONCATENATE(P257," ",R257," ",T257," ",V257," ",X257," ",Z257," ","X"," ",Table43[[#This Row],[ISI/CTN]]," ",AB257," ",AD257," ",AH257))))</f>
        <v>ABC SAMBAL EXTRA PEDAS 380 GR X 12 PCH</v>
      </c>
      <c r="O257" s="11">
        <f t="shared" si="10"/>
        <v>38</v>
      </c>
      <c r="P257" s="4" t="s">
        <v>28</v>
      </c>
      <c r="Q257" s="7" t="s">
        <v>85</v>
      </c>
      <c r="R257" s="4" t="s">
        <v>603</v>
      </c>
      <c r="S257" s="43">
        <v>12</v>
      </c>
      <c r="T257" s="44"/>
      <c r="U257" s="7">
        <v>0</v>
      </c>
      <c r="V257" s="44"/>
      <c r="W257" s="43" t="s">
        <v>1</v>
      </c>
      <c r="X257" s="4" t="s">
        <v>519</v>
      </c>
      <c r="Y257" s="45" t="s">
        <v>224</v>
      </c>
      <c r="Z257" s="4" t="s">
        <v>609</v>
      </c>
      <c r="AA257" s="45" t="s">
        <v>610</v>
      </c>
      <c r="AB257" s="4" t="s">
        <v>479</v>
      </c>
      <c r="AC257" s="7" t="s">
        <v>480</v>
      </c>
      <c r="AE257" s="7" t="s">
        <v>1</v>
      </c>
      <c r="AI257" s="7" t="s">
        <v>215</v>
      </c>
      <c r="AJ257" s="7">
        <v>1</v>
      </c>
      <c r="AL257" s="40">
        <f>Table43[[#This Row],[Harga Jual Pcs GT
(-PPN)]]-(Table43[[#This Row],[Harga Jual Pcs GT
(-PPN)]]*6%)</f>
        <v>13328.015600000001</v>
      </c>
      <c r="AM257" s="41">
        <f>Table43[[#This Row],[Harga Beli Pcs
(-PPN)]]*Table43[[#This Row],[ISI/CTN]]</f>
        <v>159936.18720000001</v>
      </c>
      <c r="AN257" s="41">
        <f>Table43[[#This Row],[Harga Beli Pcs
(-PPN)]]*1.11</f>
        <v>14794.097316000001</v>
      </c>
      <c r="AO257" s="41">
        <f>Table43[[#This Row],[Harga Beli Krt
(- PPN)]]*1.11</f>
        <v>177529.16779200002</v>
      </c>
      <c r="AP257" s="41">
        <v>14178.74</v>
      </c>
      <c r="AQ257" s="41">
        <f>Table43[[#This Row],[Harga Jual Pcs GT
(-PPN)]]*Table43[[#This Row],[ISI/CTN]]</f>
        <v>170144.88</v>
      </c>
      <c r="AR257" s="41">
        <f>Table43[[#This Row],[Harga Jual Pcs GT
(-PPN)]]*1.11</f>
        <v>15738.401400000001</v>
      </c>
      <c r="AS257" s="41">
        <f>Table43[[#This Row],[Harga Jual Krt GT
(- PPN)]]*1.11</f>
        <v>188860.81680000003</v>
      </c>
      <c r="AT257" s="41">
        <v>15313.037837837799</v>
      </c>
      <c r="AU257" s="41">
        <f>(Table43[[#This Row],[Harga Jual Pcs MT
(-PPN)]]*Table43[[#This Row],[ISI/CTN]])</f>
        <v>183756.45405405358</v>
      </c>
      <c r="AV257" s="41">
        <f>Table43[[#This Row],[Harga Jual Pcs MT
(-PPN)]]*1.11</f>
        <v>16997.471999999958</v>
      </c>
      <c r="AW257" s="41">
        <f>Table43[[#This Row],[Harga Jual Pcs MT
(+PPN)]]*Table43[[#This Row],[ISI/CTN]]</f>
        <v>203969.66399999949</v>
      </c>
      <c r="AX257" s="41"/>
      <c r="AY257" s="46">
        <v>45618</v>
      </c>
      <c r="AZ257" s="54">
        <v>45945</v>
      </c>
      <c r="BA257" s="7" t="str">
        <f ca="1">IF(TODAY()-Table43[[#This Row],[Efektif
Pembuatan]]&gt;60,"Lama","Baru")</f>
        <v>Lama</v>
      </c>
      <c r="BB257" s="7" t="str">
        <f ca="1">IF(TODAY()-Table43[[#This Row],[Efektif Naik Harga]]&lt;30,"Naik","Sama")</f>
        <v>Sama</v>
      </c>
      <c r="BC257" s="7" t="s">
        <v>235</v>
      </c>
      <c r="BD257" s="7" t="str">
        <f>IF(Table43[[#This Row],[Kode BARANG Win2]]&lt;&gt;"","IDR","")</f>
        <v>IDR</v>
      </c>
      <c r="BE257" s="7" t="str">
        <f>CONCATENATE(Table43[[#This Row],[kode  1 Digit
(Nomor)]],Table43[[#This Row],[kode  4 Digit                (Nomor)]])</f>
        <v>10380</v>
      </c>
      <c r="BF257" s="7" t="str">
        <f>Table43[[#This Row],[Nama            Gramasi atau Jumlah Pack per CTN]]</f>
        <v>380 GR</v>
      </c>
      <c r="BG257" s="7" t="s">
        <v>653</v>
      </c>
      <c r="BH257" s="51" t="s">
        <v>654</v>
      </c>
      <c r="BI257" s="4" t="str">
        <f>IF(Table43[[#This Row],[SATUAN Fix Win]]&lt;&gt;"","KRT")</f>
        <v>KRT</v>
      </c>
      <c r="BJ257" s="4" t="str">
        <f>IF(Table43[[#This Row],[SATUAN Fix Win]]&lt;&gt;"","GD01")</f>
        <v>GD01</v>
      </c>
      <c r="BK257" s="4">
        <f>IF(Table43[[#This Row],[SATUAN Fix Win]]&lt;&gt;"",11611)</f>
        <v>11611</v>
      </c>
      <c r="BL257" s="4">
        <f>IF(Table43[[#This Row],[SATUAN Fix Win]]&lt;&gt;"",11612)</f>
        <v>11612</v>
      </c>
      <c r="BM257" s="47" t="s">
        <v>655</v>
      </c>
      <c r="BN257" s="4">
        <f>IF(Table43[[#This Row],[SATUAN Fix Win]]&lt;&gt;"",1)</f>
        <v>1</v>
      </c>
      <c r="BO257" s="4" t="s">
        <v>656</v>
      </c>
      <c r="BP257" s="4">
        <f>IFERROR(VLOOKUP(Table43[[#This Row],[Kode Pcpl]],'[1]HEINZ ABC'!$A$4:$E$112,8,0),0)</f>
        <v>0</v>
      </c>
      <c r="BQ257" s="55">
        <f>Table43[[#This Row],[Harga Jual Pcs GT
(-PPN)]]-Table43[[#This Row],[HARGA NAIK GT]]</f>
        <v>14178.74</v>
      </c>
      <c r="BR257" s="4">
        <f>IF(Table43[[#This Row],[HARGA NAIK GT]]=0,Table43[[#This Row],[Harga Jual Pcs GT
(-PPN)]],Table43[[#This Row],[HARGA NAIK GT]])</f>
        <v>14178.74</v>
      </c>
      <c r="BS257">
        <f>IFERROR(VLOOKUP(Table43[[#This Row],[Kode Pcpl]],'[1]HEINZ ABC'!$A$4:$E$112,8,0),0)</f>
        <v>0</v>
      </c>
      <c r="BT257" s="58">
        <f>Table43[[#This Row],[Harga Jual Pcs GT
(-PPN)]]-BS257</f>
        <v>14178.74</v>
      </c>
      <c r="BU257">
        <f>IF(BS257=0,Table43[[#This Row],[Harga Jual Pcs MT
(-PPN)]])</f>
        <v>15313.037837837799</v>
      </c>
      <c r="BV257">
        <f>IFERROR(VLOOKUP(Table43[[#This Row],[Kode Pcpl]],[2]Pricelist!$A$4:$K$112,11,0),0)</f>
        <v>0</v>
      </c>
      <c r="BW257">
        <f>IFERROR(VLOOKUP(Table43[[#This Row],[Kode BARANG Win2]],[3]!RECKITT211216[[KDBRG]:[HRG_JL_PCS-PPN]],11,0),0)</f>
        <v>0</v>
      </c>
      <c r="BX257">
        <f t="shared" si="11"/>
        <v>0</v>
      </c>
    </row>
    <row r="258" spans="1:76" x14ac:dyDescent="0.25">
      <c r="A258" s="4" t="str">
        <f>CONCATENATE(Table43[[#This Row],[Kode BARANG Win2]],Table43[[#This Row],[No. Urut
Item Sama]])</f>
        <v>A11200090950101</v>
      </c>
      <c r="B258" s="7">
        <v>1</v>
      </c>
      <c r="C258" s="4">
        <v>228</v>
      </c>
      <c r="D258" s="27">
        <v>150150</v>
      </c>
      <c r="E258" s="27" t="s">
        <v>381</v>
      </c>
      <c r="F258" s="27" t="s">
        <v>432</v>
      </c>
      <c r="G258" s="27">
        <v>6</v>
      </c>
      <c r="H258" s="42" t="s">
        <v>2596</v>
      </c>
      <c r="I258" s="27" t="str">
        <f>Table43[[#This Row],[Nama Jenis Kemasan]]</f>
        <v>PCS</v>
      </c>
      <c r="J258" s="4" t="str">
        <f>TRIM(CONCATENATE(Table43[[#This Row],[Nama            KLP]]," ",Table43[[#This Row],[Nama            Sub KLP]]))</f>
        <v>SAMBAL</v>
      </c>
      <c r="K258" s="4" t="str">
        <f>CONCATENATE(Table43[[#This Row],[kode  2 Digit                (hrf+No)]],Table43[[#This Row],[kode  2 Digit                (Nomor)]],Table43[[#This Row],[kode  1 Digit                (Nomor)]])</f>
        <v>A1120</v>
      </c>
      <c r="L258" s="4" t="str">
        <f>IF(AG258="",CONCATENATE(Q258,S258,U258,W258,Y258,AA258,AC258,AE258,Table43[[#This Row],[Tanda Kode Revisi]]),CONCATENATE(Q258,S258,U258,W258,Y258,AA258,AC258,AG258))</f>
        <v>A1120009095010</v>
      </c>
      <c r="M258" s="11">
        <f t="shared" si="9"/>
        <v>14</v>
      </c>
      <c r="N258" s="14" t="str">
        <f>IF(AF258&lt;&gt;"",TRIM(UPPER(CONCATENATE(P258," ",R258," ",T258," ",V258," ",X258," ",Z258," ","X"," ",Table43[[#This Row],[ISI/CTN]]," ",AF258," ",AB258," ",AD258," ",AH258))),TRIM(UPPER(CONCATENATE(P258," ",R258," ",T258," ",V258," ",X258," ",Z258," ","X"," ",Table43[[#This Row],[ISI/CTN]]," ",AB258," ",AD258," ",AH258))))</f>
        <v>ABC SAMBAL EXTRA PEDAS PILLOW 950 GR X 6 PCS</v>
      </c>
      <c r="O258" s="11">
        <f t="shared" si="10"/>
        <v>44</v>
      </c>
      <c r="P258" s="4" t="s">
        <v>28</v>
      </c>
      <c r="Q258" s="7" t="s">
        <v>85</v>
      </c>
      <c r="R258" s="4" t="s">
        <v>603</v>
      </c>
      <c r="S258" s="43">
        <v>12</v>
      </c>
      <c r="T258" s="44"/>
      <c r="U258" s="7">
        <v>0</v>
      </c>
      <c r="V258" s="44"/>
      <c r="W258" s="43">
        <v>0</v>
      </c>
      <c r="X258" s="4" t="s">
        <v>618</v>
      </c>
      <c r="Y258" s="45" t="s">
        <v>568</v>
      </c>
      <c r="Z258" s="4" t="s">
        <v>619</v>
      </c>
      <c r="AA258" s="45" t="s">
        <v>620</v>
      </c>
      <c r="AB258" s="4" t="s">
        <v>552</v>
      </c>
      <c r="AC258" s="7" t="s">
        <v>480</v>
      </c>
      <c r="AE258" s="7" t="s">
        <v>1</v>
      </c>
      <c r="AI258" s="7" t="s">
        <v>215</v>
      </c>
      <c r="AJ258" s="7">
        <v>1</v>
      </c>
      <c r="AL258" s="40">
        <f>Table43[[#This Row],[Harga Jual Pcs GT
(-PPN)]]-(Table43[[#This Row],[Harga Jual Pcs GT
(-PPN)]]*6%)</f>
        <v>23381.4378</v>
      </c>
      <c r="AM258" s="41">
        <f>Table43[[#This Row],[Harga Beli Pcs
(-PPN)]]*Table43[[#This Row],[ISI/CTN]]</f>
        <v>140288.6268</v>
      </c>
      <c r="AN258" s="41">
        <f>Table43[[#This Row],[Harga Beli Pcs
(-PPN)]]*1.11</f>
        <v>25953.395958000001</v>
      </c>
      <c r="AO258" s="41">
        <f>Table43[[#This Row],[Harga Beli Krt
(- PPN)]]*1.11</f>
        <v>155720.37574800002</v>
      </c>
      <c r="AP258" s="41">
        <v>24873.87</v>
      </c>
      <c r="AQ258" s="41">
        <f>Table43[[#This Row],[Harga Jual Pcs GT
(-PPN)]]*Table43[[#This Row],[ISI/CTN]]</f>
        <v>149243.22</v>
      </c>
      <c r="AR258" s="41">
        <f>Table43[[#This Row],[Harga Jual Pcs GT
(-PPN)]]*1.11</f>
        <v>27609.995699999999</v>
      </c>
      <c r="AS258" s="41">
        <f>Table43[[#This Row],[Harga Jual Krt GT
(- PPN)]]*1.11</f>
        <v>165659.97420000003</v>
      </c>
      <c r="AT258" s="41">
        <v>26863.78</v>
      </c>
      <c r="AU258" s="41">
        <f>(Table43[[#This Row],[Harga Jual Pcs MT
(-PPN)]]*Table43[[#This Row],[ISI/CTN]])</f>
        <v>161182.68</v>
      </c>
      <c r="AV258" s="41">
        <f>Table43[[#This Row],[Harga Jual Pcs MT
(-PPN)]]*1.11</f>
        <v>29818.7958</v>
      </c>
      <c r="AW258" s="41">
        <f>Table43[[#This Row],[Harga Jual Pcs MT
(+PPN)]]*Table43[[#This Row],[ISI/CTN]]</f>
        <v>178912.77480000001</v>
      </c>
      <c r="AX258" s="41"/>
      <c r="AY258" s="46">
        <v>45553</v>
      </c>
      <c r="AZ258" s="54">
        <v>45553</v>
      </c>
      <c r="BA258" s="7" t="str">
        <f ca="1">IF(TODAY()-Table43[[#This Row],[Efektif
Pembuatan]]&gt;60,"Lama","Baru")</f>
        <v>Lama</v>
      </c>
      <c r="BB258" s="7" t="str">
        <f ca="1">IF(TODAY()-Table43[[#This Row],[Efektif Naik Harga]]&lt;30,"Naik","Sama")</f>
        <v>Sama</v>
      </c>
      <c r="BC258" s="7" t="s">
        <v>235</v>
      </c>
      <c r="BD258" s="7" t="str">
        <f>IF(Table43[[#This Row],[Kode BARANG Win2]]&lt;&gt;"","IDR","")</f>
        <v>IDR</v>
      </c>
      <c r="BE258" s="7" t="str">
        <f>CONCATENATE(Table43[[#This Row],[kode  1 Digit
(Nomor)]],Table43[[#This Row],[kode  4 Digit                (Nomor)]])</f>
        <v>10950</v>
      </c>
      <c r="BF258" s="7" t="str">
        <f>Table43[[#This Row],[Nama            Gramasi atau Jumlah Pack per CTN]]</f>
        <v>950 GR</v>
      </c>
      <c r="BG258" s="7" t="s">
        <v>653</v>
      </c>
      <c r="BH258" s="51" t="s">
        <v>654</v>
      </c>
      <c r="BI258" s="4" t="str">
        <f>IF(Table43[[#This Row],[SATUAN Fix Win]]&lt;&gt;"","KRT")</f>
        <v>KRT</v>
      </c>
      <c r="BJ258" s="4" t="str">
        <f>IF(Table43[[#This Row],[SATUAN Fix Win]]&lt;&gt;"","GD01")</f>
        <v>GD01</v>
      </c>
      <c r="BK258" s="4">
        <f>IF(Table43[[#This Row],[SATUAN Fix Win]]&lt;&gt;"",11611)</f>
        <v>11611</v>
      </c>
      <c r="BL258" s="4">
        <f>IF(Table43[[#This Row],[SATUAN Fix Win]]&lt;&gt;"",11612)</f>
        <v>11612</v>
      </c>
      <c r="BM258" s="47" t="s">
        <v>655</v>
      </c>
      <c r="BN258" s="4">
        <f>IF(Table43[[#This Row],[SATUAN Fix Win]]&lt;&gt;"",1)</f>
        <v>1</v>
      </c>
      <c r="BO258" s="4" t="s">
        <v>656</v>
      </c>
      <c r="BP258" s="4">
        <f>IFERROR(VLOOKUP(Table43[[#This Row],[Kode Pcpl]],'[1]HEINZ ABC'!$A$4:$E$112,8,0),0)</f>
        <v>0</v>
      </c>
      <c r="BQ258" s="55">
        <f>Table43[[#This Row],[Harga Jual Pcs GT
(-PPN)]]-Table43[[#This Row],[HARGA NAIK GT]]</f>
        <v>24873.87</v>
      </c>
      <c r="BR258" s="4">
        <f>IF(Table43[[#This Row],[HARGA NAIK GT]]=0,Table43[[#This Row],[Harga Jual Pcs GT
(-PPN)]],Table43[[#This Row],[HARGA NAIK GT]])</f>
        <v>24873.87</v>
      </c>
      <c r="BS258">
        <f>IFERROR(VLOOKUP(Table43[[#This Row],[Kode Pcpl]],'[1]HEINZ ABC'!$A$4:$E$112,8,0),0)</f>
        <v>0</v>
      </c>
      <c r="BT258" s="58">
        <f>Table43[[#This Row],[Harga Jual Pcs GT
(-PPN)]]-BS258</f>
        <v>24873.87</v>
      </c>
      <c r="BU258">
        <f>IF(BS258=0,Table43[[#This Row],[Harga Jual Pcs MT
(-PPN)]])</f>
        <v>26863.78</v>
      </c>
      <c r="BV258">
        <f>IFERROR(VLOOKUP(Table43[[#This Row],[Kode Pcpl]],[2]Pricelist!$A$4:$K$112,11,0),0)</f>
        <v>0</v>
      </c>
      <c r="BW258">
        <f>IFERROR(VLOOKUP(Table43[[#This Row],[Kode BARANG Win2]],[3]!RECKITT211216[[KDBRG]:[HRG_JL_PCS-PPN]],11,0),0)</f>
        <v>0</v>
      </c>
      <c r="BX258">
        <f t="shared" si="11"/>
        <v>0</v>
      </c>
    </row>
    <row r="259" spans="1:76" x14ac:dyDescent="0.25">
      <c r="A259" s="4" t="str">
        <f>CONCATENATE(Table43[[#This Row],[Kode BARANG Win2]],Table43[[#This Row],[No. Urut
Item Sama]])</f>
        <v>A11200090950102</v>
      </c>
      <c r="B259" s="7">
        <v>2</v>
      </c>
      <c r="C259" s="4">
        <v>229</v>
      </c>
      <c r="D259" s="27">
        <v>150239</v>
      </c>
      <c r="E259" s="27" t="s">
        <v>381</v>
      </c>
      <c r="F259" s="27" t="s">
        <v>433</v>
      </c>
      <c r="G259" s="27">
        <v>6</v>
      </c>
      <c r="H259" s="42" t="s">
        <v>2597</v>
      </c>
      <c r="I259" s="27" t="str">
        <f>Table43[[#This Row],[Nama Jenis Kemasan]]</f>
        <v>PCS</v>
      </c>
      <c r="J259" s="4" t="str">
        <f>TRIM(CONCATENATE(Table43[[#This Row],[Nama            KLP]]," ",Table43[[#This Row],[Nama            Sub KLP]]))</f>
        <v>SAMBAL</v>
      </c>
      <c r="K259" s="4" t="str">
        <f>CONCATENATE(Table43[[#This Row],[kode  2 Digit                (hrf+No)]],Table43[[#This Row],[kode  2 Digit                (Nomor)]],Table43[[#This Row],[kode  1 Digit                (Nomor)]])</f>
        <v>A1120</v>
      </c>
      <c r="L259" s="4" t="str">
        <f>IF(AG259="",CONCATENATE(Q259,S259,U259,W259,Y259,AA259,AC259,AE259,Table43[[#This Row],[Tanda Kode Revisi]]),CONCATENATE(Q259,S259,U259,W259,Y259,AA259,AC259,AG259))</f>
        <v>A1120009095010</v>
      </c>
      <c r="M259" s="11">
        <f t="shared" si="9"/>
        <v>14</v>
      </c>
      <c r="N259" s="14" t="str">
        <f>IF(AF259&lt;&gt;"",TRIM(UPPER(CONCATENATE(P259," ",R259," ",T259," ",V259," ",X259," ",Z259," ","X"," ",Table43[[#This Row],[ISI/CTN]]," ",AF259," ",AB259," ",AD259," ",AH259))),TRIM(UPPER(CONCATENATE(P259," ",R259," ",T259," ",V259," ",X259," ",Z259," ","X"," ",Table43[[#This Row],[ISI/CTN]]," ",AB259," ",AD259," ",AH259))))</f>
        <v>ABC SAMBAL EXTRA PEDAS PILLOW 950 GR X 6 PCS</v>
      </c>
      <c r="O259" s="11">
        <f t="shared" si="10"/>
        <v>44</v>
      </c>
      <c r="P259" s="4" t="s">
        <v>28</v>
      </c>
      <c r="Q259" s="7" t="s">
        <v>85</v>
      </c>
      <c r="R259" s="4" t="s">
        <v>603</v>
      </c>
      <c r="S259" s="43">
        <v>12</v>
      </c>
      <c r="T259" s="44"/>
      <c r="U259" s="7">
        <v>0</v>
      </c>
      <c r="V259" s="44"/>
      <c r="W259" s="43">
        <v>0</v>
      </c>
      <c r="X259" s="4" t="s">
        <v>618</v>
      </c>
      <c r="Y259" s="45" t="s">
        <v>568</v>
      </c>
      <c r="Z259" s="4" t="s">
        <v>619</v>
      </c>
      <c r="AA259" s="45" t="s">
        <v>620</v>
      </c>
      <c r="AB259" s="4" t="s">
        <v>552</v>
      </c>
      <c r="AC259" s="7" t="s">
        <v>480</v>
      </c>
      <c r="AE259" s="7" t="s">
        <v>1</v>
      </c>
      <c r="AI259" s="7" t="s">
        <v>215</v>
      </c>
      <c r="AJ259" s="7">
        <v>1</v>
      </c>
      <c r="AL259" s="40">
        <f>Table43[[#This Row],[Harga Jual Pcs GT
(-PPN)]]-(Table43[[#This Row],[Harga Jual Pcs GT
(-PPN)]]*6%)</f>
        <v>23381.4378</v>
      </c>
      <c r="AM259" s="41">
        <f>Table43[[#This Row],[Harga Beli Pcs
(-PPN)]]*Table43[[#This Row],[ISI/CTN]]</f>
        <v>140288.6268</v>
      </c>
      <c r="AN259" s="41">
        <f>Table43[[#This Row],[Harga Beli Pcs
(-PPN)]]*1.11</f>
        <v>25953.395958000001</v>
      </c>
      <c r="AO259" s="41">
        <f>Table43[[#This Row],[Harga Beli Krt
(- PPN)]]*1.11</f>
        <v>155720.37574800002</v>
      </c>
      <c r="AP259" s="41">
        <v>24873.87</v>
      </c>
      <c r="AQ259" s="41">
        <f>Table43[[#This Row],[Harga Jual Pcs GT
(-PPN)]]*Table43[[#This Row],[ISI/CTN]]</f>
        <v>149243.22</v>
      </c>
      <c r="AR259" s="41">
        <f>Table43[[#This Row],[Harga Jual Pcs GT
(-PPN)]]*1.11</f>
        <v>27609.995699999999</v>
      </c>
      <c r="AS259" s="41">
        <f>Table43[[#This Row],[Harga Jual Krt GT
(- PPN)]]*1.11</f>
        <v>165659.97420000003</v>
      </c>
      <c r="AT259" s="41">
        <v>26863.78</v>
      </c>
      <c r="AU259" s="41">
        <f>(Table43[[#This Row],[Harga Jual Pcs MT
(-PPN)]]*Table43[[#This Row],[ISI/CTN]])</f>
        <v>161182.68</v>
      </c>
      <c r="AV259" s="41">
        <f>Table43[[#This Row],[Harga Jual Pcs MT
(-PPN)]]*1.11</f>
        <v>29818.7958</v>
      </c>
      <c r="AW259" s="41">
        <f>Table43[[#This Row],[Harga Jual Pcs MT
(+PPN)]]*Table43[[#This Row],[ISI/CTN]]</f>
        <v>178912.77480000001</v>
      </c>
      <c r="AX259" s="41"/>
      <c r="AY259" s="46">
        <v>45553</v>
      </c>
      <c r="AZ259" s="54">
        <v>45553</v>
      </c>
      <c r="BA259" s="7" t="str">
        <f ca="1">IF(TODAY()-Table43[[#This Row],[Efektif
Pembuatan]]&gt;60,"Lama","Baru")</f>
        <v>Lama</v>
      </c>
      <c r="BB259" s="7" t="str">
        <f ca="1">IF(TODAY()-Table43[[#This Row],[Efektif Naik Harga]]&lt;30,"Naik","Sama")</f>
        <v>Sama</v>
      </c>
      <c r="BC259" s="7" t="s">
        <v>235</v>
      </c>
      <c r="BD259" s="7" t="str">
        <f>IF(Table43[[#This Row],[Kode BARANG Win2]]&lt;&gt;"","IDR","")</f>
        <v>IDR</v>
      </c>
      <c r="BE259" s="7" t="str">
        <f>CONCATENATE(Table43[[#This Row],[kode  1 Digit
(Nomor)]],Table43[[#This Row],[kode  4 Digit                (Nomor)]])</f>
        <v>10950</v>
      </c>
      <c r="BF259" s="7" t="str">
        <f>Table43[[#This Row],[Nama            Gramasi atau Jumlah Pack per CTN]]</f>
        <v>950 GR</v>
      </c>
      <c r="BG259" s="7" t="s">
        <v>653</v>
      </c>
      <c r="BH259" s="51" t="s">
        <v>654</v>
      </c>
      <c r="BI259" s="4" t="str">
        <f>IF(Table43[[#This Row],[SATUAN Fix Win]]&lt;&gt;"","KRT")</f>
        <v>KRT</v>
      </c>
      <c r="BJ259" s="4" t="str">
        <f>IF(Table43[[#This Row],[SATUAN Fix Win]]&lt;&gt;"","GD01")</f>
        <v>GD01</v>
      </c>
      <c r="BK259" s="4">
        <f>IF(Table43[[#This Row],[SATUAN Fix Win]]&lt;&gt;"",11611)</f>
        <v>11611</v>
      </c>
      <c r="BL259" s="4">
        <f>IF(Table43[[#This Row],[SATUAN Fix Win]]&lt;&gt;"",11612)</f>
        <v>11612</v>
      </c>
      <c r="BM259" s="47" t="s">
        <v>655</v>
      </c>
      <c r="BN259" s="4">
        <f>IF(Table43[[#This Row],[SATUAN Fix Win]]&lt;&gt;"",1)</f>
        <v>1</v>
      </c>
      <c r="BO259" s="4" t="s">
        <v>656</v>
      </c>
      <c r="BP259" s="4">
        <f>IFERROR(VLOOKUP(Table43[[#This Row],[Kode Pcpl]],'[1]HEINZ ABC'!$A$4:$E$112,8,0),0)</f>
        <v>0</v>
      </c>
      <c r="BQ259" s="55">
        <f>Table43[[#This Row],[Harga Jual Pcs GT
(-PPN)]]-Table43[[#This Row],[HARGA NAIK GT]]</f>
        <v>24873.87</v>
      </c>
      <c r="BR259" s="4">
        <f>IF(Table43[[#This Row],[HARGA NAIK GT]]=0,Table43[[#This Row],[Harga Jual Pcs GT
(-PPN)]],Table43[[#This Row],[HARGA NAIK GT]])</f>
        <v>24873.87</v>
      </c>
      <c r="BS259">
        <f>IFERROR(VLOOKUP(Table43[[#This Row],[Kode Pcpl]],'[1]HEINZ ABC'!$A$4:$E$112,8,0),0)</f>
        <v>0</v>
      </c>
      <c r="BT259" s="58">
        <f>Table43[[#This Row],[Harga Jual Pcs GT
(-PPN)]]-BS259</f>
        <v>24873.87</v>
      </c>
      <c r="BU259">
        <f>IF(BS259=0,Table43[[#This Row],[Harga Jual Pcs MT
(-PPN)]])</f>
        <v>26863.78</v>
      </c>
      <c r="BV259">
        <f>IFERROR(VLOOKUP(Table43[[#This Row],[Kode Pcpl]],[2]Pricelist!$A$4:$K$112,11,0),0)</f>
        <v>0</v>
      </c>
      <c r="BW259">
        <f>IFERROR(VLOOKUP(Table43[[#This Row],[Kode BARANG Win2]],[3]!RECKITT211216[[KDBRG]:[HRG_JL_PCS-PPN]],11,0),0)</f>
        <v>0</v>
      </c>
      <c r="BX259">
        <f t="shared" si="11"/>
        <v>0</v>
      </c>
    </row>
    <row r="260" spans="1:76" x14ac:dyDescent="0.25">
      <c r="A260" s="4" t="str">
        <f>CONCATENATE(Table43[[#This Row],[Kode BARANG Win2]],Table43[[#This Row],[No. Urut
Item Sama]])</f>
        <v>A11200090950103</v>
      </c>
      <c r="B260" s="7">
        <v>3</v>
      </c>
      <c r="C260" s="4">
        <v>230</v>
      </c>
      <c r="D260" s="27">
        <v>150344</v>
      </c>
      <c r="E260" s="27" t="s">
        <v>381</v>
      </c>
      <c r="F260" s="27" t="s">
        <v>433</v>
      </c>
      <c r="G260" s="27">
        <v>6</v>
      </c>
      <c r="H260" s="42" t="s">
        <v>2474</v>
      </c>
      <c r="I260" s="27" t="str">
        <f>Table43[[#This Row],[Nama Jenis Kemasan]]</f>
        <v>PCS</v>
      </c>
      <c r="J260" s="4" t="str">
        <f>TRIM(CONCATENATE(Table43[[#This Row],[Nama            KLP]]," ",Table43[[#This Row],[Nama            Sub KLP]]))</f>
        <v>SAMBAL</v>
      </c>
      <c r="K260" s="4" t="str">
        <f>CONCATENATE(Table43[[#This Row],[kode  2 Digit                (hrf+No)]],Table43[[#This Row],[kode  2 Digit                (Nomor)]],Table43[[#This Row],[kode  1 Digit                (Nomor)]])</f>
        <v>A1120</v>
      </c>
      <c r="L260" s="4" t="str">
        <f>IF(AG260="",CONCATENATE(Q260,S260,U260,W260,Y260,AA260,AC260,AE260,Table43[[#This Row],[Tanda Kode Revisi]]),CONCATENATE(Q260,S260,U260,W260,Y260,AA260,AC260,AG260))</f>
        <v>A1120009095010</v>
      </c>
      <c r="M260" s="11">
        <f t="shared" si="9"/>
        <v>14</v>
      </c>
      <c r="N260" s="14" t="str">
        <f>IF(AF260&lt;&gt;"",TRIM(UPPER(CONCATENATE(P260," ",R260," ",T260," ",V260," ",X260," ",Z260," ","X"," ",Table43[[#This Row],[ISI/CTN]]," ",AF260," ",AB260," ",AD260," ",AH260))),TRIM(UPPER(CONCATENATE(P260," ",R260," ",T260," ",V260," ",X260," ",Z260," ","X"," ",Table43[[#This Row],[ISI/CTN]]," ",AB260," ",AD260," ",AH260))))</f>
        <v>ABC SAMBAL EXTRA PEDAS PILLOW 950 GR X 6 PCS</v>
      </c>
      <c r="O260" s="11">
        <f t="shared" si="10"/>
        <v>44</v>
      </c>
      <c r="P260" s="4" t="s">
        <v>28</v>
      </c>
      <c r="Q260" s="7" t="s">
        <v>85</v>
      </c>
      <c r="R260" s="4" t="s">
        <v>603</v>
      </c>
      <c r="S260" s="43">
        <v>12</v>
      </c>
      <c r="T260" s="44"/>
      <c r="U260" s="7">
        <v>0</v>
      </c>
      <c r="V260" s="44"/>
      <c r="W260" s="43">
        <v>0</v>
      </c>
      <c r="X260" s="4" t="s">
        <v>618</v>
      </c>
      <c r="Y260" s="45" t="s">
        <v>568</v>
      </c>
      <c r="Z260" s="4" t="s">
        <v>619</v>
      </c>
      <c r="AA260" s="45" t="s">
        <v>620</v>
      </c>
      <c r="AB260" s="4" t="s">
        <v>552</v>
      </c>
      <c r="AC260" s="7" t="s">
        <v>480</v>
      </c>
      <c r="AE260" s="7" t="s">
        <v>1</v>
      </c>
      <c r="AI260" s="7" t="s">
        <v>215</v>
      </c>
      <c r="AJ260" s="7">
        <v>1</v>
      </c>
      <c r="AL260" s="40">
        <f>Table43[[#This Row],[Harga Jual Pcs GT
(-PPN)]]-(Table43[[#This Row],[Harga Jual Pcs GT
(-PPN)]]*6%)</f>
        <v>23381.4378</v>
      </c>
      <c r="AM260" s="41">
        <f>Table43[[#This Row],[Harga Beli Pcs
(-PPN)]]*Table43[[#This Row],[ISI/CTN]]</f>
        <v>140288.6268</v>
      </c>
      <c r="AN260" s="41">
        <f>Table43[[#This Row],[Harga Beli Pcs
(-PPN)]]*1.11</f>
        <v>25953.395958000001</v>
      </c>
      <c r="AO260" s="41">
        <f>Table43[[#This Row],[Harga Beli Krt
(- PPN)]]*1.11</f>
        <v>155720.37574800002</v>
      </c>
      <c r="AP260" s="41">
        <v>24873.87</v>
      </c>
      <c r="AQ260" s="41">
        <f>Table43[[#This Row],[Harga Jual Pcs GT
(-PPN)]]*Table43[[#This Row],[ISI/CTN]]</f>
        <v>149243.22</v>
      </c>
      <c r="AR260" s="41">
        <f>Table43[[#This Row],[Harga Jual Pcs GT
(-PPN)]]*1.11</f>
        <v>27609.995699999999</v>
      </c>
      <c r="AS260" s="41">
        <f>Table43[[#This Row],[Harga Jual Krt GT
(- PPN)]]*1.11</f>
        <v>165659.97420000003</v>
      </c>
      <c r="AT260" s="41">
        <v>26863.78</v>
      </c>
      <c r="AU260" s="41">
        <f>(Table43[[#This Row],[Harga Jual Pcs MT
(-PPN)]]*Table43[[#This Row],[ISI/CTN]])</f>
        <v>161182.68</v>
      </c>
      <c r="AV260" s="41">
        <f>Table43[[#This Row],[Harga Jual Pcs MT
(-PPN)]]*1.11</f>
        <v>29818.7958</v>
      </c>
      <c r="AW260" s="41">
        <f>Table43[[#This Row],[Harga Jual Pcs MT
(+PPN)]]*Table43[[#This Row],[ISI/CTN]]</f>
        <v>178912.77480000001</v>
      </c>
      <c r="AX260" s="41"/>
      <c r="AY260" s="46">
        <v>45645</v>
      </c>
      <c r="AZ260" s="54">
        <v>45553</v>
      </c>
      <c r="BA260" s="7" t="str">
        <f ca="1">IF(TODAY()-Table43[[#This Row],[Efektif
Pembuatan]]&gt;60,"Lama","Baru")</f>
        <v>Lama</v>
      </c>
      <c r="BB260" s="7" t="str">
        <f ca="1">IF(TODAY()-Table43[[#This Row],[Efektif Naik Harga]]&lt;30,"Naik","Sama")</f>
        <v>Sama</v>
      </c>
      <c r="BC260" s="7" t="s">
        <v>235</v>
      </c>
      <c r="BD260" s="7" t="str">
        <f>IF(Table43[[#This Row],[Kode BARANG Win2]]&lt;&gt;"","IDR","")</f>
        <v>IDR</v>
      </c>
      <c r="BE260" s="7" t="str">
        <f>CONCATENATE(Table43[[#This Row],[kode  1 Digit
(Nomor)]],Table43[[#This Row],[kode  4 Digit                (Nomor)]])</f>
        <v>10950</v>
      </c>
      <c r="BF260" s="7" t="str">
        <f>Table43[[#This Row],[Nama            Gramasi atau Jumlah Pack per CTN]]</f>
        <v>950 GR</v>
      </c>
      <c r="BG260" s="7" t="s">
        <v>653</v>
      </c>
      <c r="BH260" s="51" t="s">
        <v>654</v>
      </c>
      <c r="BI260" s="4" t="str">
        <f>IF(Table43[[#This Row],[SATUAN Fix Win]]&lt;&gt;"","KRT")</f>
        <v>KRT</v>
      </c>
      <c r="BJ260" s="4" t="str">
        <f>IF(Table43[[#This Row],[SATUAN Fix Win]]&lt;&gt;"","GD01")</f>
        <v>GD01</v>
      </c>
      <c r="BK260" s="4">
        <f>IF(Table43[[#This Row],[SATUAN Fix Win]]&lt;&gt;"",11611)</f>
        <v>11611</v>
      </c>
      <c r="BL260" s="4">
        <f>IF(Table43[[#This Row],[SATUAN Fix Win]]&lt;&gt;"",11612)</f>
        <v>11612</v>
      </c>
      <c r="BM260" s="47" t="s">
        <v>655</v>
      </c>
      <c r="BN260" s="4">
        <f>IF(Table43[[#This Row],[SATUAN Fix Win]]&lt;&gt;"",1)</f>
        <v>1</v>
      </c>
      <c r="BO260" s="4" t="s">
        <v>656</v>
      </c>
      <c r="BP260" s="4">
        <f>IFERROR(VLOOKUP(Table43[[#This Row],[Kode Pcpl]],'[1]HEINZ ABC'!$A$4:$E$112,8,0),0)</f>
        <v>0</v>
      </c>
      <c r="BQ260" s="55">
        <f>Table43[[#This Row],[Harga Jual Pcs GT
(-PPN)]]-Table43[[#This Row],[HARGA NAIK GT]]</f>
        <v>24873.87</v>
      </c>
      <c r="BR260" s="4">
        <f>IF(Table43[[#This Row],[HARGA NAIK GT]]=0,Table43[[#This Row],[Harga Jual Pcs GT
(-PPN)]],Table43[[#This Row],[HARGA NAIK GT]])</f>
        <v>24873.87</v>
      </c>
      <c r="BS260">
        <f>IFERROR(VLOOKUP(Table43[[#This Row],[Kode Pcpl]],'[1]HEINZ ABC'!$A$4:$E$112,8,0),0)</f>
        <v>0</v>
      </c>
      <c r="BT260" s="58">
        <f>Table43[[#This Row],[Harga Jual Pcs GT
(-PPN)]]-BS260</f>
        <v>24873.87</v>
      </c>
      <c r="BU260">
        <f>IF(BS260=0,Table43[[#This Row],[Harga Jual Pcs MT
(-PPN)]])</f>
        <v>26863.78</v>
      </c>
      <c r="BV260">
        <f>IFERROR(VLOOKUP(Table43[[#This Row],[Kode Pcpl]],[2]Pricelist!$A$4:$K$112,11,0),0)</f>
        <v>0</v>
      </c>
      <c r="BW260">
        <f>IFERROR(VLOOKUP(Table43[[#This Row],[Kode BARANG Win2]],[3]!RECKITT211216[[KDBRG]:[HRG_JL_PCS-PPN]],11,0),0)</f>
        <v>0</v>
      </c>
      <c r="BX260">
        <f t="shared" si="11"/>
        <v>0</v>
      </c>
    </row>
    <row r="261" spans="1:76" x14ac:dyDescent="0.25">
      <c r="A261" s="4" t="str">
        <f>CONCATENATE(Table43[[#This Row],[Kode BARANG Win2]],Table43[[#This Row],[No. Urut
Item Sama]])</f>
        <v>A11200100075101</v>
      </c>
      <c r="B261" s="7">
        <v>1</v>
      </c>
      <c r="C261" s="4">
        <v>231</v>
      </c>
      <c r="D261" s="27">
        <v>150298</v>
      </c>
      <c r="E261" s="27" t="s">
        <v>381</v>
      </c>
      <c r="F261" s="27" t="s">
        <v>434</v>
      </c>
      <c r="G261" s="27">
        <v>48</v>
      </c>
      <c r="H261" s="42">
        <v>0</v>
      </c>
      <c r="I261" s="27" t="str">
        <f>Table43[[#This Row],[Nama Jenis Kemasan]]</f>
        <v>PCH</v>
      </c>
      <c r="J261" s="4" t="str">
        <f>TRIM(CONCATENATE(Table43[[#This Row],[Nama            KLP]]," ",Table43[[#This Row],[Nama            Sub KLP]]))</f>
        <v>SAMBAL</v>
      </c>
      <c r="K261" s="4" t="str">
        <f>CONCATENATE(Table43[[#This Row],[kode  2 Digit                (hrf+No)]],Table43[[#This Row],[kode  2 Digit                (Nomor)]],Table43[[#This Row],[kode  1 Digit                (Nomor)]])</f>
        <v>A1120</v>
      </c>
      <c r="L261" s="4" t="str">
        <f>IF(AG261="",CONCATENATE(Q261,S261,U261,W261,Y261,AA261,AC261,AE261,Table43[[#This Row],[Tanda Kode Revisi]]),CONCATENATE(Q261,S261,U261,W261,Y261,AA261,AC261,AG261))</f>
        <v>A1120010007510</v>
      </c>
      <c r="M261" s="11">
        <f t="shared" si="9"/>
        <v>14</v>
      </c>
      <c r="N261" s="14" t="str">
        <f>IF(AF261&lt;&gt;"",TRIM(UPPER(CONCATENATE(P261," ",R261," ",T261," ",V261," ",X261," ",Z261," ","X"," ",Table43[[#This Row],[ISI/CTN]]," ",AF261," ",AB261," ",AD261," ",AH261))),TRIM(UPPER(CONCATENATE(P261," ",R261," ",T261," ",V261," ",X261," ",Z261," ","X"," ",Table43[[#This Row],[ISI/CTN]]," ",AB261," ",AD261," ",AH261))))</f>
        <v>ABC SAMBAL EXTREME PEDAS 75 GR X 48 PCH</v>
      </c>
      <c r="O261" s="11">
        <f t="shared" si="10"/>
        <v>39</v>
      </c>
      <c r="P261" s="4" t="s">
        <v>28</v>
      </c>
      <c r="Q261" s="7" t="s">
        <v>85</v>
      </c>
      <c r="R261" s="4" t="s">
        <v>603</v>
      </c>
      <c r="S261" s="43">
        <v>12</v>
      </c>
      <c r="T261" s="44"/>
      <c r="U261" s="7">
        <v>0</v>
      </c>
      <c r="V261" s="44"/>
      <c r="W261" s="43" t="s">
        <v>1</v>
      </c>
      <c r="X261" s="4" t="s">
        <v>621</v>
      </c>
      <c r="Y261" s="45">
        <v>10</v>
      </c>
      <c r="Z261" s="4" t="s">
        <v>520</v>
      </c>
      <c r="AA261" s="45" t="s">
        <v>521</v>
      </c>
      <c r="AB261" s="4" t="s">
        <v>479</v>
      </c>
      <c r="AC261" s="7" t="s">
        <v>480</v>
      </c>
      <c r="AE261" s="7" t="s">
        <v>1</v>
      </c>
      <c r="AI261" s="7" t="s">
        <v>215</v>
      </c>
      <c r="AJ261" s="7">
        <v>1</v>
      </c>
      <c r="AL261" s="40">
        <f>Table43[[#This Row],[Harga Jual Pcs GT
(-PPN)]]-(Table43[[#This Row],[Harga Jual Pcs GT
(-PPN)]]*6%)</f>
        <v>2375.38</v>
      </c>
      <c r="AM261" s="41">
        <f>Table43[[#This Row],[Harga Beli Pcs
(-PPN)]]*Table43[[#This Row],[ISI/CTN]]</f>
        <v>114018.24000000001</v>
      </c>
      <c r="AN261" s="41">
        <f>Table43[[#This Row],[Harga Beli Pcs
(-PPN)]]*1.11</f>
        <v>2636.6718000000005</v>
      </c>
      <c r="AO261" s="41">
        <f>Table43[[#This Row],[Harga Beli Krt
(- PPN)]]*1.11</f>
        <v>126560.24640000002</v>
      </c>
      <c r="AP261" s="41">
        <v>2527</v>
      </c>
      <c r="AQ261" s="41">
        <f>Table43[[#This Row],[Harga Jual Pcs GT
(-PPN)]]*Table43[[#This Row],[ISI/CTN]]</f>
        <v>121296</v>
      </c>
      <c r="AR261" s="41">
        <f>Table43[[#This Row],[Harga Jual Pcs GT
(-PPN)]]*1.11</f>
        <v>2804.9700000000003</v>
      </c>
      <c r="AS261" s="41">
        <f>Table43[[#This Row],[Harga Jual Krt GT
(- PPN)]]*1.11</f>
        <v>134638.56</v>
      </c>
      <c r="AT261" s="41">
        <v>2729.16</v>
      </c>
      <c r="AU261" s="41">
        <f>(Table43[[#This Row],[Harga Jual Pcs MT
(-PPN)]]*Table43[[#This Row],[ISI/CTN]])</f>
        <v>130999.67999999999</v>
      </c>
      <c r="AV261" s="41">
        <f>Table43[[#This Row],[Harga Jual Pcs MT
(-PPN)]]*1.11</f>
        <v>3029.3676</v>
      </c>
      <c r="AW261" s="41">
        <f>Table43[[#This Row],[Harga Jual Pcs MT
(+PPN)]]*Table43[[#This Row],[ISI/CTN]]</f>
        <v>145409.64480000001</v>
      </c>
      <c r="AX261" s="41"/>
      <c r="AY261" s="46">
        <v>45553</v>
      </c>
      <c r="AZ261" s="54">
        <v>45553</v>
      </c>
      <c r="BA261" s="7" t="str">
        <f ca="1">IF(TODAY()-Table43[[#This Row],[Efektif
Pembuatan]]&gt;60,"Lama","Baru")</f>
        <v>Lama</v>
      </c>
      <c r="BB261" s="7" t="str">
        <f ca="1">IF(TODAY()-Table43[[#This Row],[Efektif Naik Harga]]&lt;30,"Naik","Sama")</f>
        <v>Sama</v>
      </c>
      <c r="BC261" s="7" t="s">
        <v>235</v>
      </c>
      <c r="BD261" s="7" t="str">
        <f>IF(Table43[[#This Row],[Kode BARANG Win2]]&lt;&gt;"","IDR","")</f>
        <v>IDR</v>
      </c>
      <c r="BE261" s="7" t="str">
        <f>CONCATENATE(Table43[[#This Row],[kode  1 Digit
(Nomor)]],Table43[[#This Row],[kode  4 Digit                (Nomor)]])</f>
        <v>10075</v>
      </c>
      <c r="BF261" s="7" t="str">
        <f>Table43[[#This Row],[Nama            Gramasi atau Jumlah Pack per CTN]]</f>
        <v>75 GR</v>
      </c>
      <c r="BG261" s="7" t="s">
        <v>653</v>
      </c>
      <c r="BH261" s="51" t="s">
        <v>654</v>
      </c>
      <c r="BI261" s="4" t="str">
        <f>IF(Table43[[#This Row],[SATUAN Fix Win]]&lt;&gt;"","KRT")</f>
        <v>KRT</v>
      </c>
      <c r="BJ261" s="4" t="str">
        <f>IF(Table43[[#This Row],[SATUAN Fix Win]]&lt;&gt;"","GD01")</f>
        <v>GD01</v>
      </c>
      <c r="BK261" s="4">
        <f>IF(Table43[[#This Row],[SATUAN Fix Win]]&lt;&gt;"",11611)</f>
        <v>11611</v>
      </c>
      <c r="BL261" s="4">
        <f>IF(Table43[[#This Row],[SATUAN Fix Win]]&lt;&gt;"",11612)</f>
        <v>11612</v>
      </c>
      <c r="BM261" s="47" t="s">
        <v>655</v>
      </c>
      <c r="BN261" s="4">
        <f>IF(Table43[[#This Row],[SATUAN Fix Win]]&lt;&gt;"",1)</f>
        <v>1</v>
      </c>
      <c r="BO261" s="4" t="s">
        <v>656</v>
      </c>
      <c r="BP261" s="4">
        <f>IFERROR(VLOOKUP(Table43[[#This Row],[Kode Pcpl]],'[1]HEINZ ABC'!$A$4:$E$112,8,0),0)</f>
        <v>0</v>
      </c>
      <c r="BQ261" s="55">
        <f>Table43[[#This Row],[Harga Jual Pcs GT
(-PPN)]]-Table43[[#This Row],[HARGA NAIK GT]]</f>
        <v>2527</v>
      </c>
      <c r="BR261" s="4">
        <f>IF(Table43[[#This Row],[HARGA NAIK GT]]=0,Table43[[#This Row],[Harga Jual Pcs GT
(-PPN)]],Table43[[#This Row],[HARGA NAIK GT]])</f>
        <v>2527</v>
      </c>
      <c r="BS261">
        <f>IFERROR(VLOOKUP(Table43[[#This Row],[Kode Pcpl]],'[1]HEINZ ABC'!$A$4:$E$112,8,0),0)</f>
        <v>0</v>
      </c>
      <c r="BT261" s="58">
        <f>Table43[[#This Row],[Harga Jual Pcs GT
(-PPN)]]-BS261</f>
        <v>2527</v>
      </c>
      <c r="BU261">
        <f>IF(BS261=0,Table43[[#This Row],[Harga Jual Pcs MT
(-PPN)]])</f>
        <v>2729.16</v>
      </c>
      <c r="BV261">
        <f>IFERROR(VLOOKUP(Table43[[#This Row],[Kode Pcpl]],[2]Pricelist!$A$4:$K$112,11,0),0)</f>
        <v>0</v>
      </c>
      <c r="BW261">
        <f>IFERROR(VLOOKUP(Table43[[#This Row],[Kode BARANG Win2]],[3]!RECKITT211216[[KDBRG]:[HRG_JL_PCS-PPN]],11,0),0)</f>
        <v>0</v>
      </c>
      <c r="BX261">
        <f t="shared" si="11"/>
        <v>0</v>
      </c>
    </row>
    <row r="262" spans="1:76" x14ac:dyDescent="0.25">
      <c r="A262" s="4" t="str">
        <f>CONCATENATE(Table43[[#This Row],[Kode BARANG Win2]],Table43[[#This Row],[No. Urut
Item Sama]])</f>
        <v>A11200100135101</v>
      </c>
      <c r="B262" s="7">
        <v>1</v>
      </c>
      <c r="C262" s="4">
        <v>232</v>
      </c>
      <c r="D262" s="27">
        <v>150299</v>
      </c>
      <c r="E262" s="27" t="s">
        <v>381</v>
      </c>
      <c r="F262" s="27" t="s">
        <v>435</v>
      </c>
      <c r="G262" s="27">
        <v>48</v>
      </c>
      <c r="H262" s="42">
        <v>0</v>
      </c>
      <c r="I262" s="27" t="str">
        <f>Table43[[#This Row],[Nama Jenis Kemasan]]</f>
        <v>BTL</v>
      </c>
      <c r="J262" s="4" t="str">
        <f>TRIM(CONCATENATE(Table43[[#This Row],[Nama            KLP]]," ",Table43[[#This Row],[Nama            Sub KLP]]))</f>
        <v>SAMBAL</v>
      </c>
      <c r="K262" s="4" t="str">
        <f>CONCATENATE(Table43[[#This Row],[kode  2 Digit                (hrf+No)]],Table43[[#This Row],[kode  2 Digit                (Nomor)]],Table43[[#This Row],[kode  1 Digit                (Nomor)]])</f>
        <v>A1120</v>
      </c>
      <c r="L262" s="4" t="str">
        <f>IF(AG262="",CONCATENATE(Q262,S262,U262,W262,Y262,AA262,AC262,AE262,Table43[[#This Row],[Tanda Kode Revisi]]),CONCATENATE(Q262,S262,U262,W262,Y262,AA262,AC262,AG262))</f>
        <v>A1120010013510</v>
      </c>
      <c r="M262" s="11">
        <f t="shared" si="9"/>
        <v>14</v>
      </c>
      <c r="N262" s="14" t="str">
        <f>IF(AF262&lt;&gt;"",TRIM(UPPER(CONCATENATE(P262," ",R262," ",T262," ",V262," ",X262," ",Z262," ","X"," ",Table43[[#This Row],[ISI/CTN]]," ",AF262," ",AB262," ",AD262," ",AH262))),TRIM(UPPER(CONCATENATE(P262," ",R262," ",T262," ",V262," ",X262," ",Z262," ","X"," ",Table43[[#This Row],[ISI/CTN]]," ",AB262," ",AD262," ",AH262))))</f>
        <v>ABC SAMBAL EXTREME PEDAS 135 ML X 48 BTL</v>
      </c>
      <c r="O262" s="11">
        <f t="shared" si="10"/>
        <v>40</v>
      </c>
      <c r="P262" s="4" t="s">
        <v>28</v>
      </c>
      <c r="Q262" s="7" t="s">
        <v>85</v>
      </c>
      <c r="R262" s="4" t="s">
        <v>603</v>
      </c>
      <c r="S262" s="43">
        <v>12</v>
      </c>
      <c r="T262" s="44"/>
      <c r="U262" s="7">
        <v>0</v>
      </c>
      <c r="V262" s="44"/>
      <c r="W262" s="43" t="s">
        <v>1</v>
      </c>
      <c r="X262" s="4" t="s">
        <v>621</v>
      </c>
      <c r="Y262" s="45">
        <v>10</v>
      </c>
      <c r="Z262" s="4" t="s">
        <v>484</v>
      </c>
      <c r="AA262" s="45" t="s">
        <v>487</v>
      </c>
      <c r="AB262" s="4" t="s">
        <v>486</v>
      </c>
      <c r="AC262" s="7" t="s">
        <v>480</v>
      </c>
      <c r="AE262" s="7" t="s">
        <v>1</v>
      </c>
      <c r="AI262" s="7" t="s">
        <v>214</v>
      </c>
      <c r="AJ262" s="7">
        <v>2</v>
      </c>
      <c r="AL262" s="40">
        <f>Table43[[#This Row],[Harga Jual Pcs GT
(-PPN)]]-(Table43[[#This Row],[Harga Jual Pcs GT
(-PPN)]]*6%)</f>
        <v>6402.152</v>
      </c>
      <c r="AM262" s="41">
        <f>Table43[[#This Row],[Harga Beli Pcs
(-PPN)]]*Table43[[#This Row],[ISI/CTN]]</f>
        <v>307303.29599999997</v>
      </c>
      <c r="AN262" s="41">
        <f>Table43[[#This Row],[Harga Beli Pcs
(-PPN)]]*1.11</f>
        <v>7106.3887200000008</v>
      </c>
      <c r="AO262" s="41">
        <f>Table43[[#This Row],[Harga Beli Krt
(- PPN)]]*1.11</f>
        <v>341106.65856000001</v>
      </c>
      <c r="AP262" s="41">
        <v>6810.8</v>
      </c>
      <c r="AQ262" s="41">
        <f>Table43[[#This Row],[Harga Jual Pcs GT
(-PPN)]]*Table43[[#This Row],[ISI/CTN]]</f>
        <v>326918.40000000002</v>
      </c>
      <c r="AR262" s="41">
        <f>Table43[[#This Row],[Harga Jual Pcs GT
(-PPN)]]*1.11</f>
        <v>7559.9880000000012</v>
      </c>
      <c r="AS262" s="41">
        <f>Table43[[#This Row],[Harga Jual Krt GT
(- PPN)]]*1.11</f>
        <v>362879.42400000006</v>
      </c>
      <c r="AT262" s="41">
        <v>7355.66</v>
      </c>
      <c r="AU262" s="41">
        <f>(Table43[[#This Row],[Harga Jual Pcs MT
(-PPN)]]*Table43[[#This Row],[ISI/CTN]])</f>
        <v>353071.68</v>
      </c>
      <c r="AV262" s="41">
        <f>Table43[[#This Row],[Harga Jual Pcs MT
(-PPN)]]*1.11</f>
        <v>8164.7826000000005</v>
      </c>
      <c r="AW262" s="41">
        <f>Table43[[#This Row],[Harga Jual Pcs MT
(+PPN)]]*Table43[[#This Row],[ISI/CTN]]</f>
        <v>391909.56480000005</v>
      </c>
      <c r="AX262" s="41"/>
      <c r="AY262" s="46">
        <v>45553</v>
      </c>
      <c r="AZ262" s="54">
        <v>45553</v>
      </c>
      <c r="BA262" s="7" t="str">
        <f ca="1">IF(TODAY()-Table43[[#This Row],[Efektif
Pembuatan]]&gt;60,"Lama","Baru")</f>
        <v>Lama</v>
      </c>
      <c r="BB262" s="7" t="str">
        <f ca="1">IF(TODAY()-Table43[[#This Row],[Efektif Naik Harga]]&lt;30,"Naik","Sama")</f>
        <v>Sama</v>
      </c>
      <c r="BC262" s="7" t="s">
        <v>235</v>
      </c>
      <c r="BD262" s="7" t="str">
        <f>IF(Table43[[#This Row],[Kode BARANG Win2]]&lt;&gt;"","IDR","")</f>
        <v>IDR</v>
      </c>
      <c r="BE262" s="7" t="str">
        <f>CONCATENATE(Table43[[#This Row],[kode  1 Digit
(Nomor)]],Table43[[#This Row],[kode  4 Digit                (Nomor)]])</f>
        <v>20135</v>
      </c>
      <c r="BF262" s="7" t="str">
        <f>Table43[[#This Row],[Nama            Gramasi atau Jumlah Pack per CTN]]</f>
        <v>135 ML</v>
      </c>
      <c r="BG262" s="7" t="s">
        <v>653</v>
      </c>
      <c r="BH262" s="51" t="s">
        <v>654</v>
      </c>
      <c r="BI262" s="4" t="str">
        <f>IF(Table43[[#This Row],[SATUAN Fix Win]]&lt;&gt;"","KRT")</f>
        <v>KRT</v>
      </c>
      <c r="BJ262" s="4" t="str">
        <f>IF(Table43[[#This Row],[SATUAN Fix Win]]&lt;&gt;"","GD01")</f>
        <v>GD01</v>
      </c>
      <c r="BK262" s="4">
        <f>IF(Table43[[#This Row],[SATUAN Fix Win]]&lt;&gt;"",11611)</f>
        <v>11611</v>
      </c>
      <c r="BL262" s="4">
        <f>IF(Table43[[#This Row],[SATUAN Fix Win]]&lt;&gt;"",11612)</f>
        <v>11612</v>
      </c>
      <c r="BM262" s="47" t="s">
        <v>655</v>
      </c>
      <c r="BN262" s="4">
        <f>IF(Table43[[#This Row],[SATUAN Fix Win]]&lt;&gt;"",1)</f>
        <v>1</v>
      </c>
      <c r="BO262" s="4" t="s">
        <v>656</v>
      </c>
      <c r="BP262" s="4">
        <f>IFERROR(VLOOKUP(Table43[[#This Row],[Kode Pcpl]],'[1]HEINZ ABC'!$A$4:$E$112,8,0),0)</f>
        <v>0</v>
      </c>
      <c r="BQ262" s="55">
        <f>Table43[[#This Row],[Harga Jual Pcs GT
(-PPN)]]-Table43[[#This Row],[HARGA NAIK GT]]</f>
        <v>6810.8</v>
      </c>
      <c r="BR262" s="4">
        <f>IF(Table43[[#This Row],[HARGA NAIK GT]]=0,Table43[[#This Row],[Harga Jual Pcs GT
(-PPN)]],Table43[[#This Row],[HARGA NAIK GT]])</f>
        <v>6810.8</v>
      </c>
      <c r="BS262">
        <f>IFERROR(VLOOKUP(Table43[[#This Row],[Kode Pcpl]],'[1]HEINZ ABC'!$A$4:$E$112,8,0),0)</f>
        <v>0</v>
      </c>
      <c r="BT262" s="58">
        <f>Table43[[#This Row],[Harga Jual Pcs GT
(-PPN)]]-BS262</f>
        <v>6810.8</v>
      </c>
      <c r="BU262">
        <f>IF(BS262=0,Table43[[#This Row],[Harga Jual Pcs MT
(-PPN)]])</f>
        <v>7355.66</v>
      </c>
      <c r="BV262">
        <f>IFERROR(VLOOKUP(Table43[[#This Row],[Kode Pcpl]],[2]Pricelist!$A$4:$K$112,11,0),0)</f>
        <v>0</v>
      </c>
      <c r="BW262">
        <f>IFERROR(VLOOKUP(Table43[[#This Row],[Kode BARANG Win2]],[3]!RECKITT211216[[KDBRG]:[HRG_JL_PCS-PPN]],11,0),0)</f>
        <v>0</v>
      </c>
      <c r="BX262">
        <f t="shared" si="11"/>
        <v>0</v>
      </c>
    </row>
    <row r="263" spans="1:76" x14ac:dyDescent="0.25">
      <c r="A263" s="4" t="str">
        <f>CONCATENATE(Table43[[#This Row],[Kode BARANG Win2]],Table43[[#This Row],[No. Urut
Item Sama]])</f>
        <v>A11200110135101</v>
      </c>
      <c r="B263" s="7">
        <v>1</v>
      </c>
      <c r="C263" s="4">
        <v>233</v>
      </c>
      <c r="D263" s="27">
        <v>150166</v>
      </c>
      <c r="E263" s="27" t="s">
        <v>381</v>
      </c>
      <c r="F263" s="27" t="s">
        <v>436</v>
      </c>
      <c r="G263" s="27">
        <v>48</v>
      </c>
      <c r="H263" s="42" t="s">
        <v>2619</v>
      </c>
      <c r="I263" s="27" t="str">
        <f>Table43[[#This Row],[Nama Jenis Kemasan]]</f>
        <v>BTL</v>
      </c>
      <c r="J263" s="4" t="str">
        <f>TRIM(CONCATENATE(Table43[[#This Row],[Nama            KLP]]," ",Table43[[#This Row],[Nama            Sub KLP]]))</f>
        <v>SAMBAL</v>
      </c>
      <c r="K263" s="4" t="str">
        <f>CONCATENATE(Table43[[#This Row],[kode  2 Digit                (hrf+No)]],Table43[[#This Row],[kode  2 Digit                (Nomor)]],Table43[[#This Row],[kode  1 Digit                (Nomor)]])</f>
        <v>A1120</v>
      </c>
      <c r="L263" s="4" t="str">
        <f>IF(AG263="",CONCATENATE(Q263,S263,U263,W263,Y263,AA263,AC263,AE263,Table43[[#This Row],[Tanda Kode Revisi]]),CONCATENATE(Q263,S263,U263,W263,Y263,AA263,AC263,AG263))</f>
        <v>A1120011013510</v>
      </c>
      <c r="M263" s="11">
        <f t="shared" si="9"/>
        <v>14</v>
      </c>
      <c r="N263" s="14" t="str">
        <f>IF(AF263&lt;&gt;"",TRIM(UPPER(CONCATENATE(P263," ",R263," ",T263," ",V263," ",X263," ",Z263," ","X"," ",Table43[[#This Row],[ISI/CTN]]," ",AF263," ",AB263," ",AD263," ",AH263))),TRIM(UPPER(CONCATENATE(P263," ",R263," ",T263," ",V263," ",X263," ",Z263," ","X"," ",Table43[[#This Row],[ISI/CTN]]," ",AB263," ",AD263," ",AH263))))</f>
        <v>ABC SAMBAL MANIS PEDAS 135 ML X 48 BTL</v>
      </c>
      <c r="O263" s="11">
        <f t="shared" si="10"/>
        <v>38</v>
      </c>
      <c r="P263" s="4" t="s">
        <v>28</v>
      </c>
      <c r="Q263" s="7" t="s">
        <v>85</v>
      </c>
      <c r="R263" s="4" t="s">
        <v>603</v>
      </c>
      <c r="S263" s="43">
        <v>12</v>
      </c>
      <c r="T263" s="44"/>
      <c r="U263" s="7">
        <v>0</v>
      </c>
      <c r="V263" s="44"/>
      <c r="W263" s="43" t="s">
        <v>1</v>
      </c>
      <c r="X263" s="4" t="s">
        <v>622</v>
      </c>
      <c r="Y263" s="45">
        <v>11</v>
      </c>
      <c r="Z263" s="4" t="s">
        <v>484</v>
      </c>
      <c r="AA263" s="45" t="s">
        <v>487</v>
      </c>
      <c r="AB263" s="4" t="s">
        <v>486</v>
      </c>
      <c r="AC263" s="7" t="s">
        <v>480</v>
      </c>
      <c r="AE263" s="7" t="s">
        <v>1</v>
      </c>
      <c r="AI263" s="7" t="s">
        <v>214</v>
      </c>
      <c r="AJ263" s="7">
        <v>2</v>
      </c>
      <c r="AL263" s="40">
        <f>Table43[[#This Row],[Harga Jual Pcs GT
(-PPN)]]-(Table43[[#This Row],[Harga Jual Pcs GT
(-PPN)]]*6%)</f>
        <v>6097.2904166666667</v>
      </c>
      <c r="AM263" s="41">
        <f>Table43[[#This Row],[Harga Beli Pcs
(-PPN)]]*Table43[[#This Row],[ISI/CTN]]</f>
        <v>292669.94</v>
      </c>
      <c r="AN263" s="41">
        <f>Table43[[#This Row],[Harga Beli Pcs
(-PPN)]]*1.11</f>
        <v>6767.992362500001</v>
      </c>
      <c r="AO263" s="41">
        <f>Table43[[#This Row],[Harga Beli Krt
(- PPN)]]*1.11</f>
        <v>324863.63340000005</v>
      </c>
      <c r="AP263" s="41">
        <v>6486.479166666667</v>
      </c>
      <c r="AQ263" s="41">
        <f>Table43[[#This Row],[Harga Jual Pcs GT
(-PPN)]]*Table43[[#This Row],[ISI/CTN]]</f>
        <v>311351</v>
      </c>
      <c r="AR263" s="41">
        <f>Table43[[#This Row],[Harga Jual Pcs GT
(-PPN)]]*1.11</f>
        <v>7199.9918750000006</v>
      </c>
      <c r="AS263" s="41">
        <f>Table43[[#This Row],[Harga Jual Krt GT
(- PPN)]]*1.11</f>
        <v>345599.61000000004</v>
      </c>
      <c r="AT263" s="41">
        <v>7005.3975000000009</v>
      </c>
      <c r="AU263" s="41">
        <f>(Table43[[#This Row],[Harga Jual Pcs MT
(-PPN)]]*Table43[[#This Row],[ISI/CTN]])</f>
        <v>336259.08000000007</v>
      </c>
      <c r="AV263" s="41">
        <f>Table43[[#This Row],[Harga Jual Pcs MT
(-PPN)]]*1.11</f>
        <v>7775.9912250000016</v>
      </c>
      <c r="AW263" s="41">
        <f>Table43[[#This Row],[Harga Jual Pcs MT
(+PPN)]]*Table43[[#This Row],[ISI/CTN]]</f>
        <v>373247.57880000008</v>
      </c>
      <c r="AX263" s="41"/>
      <c r="AY263" s="46">
        <v>45553</v>
      </c>
      <c r="AZ263" s="54">
        <v>45839</v>
      </c>
      <c r="BA263" s="7" t="str">
        <f ca="1">IF(TODAY()-Table43[[#This Row],[Efektif
Pembuatan]]&gt;60,"Lama","Baru")</f>
        <v>Lama</v>
      </c>
      <c r="BB263" s="7" t="str">
        <f ca="1">IF(TODAY()-Table43[[#This Row],[Efektif Naik Harga]]&lt;30,"Naik","Sama")</f>
        <v>Sama</v>
      </c>
      <c r="BC263" s="7" t="s">
        <v>235</v>
      </c>
      <c r="BD263" s="7" t="str">
        <f>IF(Table43[[#This Row],[Kode BARANG Win2]]&lt;&gt;"","IDR","")</f>
        <v>IDR</v>
      </c>
      <c r="BE263" s="7" t="str">
        <f>CONCATENATE(Table43[[#This Row],[kode  1 Digit
(Nomor)]],Table43[[#This Row],[kode  4 Digit                (Nomor)]])</f>
        <v>20135</v>
      </c>
      <c r="BF263" s="7" t="str">
        <f>Table43[[#This Row],[Nama            Gramasi atau Jumlah Pack per CTN]]</f>
        <v>135 ML</v>
      </c>
      <c r="BG263" s="7" t="s">
        <v>653</v>
      </c>
      <c r="BH263" s="51" t="s">
        <v>654</v>
      </c>
      <c r="BI263" s="4" t="str">
        <f>IF(Table43[[#This Row],[SATUAN Fix Win]]&lt;&gt;"","KRT")</f>
        <v>KRT</v>
      </c>
      <c r="BJ263" s="4" t="str">
        <f>IF(Table43[[#This Row],[SATUAN Fix Win]]&lt;&gt;"","GD01")</f>
        <v>GD01</v>
      </c>
      <c r="BK263" s="4">
        <f>IF(Table43[[#This Row],[SATUAN Fix Win]]&lt;&gt;"",11611)</f>
        <v>11611</v>
      </c>
      <c r="BL263" s="4">
        <f>IF(Table43[[#This Row],[SATUAN Fix Win]]&lt;&gt;"",11612)</f>
        <v>11612</v>
      </c>
      <c r="BM263" s="47" t="s">
        <v>655</v>
      </c>
      <c r="BN263" s="4">
        <f>IF(Table43[[#This Row],[SATUAN Fix Win]]&lt;&gt;"",1)</f>
        <v>1</v>
      </c>
      <c r="BO263" s="4" t="s">
        <v>656</v>
      </c>
      <c r="BP263" s="4">
        <f>IFERROR(VLOOKUP(Table43[[#This Row],[Kode Pcpl]],'[1]HEINZ ABC'!$A$4:$E$112,8,0),0)</f>
        <v>0</v>
      </c>
      <c r="BQ263" s="55">
        <f>Table43[[#This Row],[Harga Jual Pcs GT
(-PPN)]]-Table43[[#This Row],[HARGA NAIK GT]]</f>
        <v>6486.479166666667</v>
      </c>
      <c r="BR263" s="4">
        <f>IF(Table43[[#This Row],[HARGA NAIK GT]]=0,Table43[[#This Row],[Harga Jual Pcs GT
(-PPN)]],Table43[[#This Row],[HARGA NAIK GT]])</f>
        <v>6486.479166666667</v>
      </c>
      <c r="BS263">
        <f>IFERROR(VLOOKUP(Table43[[#This Row],[Kode Pcpl]],'[1]HEINZ ABC'!$A$4:$E$112,8,0),0)</f>
        <v>0</v>
      </c>
      <c r="BT263" s="58">
        <f>Table43[[#This Row],[Harga Jual Pcs GT
(-PPN)]]-BS263</f>
        <v>6486.479166666667</v>
      </c>
      <c r="BU263">
        <f>IF(BS263=0,Table43[[#This Row],[Harga Jual Pcs MT
(-PPN)]])</f>
        <v>7005.3975000000009</v>
      </c>
      <c r="BV263">
        <f>IFERROR(VLOOKUP(Table43[[#This Row],[Kode Pcpl]],[2]Pricelist!$A$4:$K$112,11,0),0)</f>
        <v>7775.9912250000016</v>
      </c>
      <c r="BW263">
        <f>IFERROR(VLOOKUP(Table43[[#This Row],[Kode BARANG Win2]],[3]!RECKITT211216[[KDBRG]:[HRG_JL_PCS-PPN]],11,0),0)</f>
        <v>0</v>
      </c>
      <c r="BX263">
        <f t="shared" si="11"/>
        <v>7005.3975000000009</v>
      </c>
    </row>
    <row r="264" spans="1:76" x14ac:dyDescent="0.25">
      <c r="A264" s="4" t="str">
        <f>CONCATENATE(Table43[[#This Row],[Kode BARANG Win2]],Table43[[#This Row],[No. Urut
Item Sama]])</f>
        <v>A11200110135102</v>
      </c>
      <c r="B264" s="7">
        <v>2</v>
      </c>
      <c r="C264" s="4">
        <v>234</v>
      </c>
      <c r="D264" s="27">
        <v>150291</v>
      </c>
      <c r="E264" s="27" t="s">
        <v>381</v>
      </c>
      <c r="F264" s="27" t="s">
        <v>437</v>
      </c>
      <c r="G264" s="27">
        <v>48</v>
      </c>
      <c r="H264" s="42" t="s">
        <v>2469</v>
      </c>
      <c r="I264" s="27" t="str">
        <f>Table43[[#This Row],[Nama Jenis Kemasan]]</f>
        <v>BTL</v>
      </c>
      <c r="J264" s="4" t="str">
        <f>TRIM(CONCATENATE(Table43[[#This Row],[Nama            KLP]]," ",Table43[[#This Row],[Nama            Sub KLP]]))</f>
        <v>SAMBAL</v>
      </c>
      <c r="K264" s="4" t="str">
        <f>CONCATENATE(Table43[[#This Row],[kode  2 Digit                (hrf+No)]],Table43[[#This Row],[kode  2 Digit                (Nomor)]],Table43[[#This Row],[kode  1 Digit                (Nomor)]])</f>
        <v>A1120</v>
      </c>
      <c r="L264" s="4" t="str">
        <f>IF(AG264="",CONCATENATE(Q264,S264,U264,W264,Y264,AA264,AC264,AE264,Table43[[#This Row],[Tanda Kode Revisi]]),CONCATENATE(Q264,S264,U264,W264,Y264,AA264,AC264,AG264))</f>
        <v>A1120011013510</v>
      </c>
      <c r="M264" s="11">
        <f t="shared" si="9"/>
        <v>14</v>
      </c>
      <c r="N264" s="14" t="str">
        <f>IF(AF264&lt;&gt;"",TRIM(UPPER(CONCATENATE(P264," ",R264," ",T264," ",V264," ",X264," ",Z264," ","X"," ",Table43[[#This Row],[ISI/CTN]]," ",AF264," ",AB264," ",AD264," ",AH264))),TRIM(UPPER(CONCATENATE(P264," ",R264," ",T264," ",V264," ",X264," ",Z264," ","X"," ",Table43[[#This Row],[ISI/CTN]]," ",AB264," ",AD264," ",AH264))))</f>
        <v>ABC SAMBAL MANIS PEDAS 130 ML X 48 BTL</v>
      </c>
      <c r="O264" s="11">
        <f t="shared" si="10"/>
        <v>38</v>
      </c>
      <c r="P264" s="4" t="s">
        <v>28</v>
      </c>
      <c r="Q264" s="7" t="s">
        <v>85</v>
      </c>
      <c r="R264" s="4" t="s">
        <v>603</v>
      </c>
      <c r="S264" s="43">
        <v>12</v>
      </c>
      <c r="T264" s="44"/>
      <c r="U264" s="7">
        <v>0</v>
      </c>
      <c r="V264" s="44"/>
      <c r="W264" s="43" t="s">
        <v>1</v>
      </c>
      <c r="X264" s="4" t="s">
        <v>622</v>
      </c>
      <c r="Y264" s="45">
        <v>11</v>
      </c>
      <c r="Z264" s="4" t="s">
        <v>606</v>
      </c>
      <c r="AA264" s="45" t="s">
        <v>487</v>
      </c>
      <c r="AB264" s="4" t="s">
        <v>486</v>
      </c>
      <c r="AC264" s="7" t="s">
        <v>480</v>
      </c>
      <c r="AE264" s="7" t="s">
        <v>1</v>
      </c>
      <c r="AI264" s="7" t="s">
        <v>214</v>
      </c>
      <c r="AJ264" s="7">
        <v>2</v>
      </c>
      <c r="AL264" s="40">
        <f>Table43[[#This Row],[Harga Jual Pcs GT
(-PPN)]]-(Table43[[#This Row],[Harga Jual Pcs GT
(-PPN)]]*6%)</f>
        <v>6097.2904166666667</v>
      </c>
      <c r="AM264" s="41">
        <f>Table43[[#This Row],[Harga Beli Pcs
(-PPN)]]*Table43[[#This Row],[ISI/CTN]]</f>
        <v>292669.94</v>
      </c>
      <c r="AN264" s="41">
        <f>Table43[[#This Row],[Harga Beli Pcs
(-PPN)]]*1.11</f>
        <v>6767.992362500001</v>
      </c>
      <c r="AO264" s="41">
        <f>Table43[[#This Row],[Harga Beli Krt
(- PPN)]]*1.11</f>
        <v>324863.63340000005</v>
      </c>
      <c r="AP264" s="41">
        <v>6486.479166666667</v>
      </c>
      <c r="AQ264" s="41">
        <f>Table43[[#This Row],[Harga Jual Pcs GT
(-PPN)]]*Table43[[#This Row],[ISI/CTN]]</f>
        <v>311351</v>
      </c>
      <c r="AR264" s="41">
        <f>Table43[[#This Row],[Harga Jual Pcs GT
(-PPN)]]*1.11</f>
        <v>7199.9918750000006</v>
      </c>
      <c r="AS264" s="41">
        <f>Table43[[#This Row],[Harga Jual Krt GT
(- PPN)]]*1.11</f>
        <v>345599.61000000004</v>
      </c>
      <c r="AT264" s="41">
        <v>7005.3975000000009</v>
      </c>
      <c r="AU264" s="41">
        <f>(Table43[[#This Row],[Harga Jual Pcs MT
(-PPN)]]*Table43[[#This Row],[ISI/CTN]])</f>
        <v>336259.08000000007</v>
      </c>
      <c r="AV264" s="41">
        <f>Table43[[#This Row],[Harga Jual Pcs MT
(-PPN)]]*1.11</f>
        <v>7775.9912250000016</v>
      </c>
      <c r="AW264" s="41">
        <f>Table43[[#This Row],[Harga Jual Pcs MT
(+PPN)]]*Table43[[#This Row],[ISI/CTN]]</f>
        <v>373247.57880000008</v>
      </c>
      <c r="AX264" s="41"/>
      <c r="AY264" s="46">
        <v>45561</v>
      </c>
      <c r="AZ264" s="54">
        <v>45839</v>
      </c>
      <c r="BA264" s="7" t="str">
        <f ca="1">IF(TODAY()-Table43[[#This Row],[Efektif
Pembuatan]]&gt;60,"Lama","Baru")</f>
        <v>Lama</v>
      </c>
      <c r="BB264" s="7" t="str">
        <f ca="1">IF(TODAY()-Table43[[#This Row],[Efektif Naik Harga]]&lt;30,"Naik","Sama")</f>
        <v>Sama</v>
      </c>
      <c r="BC264" s="7" t="s">
        <v>235</v>
      </c>
      <c r="BD264" s="7" t="str">
        <f>IF(Table43[[#This Row],[Kode BARANG Win2]]&lt;&gt;"","IDR","")</f>
        <v>IDR</v>
      </c>
      <c r="BE264" s="7" t="str">
        <f>CONCATENATE(Table43[[#This Row],[kode  1 Digit
(Nomor)]],Table43[[#This Row],[kode  4 Digit                (Nomor)]])</f>
        <v>20135</v>
      </c>
      <c r="BF264" s="7" t="str">
        <f>Table43[[#This Row],[Nama            Gramasi atau Jumlah Pack per CTN]]</f>
        <v>130 ML</v>
      </c>
      <c r="BG264" s="7" t="s">
        <v>653</v>
      </c>
      <c r="BH264" s="51" t="s">
        <v>654</v>
      </c>
      <c r="BI264" s="4" t="str">
        <f>IF(Table43[[#This Row],[SATUAN Fix Win]]&lt;&gt;"","KRT")</f>
        <v>KRT</v>
      </c>
      <c r="BJ264" s="4" t="str">
        <f>IF(Table43[[#This Row],[SATUAN Fix Win]]&lt;&gt;"","GD01")</f>
        <v>GD01</v>
      </c>
      <c r="BK264" s="4">
        <f>IF(Table43[[#This Row],[SATUAN Fix Win]]&lt;&gt;"",11611)</f>
        <v>11611</v>
      </c>
      <c r="BL264" s="4">
        <f>IF(Table43[[#This Row],[SATUAN Fix Win]]&lt;&gt;"",11612)</f>
        <v>11612</v>
      </c>
      <c r="BM264" s="47" t="s">
        <v>655</v>
      </c>
      <c r="BN264" s="4">
        <f>IF(Table43[[#This Row],[SATUAN Fix Win]]&lt;&gt;"",1)</f>
        <v>1</v>
      </c>
      <c r="BO264" s="4" t="s">
        <v>656</v>
      </c>
      <c r="BP264" s="4">
        <f>IFERROR(VLOOKUP(Table43[[#This Row],[Kode Pcpl]],'[1]HEINZ ABC'!$A$4:$E$112,8,0),0)</f>
        <v>0</v>
      </c>
      <c r="BQ264" s="55">
        <f>Table43[[#This Row],[Harga Jual Pcs GT
(-PPN)]]-Table43[[#This Row],[HARGA NAIK GT]]</f>
        <v>6486.479166666667</v>
      </c>
      <c r="BR264" s="4">
        <f>IF(Table43[[#This Row],[HARGA NAIK GT]]=0,Table43[[#This Row],[Harga Jual Pcs GT
(-PPN)]],Table43[[#This Row],[HARGA NAIK GT]])</f>
        <v>6486.479166666667</v>
      </c>
      <c r="BS264">
        <f>IFERROR(VLOOKUP(Table43[[#This Row],[Kode Pcpl]],'[1]HEINZ ABC'!$A$4:$E$112,8,0),0)</f>
        <v>0</v>
      </c>
      <c r="BT264" s="58">
        <f>Table43[[#This Row],[Harga Jual Pcs GT
(-PPN)]]-BS264</f>
        <v>6486.479166666667</v>
      </c>
      <c r="BU264">
        <f>IF(BS264=0,Table43[[#This Row],[Harga Jual Pcs MT
(-PPN)]])</f>
        <v>7005.3975000000009</v>
      </c>
      <c r="BV264">
        <f>IFERROR(VLOOKUP(Table43[[#This Row],[Kode Pcpl]],[2]Pricelist!$A$4:$K$112,11,0),0)</f>
        <v>7775.9912250000016</v>
      </c>
      <c r="BW264">
        <f>IFERROR(VLOOKUP(Table43[[#This Row],[Kode BARANG Win2]],[3]!RECKITT211216[[KDBRG]:[HRG_JL_PCS-PPN]],11,0),0)</f>
        <v>0</v>
      </c>
      <c r="BX264">
        <f t="shared" si="11"/>
        <v>7005.3975000000009</v>
      </c>
    </row>
    <row r="265" spans="1:76" x14ac:dyDescent="0.25">
      <c r="A265" s="4" t="str">
        <f>CONCATENATE(Table43[[#This Row],[Kode BARANG Win2]],Table43[[#This Row],[No. Urut
Item Sama]])</f>
        <v>A11200110335101</v>
      </c>
      <c r="B265" s="7">
        <v>1</v>
      </c>
      <c r="C265" s="4">
        <v>235</v>
      </c>
      <c r="D265" s="27">
        <v>150173</v>
      </c>
      <c r="E265" s="27" t="s">
        <v>381</v>
      </c>
      <c r="F265" s="27" t="s">
        <v>438</v>
      </c>
      <c r="G265" s="27">
        <v>24</v>
      </c>
      <c r="H265" s="42">
        <v>0</v>
      </c>
      <c r="I265" s="27" t="str">
        <f>Table43[[#This Row],[Nama Jenis Kemasan]]</f>
        <v>BTL</v>
      </c>
      <c r="J265" s="4" t="str">
        <f>TRIM(CONCATENATE(Table43[[#This Row],[Nama            KLP]]," ",Table43[[#This Row],[Nama            Sub KLP]]))</f>
        <v>SAMBAL</v>
      </c>
      <c r="K265" s="4" t="str">
        <f>CONCATENATE(Table43[[#This Row],[kode  2 Digit                (hrf+No)]],Table43[[#This Row],[kode  2 Digit                (Nomor)]],Table43[[#This Row],[kode  1 Digit                (Nomor)]])</f>
        <v>A1120</v>
      </c>
      <c r="L265" s="4" t="str">
        <f>IF(AG265="",CONCATENATE(Q265,S265,U265,W265,Y265,AA265,AC265,AE265,Table43[[#This Row],[Tanda Kode Revisi]]),CONCATENATE(Q265,S265,U265,W265,Y265,AA265,AC265,AG265))</f>
        <v>A1120011033510</v>
      </c>
      <c r="M265" s="11">
        <f t="shared" si="9"/>
        <v>14</v>
      </c>
      <c r="N265" s="14" t="str">
        <f>IF(AF265&lt;&gt;"",TRIM(UPPER(CONCATENATE(P265," ",R265," ",T265," ",V265," ",X265," ",Z265," ","X"," ",Table43[[#This Row],[ISI/CTN]]," ",AF265," ",AB265," ",AD265," ",AH265))),TRIM(UPPER(CONCATENATE(P265," ",R265," ",T265," ",V265," ",X265," ",Z265," ","X"," ",Table43[[#This Row],[ISI/CTN]]," ",AB265," ",AD265," ",AH265))))</f>
        <v>ABC SAMBAL MANIS PEDAS 335 ML X 24 BTL</v>
      </c>
      <c r="O265" s="11">
        <f t="shared" si="10"/>
        <v>38</v>
      </c>
      <c r="P265" s="4" t="s">
        <v>28</v>
      </c>
      <c r="Q265" s="7" t="s">
        <v>85</v>
      </c>
      <c r="R265" s="4" t="s">
        <v>603</v>
      </c>
      <c r="S265" s="43">
        <v>12</v>
      </c>
      <c r="T265" s="44"/>
      <c r="U265" s="7">
        <v>0</v>
      </c>
      <c r="V265" s="44"/>
      <c r="W265" s="43" t="s">
        <v>1</v>
      </c>
      <c r="X265" s="4" t="s">
        <v>622</v>
      </c>
      <c r="Y265" s="45">
        <v>11</v>
      </c>
      <c r="Z265" s="4" t="s">
        <v>592</v>
      </c>
      <c r="AA265" s="45" t="s">
        <v>593</v>
      </c>
      <c r="AB265" s="4" t="s">
        <v>486</v>
      </c>
      <c r="AC265" s="7" t="s">
        <v>480</v>
      </c>
      <c r="AE265" s="7" t="s">
        <v>1</v>
      </c>
      <c r="AI265" s="7" t="s">
        <v>214</v>
      </c>
      <c r="AJ265" s="7">
        <v>2</v>
      </c>
      <c r="AL265" s="40">
        <f>Table43[[#This Row],[Harga Jual Pcs GT
(-PPN)]]-(Table43[[#This Row],[Harga Jual Pcs GT
(-PPN)]]*6%)</f>
        <v>14023.78378378378</v>
      </c>
      <c r="AM265" s="41">
        <f>Table43[[#This Row],[Harga Beli Pcs
(-PPN)]]*Table43[[#This Row],[ISI/CTN]]</f>
        <v>336570.81081081071</v>
      </c>
      <c r="AN265" s="41">
        <f>Table43[[#This Row],[Harga Beli Pcs
(-PPN)]]*1.11</f>
        <v>15566.399999999996</v>
      </c>
      <c r="AO265" s="41">
        <f>Table43[[#This Row],[Harga Beli Krt
(- PPN)]]*1.11</f>
        <v>373593.59999999992</v>
      </c>
      <c r="AP265" s="41">
        <v>14918.918918918915</v>
      </c>
      <c r="AQ265" s="41">
        <f>Table43[[#This Row],[Harga Jual Pcs GT
(-PPN)]]*Table43[[#This Row],[ISI/CTN]]</f>
        <v>358054.05405405397</v>
      </c>
      <c r="AR265" s="41">
        <f>Table43[[#This Row],[Harga Jual Pcs GT
(-PPN)]]*1.11</f>
        <v>16559.999999999996</v>
      </c>
      <c r="AS265" s="41">
        <f>Table43[[#This Row],[Harga Jual Krt GT
(- PPN)]]*1.11</f>
        <v>397439.99999999994</v>
      </c>
      <c r="AT265" s="41">
        <v>16112.43243243243</v>
      </c>
      <c r="AU265" s="41">
        <f>(Table43[[#This Row],[Harga Jual Pcs MT
(-PPN)]]*Table43[[#This Row],[ISI/CTN]])</f>
        <v>386698.37837837834</v>
      </c>
      <c r="AV265" s="41">
        <f>Table43[[#This Row],[Harga Jual Pcs MT
(-PPN)]]*1.11</f>
        <v>17884.8</v>
      </c>
      <c r="AW265" s="41">
        <f>Table43[[#This Row],[Harga Jual Pcs MT
(+PPN)]]*Table43[[#This Row],[ISI/CTN]]</f>
        <v>429235.19999999995</v>
      </c>
      <c r="AX265" s="41"/>
      <c r="AY265" s="46">
        <v>45553</v>
      </c>
      <c r="AZ265" s="54">
        <v>45839</v>
      </c>
      <c r="BA265" s="7" t="str">
        <f ca="1">IF(TODAY()-Table43[[#This Row],[Efektif
Pembuatan]]&gt;60,"Lama","Baru")</f>
        <v>Lama</v>
      </c>
      <c r="BB265" s="7" t="str">
        <f ca="1">IF(TODAY()-Table43[[#This Row],[Efektif Naik Harga]]&lt;30,"Naik","Sama")</f>
        <v>Sama</v>
      </c>
      <c r="BC265" s="7" t="s">
        <v>235</v>
      </c>
      <c r="BD265" s="7" t="str">
        <f>IF(Table43[[#This Row],[Kode BARANG Win2]]&lt;&gt;"","IDR","")</f>
        <v>IDR</v>
      </c>
      <c r="BE265" s="7" t="str">
        <f>CONCATENATE(Table43[[#This Row],[kode  1 Digit
(Nomor)]],Table43[[#This Row],[kode  4 Digit                (Nomor)]])</f>
        <v>20335</v>
      </c>
      <c r="BF265" s="7" t="str">
        <f>Table43[[#This Row],[Nama            Gramasi atau Jumlah Pack per CTN]]</f>
        <v>335 ML</v>
      </c>
      <c r="BG265" s="7" t="s">
        <v>653</v>
      </c>
      <c r="BH265" s="51" t="s">
        <v>654</v>
      </c>
      <c r="BI265" s="4" t="str">
        <f>IF(Table43[[#This Row],[SATUAN Fix Win]]&lt;&gt;"","KRT")</f>
        <v>KRT</v>
      </c>
      <c r="BJ265" s="4" t="str">
        <f>IF(Table43[[#This Row],[SATUAN Fix Win]]&lt;&gt;"","GD01")</f>
        <v>GD01</v>
      </c>
      <c r="BK265" s="4">
        <f>IF(Table43[[#This Row],[SATUAN Fix Win]]&lt;&gt;"",11611)</f>
        <v>11611</v>
      </c>
      <c r="BL265" s="4">
        <f>IF(Table43[[#This Row],[SATUAN Fix Win]]&lt;&gt;"",11612)</f>
        <v>11612</v>
      </c>
      <c r="BM265" s="47" t="s">
        <v>655</v>
      </c>
      <c r="BN265" s="4">
        <f>IF(Table43[[#This Row],[SATUAN Fix Win]]&lt;&gt;"",1)</f>
        <v>1</v>
      </c>
      <c r="BO265" s="4" t="s">
        <v>656</v>
      </c>
      <c r="BP265" s="4">
        <f>IFERROR(VLOOKUP(Table43[[#This Row],[Kode Pcpl]],'[1]HEINZ ABC'!$A$4:$E$112,8,0),0)</f>
        <v>0</v>
      </c>
      <c r="BQ265" s="55">
        <f>Table43[[#This Row],[Harga Jual Pcs GT
(-PPN)]]-Table43[[#This Row],[HARGA NAIK GT]]</f>
        <v>14918.918918918915</v>
      </c>
      <c r="BR265" s="4">
        <f>IF(Table43[[#This Row],[HARGA NAIK GT]]=0,Table43[[#This Row],[Harga Jual Pcs GT
(-PPN)]],Table43[[#This Row],[HARGA NAIK GT]])</f>
        <v>14918.918918918915</v>
      </c>
      <c r="BS265">
        <f>IFERROR(VLOOKUP(Table43[[#This Row],[Kode Pcpl]],'[1]HEINZ ABC'!$A$4:$E$112,8,0),0)</f>
        <v>0</v>
      </c>
      <c r="BT265" s="58">
        <f>Table43[[#This Row],[Harga Jual Pcs GT
(-PPN)]]-BS265</f>
        <v>14918.918918918915</v>
      </c>
      <c r="BU265">
        <f>IF(BS265=0,Table43[[#This Row],[Harga Jual Pcs MT
(-PPN)]])</f>
        <v>16112.43243243243</v>
      </c>
      <c r="BV265">
        <f>IFERROR(VLOOKUP(Table43[[#This Row],[Kode Pcpl]],[2]Pricelist!$A$4:$K$112,11,0),0)</f>
        <v>17884.8</v>
      </c>
      <c r="BW265">
        <f>IFERROR(VLOOKUP(Table43[[#This Row],[Kode BARANG Win2]],[3]!RECKITT211216[[KDBRG]:[HRG_JL_PCS-PPN]],11,0),0)</f>
        <v>0</v>
      </c>
      <c r="BX265">
        <f t="shared" si="11"/>
        <v>16112.43243243243</v>
      </c>
    </row>
    <row r="266" spans="1:76" x14ac:dyDescent="0.25">
      <c r="A266" s="4" t="str">
        <f>CONCATENATE(Table43[[#This Row],[Kode BARANG Win2]],Table43[[#This Row],[No. Urut
Item Sama]])</f>
        <v>A11200110335102</v>
      </c>
      <c r="B266" s="7">
        <v>2</v>
      </c>
      <c r="C266" s="4">
        <v>236</v>
      </c>
      <c r="D266" s="27">
        <v>150347</v>
      </c>
      <c r="E266" s="27" t="s">
        <v>381</v>
      </c>
      <c r="F266" s="27" t="s">
        <v>438</v>
      </c>
      <c r="G266" s="27">
        <v>24</v>
      </c>
      <c r="H266" s="42" t="s">
        <v>2477</v>
      </c>
      <c r="I266" s="27" t="str">
        <f>Table43[[#This Row],[Nama Jenis Kemasan]]</f>
        <v>BTL</v>
      </c>
      <c r="J266" s="4" t="str">
        <f>TRIM(CONCATENATE(Table43[[#This Row],[Nama            KLP]]," ",Table43[[#This Row],[Nama            Sub KLP]]))</f>
        <v>SAMBAL</v>
      </c>
      <c r="K266" s="4" t="str">
        <f>CONCATENATE(Table43[[#This Row],[kode  2 Digit                (hrf+No)]],Table43[[#This Row],[kode  2 Digit                (Nomor)]],Table43[[#This Row],[kode  1 Digit                (Nomor)]])</f>
        <v>A1120</v>
      </c>
      <c r="L266" s="4" t="str">
        <f>IF(AG266="",CONCATENATE(Q266,S266,U266,W266,Y266,AA266,AC266,AE266,Table43[[#This Row],[Tanda Kode Revisi]]),CONCATENATE(Q266,S266,U266,W266,Y266,AA266,AC266,AG266))</f>
        <v>A1120011033510</v>
      </c>
      <c r="M266" s="11">
        <f t="shared" si="9"/>
        <v>14</v>
      </c>
      <c r="N266" s="14" t="str">
        <f>IF(AF266&lt;&gt;"",TRIM(UPPER(CONCATENATE(P266," ",R266," ",T266," ",V266," ",X266," ",Z266," ","X"," ",Table43[[#This Row],[ISI/CTN]]," ",AF266," ",AB266," ",AD266," ",AH266))),TRIM(UPPER(CONCATENATE(P266," ",R266," ",T266," ",V266," ",X266," ",Z266," ","X"," ",Table43[[#This Row],[ISI/CTN]]," ",AB266," ",AD266," ",AH266))))</f>
        <v>ABC SAMBAL MANIS PEDAS 335 ML X 24 BTL</v>
      </c>
      <c r="O266" s="11">
        <f t="shared" si="10"/>
        <v>38</v>
      </c>
      <c r="P266" s="4" t="s">
        <v>28</v>
      </c>
      <c r="Q266" s="7" t="s">
        <v>85</v>
      </c>
      <c r="R266" s="4" t="s">
        <v>603</v>
      </c>
      <c r="S266" s="43">
        <v>12</v>
      </c>
      <c r="T266" s="44"/>
      <c r="U266" s="7">
        <v>0</v>
      </c>
      <c r="V266" s="44"/>
      <c r="W266" s="43" t="s">
        <v>1</v>
      </c>
      <c r="X266" s="4" t="s">
        <v>622</v>
      </c>
      <c r="Y266" s="45">
        <v>11</v>
      </c>
      <c r="Z266" s="4" t="s">
        <v>592</v>
      </c>
      <c r="AA266" s="45" t="s">
        <v>593</v>
      </c>
      <c r="AB266" s="4" t="s">
        <v>486</v>
      </c>
      <c r="AC266" s="7" t="s">
        <v>480</v>
      </c>
      <c r="AE266" s="7" t="s">
        <v>1</v>
      </c>
      <c r="AI266" s="7" t="s">
        <v>214</v>
      </c>
      <c r="AJ266" s="7">
        <v>2</v>
      </c>
      <c r="AL266" s="40">
        <f>Table43[[#This Row],[Harga Jual Pcs GT
(-PPN)]]-(Table43[[#This Row],[Harga Jual Pcs GT
(-PPN)]]*6%)</f>
        <v>14023.78378378378</v>
      </c>
      <c r="AM266" s="41">
        <f>Table43[[#This Row],[Harga Beli Pcs
(-PPN)]]*Table43[[#This Row],[ISI/CTN]]</f>
        <v>336570.81081081071</v>
      </c>
      <c r="AN266" s="41">
        <f>Table43[[#This Row],[Harga Beli Pcs
(-PPN)]]*1.11</f>
        <v>15566.399999999996</v>
      </c>
      <c r="AO266" s="41">
        <f>Table43[[#This Row],[Harga Beli Krt
(- PPN)]]*1.11</f>
        <v>373593.59999999992</v>
      </c>
      <c r="AP266" s="41">
        <v>14918.918918918915</v>
      </c>
      <c r="AQ266" s="41">
        <f>Table43[[#This Row],[Harga Jual Pcs GT
(-PPN)]]*Table43[[#This Row],[ISI/CTN]]</f>
        <v>358054.05405405397</v>
      </c>
      <c r="AR266" s="41">
        <f>Table43[[#This Row],[Harga Jual Pcs GT
(-PPN)]]*1.11</f>
        <v>16559.999999999996</v>
      </c>
      <c r="AS266" s="41">
        <f>Table43[[#This Row],[Harga Jual Krt GT
(- PPN)]]*1.11</f>
        <v>397439.99999999994</v>
      </c>
      <c r="AT266" s="41">
        <v>16112.43243243243</v>
      </c>
      <c r="AU266" s="41">
        <f>(Table43[[#This Row],[Harga Jual Pcs MT
(-PPN)]]*Table43[[#This Row],[ISI/CTN]])</f>
        <v>386698.37837837834</v>
      </c>
      <c r="AV266" s="41">
        <f>Table43[[#This Row],[Harga Jual Pcs MT
(-PPN)]]*1.11</f>
        <v>17884.8</v>
      </c>
      <c r="AW266" s="41">
        <f>Table43[[#This Row],[Harga Jual Pcs MT
(+PPN)]]*Table43[[#This Row],[ISI/CTN]]</f>
        <v>429235.19999999995</v>
      </c>
      <c r="AX266" s="41"/>
      <c r="AY266" s="46">
        <v>45642</v>
      </c>
      <c r="AZ266" s="54">
        <v>45839</v>
      </c>
      <c r="BA266" s="7" t="str">
        <f ca="1">IF(TODAY()-Table43[[#This Row],[Efektif
Pembuatan]]&gt;60,"Lama","Baru")</f>
        <v>Lama</v>
      </c>
      <c r="BB266" s="7" t="str">
        <f ca="1">IF(TODAY()-Table43[[#This Row],[Efektif Naik Harga]]&lt;30,"Naik","Sama")</f>
        <v>Sama</v>
      </c>
      <c r="BC266" s="7" t="s">
        <v>235</v>
      </c>
      <c r="BD266" s="7" t="str">
        <f>IF(Table43[[#This Row],[Kode BARANG Win2]]&lt;&gt;"","IDR","")</f>
        <v>IDR</v>
      </c>
      <c r="BE266" s="7" t="str">
        <f>CONCATENATE(Table43[[#This Row],[kode  1 Digit
(Nomor)]],Table43[[#This Row],[kode  4 Digit                (Nomor)]])</f>
        <v>20335</v>
      </c>
      <c r="BF266" s="7" t="str">
        <f>Table43[[#This Row],[Nama            Gramasi atau Jumlah Pack per CTN]]</f>
        <v>335 ML</v>
      </c>
      <c r="BG266" s="7" t="s">
        <v>653</v>
      </c>
      <c r="BH266" s="51" t="s">
        <v>654</v>
      </c>
      <c r="BI266" s="4" t="str">
        <f>IF(Table43[[#This Row],[SATUAN Fix Win]]&lt;&gt;"","KRT")</f>
        <v>KRT</v>
      </c>
      <c r="BJ266" s="4" t="str">
        <f>IF(Table43[[#This Row],[SATUAN Fix Win]]&lt;&gt;"","GD01")</f>
        <v>GD01</v>
      </c>
      <c r="BK266" s="4">
        <f>IF(Table43[[#This Row],[SATUAN Fix Win]]&lt;&gt;"",11611)</f>
        <v>11611</v>
      </c>
      <c r="BL266" s="4">
        <f>IF(Table43[[#This Row],[SATUAN Fix Win]]&lt;&gt;"",11612)</f>
        <v>11612</v>
      </c>
      <c r="BM266" s="47" t="s">
        <v>655</v>
      </c>
      <c r="BN266" s="4">
        <f>IF(Table43[[#This Row],[SATUAN Fix Win]]&lt;&gt;"",1)</f>
        <v>1</v>
      </c>
      <c r="BO266" s="4" t="s">
        <v>656</v>
      </c>
      <c r="BP266" s="4">
        <f>IFERROR(VLOOKUP(Table43[[#This Row],[Kode Pcpl]],'[1]HEINZ ABC'!$A$4:$E$112,8,0),0)</f>
        <v>0</v>
      </c>
      <c r="BQ266" s="55">
        <f>Table43[[#This Row],[Harga Jual Pcs GT
(-PPN)]]-Table43[[#This Row],[HARGA NAIK GT]]</f>
        <v>14918.918918918915</v>
      </c>
      <c r="BR266" s="4">
        <f>IF(Table43[[#This Row],[HARGA NAIK GT]]=0,Table43[[#This Row],[Harga Jual Pcs GT
(-PPN)]],Table43[[#This Row],[HARGA NAIK GT]])</f>
        <v>14918.918918918915</v>
      </c>
      <c r="BS266">
        <f>IFERROR(VLOOKUP(Table43[[#This Row],[Kode Pcpl]],'[1]HEINZ ABC'!$A$4:$E$112,8,0),0)</f>
        <v>0</v>
      </c>
      <c r="BT266" s="58">
        <f>Table43[[#This Row],[Harga Jual Pcs GT
(-PPN)]]-BS266</f>
        <v>14918.918918918915</v>
      </c>
      <c r="BU266">
        <f>IF(BS266=0,Table43[[#This Row],[Harga Jual Pcs MT
(-PPN)]])</f>
        <v>16112.43243243243</v>
      </c>
      <c r="BV266">
        <f>IFERROR(VLOOKUP(Table43[[#This Row],[Kode Pcpl]],[2]Pricelist!$A$4:$K$112,11,0),0)</f>
        <v>17884.8</v>
      </c>
      <c r="BW266">
        <f>IFERROR(VLOOKUP(Table43[[#This Row],[Kode BARANG Win2]],[3]!RECKITT211216[[KDBRG]:[HRG_JL_PCS-PPN]],11,0),0)</f>
        <v>0</v>
      </c>
      <c r="BX266">
        <f t="shared" si="11"/>
        <v>16112.43243243243</v>
      </c>
    </row>
    <row r="267" spans="1:76" x14ac:dyDescent="0.25">
      <c r="A267" s="4" t="str">
        <f>CONCATENATE(Table43[[#This Row],[Kode BARANG Win2]],Table43[[#This Row],[No. Urut
Item Sama]])</f>
        <v>A11200120135101</v>
      </c>
      <c r="B267" s="7">
        <v>1</v>
      </c>
      <c r="C267" s="4">
        <v>237</v>
      </c>
      <c r="D267" s="27">
        <v>150167</v>
      </c>
      <c r="E267" s="27" t="s">
        <v>381</v>
      </c>
      <c r="F267" s="27" t="s">
        <v>439</v>
      </c>
      <c r="G267" s="27">
        <v>48</v>
      </c>
      <c r="H267" s="42" t="s">
        <v>2576</v>
      </c>
      <c r="I267" s="27" t="str">
        <f>Table43[[#This Row],[Nama Jenis Kemasan]]</f>
        <v>BTL</v>
      </c>
      <c r="J267" s="4" t="str">
        <f>TRIM(CONCATENATE(Table43[[#This Row],[Nama            KLP]]," ",Table43[[#This Row],[Nama            Sub KLP]]))</f>
        <v>SAMBAL</v>
      </c>
      <c r="K267" s="4" t="str">
        <f>CONCATENATE(Table43[[#This Row],[kode  2 Digit                (hrf+No)]],Table43[[#This Row],[kode  2 Digit                (Nomor)]],Table43[[#This Row],[kode  1 Digit                (Nomor)]])</f>
        <v>A1120</v>
      </c>
      <c r="L267" s="4" t="str">
        <f>IF(AG267="",CONCATENATE(Q267,S267,U267,W267,Y267,AA267,AC267,AE267,Table43[[#This Row],[Tanda Kode Revisi]]),CONCATENATE(Q267,S267,U267,W267,Y267,AA267,AC267,AG267))</f>
        <v>A1120012013510</v>
      </c>
      <c r="M267" s="11">
        <f t="shared" si="9"/>
        <v>14</v>
      </c>
      <c r="N267" s="14" t="str">
        <f>IF(AF267&lt;&gt;"",TRIM(UPPER(CONCATENATE(P267," ",R267," ",T267," ",V267," ",X267," ",Z267," ","X"," ",Table43[[#This Row],[ISI/CTN]]," ",AF267," ",AB267," ",AD267," ",AH267))),TRIM(UPPER(CONCATENATE(P267," ",R267," ",T267," ",V267," ",X267," ",Z267," ","X"," ",Table43[[#This Row],[ISI/CTN]]," ",AB267," ",AD267," ",AH267))))</f>
        <v>ABC SAMBAL AYAM GORENG 135 ML X 48 BTL</v>
      </c>
      <c r="O267" s="11">
        <f t="shared" si="10"/>
        <v>38</v>
      </c>
      <c r="P267" s="4" t="s">
        <v>28</v>
      </c>
      <c r="Q267" s="7" t="s">
        <v>85</v>
      </c>
      <c r="R267" s="4" t="s">
        <v>603</v>
      </c>
      <c r="S267" s="43">
        <v>12</v>
      </c>
      <c r="T267" s="44"/>
      <c r="U267" s="7">
        <v>0</v>
      </c>
      <c r="V267" s="44"/>
      <c r="W267" s="43" t="s">
        <v>1</v>
      </c>
      <c r="X267" s="4" t="s">
        <v>623</v>
      </c>
      <c r="Y267" s="45">
        <v>12</v>
      </c>
      <c r="Z267" s="4" t="s">
        <v>484</v>
      </c>
      <c r="AA267" s="45" t="s">
        <v>487</v>
      </c>
      <c r="AB267" s="4" t="s">
        <v>486</v>
      </c>
      <c r="AC267" s="7" t="s">
        <v>480</v>
      </c>
      <c r="AE267" s="7" t="s">
        <v>1</v>
      </c>
      <c r="AI267" s="7" t="s">
        <v>214</v>
      </c>
      <c r="AJ267" s="7">
        <v>2</v>
      </c>
      <c r="AL267" s="40">
        <f>Table43[[#This Row],[Harga Jual Pcs GT
(-PPN)]]-(Table43[[#This Row],[Harga Jual Pcs GT
(-PPN)]]*6%)</f>
        <v>6097.2904166666667</v>
      </c>
      <c r="AM267" s="41">
        <f>Table43[[#This Row],[Harga Beli Pcs
(-PPN)]]*Table43[[#This Row],[ISI/CTN]]</f>
        <v>292669.94</v>
      </c>
      <c r="AN267" s="41">
        <f>Table43[[#This Row],[Harga Beli Pcs
(-PPN)]]*1.11</f>
        <v>6767.992362500001</v>
      </c>
      <c r="AO267" s="41">
        <f>Table43[[#This Row],[Harga Beli Krt
(- PPN)]]*1.11</f>
        <v>324863.63340000005</v>
      </c>
      <c r="AP267" s="41">
        <v>6486.479166666667</v>
      </c>
      <c r="AQ267" s="41">
        <f>Table43[[#This Row],[Harga Jual Pcs GT
(-PPN)]]*Table43[[#This Row],[ISI/CTN]]</f>
        <v>311351</v>
      </c>
      <c r="AR267" s="41">
        <f>Table43[[#This Row],[Harga Jual Pcs GT
(-PPN)]]*1.11</f>
        <v>7199.9918750000006</v>
      </c>
      <c r="AS267" s="41">
        <f>Table43[[#This Row],[Harga Jual Krt GT
(- PPN)]]*1.11</f>
        <v>345599.61000000004</v>
      </c>
      <c r="AT267" s="41">
        <v>7005.3975000000009</v>
      </c>
      <c r="AU267" s="41">
        <f>(Table43[[#This Row],[Harga Jual Pcs MT
(-PPN)]]*Table43[[#This Row],[ISI/CTN]])</f>
        <v>336259.08000000007</v>
      </c>
      <c r="AV267" s="41">
        <f>Table43[[#This Row],[Harga Jual Pcs MT
(-PPN)]]*1.11</f>
        <v>7775.9912250000016</v>
      </c>
      <c r="AW267" s="41">
        <f>Table43[[#This Row],[Harga Jual Pcs MT
(+PPN)]]*Table43[[#This Row],[ISI/CTN]]</f>
        <v>373247.57880000008</v>
      </c>
      <c r="AX267" s="41"/>
      <c r="AY267" s="46">
        <v>45553</v>
      </c>
      <c r="AZ267" s="54">
        <v>45839</v>
      </c>
      <c r="BA267" s="7" t="str">
        <f ca="1">IF(TODAY()-Table43[[#This Row],[Efektif
Pembuatan]]&gt;60,"Lama","Baru")</f>
        <v>Lama</v>
      </c>
      <c r="BB267" s="7" t="str">
        <f ca="1">IF(TODAY()-Table43[[#This Row],[Efektif Naik Harga]]&lt;30,"Naik","Sama")</f>
        <v>Sama</v>
      </c>
      <c r="BC267" s="7" t="s">
        <v>235</v>
      </c>
      <c r="BD267" s="7" t="str">
        <f>IF(Table43[[#This Row],[Kode BARANG Win2]]&lt;&gt;"","IDR","")</f>
        <v>IDR</v>
      </c>
      <c r="BE267" s="7" t="str">
        <f>CONCATENATE(Table43[[#This Row],[kode  1 Digit
(Nomor)]],Table43[[#This Row],[kode  4 Digit                (Nomor)]])</f>
        <v>20135</v>
      </c>
      <c r="BF267" s="7" t="str">
        <f>Table43[[#This Row],[Nama            Gramasi atau Jumlah Pack per CTN]]</f>
        <v>135 ML</v>
      </c>
      <c r="BG267" s="7" t="s">
        <v>653</v>
      </c>
      <c r="BH267" s="51" t="s">
        <v>654</v>
      </c>
      <c r="BI267" s="4" t="str">
        <f>IF(Table43[[#This Row],[SATUAN Fix Win]]&lt;&gt;"","KRT")</f>
        <v>KRT</v>
      </c>
      <c r="BJ267" s="4" t="str">
        <f>IF(Table43[[#This Row],[SATUAN Fix Win]]&lt;&gt;"","GD01")</f>
        <v>GD01</v>
      </c>
      <c r="BK267" s="4">
        <f>IF(Table43[[#This Row],[SATUAN Fix Win]]&lt;&gt;"",11611)</f>
        <v>11611</v>
      </c>
      <c r="BL267" s="4">
        <f>IF(Table43[[#This Row],[SATUAN Fix Win]]&lt;&gt;"",11612)</f>
        <v>11612</v>
      </c>
      <c r="BM267" s="47" t="s">
        <v>655</v>
      </c>
      <c r="BN267" s="4">
        <f>IF(Table43[[#This Row],[SATUAN Fix Win]]&lt;&gt;"",1)</f>
        <v>1</v>
      </c>
      <c r="BO267" s="4" t="s">
        <v>656</v>
      </c>
      <c r="BP267" s="4">
        <f>IFERROR(VLOOKUP(Table43[[#This Row],[Kode Pcpl]],'[1]HEINZ ABC'!$A$4:$E$112,8,0),0)</f>
        <v>0</v>
      </c>
      <c r="BQ267" s="55">
        <f>Table43[[#This Row],[Harga Jual Pcs GT
(-PPN)]]-Table43[[#This Row],[HARGA NAIK GT]]</f>
        <v>6486.479166666667</v>
      </c>
      <c r="BR267" s="4">
        <f>IF(Table43[[#This Row],[HARGA NAIK GT]]=0,Table43[[#This Row],[Harga Jual Pcs GT
(-PPN)]],Table43[[#This Row],[HARGA NAIK GT]])</f>
        <v>6486.479166666667</v>
      </c>
      <c r="BS267">
        <f>IFERROR(VLOOKUP(Table43[[#This Row],[Kode Pcpl]],'[1]HEINZ ABC'!$A$4:$E$112,8,0),0)</f>
        <v>0</v>
      </c>
      <c r="BT267" s="58">
        <f>Table43[[#This Row],[Harga Jual Pcs GT
(-PPN)]]-BS267</f>
        <v>6486.479166666667</v>
      </c>
      <c r="BU267">
        <f>IF(BS267=0,Table43[[#This Row],[Harga Jual Pcs MT
(-PPN)]])</f>
        <v>7005.3975000000009</v>
      </c>
      <c r="BV267">
        <f>IFERROR(VLOOKUP(Table43[[#This Row],[Kode Pcpl]],[2]Pricelist!$A$4:$K$112,11,0),0)</f>
        <v>7775.9912250000016</v>
      </c>
      <c r="BW267">
        <f>IFERROR(VLOOKUP(Table43[[#This Row],[Kode BARANG Win2]],[3]!RECKITT211216[[KDBRG]:[HRG_JL_PCS-PPN]],11,0),0)</f>
        <v>0</v>
      </c>
      <c r="BX267">
        <f t="shared" si="11"/>
        <v>7005.3975000000009</v>
      </c>
    </row>
    <row r="268" spans="1:76" x14ac:dyDescent="0.25">
      <c r="A268" s="4" t="str">
        <f>CONCATENATE(Table43[[#This Row],[Kode BARANG Win2]],Table43[[#This Row],[No. Urut
Item Sama]])</f>
        <v>A11200120135102</v>
      </c>
      <c r="B268" s="7">
        <v>2</v>
      </c>
      <c r="C268" s="4">
        <v>238</v>
      </c>
      <c r="D268" s="27">
        <v>150292</v>
      </c>
      <c r="E268" s="27" t="s">
        <v>381</v>
      </c>
      <c r="F268" s="27" t="s">
        <v>439</v>
      </c>
      <c r="G268" s="27">
        <v>48</v>
      </c>
      <c r="H268" s="42" t="s">
        <v>2470</v>
      </c>
      <c r="I268" s="27" t="str">
        <f>Table43[[#This Row],[Nama Jenis Kemasan]]</f>
        <v>BTL</v>
      </c>
      <c r="J268" s="4" t="str">
        <f>TRIM(CONCATENATE(Table43[[#This Row],[Nama            KLP]]," ",Table43[[#This Row],[Nama            Sub KLP]]))</f>
        <v>SAMBAL</v>
      </c>
      <c r="K268" s="4" t="str">
        <f>CONCATENATE(Table43[[#This Row],[kode  2 Digit                (hrf+No)]],Table43[[#This Row],[kode  2 Digit                (Nomor)]],Table43[[#This Row],[kode  1 Digit                (Nomor)]])</f>
        <v>A1120</v>
      </c>
      <c r="L268" s="4" t="str">
        <f>IF(AG268="",CONCATENATE(Q268,S268,U268,W268,Y268,AA268,AC268,AE268,Table43[[#This Row],[Tanda Kode Revisi]]),CONCATENATE(Q268,S268,U268,W268,Y268,AA268,AC268,AG268))</f>
        <v>A1120012013510</v>
      </c>
      <c r="M268" s="11">
        <f t="shared" si="9"/>
        <v>14</v>
      </c>
      <c r="N268" s="14" t="str">
        <f>IF(AF268&lt;&gt;"",TRIM(UPPER(CONCATENATE(P268," ",R268," ",T268," ",V268," ",X268," ",Z268," ","X"," ",Table43[[#This Row],[ISI/CTN]]," ",AF268," ",AB268," ",AD268," ",AH268))),TRIM(UPPER(CONCATENATE(P268," ",R268," ",T268," ",V268," ",X268," ",Z268," ","X"," ",Table43[[#This Row],[ISI/CTN]]," ",AB268," ",AD268," ",AH268))))</f>
        <v>ABC SAMBAL AYAM GORENG 135/130 ML X 48 BTL</v>
      </c>
      <c r="O268" s="11">
        <f t="shared" si="10"/>
        <v>42</v>
      </c>
      <c r="P268" s="4" t="s">
        <v>28</v>
      </c>
      <c r="Q268" s="7" t="s">
        <v>85</v>
      </c>
      <c r="R268" s="4" t="s">
        <v>603</v>
      </c>
      <c r="S268" s="43">
        <v>12</v>
      </c>
      <c r="T268" s="44"/>
      <c r="U268" s="7">
        <v>0</v>
      </c>
      <c r="V268" s="44"/>
      <c r="W268" s="43" t="s">
        <v>1</v>
      </c>
      <c r="X268" s="4" t="s">
        <v>623</v>
      </c>
      <c r="Y268" s="45">
        <v>12</v>
      </c>
      <c r="Z268" s="4" t="s">
        <v>1068</v>
      </c>
      <c r="AA268" s="45" t="s">
        <v>487</v>
      </c>
      <c r="AB268" s="4" t="s">
        <v>486</v>
      </c>
      <c r="AC268" s="7" t="s">
        <v>480</v>
      </c>
      <c r="AE268" s="7" t="s">
        <v>1</v>
      </c>
      <c r="AI268" s="7" t="s">
        <v>214</v>
      </c>
      <c r="AJ268" s="7">
        <v>2</v>
      </c>
      <c r="AL268" s="40">
        <f>Table43[[#This Row],[Harga Jual Pcs GT
(-PPN)]]-(Table43[[#This Row],[Harga Jual Pcs GT
(-PPN)]]*6%)</f>
        <v>6097.2904166666667</v>
      </c>
      <c r="AM268" s="41">
        <f>Table43[[#This Row],[Harga Beli Pcs
(-PPN)]]*Table43[[#This Row],[ISI/CTN]]</f>
        <v>292669.94</v>
      </c>
      <c r="AN268" s="41">
        <f>Table43[[#This Row],[Harga Beli Pcs
(-PPN)]]*1.11</f>
        <v>6767.992362500001</v>
      </c>
      <c r="AO268" s="41">
        <f>Table43[[#This Row],[Harga Beli Krt
(- PPN)]]*1.11</f>
        <v>324863.63340000005</v>
      </c>
      <c r="AP268" s="41">
        <v>6486.479166666667</v>
      </c>
      <c r="AQ268" s="41">
        <f>Table43[[#This Row],[Harga Jual Pcs GT
(-PPN)]]*Table43[[#This Row],[ISI/CTN]]</f>
        <v>311351</v>
      </c>
      <c r="AR268" s="41">
        <f>Table43[[#This Row],[Harga Jual Pcs GT
(-PPN)]]*1.11</f>
        <v>7199.9918750000006</v>
      </c>
      <c r="AS268" s="41">
        <f>Table43[[#This Row],[Harga Jual Krt GT
(- PPN)]]*1.11</f>
        <v>345599.61000000004</v>
      </c>
      <c r="AT268" s="41">
        <v>7005.3975000000009</v>
      </c>
      <c r="AU268" s="41">
        <f>(Table43[[#This Row],[Harga Jual Pcs MT
(-PPN)]]*Table43[[#This Row],[ISI/CTN]])</f>
        <v>336259.08000000007</v>
      </c>
      <c r="AV268" s="41">
        <f>Table43[[#This Row],[Harga Jual Pcs MT
(-PPN)]]*1.11</f>
        <v>7775.9912250000016</v>
      </c>
      <c r="AW268" s="41">
        <f>Table43[[#This Row],[Harga Jual Pcs MT
(+PPN)]]*Table43[[#This Row],[ISI/CTN]]</f>
        <v>373247.57880000008</v>
      </c>
      <c r="AX268" s="41"/>
      <c r="AY268" s="46"/>
      <c r="AZ268" s="54">
        <v>45839</v>
      </c>
      <c r="BA268" s="7" t="str">
        <f ca="1">IF(TODAY()-Table43[[#This Row],[Efektif
Pembuatan]]&gt;60,"Lama","Baru")</f>
        <v>Lama</v>
      </c>
      <c r="BB268" s="7" t="str">
        <f ca="1">IF(TODAY()-Table43[[#This Row],[Efektif Naik Harga]]&lt;30,"Naik","Sama")</f>
        <v>Sama</v>
      </c>
      <c r="BC268" s="7" t="s">
        <v>235</v>
      </c>
      <c r="BD268" s="7" t="str">
        <f>IF(Table43[[#This Row],[Kode BARANG Win2]]&lt;&gt;"","IDR","")</f>
        <v>IDR</v>
      </c>
      <c r="BE268" s="7" t="str">
        <f>CONCATENATE(Table43[[#This Row],[kode  1 Digit
(Nomor)]],Table43[[#This Row],[kode  4 Digit                (Nomor)]])</f>
        <v>20135</v>
      </c>
      <c r="BF268" s="7" t="str">
        <f>Table43[[#This Row],[Nama            Gramasi atau Jumlah Pack per CTN]]</f>
        <v>135/130 ML</v>
      </c>
      <c r="BG268" s="7" t="s">
        <v>653</v>
      </c>
      <c r="BH268" s="51" t="s">
        <v>654</v>
      </c>
      <c r="BI268" s="4" t="str">
        <f>IF(Table43[[#This Row],[SATUAN Fix Win]]&lt;&gt;"","KRT")</f>
        <v>KRT</v>
      </c>
      <c r="BJ268" s="4" t="str">
        <f>IF(Table43[[#This Row],[SATUAN Fix Win]]&lt;&gt;"","GD01")</f>
        <v>GD01</v>
      </c>
      <c r="BK268" s="4">
        <f>IF(Table43[[#This Row],[SATUAN Fix Win]]&lt;&gt;"",11611)</f>
        <v>11611</v>
      </c>
      <c r="BL268" s="4">
        <f>IF(Table43[[#This Row],[SATUAN Fix Win]]&lt;&gt;"",11612)</f>
        <v>11612</v>
      </c>
      <c r="BM268" s="47" t="s">
        <v>655</v>
      </c>
      <c r="BN268" s="4">
        <f>IF(Table43[[#This Row],[SATUAN Fix Win]]&lt;&gt;"",1)</f>
        <v>1</v>
      </c>
      <c r="BO268" s="4" t="s">
        <v>656</v>
      </c>
      <c r="BP268" s="4">
        <f>IFERROR(VLOOKUP(Table43[[#This Row],[Kode Pcpl]],'[1]HEINZ ABC'!$A$4:$E$112,8,0),0)</f>
        <v>0</v>
      </c>
      <c r="BQ268" s="55">
        <f>Table43[[#This Row],[Harga Jual Pcs GT
(-PPN)]]-Table43[[#This Row],[HARGA NAIK GT]]</f>
        <v>6486.479166666667</v>
      </c>
      <c r="BR268" s="4">
        <f>IF(Table43[[#This Row],[HARGA NAIK GT]]=0,Table43[[#This Row],[Harga Jual Pcs GT
(-PPN)]],Table43[[#This Row],[HARGA NAIK GT]])</f>
        <v>6486.479166666667</v>
      </c>
      <c r="BS268">
        <f>IFERROR(VLOOKUP(Table43[[#This Row],[Kode Pcpl]],'[1]HEINZ ABC'!$A$4:$E$112,8,0),0)</f>
        <v>0</v>
      </c>
      <c r="BT268" s="58">
        <f>Table43[[#This Row],[Harga Jual Pcs GT
(-PPN)]]-BS268</f>
        <v>6486.479166666667</v>
      </c>
      <c r="BU268">
        <f>IF(BS268=0,Table43[[#This Row],[Harga Jual Pcs MT
(-PPN)]])</f>
        <v>7005.3975000000009</v>
      </c>
      <c r="BV268">
        <f>IFERROR(VLOOKUP(Table43[[#This Row],[Kode Pcpl]],[2]Pricelist!$A$4:$K$112,11,0),0)</f>
        <v>7775.9912250000016</v>
      </c>
      <c r="BW268">
        <f>IFERROR(VLOOKUP(Table43[[#This Row],[Kode BARANG Win2]],[3]!RECKITT211216[[KDBRG]:[HRG_JL_PCS-PPN]],11,0),0)</f>
        <v>0</v>
      </c>
      <c r="BX268">
        <f t="shared" si="11"/>
        <v>7005.3975000000009</v>
      </c>
    </row>
    <row r="269" spans="1:76" x14ac:dyDescent="0.25">
      <c r="A269" s="4" t="str">
        <f>CONCATENATE(Table43[[#This Row],[Kode BARANG Win2]],Table43[[#This Row],[No. Urut
Item Sama]])</f>
        <v>A11200120335102</v>
      </c>
      <c r="B269" s="7">
        <v>2</v>
      </c>
      <c r="C269" s="4">
        <v>239</v>
      </c>
      <c r="D269" s="27">
        <v>150336</v>
      </c>
      <c r="E269" s="27" t="s">
        <v>381</v>
      </c>
      <c r="F269" s="27" t="s">
        <v>440</v>
      </c>
      <c r="G269" s="27">
        <v>24</v>
      </c>
      <c r="H269" s="42" t="s">
        <v>2478</v>
      </c>
      <c r="I269" s="27" t="str">
        <f>Table43[[#This Row],[Nama Jenis Kemasan]]</f>
        <v>BTL</v>
      </c>
      <c r="J269" s="4" t="str">
        <f>TRIM(CONCATENATE(Table43[[#This Row],[Nama            KLP]]," ",Table43[[#This Row],[Nama            Sub KLP]]))</f>
        <v>SAMBAL</v>
      </c>
      <c r="K269" s="4" t="str">
        <f>CONCATENATE(Table43[[#This Row],[kode  2 Digit                (hrf+No)]],Table43[[#This Row],[kode  2 Digit                (Nomor)]],Table43[[#This Row],[kode  1 Digit                (Nomor)]])</f>
        <v>A1120</v>
      </c>
      <c r="L269" s="4" t="str">
        <f>IF(AG269="",CONCATENATE(Q269,S269,U269,W269,Y269,AA269,AC269,AE269,Table43[[#This Row],[Tanda Kode Revisi]]),CONCATENATE(Q269,S269,U269,W269,Y269,AA269,AC269,AG269))</f>
        <v>A1120012033510</v>
      </c>
      <c r="M269" s="11">
        <f t="shared" si="9"/>
        <v>14</v>
      </c>
      <c r="N269" s="14" t="str">
        <f>IF(AF269&lt;&gt;"",TRIM(UPPER(CONCATENATE(P269," ",R269," ",T269," ",V269," ",X269," ",Z269," ","X"," ",Table43[[#This Row],[ISI/CTN]]," ",AF269," ",AB269," ",AD269," ",AH269))),TRIM(UPPER(CONCATENATE(P269," ",R269," ",T269," ",V269," ",X269," ",Z269," ","X"," ",Table43[[#This Row],[ISI/CTN]]," ",AB269," ",AD269," ",AH269))))</f>
        <v>ABC SAMBAL AYAM GORENG 335 ML X 24 BTL</v>
      </c>
      <c r="O269" s="11">
        <f t="shared" si="10"/>
        <v>38</v>
      </c>
      <c r="P269" s="4" t="s">
        <v>28</v>
      </c>
      <c r="Q269" s="7" t="s">
        <v>85</v>
      </c>
      <c r="R269" s="4" t="s">
        <v>603</v>
      </c>
      <c r="S269" s="43">
        <v>12</v>
      </c>
      <c r="T269" s="44"/>
      <c r="U269" s="7">
        <v>0</v>
      </c>
      <c r="V269" s="44"/>
      <c r="W269" s="43" t="s">
        <v>1</v>
      </c>
      <c r="X269" s="4" t="s">
        <v>623</v>
      </c>
      <c r="Y269" s="45">
        <v>12</v>
      </c>
      <c r="Z269" s="4" t="s">
        <v>592</v>
      </c>
      <c r="AA269" s="45" t="s">
        <v>593</v>
      </c>
      <c r="AB269" s="4" t="s">
        <v>486</v>
      </c>
      <c r="AC269" s="7" t="s">
        <v>480</v>
      </c>
      <c r="AE269" s="7" t="s">
        <v>1</v>
      </c>
      <c r="AI269" s="7" t="s">
        <v>214</v>
      </c>
      <c r="AJ269" s="7">
        <v>2</v>
      </c>
      <c r="AL269" s="40">
        <f>Table43[[#This Row],[Harga Jual Pcs GT
(-PPN)]]-(Table43[[#This Row],[Harga Jual Pcs GT
(-PPN)]]*6%)</f>
        <v>14023.784799999999</v>
      </c>
      <c r="AM269" s="41">
        <f>Table43[[#This Row],[Harga Beli Pcs
(-PPN)]]*Table43[[#This Row],[ISI/CTN]]</f>
        <v>336570.83519999997</v>
      </c>
      <c r="AN269" s="41">
        <f>Table43[[#This Row],[Harga Beli Pcs
(-PPN)]]*1.11</f>
        <v>15566.401128000001</v>
      </c>
      <c r="AO269" s="41">
        <f>Table43[[#This Row],[Harga Beli Krt
(- PPN)]]*1.11</f>
        <v>373593.627072</v>
      </c>
      <c r="AP269" s="41">
        <v>14918.92</v>
      </c>
      <c r="AQ269" s="41">
        <f>Table43[[#This Row],[Harga Jual Pcs GT
(-PPN)]]*Table43[[#This Row],[ISI/CTN]]</f>
        <v>358054.08</v>
      </c>
      <c r="AR269" s="41">
        <f>Table43[[#This Row],[Harga Jual Pcs GT
(-PPN)]]*1.11</f>
        <v>16560.001200000002</v>
      </c>
      <c r="AS269" s="41">
        <f>Table43[[#This Row],[Harga Jual Krt GT
(- PPN)]]*1.11</f>
        <v>397440.02880000003</v>
      </c>
      <c r="AT269" s="41">
        <v>16112.43</v>
      </c>
      <c r="AU269" s="41">
        <f>(Table43[[#This Row],[Harga Jual Pcs MT
(-PPN)]]*Table43[[#This Row],[ISI/CTN]])</f>
        <v>386698.32</v>
      </c>
      <c r="AV269" s="41">
        <f>Table43[[#This Row],[Harga Jual Pcs MT
(-PPN)]]*1.11</f>
        <v>17884.797300000002</v>
      </c>
      <c r="AW269" s="41">
        <f>Table43[[#This Row],[Harga Jual Pcs MT
(+PPN)]]*Table43[[#This Row],[ISI/CTN]]</f>
        <v>429235.13520000002</v>
      </c>
      <c r="AX269" s="41"/>
      <c r="AY269" s="46"/>
      <c r="AZ269" s="54">
        <v>45553</v>
      </c>
      <c r="BA269" s="7" t="str">
        <f ca="1">IF(TODAY()-Table43[[#This Row],[Efektif
Pembuatan]]&gt;60,"Lama","Baru")</f>
        <v>Lama</v>
      </c>
      <c r="BB269" s="7" t="str">
        <f ca="1">IF(TODAY()-Table43[[#This Row],[Efektif Naik Harga]]&lt;30,"Naik","Sama")</f>
        <v>Sama</v>
      </c>
      <c r="BC269" s="7" t="s">
        <v>235</v>
      </c>
      <c r="BD269" s="7" t="str">
        <f>IF(Table43[[#This Row],[Kode BARANG Win2]]&lt;&gt;"","IDR","")</f>
        <v>IDR</v>
      </c>
      <c r="BE269" s="7" t="str">
        <f>CONCATENATE(Table43[[#This Row],[kode  1 Digit
(Nomor)]],Table43[[#This Row],[kode  4 Digit                (Nomor)]])</f>
        <v>20335</v>
      </c>
      <c r="BF269" s="7" t="str">
        <f>Table43[[#This Row],[Nama            Gramasi atau Jumlah Pack per CTN]]</f>
        <v>335 ML</v>
      </c>
      <c r="BG269" s="7" t="s">
        <v>653</v>
      </c>
      <c r="BH269" s="51" t="s">
        <v>654</v>
      </c>
      <c r="BI269" s="4" t="str">
        <f>IF(Table43[[#This Row],[SATUAN Fix Win]]&lt;&gt;"","KRT")</f>
        <v>KRT</v>
      </c>
      <c r="BJ269" s="4" t="str">
        <f>IF(Table43[[#This Row],[SATUAN Fix Win]]&lt;&gt;"","GD01")</f>
        <v>GD01</v>
      </c>
      <c r="BK269" s="4">
        <f>IF(Table43[[#This Row],[SATUAN Fix Win]]&lt;&gt;"",11611)</f>
        <v>11611</v>
      </c>
      <c r="BL269" s="4">
        <f>IF(Table43[[#This Row],[SATUAN Fix Win]]&lt;&gt;"",11612)</f>
        <v>11612</v>
      </c>
      <c r="BM269" s="47" t="s">
        <v>655</v>
      </c>
      <c r="BN269" s="4">
        <f>IF(Table43[[#This Row],[SATUAN Fix Win]]&lt;&gt;"",1)</f>
        <v>1</v>
      </c>
      <c r="BO269" s="4" t="s">
        <v>656</v>
      </c>
      <c r="BP269" s="4">
        <f>IFERROR(VLOOKUP(Table43[[#This Row],[Kode Pcpl]],'[1]HEINZ ABC'!$A$4:$E$112,8,0),0)</f>
        <v>0</v>
      </c>
      <c r="BQ269" s="55">
        <f>Table43[[#This Row],[Harga Jual Pcs GT
(-PPN)]]-Table43[[#This Row],[HARGA NAIK GT]]</f>
        <v>14918.92</v>
      </c>
      <c r="BR269" s="4">
        <f>IF(Table43[[#This Row],[HARGA NAIK GT]]=0,Table43[[#This Row],[Harga Jual Pcs GT
(-PPN)]],Table43[[#This Row],[HARGA NAIK GT]])</f>
        <v>14918.92</v>
      </c>
      <c r="BS269">
        <f>IFERROR(VLOOKUP(Table43[[#This Row],[Kode Pcpl]],'[1]HEINZ ABC'!$A$4:$E$112,8,0),0)</f>
        <v>0</v>
      </c>
      <c r="BT269" s="58">
        <f>Table43[[#This Row],[Harga Jual Pcs GT
(-PPN)]]-BS269</f>
        <v>14918.92</v>
      </c>
      <c r="BU269">
        <f>IF(BS269=0,Table43[[#This Row],[Harga Jual Pcs MT
(-PPN)]])</f>
        <v>16112.43</v>
      </c>
      <c r="BV269">
        <f>IFERROR(VLOOKUP(Table43[[#This Row],[Kode Pcpl]],[2]Pricelist!$A$4:$K$112,11,0),0)</f>
        <v>0</v>
      </c>
      <c r="BW269">
        <f>IFERROR(VLOOKUP(Table43[[#This Row],[Kode BARANG Win2]],[3]!RECKITT211216[[KDBRG]:[HRG_JL_PCS-PPN]],11,0),0)</f>
        <v>0</v>
      </c>
      <c r="BX269">
        <f t="shared" si="11"/>
        <v>0</v>
      </c>
    </row>
    <row r="270" spans="1:76" x14ac:dyDescent="0.25">
      <c r="A270" s="4" t="str">
        <f>CONCATENATE(Table43[[#This Row],[Kode BARANG Win2]],Table43[[#This Row],[No. Urut
Item Sama]])</f>
        <v>A11200120335101</v>
      </c>
      <c r="B270" s="7">
        <v>1</v>
      </c>
      <c r="C270" s="4">
        <v>240</v>
      </c>
      <c r="D270" s="27">
        <v>150174</v>
      </c>
      <c r="E270" s="27" t="s">
        <v>381</v>
      </c>
      <c r="F270" s="27" t="s">
        <v>441</v>
      </c>
      <c r="G270" s="27">
        <v>24</v>
      </c>
      <c r="H270" s="42" t="s">
        <v>2575</v>
      </c>
      <c r="I270" s="27" t="str">
        <f>Table43[[#This Row],[Nama Jenis Kemasan]]</f>
        <v>BTL</v>
      </c>
      <c r="J270" s="4" t="str">
        <f>TRIM(CONCATENATE(Table43[[#This Row],[Nama            KLP]]," ",Table43[[#This Row],[Nama            Sub KLP]]))</f>
        <v>SAMBAL</v>
      </c>
      <c r="K270" s="4" t="str">
        <f>CONCATENATE(Table43[[#This Row],[kode  2 Digit                (hrf+No)]],Table43[[#This Row],[kode  2 Digit                (Nomor)]],Table43[[#This Row],[kode  1 Digit                (Nomor)]])</f>
        <v>A1120</v>
      </c>
      <c r="L270" s="4" t="str">
        <f>IF(AG270="",CONCATENATE(Q270,S270,U270,W270,Y270,AA270,AC270,AE270,Table43[[#This Row],[Tanda Kode Revisi]]),CONCATENATE(Q270,S270,U270,W270,Y270,AA270,AC270,AG270))</f>
        <v>A1120012033510</v>
      </c>
      <c r="M270" s="11">
        <f t="shared" si="9"/>
        <v>14</v>
      </c>
      <c r="N270" s="14" t="str">
        <f>IF(AF270&lt;&gt;"",TRIM(UPPER(CONCATENATE(P270," ",R270," ",T270," ",V270," ",X270," ",Z270," ","X"," ",Table43[[#This Row],[ISI/CTN]]," ",AF270," ",AB270," ",AD270," ",AH270))),TRIM(UPPER(CONCATENATE(P270," ",R270," ",T270," ",V270," ",X270," ",Z270," ","X"," ",Table43[[#This Row],[ISI/CTN]]," ",AB270," ",AD270," ",AH270))))</f>
        <v>ABC SAMBAL AYAM GORENG 335 ML X 24 BTL</v>
      </c>
      <c r="O270" s="11">
        <f t="shared" si="10"/>
        <v>38</v>
      </c>
      <c r="P270" s="4" t="s">
        <v>28</v>
      </c>
      <c r="Q270" s="7" t="s">
        <v>85</v>
      </c>
      <c r="R270" s="4" t="s">
        <v>603</v>
      </c>
      <c r="S270" s="43">
        <v>12</v>
      </c>
      <c r="T270" s="44"/>
      <c r="U270" s="7">
        <v>0</v>
      </c>
      <c r="V270" s="44"/>
      <c r="W270" s="43" t="s">
        <v>1</v>
      </c>
      <c r="X270" s="4" t="s">
        <v>623</v>
      </c>
      <c r="Y270" s="45">
        <v>12</v>
      </c>
      <c r="Z270" s="4" t="s">
        <v>592</v>
      </c>
      <c r="AA270" s="45" t="s">
        <v>593</v>
      </c>
      <c r="AB270" s="4" t="s">
        <v>486</v>
      </c>
      <c r="AC270" s="7" t="s">
        <v>480</v>
      </c>
      <c r="AE270" s="7" t="s">
        <v>1</v>
      </c>
      <c r="AI270" s="7" t="s">
        <v>214</v>
      </c>
      <c r="AJ270" s="7">
        <v>2</v>
      </c>
      <c r="AL270" s="40">
        <f>Table43[[#This Row],[Harga Jual Pcs GT
(-PPN)]]-(Table43[[#This Row],[Harga Jual Pcs GT
(-PPN)]]*6%)</f>
        <v>14023.784799999999</v>
      </c>
      <c r="AM270" s="41">
        <f>Table43[[#This Row],[Harga Beli Pcs
(-PPN)]]*Table43[[#This Row],[ISI/CTN]]</f>
        <v>336570.83519999997</v>
      </c>
      <c r="AN270" s="41">
        <f>Table43[[#This Row],[Harga Beli Pcs
(-PPN)]]*1.11</f>
        <v>15566.401128000001</v>
      </c>
      <c r="AO270" s="41">
        <f>Table43[[#This Row],[Harga Beli Krt
(- PPN)]]*1.11</f>
        <v>373593.627072</v>
      </c>
      <c r="AP270" s="41">
        <v>14918.92</v>
      </c>
      <c r="AQ270" s="41">
        <f>Table43[[#This Row],[Harga Jual Pcs GT
(-PPN)]]*Table43[[#This Row],[ISI/CTN]]</f>
        <v>358054.08</v>
      </c>
      <c r="AR270" s="41">
        <f>Table43[[#This Row],[Harga Jual Pcs GT
(-PPN)]]*1.11</f>
        <v>16560.001200000002</v>
      </c>
      <c r="AS270" s="41">
        <f>Table43[[#This Row],[Harga Jual Krt GT
(- PPN)]]*1.11</f>
        <v>397440.02880000003</v>
      </c>
      <c r="AT270" s="41">
        <v>16112.43</v>
      </c>
      <c r="AU270" s="41">
        <f>(Table43[[#This Row],[Harga Jual Pcs MT
(-PPN)]]*Table43[[#This Row],[ISI/CTN]])</f>
        <v>386698.32</v>
      </c>
      <c r="AV270" s="41">
        <f>Table43[[#This Row],[Harga Jual Pcs MT
(-PPN)]]*1.11</f>
        <v>17884.797300000002</v>
      </c>
      <c r="AW270" s="41">
        <f>Table43[[#This Row],[Harga Jual Pcs MT
(+PPN)]]*Table43[[#This Row],[ISI/CTN]]</f>
        <v>429235.13520000002</v>
      </c>
      <c r="AX270" s="41"/>
      <c r="AY270" s="46">
        <v>45553</v>
      </c>
      <c r="AZ270" s="54">
        <v>45553</v>
      </c>
      <c r="BA270" s="7" t="str">
        <f ca="1">IF(TODAY()-Table43[[#This Row],[Efektif
Pembuatan]]&gt;60,"Lama","Baru")</f>
        <v>Lama</v>
      </c>
      <c r="BB270" s="7" t="str">
        <f ca="1">IF(TODAY()-Table43[[#This Row],[Efektif Naik Harga]]&lt;30,"Naik","Sama")</f>
        <v>Sama</v>
      </c>
      <c r="BC270" s="7" t="s">
        <v>235</v>
      </c>
      <c r="BD270" s="7" t="str">
        <f>IF(Table43[[#This Row],[Kode BARANG Win2]]&lt;&gt;"","IDR","")</f>
        <v>IDR</v>
      </c>
      <c r="BE270" s="7" t="str">
        <f>CONCATENATE(Table43[[#This Row],[kode  1 Digit
(Nomor)]],Table43[[#This Row],[kode  4 Digit                (Nomor)]])</f>
        <v>20335</v>
      </c>
      <c r="BF270" s="7" t="str">
        <f>Table43[[#This Row],[Nama            Gramasi atau Jumlah Pack per CTN]]</f>
        <v>335 ML</v>
      </c>
      <c r="BG270" s="7" t="s">
        <v>653</v>
      </c>
      <c r="BH270" s="51" t="s">
        <v>654</v>
      </c>
      <c r="BI270" s="4" t="str">
        <f>IF(Table43[[#This Row],[SATUAN Fix Win]]&lt;&gt;"","KRT")</f>
        <v>KRT</v>
      </c>
      <c r="BJ270" s="4" t="str">
        <f>IF(Table43[[#This Row],[SATUAN Fix Win]]&lt;&gt;"","GD01")</f>
        <v>GD01</v>
      </c>
      <c r="BK270" s="4">
        <f>IF(Table43[[#This Row],[SATUAN Fix Win]]&lt;&gt;"",11611)</f>
        <v>11611</v>
      </c>
      <c r="BL270" s="4">
        <f>IF(Table43[[#This Row],[SATUAN Fix Win]]&lt;&gt;"",11612)</f>
        <v>11612</v>
      </c>
      <c r="BM270" s="47" t="s">
        <v>655</v>
      </c>
      <c r="BN270" s="4">
        <f>IF(Table43[[#This Row],[SATUAN Fix Win]]&lt;&gt;"",1)</f>
        <v>1</v>
      </c>
      <c r="BO270" s="4" t="s">
        <v>656</v>
      </c>
      <c r="BP270" s="4">
        <f>IFERROR(VLOOKUP(Table43[[#This Row],[Kode Pcpl]],'[1]HEINZ ABC'!$A$4:$E$112,8,0),0)</f>
        <v>0</v>
      </c>
      <c r="BQ270" s="55">
        <f>Table43[[#This Row],[Harga Jual Pcs GT
(-PPN)]]-Table43[[#This Row],[HARGA NAIK GT]]</f>
        <v>14918.92</v>
      </c>
      <c r="BR270" s="4">
        <f>IF(Table43[[#This Row],[HARGA NAIK GT]]=0,Table43[[#This Row],[Harga Jual Pcs GT
(-PPN)]],Table43[[#This Row],[HARGA NAIK GT]])</f>
        <v>14918.92</v>
      </c>
      <c r="BS270">
        <f>IFERROR(VLOOKUP(Table43[[#This Row],[Kode Pcpl]],'[1]HEINZ ABC'!$A$4:$E$112,8,0),0)</f>
        <v>0</v>
      </c>
      <c r="BT270" s="58">
        <f>Table43[[#This Row],[Harga Jual Pcs GT
(-PPN)]]-BS270</f>
        <v>14918.92</v>
      </c>
      <c r="BU270">
        <f>IF(BS270=0,Table43[[#This Row],[Harga Jual Pcs MT
(-PPN)]])</f>
        <v>16112.43</v>
      </c>
      <c r="BV270">
        <f>IFERROR(VLOOKUP(Table43[[#This Row],[Kode Pcpl]],[2]Pricelist!$A$4:$K$112,11,0),0)</f>
        <v>0</v>
      </c>
      <c r="BW270">
        <f>IFERROR(VLOOKUP(Table43[[#This Row],[Kode BARANG Win2]],[3]!RECKITT211216[[KDBRG]:[HRG_JL_PCS-PPN]],11,0),0)</f>
        <v>0</v>
      </c>
      <c r="BX270">
        <f t="shared" si="11"/>
        <v>0</v>
      </c>
    </row>
    <row r="271" spans="1:76" x14ac:dyDescent="0.25">
      <c r="A271" s="4" t="str">
        <f>CONCATENATE(Table43[[#This Row],[Kode BARANG Win2]],Table43[[#This Row],[No. Urut
Item Sama]])</f>
        <v>A11200130135101</v>
      </c>
      <c r="B271" s="7">
        <v>1</v>
      </c>
      <c r="C271" s="4">
        <v>241</v>
      </c>
      <c r="D271" s="27">
        <v>150175</v>
      </c>
      <c r="E271" s="27" t="s">
        <v>381</v>
      </c>
      <c r="F271" s="27" t="s">
        <v>442</v>
      </c>
      <c r="G271" s="27">
        <v>48</v>
      </c>
      <c r="H271" s="42">
        <v>0</v>
      </c>
      <c r="I271" s="27" t="str">
        <f>Table43[[#This Row],[Nama Jenis Kemasan]]</f>
        <v>BTL</v>
      </c>
      <c r="J271" s="4" t="str">
        <f>TRIM(CONCATENATE(Table43[[#This Row],[Nama            KLP]]," ",Table43[[#This Row],[Nama            Sub KLP]]))</f>
        <v>SAMBAL</v>
      </c>
      <c r="K271" s="4" t="str">
        <f>CONCATENATE(Table43[[#This Row],[kode  2 Digit                (hrf+No)]],Table43[[#This Row],[kode  2 Digit                (Nomor)]],Table43[[#This Row],[kode  1 Digit                (Nomor)]])</f>
        <v>A1120</v>
      </c>
      <c r="L271" s="4" t="str">
        <f>IF(AG271="",CONCATENATE(Q271,S271,U271,W271,Y271,AA271,AC271,AE271,Table43[[#This Row],[Tanda Kode Revisi]]),CONCATENATE(Q271,S271,U271,W271,Y271,AA271,AC271,AG271))</f>
        <v>A1120013013510</v>
      </c>
      <c r="M271" s="11">
        <f t="shared" si="9"/>
        <v>14</v>
      </c>
      <c r="N271" s="14" t="str">
        <f>IF(AF271&lt;&gt;"",TRIM(UPPER(CONCATENATE(P271," ",R271," ",T271," ",V271," ",X271," ",Z271," ","X"," ",Table43[[#This Row],[ISI/CTN]]," ",AF271," ",AB271," ",AD271," ",AH271))),TRIM(UPPER(CONCATENATE(P271," ",R271," ",T271," ",V271," ",X271," ",Z271," ","X"," ",Table43[[#This Row],[ISI/CTN]]," ",AB271," ",AD271," ",AH271))))</f>
        <v>ABC SAMBAL BAWANG PEDAS 135 ML X 48 BTL</v>
      </c>
      <c r="O271" s="11">
        <f t="shared" si="10"/>
        <v>39</v>
      </c>
      <c r="P271" s="4" t="s">
        <v>28</v>
      </c>
      <c r="Q271" s="7" t="s">
        <v>85</v>
      </c>
      <c r="R271" s="4" t="s">
        <v>603</v>
      </c>
      <c r="S271" s="43">
        <v>12</v>
      </c>
      <c r="T271" s="44"/>
      <c r="U271" s="7" t="s">
        <v>1</v>
      </c>
      <c r="V271" s="44"/>
      <c r="W271" s="43" t="s">
        <v>1</v>
      </c>
      <c r="X271" s="4" t="s">
        <v>624</v>
      </c>
      <c r="Y271" s="45">
        <v>13</v>
      </c>
      <c r="Z271" s="4" t="s">
        <v>484</v>
      </c>
      <c r="AA271" s="45" t="s">
        <v>487</v>
      </c>
      <c r="AB271" s="4" t="s">
        <v>486</v>
      </c>
      <c r="AC271" s="7" t="s">
        <v>480</v>
      </c>
      <c r="AE271" s="7" t="s">
        <v>1</v>
      </c>
      <c r="AI271" s="7" t="s">
        <v>214</v>
      </c>
      <c r="AJ271" s="7">
        <v>2</v>
      </c>
      <c r="AL271" s="40">
        <f>Table43[[#This Row],[Harga Jual Pcs GT
(-PPN)]]-(Table43[[#This Row],[Harga Jual Pcs GT
(-PPN)]]*6%)</f>
        <v>6097.3005999999996</v>
      </c>
      <c r="AM271" s="41">
        <f>Table43[[#This Row],[Harga Beli Pcs
(-PPN)]]*Table43[[#This Row],[ISI/CTN]]</f>
        <v>292670.42879999999</v>
      </c>
      <c r="AN271" s="41">
        <f>Table43[[#This Row],[Harga Beli Pcs
(-PPN)]]*1.11</f>
        <v>6768.0036660000005</v>
      </c>
      <c r="AO271" s="41">
        <f>Table43[[#This Row],[Harga Beli Krt
(- PPN)]]*1.11</f>
        <v>324864.17596800003</v>
      </c>
      <c r="AP271" s="41">
        <v>6486.49</v>
      </c>
      <c r="AQ271" s="41">
        <f>Table43[[#This Row],[Harga Jual Pcs GT
(-PPN)]]*Table43[[#This Row],[ISI/CTN]]</f>
        <v>311351.52</v>
      </c>
      <c r="AR271" s="41">
        <f>Table43[[#This Row],[Harga Jual Pcs GT
(-PPN)]]*1.11</f>
        <v>7200.0039000000006</v>
      </c>
      <c r="AS271" s="41">
        <f>Table43[[#This Row],[Harga Jual Krt GT
(- PPN)]]*1.11</f>
        <v>345600.18720000004</v>
      </c>
      <c r="AT271" s="41">
        <v>6810.8108108108117</v>
      </c>
      <c r="AU271" s="41">
        <f>(Table43[[#This Row],[Harga Jual Pcs MT
(-PPN)]]*Table43[[#This Row],[ISI/CTN]])</f>
        <v>326918.91891891893</v>
      </c>
      <c r="AV271" s="41">
        <f>Table43[[#This Row],[Harga Jual Pcs MT
(-PPN)]]*1.11</f>
        <v>7560.0000000000018</v>
      </c>
      <c r="AW271" s="41">
        <f>Table43[[#This Row],[Harga Jual Pcs MT
(+PPN)]]*Table43[[#This Row],[ISI/CTN]]</f>
        <v>362880.00000000012</v>
      </c>
      <c r="AX271" s="41"/>
      <c r="AY271" s="46">
        <v>45553</v>
      </c>
      <c r="AZ271" s="54">
        <v>45553</v>
      </c>
      <c r="BA271" s="7" t="str">
        <f ca="1">IF(TODAY()-Table43[[#This Row],[Efektif
Pembuatan]]&gt;60,"Lama","Baru")</f>
        <v>Lama</v>
      </c>
      <c r="BB271" s="7" t="str">
        <f ca="1">IF(TODAY()-Table43[[#This Row],[Efektif Naik Harga]]&lt;30,"Naik","Sama")</f>
        <v>Sama</v>
      </c>
      <c r="BC271" s="7" t="s">
        <v>235</v>
      </c>
      <c r="BD271" s="7" t="str">
        <f>IF(Table43[[#This Row],[Kode BARANG Win2]]&lt;&gt;"","IDR","")</f>
        <v>IDR</v>
      </c>
      <c r="BE271" s="7" t="str">
        <f>CONCATENATE(Table43[[#This Row],[kode  1 Digit
(Nomor)]],Table43[[#This Row],[kode  4 Digit                (Nomor)]])</f>
        <v>20135</v>
      </c>
      <c r="BF271" s="7" t="str">
        <f>Table43[[#This Row],[Nama            Gramasi atau Jumlah Pack per CTN]]</f>
        <v>135 ML</v>
      </c>
      <c r="BG271" s="7" t="s">
        <v>653</v>
      </c>
      <c r="BH271" s="51" t="s">
        <v>654</v>
      </c>
      <c r="BI271" s="4" t="str">
        <f>IF(Table43[[#This Row],[SATUAN Fix Win]]&lt;&gt;"","KRT")</f>
        <v>KRT</v>
      </c>
      <c r="BJ271" s="4" t="str">
        <f>IF(Table43[[#This Row],[SATUAN Fix Win]]&lt;&gt;"","GD01")</f>
        <v>GD01</v>
      </c>
      <c r="BK271" s="4">
        <f>IF(Table43[[#This Row],[SATUAN Fix Win]]&lt;&gt;"",11611)</f>
        <v>11611</v>
      </c>
      <c r="BL271" s="4">
        <f>IF(Table43[[#This Row],[SATUAN Fix Win]]&lt;&gt;"",11612)</f>
        <v>11612</v>
      </c>
      <c r="BM271" s="47" t="s">
        <v>655</v>
      </c>
      <c r="BN271" s="4">
        <f>IF(Table43[[#This Row],[SATUAN Fix Win]]&lt;&gt;"",1)</f>
        <v>1</v>
      </c>
      <c r="BO271" s="4" t="s">
        <v>656</v>
      </c>
      <c r="BP271" s="4">
        <f>IFERROR(VLOOKUP(Table43[[#This Row],[Kode Pcpl]],'[1]HEINZ ABC'!$A$4:$E$112,8,0),0)</f>
        <v>0</v>
      </c>
      <c r="BQ271" s="55">
        <f>Table43[[#This Row],[Harga Jual Pcs GT
(-PPN)]]-Table43[[#This Row],[HARGA NAIK GT]]</f>
        <v>6486.49</v>
      </c>
      <c r="BR271" s="4">
        <f>IF(Table43[[#This Row],[HARGA NAIK GT]]=0,Table43[[#This Row],[Harga Jual Pcs GT
(-PPN)]],Table43[[#This Row],[HARGA NAIK GT]])</f>
        <v>6486.49</v>
      </c>
      <c r="BS271">
        <f>IFERROR(VLOOKUP(Table43[[#This Row],[Kode Pcpl]],'[1]HEINZ ABC'!$A$4:$E$112,8,0),0)</f>
        <v>0</v>
      </c>
      <c r="BT271" s="58">
        <f>Table43[[#This Row],[Harga Jual Pcs GT
(-PPN)]]-BS271</f>
        <v>6486.49</v>
      </c>
      <c r="BU271">
        <f>IF(BS271=0,Table43[[#This Row],[Harga Jual Pcs MT
(-PPN)]])</f>
        <v>6810.8108108108117</v>
      </c>
      <c r="BV271">
        <f>IFERROR(VLOOKUP(Table43[[#This Row],[Kode Pcpl]],[2]Pricelist!$A$4:$K$112,11,0),0)</f>
        <v>0</v>
      </c>
      <c r="BW271">
        <f>IFERROR(VLOOKUP(Table43[[#This Row],[Kode BARANG Win2]],[3]!RECKITT211216[[KDBRG]:[HRG_JL_PCS-PPN]],11,0),0)</f>
        <v>0</v>
      </c>
      <c r="BX271">
        <f t="shared" si="11"/>
        <v>0</v>
      </c>
    </row>
    <row r="272" spans="1:76" x14ac:dyDescent="0.25">
      <c r="A272" s="4" t="str">
        <f>CONCATENATE(Table43[[#This Row],[Kode BARANG Win2]],Table43[[#This Row],[No. Urut
Item Sama]])</f>
        <v>A11200130275101</v>
      </c>
      <c r="B272" s="7">
        <v>1</v>
      </c>
      <c r="C272" s="4">
        <v>242</v>
      </c>
      <c r="D272" s="27">
        <v>150176</v>
      </c>
      <c r="E272" s="27" t="s">
        <v>381</v>
      </c>
      <c r="F272" s="27" t="s">
        <v>443</v>
      </c>
      <c r="G272" s="27">
        <v>24</v>
      </c>
      <c r="H272" s="42" t="s">
        <v>2579</v>
      </c>
      <c r="I272" s="27" t="str">
        <f>Table43[[#This Row],[Nama Jenis Kemasan]]</f>
        <v>BTL</v>
      </c>
      <c r="J272" s="4" t="str">
        <f>TRIM(CONCATENATE(Table43[[#This Row],[Nama            KLP]]," ",Table43[[#This Row],[Nama            Sub KLP]]))</f>
        <v>SAMBAL</v>
      </c>
      <c r="K272" s="4" t="str">
        <f>CONCATENATE(Table43[[#This Row],[kode  2 Digit                (hrf+No)]],Table43[[#This Row],[kode  2 Digit                (Nomor)]],Table43[[#This Row],[kode  1 Digit                (Nomor)]])</f>
        <v>A1120</v>
      </c>
      <c r="L272" s="4" t="str">
        <f>IF(AG272="",CONCATENATE(Q272,S272,U272,W272,Y272,AA272,AC272,AE272,Table43[[#This Row],[Tanda Kode Revisi]]),CONCATENATE(Q272,S272,U272,W272,Y272,AA272,AC272,AG272))</f>
        <v>A1120013027510</v>
      </c>
      <c r="M272" s="11">
        <f t="shared" si="9"/>
        <v>14</v>
      </c>
      <c r="N272" s="14" t="str">
        <f>IF(AF272&lt;&gt;"",TRIM(UPPER(CONCATENATE(P272," ",R272," ",T272," ",V272," ",X272," ",Z272," ","X"," ",Table43[[#This Row],[ISI/CTN]]," ",AF272," ",AB272," ",AD272," ",AH272))),TRIM(UPPER(CONCATENATE(P272," ",R272," ",T272," ",V272," ",X272," ",Z272," ","X"," ",Table43[[#This Row],[ISI/CTN]]," ",AB272," ",AD272," ",AH272))))</f>
        <v>ABC SAMBAL BAWANG PEDAS 275 ML X 24 BTL</v>
      </c>
      <c r="O272" s="11">
        <f t="shared" si="10"/>
        <v>39</v>
      </c>
      <c r="P272" s="4" t="s">
        <v>28</v>
      </c>
      <c r="Q272" s="7" t="s">
        <v>85</v>
      </c>
      <c r="R272" s="4" t="s">
        <v>603</v>
      </c>
      <c r="S272" s="43">
        <v>12</v>
      </c>
      <c r="T272" s="44"/>
      <c r="U272" s="7" t="s">
        <v>1</v>
      </c>
      <c r="V272" s="44"/>
      <c r="W272" s="43" t="s">
        <v>1</v>
      </c>
      <c r="X272" s="4" t="s">
        <v>624</v>
      </c>
      <c r="Y272" s="45">
        <v>13</v>
      </c>
      <c r="Z272" s="4" t="s">
        <v>490</v>
      </c>
      <c r="AA272" s="45" t="s">
        <v>491</v>
      </c>
      <c r="AB272" s="4" t="s">
        <v>486</v>
      </c>
      <c r="AC272" s="7" t="s">
        <v>480</v>
      </c>
      <c r="AE272" s="7" t="s">
        <v>1</v>
      </c>
      <c r="AI272" s="7" t="s">
        <v>214</v>
      </c>
      <c r="AJ272" s="7">
        <v>2</v>
      </c>
      <c r="AL272" s="40">
        <f>Table43[[#This Row],[Harga Jual Pcs GT
(-PPN)]]-(Table43[[#This Row],[Harga Jual Pcs GT
(-PPN)]]*6%)</f>
        <v>11271.5306</v>
      </c>
      <c r="AM272" s="41">
        <f>Table43[[#This Row],[Harga Beli Pcs
(-PPN)]]*Table43[[#This Row],[ISI/CTN]]</f>
        <v>270516.73440000002</v>
      </c>
      <c r="AN272" s="41">
        <f>Table43[[#This Row],[Harga Beli Pcs
(-PPN)]]*1.11</f>
        <v>12511.398966000001</v>
      </c>
      <c r="AO272" s="41">
        <f>Table43[[#This Row],[Harga Beli Krt
(- PPN)]]*1.11</f>
        <v>300273.57518400002</v>
      </c>
      <c r="AP272" s="41">
        <v>11990.99</v>
      </c>
      <c r="AQ272" s="41">
        <f>Table43[[#This Row],[Harga Jual Pcs GT
(-PPN)]]*Table43[[#This Row],[ISI/CTN]]</f>
        <v>287783.76</v>
      </c>
      <c r="AR272" s="41">
        <f>Table43[[#This Row],[Harga Jual Pcs GT
(-PPN)]]*1.11</f>
        <v>13309.998900000001</v>
      </c>
      <c r="AS272" s="41">
        <f>Table43[[#This Row],[Harga Jual Krt GT
(- PPN)]]*1.11</f>
        <v>319439.97360000003</v>
      </c>
      <c r="AT272" s="41">
        <v>12950.27</v>
      </c>
      <c r="AU272" s="41">
        <f>(Table43[[#This Row],[Harga Jual Pcs MT
(-PPN)]]*Table43[[#This Row],[ISI/CTN]])</f>
        <v>310806.48</v>
      </c>
      <c r="AV272" s="41">
        <f>Table43[[#This Row],[Harga Jual Pcs MT
(-PPN)]]*1.11</f>
        <v>14374.799700000001</v>
      </c>
      <c r="AW272" s="41">
        <f>Table43[[#This Row],[Harga Jual Pcs MT
(+PPN)]]*Table43[[#This Row],[ISI/CTN]]</f>
        <v>344995.19280000002</v>
      </c>
      <c r="AX272" s="41"/>
      <c r="AY272" s="46">
        <v>45553</v>
      </c>
      <c r="AZ272" s="54">
        <v>45553</v>
      </c>
      <c r="BA272" s="7" t="str">
        <f ca="1">IF(TODAY()-Table43[[#This Row],[Efektif
Pembuatan]]&gt;60,"Lama","Baru")</f>
        <v>Lama</v>
      </c>
      <c r="BB272" s="7" t="str">
        <f ca="1">IF(TODAY()-Table43[[#This Row],[Efektif Naik Harga]]&lt;30,"Naik","Sama")</f>
        <v>Sama</v>
      </c>
      <c r="BC272" s="7" t="s">
        <v>235</v>
      </c>
      <c r="BD272" s="7" t="str">
        <f>IF(Table43[[#This Row],[Kode BARANG Win2]]&lt;&gt;"","IDR","")</f>
        <v>IDR</v>
      </c>
      <c r="BE272" s="7" t="str">
        <f>CONCATENATE(Table43[[#This Row],[kode  1 Digit
(Nomor)]],Table43[[#This Row],[kode  4 Digit                (Nomor)]])</f>
        <v>20275</v>
      </c>
      <c r="BF272" s="7" t="str">
        <f>Table43[[#This Row],[Nama            Gramasi atau Jumlah Pack per CTN]]</f>
        <v>275 ML</v>
      </c>
      <c r="BG272" s="7" t="s">
        <v>653</v>
      </c>
      <c r="BH272" s="51" t="s">
        <v>654</v>
      </c>
      <c r="BI272" s="4" t="str">
        <f>IF(Table43[[#This Row],[SATUAN Fix Win]]&lt;&gt;"","KRT")</f>
        <v>KRT</v>
      </c>
      <c r="BJ272" s="4" t="str">
        <f>IF(Table43[[#This Row],[SATUAN Fix Win]]&lt;&gt;"","GD01")</f>
        <v>GD01</v>
      </c>
      <c r="BK272" s="4">
        <f>IF(Table43[[#This Row],[SATUAN Fix Win]]&lt;&gt;"",11611)</f>
        <v>11611</v>
      </c>
      <c r="BL272" s="4">
        <f>IF(Table43[[#This Row],[SATUAN Fix Win]]&lt;&gt;"",11612)</f>
        <v>11612</v>
      </c>
      <c r="BM272" s="47" t="s">
        <v>655</v>
      </c>
      <c r="BN272" s="4">
        <f>IF(Table43[[#This Row],[SATUAN Fix Win]]&lt;&gt;"",1)</f>
        <v>1</v>
      </c>
      <c r="BO272" s="4" t="s">
        <v>656</v>
      </c>
      <c r="BP272" s="4">
        <f>IFERROR(VLOOKUP(Table43[[#This Row],[Kode Pcpl]],'[1]HEINZ ABC'!$A$4:$E$112,8,0),0)</f>
        <v>0</v>
      </c>
      <c r="BQ272" s="55">
        <f>Table43[[#This Row],[Harga Jual Pcs GT
(-PPN)]]-Table43[[#This Row],[HARGA NAIK GT]]</f>
        <v>11990.99</v>
      </c>
      <c r="BR272" s="4">
        <f>IF(Table43[[#This Row],[HARGA NAIK GT]]=0,Table43[[#This Row],[Harga Jual Pcs GT
(-PPN)]],Table43[[#This Row],[HARGA NAIK GT]])</f>
        <v>11990.99</v>
      </c>
      <c r="BS272">
        <f>IFERROR(VLOOKUP(Table43[[#This Row],[Kode Pcpl]],'[1]HEINZ ABC'!$A$4:$E$112,8,0),0)</f>
        <v>0</v>
      </c>
      <c r="BT272" s="58">
        <f>Table43[[#This Row],[Harga Jual Pcs GT
(-PPN)]]-BS272</f>
        <v>11990.99</v>
      </c>
      <c r="BU272">
        <f>IF(BS272=0,Table43[[#This Row],[Harga Jual Pcs MT
(-PPN)]])</f>
        <v>12950.27</v>
      </c>
      <c r="BV272">
        <f>IFERROR(VLOOKUP(Table43[[#This Row],[Kode Pcpl]],[2]Pricelist!$A$4:$K$112,11,0),0)</f>
        <v>0</v>
      </c>
      <c r="BW272">
        <f>IFERROR(VLOOKUP(Table43[[#This Row],[Kode BARANG Win2]],[3]!RECKITT211216[[KDBRG]:[HRG_JL_PCS-PPN]],11,0),0)</f>
        <v>0</v>
      </c>
      <c r="BX272">
        <f t="shared" si="11"/>
        <v>0</v>
      </c>
    </row>
    <row r="273" spans="1:76" x14ac:dyDescent="0.25">
      <c r="A273" s="4" t="str">
        <f>CONCATENATE(Table43[[#This Row],[Kode BARANG Win2]],Table43[[#This Row],[No. Urut
Item Sama]])</f>
        <v>A11200130275102</v>
      </c>
      <c r="B273" s="7">
        <v>2</v>
      </c>
      <c r="C273" s="4">
        <v>243</v>
      </c>
      <c r="D273" s="27">
        <v>150371</v>
      </c>
      <c r="E273" s="27" t="s">
        <v>381</v>
      </c>
      <c r="F273" s="27" t="s">
        <v>996</v>
      </c>
      <c r="G273" s="27">
        <v>24</v>
      </c>
      <c r="H273" s="42" t="s">
        <v>2632</v>
      </c>
      <c r="I273" s="27" t="str">
        <f>Table43[[#This Row],[Nama Jenis Kemasan]]</f>
        <v>BTL</v>
      </c>
      <c r="J273" s="4" t="str">
        <f>TRIM(CONCATENATE(Table43[[#This Row],[Nama            KLP]]," ",Table43[[#This Row],[Nama            Sub KLP]]))</f>
        <v>SAMBAL</v>
      </c>
      <c r="K273" s="4" t="str">
        <f>CONCATENATE(Table43[[#This Row],[kode  2 Digit                (hrf+No)]],Table43[[#This Row],[kode  2 Digit                (Nomor)]],Table43[[#This Row],[kode  1 Digit                (Nomor)]])</f>
        <v>A1120</v>
      </c>
      <c r="L273" s="4" t="str">
        <f>IF(AG273="",CONCATENATE(Q273,S273,U273,W273,Y273,AA273,AC273,AE273,Table43[[#This Row],[Tanda Kode Revisi]]),CONCATENATE(Q273,S273,U273,W273,Y273,AA273,AC273,AG273))</f>
        <v>A1120013027510</v>
      </c>
      <c r="M273" s="11">
        <f t="shared" si="9"/>
        <v>14</v>
      </c>
      <c r="N273" s="14" t="str">
        <f>IF(AF273&lt;&gt;"",TRIM(UPPER(CONCATENATE(P273," ",R273," ",T273," ",V273," ",X273," ",Z273," ","X"," ",Table43[[#This Row],[ISI/CTN]]," ",AF273," ",AB273," ",AD273," ",AH273))),TRIM(UPPER(CONCATENATE(P273," ",R273," ",T273," ",V273," ",X273," ",Z273," ","X"," ",Table43[[#This Row],[ISI/CTN]]," ",AB273," ",AD273," ",AH273))))</f>
        <v>ABC SAMBAL BAWANG PEDAS 270 ML X 24 BTL</v>
      </c>
      <c r="O273" s="11">
        <f t="shared" si="10"/>
        <v>39</v>
      </c>
      <c r="P273" s="4" t="s">
        <v>28</v>
      </c>
      <c r="Q273" s="7" t="s">
        <v>85</v>
      </c>
      <c r="R273" s="4" t="s">
        <v>603</v>
      </c>
      <c r="S273" s="43">
        <v>12</v>
      </c>
      <c r="T273" s="44"/>
      <c r="U273" s="7" t="s">
        <v>1</v>
      </c>
      <c r="V273" s="44"/>
      <c r="W273" s="43" t="s">
        <v>1</v>
      </c>
      <c r="X273" s="4" t="s">
        <v>624</v>
      </c>
      <c r="Y273" s="45">
        <v>13</v>
      </c>
      <c r="Z273" s="4" t="s">
        <v>607</v>
      </c>
      <c r="AA273" s="45" t="s">
        <v>491</v>
      </c>
      <c r="AB273" s="4" t="s">
        <v>486</v>
      </c>
      <c r="AC273" s="7" t="s">
        <v>480</v>
      </c>
      <c r="AE273" s="7" t="s">
        <v>1</v>
      </c>
      <c r="AI273" s="7" t="s">
        <v>214</v>
      </c>
      <c r="AJ273" s="7">
        <v>2</v>
      </c>
      <c r="AL273" s="40">
        <f>Table43[[#This Row],[Harga Jual Pcs GT
(-PPN)]]-(Table43[[#This Row],[Harga Jual Pcs GT
(-PPN)]]*6%)</f>
        <v>11271.5306</v>
      </c>
      <c r="AM273" s="41">
        <f>Table43[[#This Row],[Harga Beli Pcs
(-PPN)]]*Table43[[#This Row],[ISI/CTN]]</f>
        <v>270516.73440000002</v>
      </c>
      <c r="AN273" s="41">
        <f>Table43[[#This Row],[Harga Beli Pcs
(-PPN)]]*1.11</f>
        <v>12511.398966000001</v>
      </c>
      <c r="AO273" s="41">
        <f>Table43[[#This Row],[Harga Beli Krt
(- PPN)]]*1.11</f>
        <v>300273.57518400002</v>
      </c>
      <c r="AP273" s="41">
        <v>11990.99</v>
      </c>
      <c r="AQ273" s="41">
        <f>Table43[[#This Row],[Harga Jual Pcs GT
(-PPN)]]*Table43[[#This Row],[ISI/CTN]]</f>
        <v>287783.76</v>
      </c>
      <c r="AR273" s="41">
        <f>Table43[[#This Row],[Harga Jual Pcs GT
(-PPN)]]*1.11</f>
        <v>13309.998900000001</v>
      </c>
      <c r="AS273" s="41">
        <f>Table43[[#This Row],[Harga Jual Krt GT
(- PPN)]]*1.11</f>
        <v>319439.97360000003</v>
      </c>
      <c r="AT273" s="41">
        <v>12950.27</v>
      </c>
      <c r="AU273" s="41">
        <f>(Table43[[#This Row],[Harga Jual Pcs MT
(-PPN)]]*Table43[[#This Row],[ISI/CTN]])</f>
        <v>310806.48</v>
      </c>
      <c r="AV273" s="41">
        <f>Table43[[#This Row],[Harga Jual Pcs MT
(-PPN)]]*1.11</f>
        <v>14374.799700000001</v>
      </c>
      <c r="AW273" s="41">
        <f>Table43[[#This Row],[Harga Jual Pcs MT
(+PPN)]]*Table43[[#This Row],[ISI/CTN]]</f>
        <v>344995.19280000002</v>
      </c>
      <c r="AX273" s="41"/>
      <c r="AY273" s="46">
        <v>45681</v>
      </c>
      <c r="AZ273" s="54">
        <v>45553</v>
      </c>
      <c r="BA273" s="7" t="str">
        <f ca="1">IF(TODAY()-Table43[[#This Row],[Efektif
Pembuatan]]&gt;60,"Lama","Baru")</f>
        <v>Lama</v>
      </c>
      <c r="BB273" s="7" t="str">
        <f ca="1">IF(TODAY()-Table43[[#This Row],[Efektif Naik Harga]]&lt;30,"Naik","Sama")</f>
        <v>Sama</v>
      </c>
      <c r="BC273" s="7" t="s">
        <v>235</v>
      </c>
      <c r="BD273" s="7" t="str">
        <f>IF(Table43[[#This Row],[Kode BARANG Win2]]&lt;&gt;"","IDR","")</f>
        <v>IDR</v>
      </c>
      <c r="BE273" s="7" t="str">
        <f>CONCATENATE(Table43[[#This Row],[kode  1 Digit
(Nomor)]],Table43[[#This Row],[kode  4 Digit                (Nomor)]])</f>
        <v>20275</v>
      </c>
      <c r="BF273" s="7" t="str">
        <f>Table43[[#This Row],[Nama            Gramasi atau Jumlah Pack per CTN]]</f>
        <v>270 ML</v>
      </c>
      <c r="BG273" s="7" t="s">
        <v>653</v>
      </c>
      <c r="BH273" s="51" t="s">
        <v>654</v>
      </c>
      <c r="BI273" s="4" t="str">
        <f>IF(Table43[[#This Row],[SATUAN Fix Win]]&lt;&gt;"","KRT")</f>
        <v>KRT</v>
      </c>
      <c r="BJ273" s="4" t="str">
        <f>IF(Table43[[#This Row],[SATUAN Fix Win]]&lt;&gt;"","GD01")</f>
        <v>GD01</v>
      </c>
      <c r="BK273" s="4">
        <f>IF(Table43[[#This Row],[SATUAN Fix Win]]&lt;&gt;"",11611)</f>
        <v>11611</v>
      </c>
      <c r="BL273" s="4">
        <f>IF(Table43[[#This Row],[SATUAN Fix Win]]&lt;&gt;"",11612)</f>
        <v>11612</v>
      </c>
      <c r="BM273" s="47">
        <v>123</v>
      </c>
      <c r="BN273" s="4">
        <f>IF(Table43[[#This Row],[SATUAN Fix Win]]&lt;&gt;"",1)</f>
        <v>1</v>
      </c>
      <c r="BO273" s="4" t="s">
        <v>656</v>
      </c>
      <c r="BP273" s="4">
        <f>IFERROR(VLOOKUP(Table43[[#This Row],[Kode Pcpl]],'[1]HEINZ ABC'!$A$4:$E$112,8,0),0)</f>
        <v>0</v>
      </c>
      <c r="BQ273" s="55">
        <f>Table43[[#This Row],[Harga Jual Pcs GT
(-PPN)]]-Table43[[#This Row],[HARGA NAIK GT]]</f>
        <v>11990.99</v>
      </c>
      <c r="BR273" s="4">
        <f>IF(Table43[[#This Row],[HARGA NAIK GT]]=0,Table43[[#This Row],[Harga Jual Pcs GT
(-PPN)]],Table43[[#This Row],[HARGA NAIK GT]])</f>
        <v>11990.99</v>
      </c>
      <c r="BS273">
        <f>IFERROR(VLOOKUP(Table43[[#This Row],[Kode Pcpl]],'[1]HEINZ ABC'!$A$4:$E$112,8,0),0)</f>
        <v>0</v>
      </c>
      <c r="BT273" s="58">
        <f>Table43[[#This Row],[Harga Jual Pcs GT
(-PPN)]]-BS273</f>
        <v>11990.99</v>
      </c>
      <c r="BU273">
        <f>IF(BS273=0,Table43[[#This Row],[Harga Jual Pcs MT
(-PPN)]])</f>
        <v>12950.27</v>
      </c>
      <c r="BV273">
        <f>IFERROR(VLOOKUP(Table43[[#This Row],[Kode Pcpl]],[2]Pricelist!$A$4:$K$112,11,0),0)</f>
        <v>0</v>
      </c>
      <c r="BW273">
        <f>IFERROR(VLOOKUP(Table43[[#This Row],[Kode BARANG Win2]],[3]!RECKITT211216[[KDBRG]:[HRG_JL_PCS-PPN]],11,0),0)</f>
        <v>0</v>
      </c>
      <c r="BX273">
        <f t="shared" si="11"/>
        <v>0</v>
      </c>
    </row>
    <row r="274" spans="1:76" x14ac:dyDescent="0.25">
      <c r="A274" s="4" t="str">
        <f>CONCATENATE(Table43[[#This Row],[Kode BARANG Win2]],Table43[[#This Row],[No. Urut
Item Sama]])</f>
        <v>A11210000007101</v>
      </c>
      <c r="B274" s="7">
        <v>1</v>
      </c>
      <c r="C274" s="4">
        <v>244</v>
      </c>
      <c r="D274" s="27">
        <v>150190</v>
      </c>
      <c r="E274" s="27" t="s">
        <v>381</v>
      </c>
      <c r="F274" s="27" t="s">
        <v>444</v>
      </c>
      <c r="G274" s="27">
        <v>21</v>
      </c>
      <c r="H274" s="42">
        <v>0</v>
      </c>
      <c r="I274" s="27" t="str">
        <f>Table43[[#This Row],[Nama Jenis Kemasan]]</f>
        <v>PCSX24</v>
      </c>
      <c r="J274" s="4" t="str">
        <f>TRIM(CONCATENATE(Table43[[#This Row],[Nama            KLP]]," ",Table43[[#This Row],[Nama            Sub KLP]]))</f>
        <v>SAMBAL HOKI</v>
      </c>
      <c r="K274" s="4" t="str">
        <f>CONCATENATE(Table43[[#This Row],[kode  2 Digit                (hrf+No)]],Table43[[#This Row],[kode  2 Digit                (Nomor)]],Table43[[#This Row],[kode  1 Digit                (Nomor)]])</f>
        <v>A1121</v>
      </c>
      <c r="L274" s="4" t="str">
        <f>IF(AG274="",CONCATENATE(Q274,S274,U274,W274,Y274,AA274,AC274,AE274,Table43[[#This Row],[Tanda Kode Revisi]]),CONCATENATE(Q274,S274,U274,W274,Y274,AA274,AC274,AG274))</f>
        <v>A1121000000710</v>
      </c>
      <c r="M274" s="11">
        <f t="shared" si="9"/>
        <v>14</v>
      </c>
      <c r="N274" s="14" t="str">
        <f>IF(AF274&lt;&gt;"",TRIM(UPPER(CONCATENATE(P274," ",R274," ",T274," ",V274," ",X274," ",Z274," ","X"," ",Table43[[#This Row],[ISI/CTN]]," ",AF274," ",AB274," ",AD274," ",AH274))),TRIM(UPPER(CONCATENATE(P274," ",R274," ",T274," ",V274," ",X274," ",Z274," ","X"," ",Table43[[#This Row],[ISI/CTN]]," ",AB274," ",AD274," ",AH274))))</f>
        <v>ABC SAMBAL HOKI 7 GR X 21 PACK PCSX24</v>
      </c>
      <c r="O274" s="11">
        <f t="shared" si="10"/>
        <v>37</v>
      </c>
      <c r="P274" s="4" t="s">
        <v>28</v>
      </c>
      <c r="Q274" s="7" t="s">
        <v>85</v>
      </c>
      <c r="R274" s="4" t="s">
        <v>603</v>
      </c>
      <c r="S274" s="43">
        <v>12</v>
      </c>
      <c r="T274" s="44" t="s">
        <v>511</v>
      </c>
      <c r="U274" s="7">
        <v>1</v>
      </c>
      <c r="V274" s="44"/>
      <c r="W274" s="43" t="s">
        <v>1</v>
      </c>
      <c r="Y274" s="45" t="s">
        <v>476</v>
      </c>
      <c r="Z274" s="4" t="s">
        <v>625</v>
      </c>
      <c r="AA274" s="45" t="s">
        <v>626</v>
      </c>
      <c r="AB274" s="4" t="s">
        <v>627</v>
      </c>
      <c r="AC274" s="7" t="s">
        <v>480</v>
      </c>
      <c r="AE274" s="7" t="s">
        <v>1</v>
      </c>
      <c r="AF274" s="7" t="s">
        <v>546</v>
      </c>
      <c r="AI274" s="7" t="s">
        <v>215</v>
      </c>
      <c r="AJ274" s="7">
        <v>1</v>
      </c>
      <c r="AL274" s="40">
        <f>Table43[[#This Row],[Harga Jual Pcs GT
(-PPN)]]-(Table43[[#This Row],[Harga Jual Pcs GT
(-PPN)]]*6%)</f>
        <v>3610.4366</v>
      </c>
      <c r="AM274" s="41">
        <f>Table43[[#This Row],[Harga Beli Pcs
(-PPN)]]*Table43[[#This Row],[ISI/CTN]]</f>
        <v>75819.168600000005</v>
      </c>
      <c r="AN274" s="41">
        <f>Table43[[#This Row],[Harga Beli Pcs
(-PPN)]]*1.11</f>
        <v>4007.5846260000003</v>
      </c>
      <c r="AO274" s="41">
        <f>Table43[[#This Row],[Harga Beli Krt
(- PPN)]]*1.11</f>
        <v>84159.277146000008</v>
      </c>
      <c r="AP274" s="41">
        <v>3840.89</v>
      </c>
      <c r="AQ274" s="41">
        <f>Table43[[#This Row],[Harga Jual Pcs GT
(-PPN)]]*Table43[[#This Row],[ISI/CTN]]</f>
        <v>80658.69</v>
      </c>
      <c r="AR274" s="41">
        <f>Table43[[#This Row],[Harga Jual Pcs GT
(-PPN)]]*1.11</f>
        <v>4263.3879000000006</v>
      </c>
      <c r="AS274" s="41">
        <f>Table43[[#This Row],[Harga Jual Krt GT
(- PPN)]]*1.11</f>
        <v>89531.145900000018</v>
      </c>
      <c r="AT274" s="41">
        <v>4148.1565714285716</v>
      </c>
      <c r="AU274" s="41">
        <f>(Table43[[#This Row],[Harga Jual Pcs MT
(-PPN)]]*Table43[[#This Row],[ISI/CTN]])</f>
        <v>87111.288</v>
      </c>
      <c r="AV274" s="41">
        <f>Table43[[#This Row],[Harga Jual Pcs MT
(-PPN)]]*1.11</f>
        <v>4604.453794285715</v>
      </c>
      <c r="AW274" s="41">
        <f>Table43[[#This Row],[Harga Jual Pcs MT
(+PPN)]]*Table43[[#This Row],[ISI/CTN]]</f>
        <v>96693.529680000021</v>
      </c>
      <c r="AX274" s="41"/>
      <c r="AY274" s="46">
        <v>45553</v>
      </c>
      <c r="AZ274" s="54">
        <v>45553</v>
      </c>
      <c r="BA274" s="7" t="str">
        <f ca="1">IF(TODAY()-Table43[[#This Row],[Efektif
Pembuatan]]&gt;60,"Lama","Baru")</f>
        <v>Lama</v>
      </c>
      <c r="BB274" s="7" t="str">
        <f ca="1">IF(TODAY()-Table43[[#This Row],[Efektif Naik Harga]]&lt;30,"Naik","Sama")</f>
        <v>Sama</v>
      </c>
      <c r="BC274" s="7" t="s">
        <v>235</v>
      </c>
      <c r="BD274" s="7" t="str">
        <f>IF(Table43[[#This Row],[Kode BARANG Win2]]&lt;&gt;"","IDR","")</f>
        <v>IDR</v>
      </c>
      <c r="BE274" s="7" t="str">
        <f>CONCATENATE(Table43[[#This Row],[kode  1 Digit
(Nomor)]],Table43[[#This Row],[kode  4 Digit                (Nomor)]])</f>
        <v>10007</v>
      </c>
      <c r="BF274" s="7" t="str">
        <f>Table43[[#This Row],[Nama            Gramasi atau Jumlah Pack per CTN]]</f>
        <v>7 GR</v>
      </c>
      <c r="BG274" s="7" t="s">
        <v>653</v>
      </c>
      <c r="BH274" s="51" t="s">
        <v>654</v>
      </c>
      <c r="BI274" s="4" t="str">
        <f>IF(Table43[[#This Row],[SATUAN Fix Win]]&lt;&gt;"","KRT")</f>
        <v>KRT</v>
      </c>
      <c r="BJ274" s="4" t="str">
        <f>IF(Table43[[#This Row],[SATUAN Fix Win]]&lt;&gt;"","GD01")</f>
        <v>GD01</v>
      </c>
      <c r="BK274" s="4">
        <f>IF(Table43[[#This Row],[SATUAN Fix Win]]&lt;&gt;"",11611)</f>
        <v>11611</v>
      </c>
      <c r="BL274" s="4">
        <f>IF(Table43[[#This Row],[SATUAN Fix Win]]&lt;&gt;"",11612)</f>
        <v>11612</v>
      </c>
      <c r="BM274" s="47" t="s">
        <v>655</v>
      </c>
      <c r="BN274" s="4">
        <f>IF(Table43[[#This Row],[SATUAN Fix Win]]&lt;&gt;"",1)</f>
        <v>1</v>
      </c>
      <c r="BO274" s="4" t="s">
        <v>656</v>
      </c>
      <c r="BP274" s="4">
        <f>IFERROR(VLOOKUP(Table43[[#This Row],[Kode Pcpl]],'[1]HEINZ ABC'!$A$4:$E$112,8,0),0)</f>
        <v>0</v>
      </c>
      <c r="BQ274" s="55">
        <f>Table43[[#This Row],[Harga Jual Pcs GT
(-PPN)]]-Table43[[#This Row],[HARGA NAIK GT]]</f>
        <v>3840.89</v>
      </c>
      <c r="BR274" s="4">
        <f>IF(Table43[[#This Row],[HARGA NAIK GT]]=0,Table43[[#This Row],[Harga Jual Pcs GT
(-PPN)]],Table43[[#This Row],[HARGA NAIK GT]])</f>
        <v>3840.89</v>
      </c>
      <c r="BS274">
        <f>IFERROR(VLOOKUP(Table43[[#This Row],[Kode Pcpl]],'[1]HEINZ ABC'!$A$4:$E$112,8,0),0)</f>
        <v>0</v>
      </c>
      <c r="BT274" s="58">
        <f>Table43[[#This Row],[Harga Jual Pcs GT
(-PPN)]]-BS274</f>
        <v>3840.89</v>
      </c>
      <c r="BU274">
        <f>IF(BS274=0,Table43[[#This Row],[Harga Jual Pcs MT
(-PPN)]])</f>
        <v>4148.1565714285716</v>
      </c>
      <c r="BV274">
        <f>IFERROR(VLOOKUP(Table43[[#This Row],[Kode Pcpl]],[2]Pricelist!$A$4:$K$112,11,0),0)</f>
        <v>0</v>
      </c>
      <c r="BW274">
        <f>IFERROR(VLOOKUP(Table43[[#This Row],[Kode BARANG Win2]],[3]!RECKITT211216[[KDBRG]:[HRG_JL_PCS-PPN]],11,0),0)</f>
        <v>0</v>
      </c>
      <c r="BX274">
        <f t="shared" si="11"/>
        <v>0</v>
      </c>
    </row>
    <row r="275" spans="1:76" x14ac:dyDescent="0.25">
      <c r="A275" s="4" t="str">
        <f>CONCATENATE(Table43[[#This Row],[Kode BARANG Win2]],Table43[[#This Row],[No. Urut
Item Sama]])</f>
        <v>A11210000580101</v>
      </c>
      <c r="B275" s="7">
        <v>1</v>
      </c>
      <c r="C275" s="4">
        <v>245</v>
      </c>
      <c r="D275" s="27">
        <v>150189</v>
      </c>
      <c r="E275" s="27" t="s">
        <v>381</v>
      </c>
      <c r="F275" s="27" t="s">
        <v>445</v>
      </c>
      <c r="G275" s="27">
        <v>6</v>
      </c>
      <c r="H275" s="42">
        <v>0</v>
      </c>
      <c r="I275" s="27" t="str">
        <f>Table43[[#This Row],[Nama Jenis Kemasan]]</f>
        <v>PCS</v>
      </c>
      <c r="J275" s="4" t="str">
        <f>TRIM(CONCATENATE(Table43[[#This Row],[Nama            KLP]]," ",Table43[[#This Row],[Nama            Sub KLP]]))</f>
        <v>SAMBAL HOKI</v>
      </c>
      <c r="K275" s="4" t="str">
        <f>CONCATENATE(Table43[[#This Row],[kode  2 Digit                (hrf+No)]],Table43[[#This Row],[kode  2 Digit                (Nomor)]],Table43[[#This Row],[kode  1 Digit                (Nomor)]])</f>
        <v>A1121</v>
      </c>
      <c r="L275" s="4" t="str">
        <f>IF(AG275="",CONCATENATE(Q275,S275,U275,W275,Y275,AA275,AC275,AE275,Table43[[#This Row],[Tanda Kode Revisi]]),CONCATENATE(Q275,S275,U275,W275,Y275,AA275,AC275,AG275))</f>
        <v>A1121000058010</v>
      </c>
      <c r="M275" s="11">
        <f t="shared" si="9"/>
        <v>14</v>
      </c>
      <c r="N275" s="14" t="str">
        <f>IF(AF275&lt;&gt;"",TRIM(UPPER(CONCATENATE(P275," ",R275," ",T275," ",V275," ",X275," ",Z275," ","X"," ",Table43[[#This Row],[ISI/CTN]]," ",AF275," ",AB275," ",AD275," ",AH275))),TRIM(UPPER(CONCATENATE(P275," ",R275," ",T275," ",V275," ",X275," ",Z275," ","X"," ",Table43[[#This Row],[ISI/CTN]]," ",AB275," ",AD275," ",AH275))))</f>
        <v>ABC SAMBAL HOKI 580 GR X 6 PCS</v>
      </c>
      <c r="O275" s="11">
        <f t="shared" si="10"/>
        <v>30</v>
      </c>
      <c r="P275" s="4" t="s">
        <v>28</v>
      </c>
      <c r="Q275" s="7" t="s">
        <v>85</v>
      </c>
      <c r="R275" s="4" t="s">
        <v>603</v>
      </c>
      <c r="S275" s="43">
        <v>12</v>
      </c>
      <c r="T275" s="44" t="s">
        <v>511</v>
      </c>
      <c r="U275" s="7">
        <v>1</v>
      </c>
      <c r="V275" s="44"/>
      <c r="W275" s="43" t="s">
        <v>1</v>
      </c>
      <c r="Y275" s="45" t="s">
        <v>476</v>
      </c>
      <c r="Z275" s="4" t="s">
        <v>628</v>
      </c>
      <c r="AA275" s="45" t="s">
        <v>230</v>
      </c>
      <c r="AB275" s="4" t="s">
        <v>552</v>
      </c>
      <c r="AC275" s="7" t="s">
        <v>480</v>
      </c>
      <c r="AE275" s="7" t="s">
        <v>1</v>
      </c>
      <c r="AI275" s="7" t="s">
        <v>215</v>
      </c>
      <c r="AJ275" s="7">
        <v>1</v>
      </c>
      <c r="AL275" s="40">
        <f>Table43[[#This Row],[Harga Jual Pcs GT
(-PPN)]]-(Table43[[#This Row],[Harga Jual Pcs GT
(-PPN)]]*6%)</f>
        <v>5215.5429999999997</v>
      </c>
      <c r="AM275" s="41">
        <f>Table43[[#This Row],[Harga Beli Pcs
(-PPN)]]*Table43[[#This Row],[ISI/CTN]]</f>
        <v>31293.257999999998</v>
      </c>
      <c r="AN275" s="41">
        <f>Table43[[#This Row],[Harga Beli Pcs
(-PPN)]]*1.11</f>
        <v>5789.2527300000002</v>
      </c>
      <c r="AO275" s="41">
        <f>Table43[[#This Row],[Harga Beli Krt
(- PPN)]]*1.11</f>
        <v>34735.516380000001</v>
      </c>
      <c r="AP275" s="41">
        <v>5548.45</v>
      </c>
      <c r="AQ275" s="41">
        <f>Table43[[#This Row],[Harga Jual Pcs GT
(-PPN)]]*Table43[[#This Row],[ISI/CTN]]</f>
        <v>33290.699999999997</v>
      </c>
      <c r="AR275" s="41">
        <f>Table43[[#This Row],[Harga Jual Pcs GT
(-PPN)]]*1.11</f>
        <v>6158.7795000000006</v>
      </c>
      <c r="AS275" s="41">
        <f>Table43[[#This Row],[Harga Jual Krt GT
(- PPN)]]*1.11</f>
        <v>36952.677000000003</v>
      </c>
      <c r="AT275" s="41">
        <v>5992.326</v>
      </c>
      <c r="AU275" s="41">
        <f>(Table43[[#This Row],[Harga Jual Pcs MT
(-PPN)]]*Table43[[#This Row],[ISI/CTN]])</f>
        <v>35953.955999999998</v>
      </c>
      <c r="AV275" s="41">
        <f>Table43[[#This Row],[Harga Jual Pcs MT
(-PPN)]]*1.11</f>
        <v>6651.4818600000008</v>
      </c>
      <c r="AW275" s="41">
        <f>Table43[[#This Row],[Harga Jual Pcs MT
(+PPN)]]*Table43[[#This Row],[ISI/CTN]]</f>
        <v>39908.891160000006</v>
      </c>
      <c r="AX275" s="41"/>
      <c r="AY275" s="46">
        <v>45553</v>
      </c>
      <c r="AZ275" s="54">
        <v>45553</v>
      </c>
      <c r="BA275" s="7" t="str">
        <f ca="1">IF(TODAY()-Table43[[#This Row],[Efektif
Pembuatan]]&gt;60,"Lama","Baru")</f>
        <v>Lama</v>
      </c>
      <c r="BB275" s="7" t="str">
        <f ca="1">IF(TODAY()-Table43[[#This Row],[Efektif Naik Harga]]&lt;30,"Naik","Sama")</f>
        <v>Sama</v>
      </c>
      <c r="BC275" s="7" t="s">
        <v>235</v>
      </c>
      <c r="BD275" s="7" t="str">
        <f>IF(Table43[[#This Row],[Kode BARANG Win2]]&lt;&gt;"","IDR","")</f>
        <v>IDR</v>
      </c>
      <c r="BE275" s="7" t="str">
        <f>CONCATENATE(Table43[[#This Row],[kode  1 Digit
(Nomor)]],Table43[[#This Row],[kode  4 Digit                (Nomor)]])</f>
        <v>10580</v>
      </c>
      <c r="BF275" s="7" t="str">
        <f>Table43[[#This Row],[Nama            Gramasi atau Jumlah Pack per CTN]]</f>
        <v>580 GR</v>
      </c>
      <c r="BG275" s="7" t="s">
        <v>653</v>
      </c>
      <c r="BH275" s="51" t="s">
        <v>654</v>
      </c>
      <c r="BI275" s="4" t="str">
        <f>IF(Table43[[#This Row],[SATUAN Fix Win]]&lt;&gt;"","KRT")</f>
        <v>KRT</v>
      </c>
      <c r="BJ275" s="4" t="str">
        <f>IF(Table43[[#This Row],[SATUAN Fix Win]]&lt;&gt;"","GD01")</f>
        <v>GD01</v>
      </c>
      <c r="BK275" s="4">
        <f>IF(Table43[[#This Row],[SATUAN Fix Win]]&lt;&gt;"",11611)</f>
        <v>11611</v>
      </c>
      <c r="BL275" s="4">
        <f>IF(Table43[[#This Row],[SATUAN Fix Win]]&lt;&gt;"",11612)</f>
        <v>11612</v>
      </c>
      <c r="BM275" s="47" t="s">
        <v>655</v>
      </c>
      <c r="BN275" s="4">
        <f>IF(Table43[[#This Row],[SATUAN Fix Win]]&lt;&gt;"",1)</f>
        <v>1</v>
      </c>
      <c r="BO275" s="4" t="s">
        <v>656</v>
      </c>
      <c r="BP275" s="4">
        <f>IFERROR(VLOOKUP(Table43[[#This Row],[Kode Pcpl]],'[1]HEINZ ABC'!$A$4:$E$112,8,0),0)</f>
        <v>0</v>
      </c>
      <c r="BQ275" s="55">
        <f>Table43[[#This Row],[Harga Jual Pcs GT
(-PPN)]]-Table43[[#This Row],[HARGA NAIK GT]]</f>
        <v>5548.45</v>
      </c>
      <c r="BR275" s="4">
        <f>IF(Table43[[#This Row],[HARGA NAIK GT]]=0,Table43[[#This Row],[Harga Jual Pcs GT
(-PPN)]],Table43[[#This Row],[HARGA NAIK GT]])</f>
        <v>5548.45</v>
      </c>
      <c r="BS275">
        <f>IFERROR(VLOOKUP(Table43[[#This Row],[Kode Pcpl]],'[1]HEINZ ABC'!$A$4:$E$112,8,0),0)</f>
        <v>0</v>
      </c>
      <c r="BT275" s="58">
        <f>Table43[[#This Row],[Harga Jual Pcs GT
(-PPN)]]-BS275</f>
        <v>5548.45</v>
      </c>
      <c r="BU275">
        <f>IF(BS275=0,Table43[[#This Row],[Harga Jual Pcs MT
(-PPN)]])</f>
        <v>5992.326</v>
      </c>
      <c r="BV275">
        <f>IFERROR(VLOOKUP(Table43[[#This Row],[Kode Pcpl]],[2]Pricelist!$A$4:$K$112,11,0),0)</f>
        <v>0</v>
      </c>
      <c r="BW275">
        <f>IFERROR(VLOOKUP(Table43[[#This Row],[Kode BARANG Win2]],[3]!RECKITT211216[[KDBRG]:[HRG_JL_PCS-PPN]],11,0),0)</f>
        <v>0</v>
      </c>
      <c r="BX275">
        <f t="shared" si="11"/>
        <v>0</v>
      </c>
    </row>
    <row r="276" spans="1:76" x14ac:dyDescent="0.25">
      <c r="A276" s="4" t="str">
        <f>CONCATENATE(Table43[[#This Row],[Kode BARANG Win2]],Table43[[#This Row],[No. Urut
Item Sama]])</f>
        <v>A11210000580102</v>
      </c>
      <c r="B276" s="7">
        <v>2</v>
      </c>
      <c r="C276" s="4">
        <v>246</v>
      </c>
      <c r="D276" s="27">
        <v>150209</v>
      </c>
      <c r="E276" s="27" t="s">
        <v>381</v>
      </c>
      <c r="F276" s="27" t="s">
        <v>446</v>
      </c>
      <c r="G276" s="27">
        <v>6</v>
      </c>
      <c r="H276" s="42">
        <v>0</v>
      </c>
      <c r="I276" s="27" t="str">
        <f>Table43[[#This Row],[Nama Jenis Kemasan]]</f>
        <v>PCS</v>
      </c>
      <c r="J276" s="4" t="str">
        <f>TRIM(CONCATENATE(Table43[[#This Row],[Nama            KLP]]," ",Table43[[#This Row],[Nama            Sub KLP]]))</f>
        <v>SAMBAL HOKI</v>
      </c>
      <c r="K276" s="4" t="str">
        <f>CONCATENATE(Table43[[#This Row],[kode  2 Digit                (hrf+No)]],Table43[[#This Row],[kode  2 Digit                (Nomor)]],Table43[[#This Row],[kode  1 Digit                (Nomor)]])</f>
        <v>A1121</v>
      </c>
      <c r="L276" s="4" t="str">
        <f>IF(AG276="",CONCATENATE(Q276,S276,U276,W276,Y276,AA276,AC276,AE276,Table43[[#This Row],[Tanda Kode Revisi]]),CONCATENATE(Q276,S276,U276,W276,Y276,AA276,AC276,AG276))</f>
        <v>A1121000058010</v>
      </c>
      <c r="M276" s="11">
        <f t="shared" si="9"/>
        <v>14</v>
      </c>
      <c r="N276" s="14" t="str">
        <f>IF(AF276&lt;&gt;"",TRIM(UPPER(CONCATENATE(P276," ",R276," ",T276," ",V276," ",X276," ",Z276," ","X"," ",Table43[[#This Row],[ISI/CTN]]," ",AF276," ",AB276," ",AD276," ",AH276))),TRIM(UPPER(CONCATENATE(P276," ",R276," ",T276," ",V276," ",X276," ",Z276," ","X"," ",Table43[[#This Row],[ISI/CTN]]," ",AB276," ",AD276," ",AH276))))</f>
        <v>ABC SAMBAL HOKI 580 GR X 6 PCS</v>
      </c>
      <c r="O276" s="11">
        <f t="shared" si="10"/>
        <v>30</v>
      </c>
      <c r="P276" s="4" t="s">
        <v>28</v>
      </c>
      <c r="Q276" s="7" t="s">
        <v>85</v>
      </c>
      <c r="R276" s="4" t="s">
        <v>603</v>
      </c>
      <c r="S276" s="43">
        <v>12</v>
      </c>
      <c r="T276" s="44" t="s">
        <v>511</v>
      </c>
      <c r="U276" s="7">
        <v>1</v>
      </c>
      <c r="V276" s="44"/>
      <c r="W276" s="43" t="s">
        <v>1</v>
      </c>
      <c r="Y276" s="45" t="s">
        <v>476</v>
      </c>
      <c r="Z276" s="4" t="s">
        <v>628</v>
      </c>
      <c r="AA276" s="45" t="s">
        <v>230</v>
      </c>
      <c r="AB276" s="4" t="s">
        <v>552</v>
      </c>
      <c r="AC276" s="7" t="s">
        <v>480</v>
      </c>
      <c r="AE276" s="7" t="s">
        <v>1</v>
      </c>
      <c r="AI276" s="7" t="s">
        <v>215</v>
      </c>
      <c r="AJ276" s="7">
        <v>1</v>
      </c>
      <c r="AL276" s="40">
        <f>Table43[[#This Row],[Harga Jual Pcs GT
(-PPN)]]-(Table43[[#This Row],[Harga Jual Pcs GT
(-PPN)]]*6%)</f>
        <v>5215.5429999999997</v>
      </c>
      <c r="AM276" s="41">
        <f>Table43[[#This Row],[Harga Beli Pcs
(-PPN)]]*Table43[[#This Row],[ISI/CTN]]</f>
        <v>31293.257999999998</v>
      </c>
      <c r="AN276" s="41">
        <f>Table43[[#This Row],[Harga Beli Pcs
(-PPN)]]*1.11</f>
        <v>5789.2527300000002</v>
      </c>
      <c r="AO276" s="41">
        <f>Table43[[#This Row],[Harga Beli Krt
(- PPN)]]*1.11</f>
        <v>34735.516380000001</v>
      </c>
      <c r="AP276" s="41">
        <v>5548.45</v>
      </c>
      <c r="AQ276" s="41">
        <f>Table43[[#This Row],[Harga Jual Pcs GT
(-PPN)]]*Table43[[#This Row],[ISI/CTN]]</f>
        <v>33290.699999999997</v>
      </c>
      <c r="AR276" s="41">
        <f>Table43[[#This Row],[Harga Jual Pcs GT
(-PPN)]]*1.11</f>
        <v>6158.7795000000006</v>
      </c>
      <c r="AS276" s="41">
        <f>Table43[[#This Row],[Harga Jual Krt GT
(- PPN)]]*1.11</f>
        <v>36952.677000000003</v>
      </c>
      <c r="AT276" s="41">
        <v>5992.326</v>
      </c>
      <c r="AU276" s="41">
        <f>(Table43[[#This Row],[Harga Jual Pcs MT
(-PPN)]]*Table43[[#This Row],[ISI/CTN]])</f>
        <v>35953.955999999998</v>
      </c>
      <c r="AV276" s="41">
        <f>Table43[[#This Row],[Harga Jual Pcs MT
(-PPN)]]*1.11</f>
        <v>6651.4818600000008</v>
      </c>
      <c r="AW276" s="41">
        <f>Table43[[#This Row],[Harga Jual Pcs MT
(+PPN)]]*Table43[[#This Row],[ISI/CTN]]</f>
        <v>39908.891160000006</v>
      </c>
      <c r="AX276" s="41"/>
      <c r="AY276" s="46">
        <v>45553</v>
      </c>
      <c r="AZ276" s="54">
        <v>45553</v>
      </c>
      <c r="BA276" s="7" t="str">
        <f ca="1">IF(TODAY()-Table43[[#This Row],[Efektif
Pembuatan]]&gt;60,"Lama","Baru")</f>
        <v>Lama</v>
      </c>
      <c r="BB276" s="7" t="str">
        <f ca="1">IF(TODAY()-Table43[[#This Row],[Efektif Naik Harga]]&lt;30,"Naik","Sama")</f>
        <v>Sama</v>
      </c>
      <c r="BC276" s="7" t="s">
        <v>235</v>
      </c>
      <c r="BD276" s="7" t="str">
        <f>IF(Table43[[#This Row],[Kode BARANG Win2]]&lt;&gt;"","IDR","")</f>
        <v>IDR</v>
      </c>
      <c r="BE276" s="7" t="str">
        <f>CONCATENATE(Table43[[#This Row],[kode  1 Digit
(Nomor)]],Table43[[#This Row],[kode  4 Digit                (Nomor)]])</f>
        <v>10580</v>
      </c>
      <c r="BF276" s="7" t="str">
        <f>Table43[[#This Row],[Nama            Gramasi atau Jumlah Pack per CTN]]</f>
        <v>580 GR</v>
      </c>
      <c r="BG276" s="7" t="s">
        <v>653</v>
      </c>
      <c r="BH276" s="51" t="s">
        <v>654</v>
      </c>
      <c r="BI276" s="4" t="str">
        <f>IF(Table43[[#This Row],[SATUAN Fix Win]]&lt;&gt;"","KRT")</f>
        <v>KRT</v>
      </c>
      <c r="BJ276" s="4" t="str">
        <f>IF(Table43[[#This Row],[SATUAN Fix Win]]&lt;&gt;"","GD01")</f>
        <v>GD01</v>
      </c>
      <c r="BK276" s="4">
        <f>IF(Table43[[#This Row],[SATUAN Fix Win]]&lt;&gt;"",11611)</f>
        <v>11611</v>
      </c>
      <c r="BL276" s="4">
        <f>IF(Table43[[#This Row],[SATUAN Fix Win]]&lt;&gt;"",11612)</f>
        <v>11612</v>
      </c>
      <c r="BM276" s="47" t="s">
        <v>655</v>
      </c>
      <c r="BN276" s="4">
        <f>IF(Table43[[#This Row],[SATUAN Fix Win]]&lt;&gt;"",1)</f>
        <v>1</v>
      </c>
      <c r="BO276" s="4" t="s">
        <v>656</v>
      </c>
      <c r="BP276" s="4">
        <f>IFERROR(VLOOKUP(Table43[[#This Row],[Kode Pcpl]],'[1]HEINZ ABC'!$A$4:$E$112,8,0),0)</f>
        <v>0</v>
      </c>
      <c r="BQ276" s="55">
        <f>Table43[[#This Row],[Harga Jual Pcs GT
(-PPN)]]-Table43[[#This Row],[HARGA NAIK GT]]</f>
        <v>5548.45</v>
      </c>
      <c r="BR276" s="4">
        <f>IF(Table43[[#This Row],[HARGA NAIK GT]]=0,Table43[[#This Row],[Harga Jual Pcs GT
(-PPN)]],Table43[[#This Row],[HARGA NAIK GT]])</f>
        <v>5548.45</v>
      </c>
      <c r="BS276">
        <f>IFERROR(VLOOKUP(Table43[[#This Row],[Kode Pcpl]],'[1]HEINZ ABC'!$A$4:$E$112,8,0),0)</f>
        <v>0</v>
      </c>
      <c r="BT276" s="58">
        <f>Table43[[#This Row],[Harga Jual Pcs GT
(-PPN)]]-BS276</f>
        <v>5548.45</v>
      </c>
      <c r="BU276">
        <f>IF(BS276=0,Table43[[#This Row],[Harga Jual Pcs MT
(-PPN)]])</f>
        <v>5992.326</v>
      </c>
      <c r="BV276">
        <f>IFERROR(VLOOKUP(Table43[[#This Row],[Kode Pcpl]],[2]Pricelist!$A$4:$K$112,11,0),0)</f>
        <v>0</v>
      </c>
      <c r="BW276">
        <f>IFERROR(VLOOKUP(Table43[[#This Row],[Kode BARANG Win2]],[3]!RECKITT211216[[KDBRG]:[HRG_JL_PCS-PPN]],11,0),0)</f>
        <v>0</v>
      </c>
      <c r="BX276">
        <f t="shared" si="11"/>
        <v>0</v>
      </c>
    </row>
    <row r="277" spans="1:76" x14ac:dyDescent="0.25">
      <c r="A277" s="4" t="str">
        <f>CONCATENATE(Table43[[#This Row],[Kode BARANG Win2]],Table43[[#This Row],[No. Urut
Item Sama]])</f>
        <v>A11220010018101</v>
      </c>
      <c r="B277" s="7">
        <v>1</v>
      </c>
      <c r="C277" s="4">
        <v>247</v>
      </c>
      <c r="D277" s="27">
        <v>612096</v>
      </c>
      <c r="E277" s="27" t="s">
        <v>381</v>
      </c>
      <c r="F277" s="27" t="s">
        <v>447</v>
      </c>
      <c r="G277" s="27">
        <v>10</v>
      </c>
      <c r="H277" s="42" t="s">
        <v>2948</v>
      </c>
      <c r="I277" s="27" t="str">
        <f>Table43[[#This Row],[Nama Jenis Kemasan]]</f>
        <v>PCSX10</v>
      </c>
      <c r="J277" s="4" t="str">
        <f>TRIM(CONCATENATE(Table43[[#This Row],[Nama            KLP]]," ",Table43[[#This Row],[Nama            Sub KLP]]))</f>
        <v>SAMBAL NUSANTARA</v>
      </c>
      <c r="K277" s="4" t="str">
        <f>CONCATENATE(Table43[[#This Row],[kode  2 Digit                (hrf+No)]],Table43[[#This Row],[kode  2 Digit                (Nomor)]],Table43[[#This Row],[kode  1 Digit                (Nomor)]])</f>
        <v>A1122</v>
      </c>
      <c r="L277" s="4" t="str">
        <f>IF(AG277="",CONCATENATE(Q277,S277,U277,W277,Y277,AA277,AC277,AE277,Table43[[#This Row],[Tanda Kode Revisi]]),CONCATENATE(Q277,S277,U277,W277,Y277,AA277,AC277,AG277))</f>
        <v>A1122001001810</v>
      </c>
      <c r="M277" s="11">
        <f t="shared" si="9"/>
        <v>14</v>
      </c>
      <c r="N277" s="14" t="str">
        <f>IF(AF277&lt;&gt;"",TRIM(UPPER(CONCATENATE(P277," ",R277," ",T277," ",V277," ",X277," ",Z277," ","X"," ",Table43[[#This Row],[ISI/CTN]]," ",AF277," ",AB277," ",AD277," ",AH277))),TRIM(UPPER(CONCATENATE(P277," ",R277," ",T277," ",V277," ",X277," ",Z277," ","X"," ",Table43[[#This Row],[ISI/CTN]]," ",AB277," ",AD277," ",AH277))))</f>
        <v>ABC SAMBAL NUSANTARA TERASI 18 GR X 10 PACK PCSX10</v>
      </c>
      <c r="O277" s="11">
        <f t="shared" si="10"/>
        <v>50</v>
      </c>
      <c r="P277" s="4" t="s">
        <v>28</v>
      </c>
      <c r="Q277" s="7" t="s">
        <v>85</v>
      </c>
      <c r="R277" s="4" t="s">
        <v>603</v>
      </c>
      <c r="S277" s="43">
        <v>12</v>
      </c>
      <c r="T277" s="44" t="s">
        <v>629</v>
      </c>
      <c r="U277" s="7">
        <v>2</v>
      </c>
      <c r="V277" s="44"/>
      <c r="W277" s="43" t="s">
        <v>1</v>
      </c>
      <c r="X277" s="4" t="s">
        <v>542</v>
      </c>
      <c r="Y277" s="45" t="s">
        <v>0</v>
      </c>
      <c r="Z277" s="4" t="s">
        <v>630</v>
      </c>
      <c r="AA277" s="45" t="s">
        <v>631</v>
      </c>
      <c r="AB277" s="4" t="s">
        <v>605</v>
      </c>
      <c r="AC277" s="7" t="s">
        <v>480</v>
      </c>
      <c r="AE277" s="7" t="s">
        <v>1</v>
      </c>
      <c r="AF277" s="7" t="s">
        <v>546</v>
      </c>
      <c r="AI277" s="7" t="s">
        <v>215</v>
      </c>
      <c r="AJ277" s="7">
        <v>1</v>
      </c>
      <c r="AL277" s="40">
        <f>Table43[[#This Row],[Harga Jual Pcs GT
(-PPN)]]-(Table43[[#This Row],[Harga Jual Pcs GT
(-PPN)]]*6%)</f>
        <v>10554.254199999999</v>
      </c>
      <c r="AM277" s="41">
        <f>Table43[[#This Row],[Harga Beli Pcs
(-PPN)]]*Table43[[#This Row],[ISI/CTN]]</f>
        <v>105542.54199999999</v>
      </c>
      <c r="AN277" s="41">
        <f>Table43[[#This Row],[Harga Beli Pcs
(-PPN)]]*1.11</f>
        <v>11715.222162</v>
      </c>
      <c r="AO277" s="41">
        <f>Table43[[#This Row],[Harga Beli Krt
(- PPN)]]*1.11</f>
        <v>117152.22162</v>
      </c>
      <c r="AP277" s="41">
        <v>11227.93</v>
      </c>
      <c r="AQ277" s="41">
        <f>Table43[[#This Row],[Harga Jual Pcs GT
(-PPN)]]*Table43[[#This Row],[ISI/CTN]]</f>
        <v>112279.3</v>
      </c>
      <c r="AR277" s="41">
        <f>Table43[[#This Row],[Harga Jual Pcs GT
(-PPN)]]*1.11</f>
        <v>12463.002300000002</v>
      </c>
      <c r="AS277" s="41">
        <f>Table43[[#This Row],[Harga Jual Krt GT
(- PPN)]]*1.11</f>
        <v>124630.02300000002</v>
      </c>
      <c r="AT277" s="41">
        <v>12126.162272399999</v>
      </c>
      <c r="AU277" s="41">
        <f>(Table43[[#This Row],[Harga Jual Pcs MT
(-PPN)]]*Table43[[#This Row],[ISI/CTN]])</f>
        <v>121261.62272399999</v>
      </c>
      <c r="AV277" s="41">
        <f>Table43[[#This Row],[Harga Jual Pcs MT
(-PPN)]]*1.11</f>
        <v>13460.040122364</v>
      </c>
      <c r="AW277" s="41">
        <f>Table43[[#This Row],[Harga Jual Pcs MT
(+PPN)]]*Table43[[#This Row],[ISI/CTN]]</f>
        <v>134600.40122364002</v>
      </c>
      <c r="AX277" s="41"/>
      <c r="AY277" s="46">
        <v>45553</v>
      </c>
      <c r="AZ277" s="54">
        <v>45945</v>
      </c>
      <c r="BA277" s="7" t="str">
        <f ca="1">IF(TODAY()-Table43[[#This Row],[Efektif
Pembuatan]]&gt;60,"Lama","Baru")</f>
        <v>Lama</v>
      </c>
      <c r="BB277" s="7" t="str">
        <f ca="1">IF(TODAY()-Table43[[#This Row],[Efektif Naik Harga]]&lt;30,"Naik","Sama")</f>
        <v>Sama</v>
      </c>
      <c r="BC277" s="7" t="s">
        <v>235</v>
      </c>
      <c r="BD277" s="7" t="str">
        <f>IF(Table43[[#This Row],[Kode BARANG Win2]]&lt;&gt;"","IDR","")</f>
        <v>IDR</v>
      </c>
      <c r="BE277" s="7" t="str">
        <f>CONCATENATE(Table43[[#This Row],[kode  1 Digit
(Nomor)]],Table43[[#This Row],[kode  4 Digit                (Nomor)]])</f>
        <v>10018</v>
      </c>
      <c r="BF277" s="7" t="str">
        <f>Table43[[#This Row],[Nama            Gramasi atau Jumlah Pack per CTN]]</f>
        <v>18 GR</v>
      </c>
      <c r="BG277" s="7" t="s">
        <v>653</v>
      </c>
      <c r="BH277" s="51" t="s">
        <v>654</v>
      </c>
      <c r="BI277" s="4" t="str">
        <f>IF(Table43[[#This Row],[SATUAN Fix Win]]&lt;&gt;"","KRT")</f>
        <v>KRT</v>
      </c>
      <c r="BJ277" s="4" t="str">
        <f>IF(Table43[[#This Row],[SATUAN Fix Win]]&lt;&gt;"","GD01")</f>
        <v>GD01</v>
      </c>
      <c r="BK277" s="4">
        <f>IF(Table43[[#This Row],[SATUAN Fix Win]]&lt;&gt;"",11611)</f>
        <v>11611</v>
      </c>
      <c r="BL277" s="4">
        <f>IF(Table43[[#This Row],[SATUAN Fix Win]]&lt;&gt;"",11612)</f>
        <v>11612</v>
      </c>
      <c r="BM277" s="47" t="s">
        <v>655</v>
      </c>
      <c r="BN277" s="4">
        <f>IF(Table43[[#This Row],[SATUAN Fix Win]]&lt;&gt;"",1)</f>
        <v>1</v>
      </c>
      <c r="BO277" s="4" t="s">
        <v>656</v>
      </c>
      <c r="BP277" s="4">
        <f>IFERROR(VLOOKUP(Table43[[#This Row],[Kode Pcpl]],'[1]HEINZ ABC'!$A$4:$E$112,8,0),0)</f>
        <v>0</v>
      </c>
      <c r="BQ277" s="55">
        <f>Table43[[#This Row],[Harga Jual Pcs GT
(-PPN)]]-Table43[[#This Row],[HARGA NAIK GT]]</f>
        <v>11227.93</v>
      </c>
      <c r="BR277" s="4">
        <f>IF(Table43[[#This Row],[HARGA NAIK GT]]=0,Table43[[#This Row],[Harga Jual Pcs GT
(-PPN)]],Table43[[#This Row],[HARGA NAIK GT]])</f>
        <v>11227.93</v>
      </c>
      <c r="BS277">
        <f>IFERROR(VLOOKUP(Table43[[#This Row],[Kode Pcpl]],'[1]HEINZ ABC'!$A$4:$E$112,8,0),0)</f>
        <v>0</v>
      </c>
      <c r="BT277" s="58">
        <f>Table43[[#This Row],[Harga Jual Pcs GT
(-PPN)]]-BS277</f>
        <v>11227.93</v>
      </c>
      <c r="BU277">
        <f>IF(BS277=0,Table43[[#This Row],[Harga Jual Pcs MT
(-PPN)]])</f>
        <v>12126.162272399999</v>
      </c>
      <c r="BV277">
        <f>IFERROR(VLOOKUP(Table43[[#This Row],[Kode Pcpl]],[2]Pricelist!$A$4:$K$112,11,0),0)</f>
        <v>0</v>
      </c>
      <c r="BW277">
        <f>IFERROR(VLOOKUP(Table43[[#This Row],[Kode BARANG Win2]],[3]!RECKITT211216[[KDBRG]:[HRG_JL_PCS-PPN]],11,0),0)</f>
        <v>0</v>
      </c>
      <c r="BX277">
        <f t="shared" si="11"/>
        <v>0</v>
      </c>
    </row>
    <row r="278" spans="1:76" x14ac:dyDescent="0.25">
      <c r="A278" s="4" t="str">
        <f>CONCATENATE(Table43[[#This Row],[Kode BARANG Win2]],Table43[[#This Row],[No. Urut
Item Sama]])</f>
        <v>A11220010018102</v>
      </c>
      <c r="B278" s="7">
        <v>2</v>
      </c>
      <c r="C278" s="4">
        <v>248</v>
      </c>
      <c r="D278" s="27">
        <v>150194</v>
      </c>
      <c r="E278" s="27" t="s">
        <v>381</v>
      </c>
      <c r="F278" s="27" t="s">
        <v>448</v>
      </c>
      <c r="G278" s="27">
        <v>10</v>
      </c>
      <c r="H278" s="42" t="s">
        <v>2949</v>
      </c>
      <c r="I278" s="27" t="str">
        <f>Table43[[#This Row],[Nama Jenis Kemasan]]</f>
        <v>PCSX10</v>
      </c>
      <c r="J278" s="4" t="str">
        <f>TRIM(CONCATENATE(Table43[[#This Row],[Nama            KLP]]," ",Table43[[#This Row],[Nama            Sub KLP]]))</f>
        <v>SAMBAL NUSANTARA</v>
      </c>
      <c r="K278" s="4" t="str">
        <f>CONCATENATE(Table43[[#This Row],[kode  2 Digit                (hrf+No)]],Table43[[#This Row],[kode  2 Digit                (Nomor)]],Table43[[#This Row],[kode  1 Digit                (Nomor)]])</f>
        <v>A1122</v>
      </c>
      <c r="L278" s="4" t="str">
        <f>IF(AG278="",CONCATENATE(Q278,S278,U278,W278,Y278,AA278,AC278,AE278,Table43[[#This Row],[Tanda Kode Revisi]]),CONCATENATE(Q278,S278,U278,W278,Y278,AA278,AC278,AG278))</f>
        <v>A1122001001810</v>
      </c>
      <c r="M278" s="11">
        <f t="shared" ref="M278:M309" si="12">LEN(L278)</f>
        <v>14</v>
      </c>
      <c r="N278" s="14" t="str">
        <f>IF(AF278&lt;&gt;"",TRIM(UPPER(CONCATENATE(P278," ",R278," ",T278," ",V278," ",X278," ",Z278," ","X"," ",Table43[[#This Row],[ISI/CTN]]," ",AF278," ",AB278," ",AD278," ",AH278))),TRIM(UPPER(CONCATENATE(P278," ",R278," ",T278," ",V278," ",X278," ",Z278," ","X"," ",Table43[[#This Row],[ISI/CTN]]," ",AB278," ",AD278," ",AH278))))</f>
        <v>ABC SAMBAL NUSANTARA TERASI 18 GR X 10 PACK PCSX10</v>
      </c>
      <c r="O278" s="11">
        <f t="shared" ref="O278:O310" si="13">LEN(N278)</f>
        <v>50</v>
      </c>
      <c r="P278" s="4" t="s">
        <v>28</v>
      </c>
      <c r="Q278" s="7" t="s">
        <v>85</v>
      </c>
      <c r="R278" s="4" t="s">
        <v>603</v>
      </c>
      <c r="S278" s="43">
        <v>12</v>
      </c>
      <c r="T278" s="44" t="s">
        <v>629</v>
      </c>
      <c r="U278" s="7">
        <v>2</v>
      </c>
      <c r="V278" s="44"/>
      <c r="W278" s="43" t="s">
        <v>1</v>
      </c>
      <c r="X278" s="4" t="s">
        <v>542</v>
      </c>
      <c r="Y278" s="45" t="s">
        <v>0</v>
      </c>
      <c r="Z278" s="4" t="s">
        <v>630</v>
      </c>
      <c r="AA278" s="45" t="s">
        <v>631</v>
      </c>
      <c r="AB278" s="4" t="s">
        <v>605</v>
      </c>
      <c r="AC278" s="7" t="s">
        <v>480</v>
      </c>
      <c r="AE278" s="7" t="s">
        <v>1</v>
      </c>
      <c r="AF278" s="7" t="s">
        <v>546</v>
      </c>
      <c r="AI278" s="7" t="s">
        <v>215</v>
      </c>
      <c r="AJ278" s="7">
        <v>1</v>
      </c>
      <c r="AL278" s="40">
        <f>Table43[[#This Row],[Harga Jual Pcs GT
(-PPN)]]-(Table43[[#This Row],[Harga Jual Pcs GT
(-PPN)]]*6%)</f>
        <v>10554.254199999999</v>
      </c>
      <c r="AM278" s="41">
        <f>Table43[[#This Row],[Harga Beli Pcs
(-PPN)]]*Table43[[#This Row],[ISI/CTN]]</f>
        <v>105542.54199999999</v>
      </c>
      <c r="AN278" s="41">
        <f>Table43[[#This Row],[Harga Beli Pcs
(-PPN)]]*1.11</f>
        <v>11715.222162</v>
      </c>
      <c r="AO278" s="41">
        <f>Table43[[#This Row],[Harga Beli Krt
(- PPN)]]*1.11</f>
        <v>117152.22162</v>
      </c>
      <c r="AP278" s="41">
        <v>11227.93</v>
      </c>
      <c r="AQ278" s="41">
        <f>Table43[[#This Row],[Harga Jual Pcs GT
(-PPN)]]*Table43[[#This Row],[ISI/CTN]]</f>
        <v>112279.3</v>
      </c>
      <c r="AR278" s="41">
        <f>Table43[[#This Row],[Harga Jual Pcs GT
(-PPN)]]*1.11</f>
        <v>12463.002300000002</v>
      </c>
      <c r="AS278" s="41">
        <f>Table43[[#This Row],[Harga Jual Krt GT
(- PPN)]]*1.11</f>
        <v>124630.02300000002</v>
      </c>
      <c r="AT278" s="41">
        <v>12126.162272399999</v>
      </c>
      <c r="AU278" s="41">
        <f>(Table43[[#This Row],[Harga Jual Pcs MT
(-PPN)]]*Table43[[#This Row],[ISI/CTN]])</f>
        <v>121261.62272399999</v>
      </c>
      <c r="AV278" s="41">
        <f>Table43[[#This Row],[Harga Jual Pcs MT
(-PPN)]]*1.11</f>
        <v>13460.040122364</v>
      </c>
      <c r="AW278" s="41">
        <f>Table43[[#This Row],[Harga Jual Pcs MT
(+PPN)]]*Table43[[#This Row],[ISI/CTN]]</f>
        <v>134600.40122364002</v>
      </c>
      <c r="AX278" s="41"/>
      <c r="AY278" s="46">
        <v>45553</v>
      </c>
      <c r="AZ278" s="54">
        <v>45945</v>
      </c>
      <c r="BA278" s="7" t="str">
        <f ca="1">IF(TODAY()-Table43[[#This Row],[Efektif
Pembuatan]]&gt;60,"Lama","Baru")</f>
        <v>Lama</v>
      </c>
      <c r="BB278" s="7" t="str">
        <f ca="1">IF(TODAY()-Table43[[#This Row],[Efektif Naik Harga]]&lt;30,"Naik","Sama")</f>
        <v>Sama</v>
      </c>
      <c r="BC278" s="7" t="s">
        <v>235</v>
      </c>
      <c r="BD278" s="7" t="str">
        <f>IF(Table43[[#This Row],[Kode BARANG Win2]]&lt;&gt;"","IDR","")</f>
        <v>IDR</v>
      </c>
      <c r="BE278" s="7" t="str">
        <f>CONCATENATE(Table43[[#This Row],[kode  1 Digit
(Nomor)]],Table43[[#This Row],[kode  4 Digit                (Nomor)]])</f>
        <v>10018</v>
      </c>
      <c r="BF278" s="7" t="str">
        <f>Table43[[#This Row],[Nama            Gramasi atau Jumlah Pack per CTN]]</f>
        <v>18 GR</v>
      </c>
      <c r="BG278" s="7" t="s">
        <v>653</v>
      </c>
      <c r="BH278" s="51" t="s">
        <v>654</v>
      </c>
      <c r="BI278" s="4" t="str">
        <f>IF(Table43[[#This Row],[SATUAN Fix Win]]&lt;&gt;"","KRT")</f>
        <v>KRT</v>
      </c>
      <c r="BJ278" s="4" t="str">
        <f>IF(Table43[[#This Row],[SATUAN Fix Win]]&lt;&gt;"","GD01")</f>
        <v>GD01</v>
      </c>
      <c r="BK278" s="4">
        <f>IF(Table43[[#This Row],[SATUAN Fix Win]]&lt;&gt;"",11611)</f>
        <v>11611</v>
      </c>
      <c r="BL278" s="4">
        <f>IF(Table43[[#This Row],[SATUAN Fix Win]]&lt;&gt;"",11612)</f>
        <v>11612</v>
      </c>
      <c r="BM278" s="47" t="s">
        <v>655</v>
      </c>
      <c r="BN278" s="4">
        <f>IF(Table43[[#This Row],[SATUAN Fix Win]]&lt;&gt;"",1)</f>
        <v>1</v>
      </c>
      <c r="BO278" s="4" t="s">
        <v>656</v>
      </c>
      <c r="BP278" s="4">
        <f>IFERROR(VLOOKUP(Table43[[#This Row],[Kode Pcpl]],'[1]HEINZ ABC'!$A$4:$E$112,8,0),0)</f>
        <v>0</v>
      </c>
      <c r="BQ278" s="55">
        <f>Table43[[#This Row],[Harga Jual Pcs GT
(-PPN)]]-Table43[[#This Row],[HARGA NAIK GT]]</f>
        <v>11227.93</v>
      </c>
      <c r="BR278" s="4">
        <f>IF(Table43[[#This Row],[HARGA NAIK GT]]=0,Table43[[#This Row],[Harga Jual Pcs GT
(-PPN)]],Table43[[#This Row],[HARGA NAIK GT]])</f>
        <v>11227.93</v>
      </c>
      <c r="BS278">
        <f>IFERROR(VLOOKUP(Table43[[#This Row],[Kode Pcpl]],'[1]HEINZ ABC'!$A$4:$E$112,8,0),0)</f>
        <v>0</v>
      </c>
      <c r="BT278" s="58">
        <f>Table43[[#This Row],[Harga Jual Pcs GT
(-PPN)]]-BS278</f>
        <v>11227.93</v>
      </c>
      <c r="BU278">
        <f>IF(BS278=0,Table43[[#This Row],[Harga Jual Pcs MT
(-PPN)]])</f>
        <v>12126.162272399999</v>
      </c>
      <c r="BV278">
        <f>IFERROR(VLOOKUP(Table43[[#This Row],[Kode Pcpl]],[2]Pricelist!$A$4:$K$112,11,0),0)</f>
        <v>0</v>
      </c>
      <c r="BW278">
        <f>IFERROR(VLOOKUP(Table43[[#This Row],[Kode BARANG Win2]],[3]!RECKITT211216[[KDBRG]:[HRG_JL_PCS-PPN]],11,0),0)</f>
        <v>0</v>
      </c>
      <c r="BX278">
        <f t="shared" si="11"/>
        <v>0</v>
      </c>
    </row>
    <row r="279" spans="1:76" s="94" customFormat="1" x14ac:dyDescent="0.25">
      <c r="A279" s="4" t="str">
        <f>CONCATENATE(Table43[[#This Row],[Kode BARANG Win2]],Table43[[#This Row],[No. Urut
Item Sama]])</f>
        <v>A11220010018103</v>
      </c>
      <c r="B279" s="7">
        <v>3</v>
      </c>
      <c r="C279" s="4">
        <v>249</v>
      </c>
      <c r="D279" s="27">
        <v>150365</v>
      </c>
      <c r="E279" s="27" t="s">
        <v>381</v>
      </c>
      <c r="F279" s="27" t="s">
        <v>1016</v>
      </c>
      <c r="G279" s="27">
        <v>10</v>
      </c>
      <c r="H279" s="42" t="s">
        <v>2943</v>
      </c>
      <c r="I279" s="27" t="str">
        <f>Table43[[#This Row],[Nama Jenis Kemasan]]</f>
        <v>PCSX10</v>
      </c>
      <c r="J279" s="4" t="str">
        <f>TRIM(CONCATENATE(Table43[[#This Row],[Nama            KLP]]," ",Table43[[#This Row],[Nama            Sub KLP]]))</f>
        <v>SAMBAL NUSANTARA</v>
      </c>
      <c r="K279" s="4" t="str">
        <f>CONCATENATE(Table43[[#This Row],[kode  2 Digit                (hrf+No)]],Table43[[#This Row],[kode  2 Digit                (Nomor)]],Table43[[#This Row],[kode  1 Digit                (Nomor)]])</f>
        <v>A1122</v>
      </c>
      <c r="L279" s="4" t="str">
        <f>IF(AG279="",CONCATENATE(Q279,S279,U279,W279,Y279,AA279,AC279,AE279,Table43[[#This Row],[Tanda Kode Revisi]]),CONCATENATE(Q279,S279,U279,W279,Y279,AA279,AC279,AG279))</f>
        <v>A1122001001810</v>
      </c>
      <c r="M279" s="11">
        <f t="shared" si="12"/>
        <v>14</v>
      </c>
      <c r="N279" s="14" t="str">
        <f>IF(AF279&lt;&gt;"",TRIM(UPPER(CONCATENATE(P279," ",R279," ",T279," ",V279," ",X279," ",Z279," ","X"," ",Table43[[#This Row],[ISI/CTN]]," ",AF279," ",AB279," ",AD279," ",AH279))),TRIM(UPPER(CONCATENATE(P279," ",R279," ",T279," ",V279," ",X279," ",Z279," ","X"," ",Table43[[#This Row],[ISI/CTN]]," ",AB279," ",AD279," ",AH279))))</f>
        <v>ABC SAMBAL NUSANTARA TERASI 18 GR X 10 PACK PCSX10</v>
      </c>
      <c r="O279" s="11">
        <f t="shared" si="13"/>
        <v>50</v>
      </c>
      <c r="P279" s="4" t="s">
        <v>28</v>
      </c>
      <c r="Q279" s="7" t="s">
        <v>85</v>
      </c>
      <c r="R279" s="4" t="s">
        <v>603</v>
      </c>
      <c r="S279" s="43">
        <v>12</v>
      </c>
      <c r="T279" s="44" t="s">
        <v>629</v>
      </c>
      <c r="U279" s="7">
        <v>2</v>
      </c>
      <c r="V279" s="44"/>
      <c r="W279" s="43" t="s">
        <v>1</v>
      </c>
      <c r="X279" s="4" t="s">
        <v>542</v>
      </c>
      <c r="Y279" s="45" t="s">
        <v>0</v>
      </c>
      <c r="Z279" s="4" t="s">
        <v>630</v>
      </c>
      <c r="AA279" s="45" t="s">
        <v>631</v>
      </c>
      <c r="AB279" s="4" t="s">
        <v>605</v>
      </c>
      <c r="AC279" s="7" t="s">
        <v>480</v>
      </c>
      <c r="AD279" s="4"/>
      <c r="AE279" s="7" t="s">
        <v>1</v>
      </c>
      <c r="AF279" s="7" t="s">
        <v>546</v>
      </c>
      <c r="AG279" s="7"/>
      <c r="AH279" s="7"/>
      <c r="AI279" s="7" t="s">
        <v>215</v>
      </c>
      <c r="AJ279" s="7">
        <v>1</v>
      </c>
      <c r="AK279" s="7"/>
      <c r="AL279" s="40">
        <f>Table43[[#This Row],[Harga Jual Pcs GT
(-PPN)]]-(Table43[[#This Row],[Harga Jual Pcs GT
(-PPN)]]*6%)</f>
        <v>10554.254199999999</v>
      </c>
      <c r="AM279" s="41">
        <f>Table43[[#This Row],[Harga Beli Pcs
(-PPN)]]*Table43[[#This Row],[ISI/CTN]]</f>
        <v>105542.54199999999</v>
      </c>
      <c r="AN279" s="41">
        <f>Table43[[#This Row],[Harga Beli Pcs
(-PPN)]]*1.11</f>
        <v>11715.222162</v>
      </c>
      <c r="AO279" s="41">
        <f>Table43[[#This Row],[Harga Beli Krt
(- PPN)]]*1.11</f>
        <v>117152.22162</v>
      </c>
      <c r="AP279" s="41">
        <v>11227.93</v>
      </c>
      <c r="AQ279" s="41">
        <f>Table43[[#This Row],[Harga Jual Pcs GT
(-PPN)]]*Table43[[#This Row],[ISI/CTN]]</f>
        <v>112279.3</v>
      </c>
      <c r="AR279" s="41">
        <f>Table43[[#This Row],[Harga Jual Pcs GT
(-PPN)]]*1.11</f>
        <v>12463.002300000002</v>
      </c>
      <c r="AS279" s="41">
        <f>Table43[[#This Row],[Harga Jual Krt GT
(- PPN)]]*1.11</f>
        <v>124630.02300000002</v>
      </c>
      <c r="AT279" s="41">
        <v>12126.162272399999</v>
      </c>
      <c r="AU279" s="41">
        <f>(Table43[[#This Row],[Harga Jual Pcs MT
(-PPN)]]*Table43[[#This Row],[ISI/CTN]])</f>
        <v>121261.62272399999</v>
      </c>
      <c r="AV279" s="41">
        <f>Table43[[#This Row],[Harga Jual Pcs MT
(-PPN)]]*1.11</f>
        <v>13460.040122364</v>
      </c>
      <c r="AW279" s="41">
        <f>Table43[[#This Row],[Harga Jual Pcs MT
(+PPN)]]*Table43[[#This Row],[ISI/CTN]]</f>
        <v>134600.40122364002</v>
      </c>
      <c r="AX279" s="41"/>
      <c r="AY279" s="46">
        <v>45744</v>
      </c>
      <c r="AZ279" s="54">
        <v>45945</v>
      </c>
      <c r="BA279" s="7" t="str">
        <f ca="1">IF(TODAY()-Table43[[#This Row],[Efektif
Pembuatan]]&gt;60,"Lama","Baru")</f>
        <v>Lama</v>
      </c>
      <c r="BB279" s="7" t="str">
        <f ca="1">IF(TODAY()-Table43[[#This Row],[Efektif Naik Harga]]&lt;30,"Naik","Sama")</f>
        <v>Sama</v>
      </c>
      <c r="BC279" s="7" t="s">
        <v>235</v>
      </c>
      <c r="BD279" s="7" t="str">
        <f>IF(Table43[[#This Row],[Kode BARANG Win2]]&lt;&gt;"","IDR","")</f>
        <v>IDR</v>
      </c>
      <c r="BE279" s="7" t="str">
        <f>CONCATENATE(Table43[[#This Row],[kode  1 Digit
(Nomor)]],Table43[[#This Row],[kode  4 Digit                (Nomor)]])</f>
        <v>10018</v>
      </c>
      <c r="BF279" s="7" t="str">
        <f>Table43[[#This Row],[Nama            Gramasi atau Jumlah Pack per CTN]]</f>
        <v>18 GR</v>
      </c>
      <c r="BG279" s="7" t="s">
        <v>653</v>
      </c>
      <c r="BH279" s="51" t="s">
        <v>654</v>
      </c>
      <c r="BI279" s="4" t="str">
        <f>IF(Table43[[#This Row],[SATUAN Fix Win]]&lt;&gt;"","KRT")</f>
        <v>KRT</v>
      </c>
      <c r="BJ279" s="4" t="str">
        <f>IF(Table43[[#This Row],[SATUAN Fix Win]]&lt;&gt;"","GD01")</f>
        <v>GD01</v>
      </c>
      <c r="BK279" s="4">
        <f>IF(Table43[[#This Row],[SATUAN Fix Win]]&lt;&gt;"",11611)</f>
        <v>11611</v>
      </c>
      <c r="BL279" s="4">
        <f>IF(Table43[[#This Row],[SATUAN Fix Win]]&lt;&gt;"",11612)</f>
        <v>11612</v>
      </c>
      <c r="BM279" s="47" t="s">
        <v>655</v>
      </c>
      <c r="BN279" s="4">
        <f>IF(Table43[[#This Row],[SATUAN Fix Win]]&lt;&gt;"",1)</f>
        <v>1</v>
      </c>
      <c r="BO279" s="4" t="s">
        <v>656</v>
      </c>
      <c r="BP279" s="4">
        <f>IFERROR(VLOOKUP(Table43[[#This Row],[Kode Pcpl]],'[1]HEINZ ABC'!$A$4:$E$112,8,0),0)</f>
        <v>0</v>
      </c>
      <c r="BQ279" s="55">
        <f>Table43[[#This Row],[Harga Jual Pcs GT
(-PPN)]]-Table43[[#This Row],[HARGA NAIK GT]]</f>
        <v>11227.93</v>
      </c>
      <c r="BR279" s="4">
        <f>IF(Table43[[#This Row],[HARGA NAIK GT]]=0,Table43[[#This Row],[Harga Jual Pcs GT
(-PPN)]],Table43[[#This Row],[HARGA NAIK GT]])</f>
        <v>11227.93</v>
      </c>
      <c r="BT279" s="95"/>
    </row>
    <row r="280" spans="1:76" x14ac:dyDescent="0.25">
      <c r="A280" s="4" t="str">
        <f>CONCATENATE(Table43[[#This Row],[Kode BARANG Win2]],Table43[[#This Row],[No. Urut
Item Sama]])</f>
        <v>A11220010018111</v>
      </c>
      <c r="B280" s="7">
        <v>1</v>
      </c>
      <c r="C280" s="4">
        <v>250</v>
      </c>
      <c r="D280" s="27">
        <v>150960</v>
      </c>
      <c r="E280" s="27" t="s">
        <v>381</v>
      </c>
      <c r="F280" s="27" t="s">
        <v>449</v>
      </c>
      <c r="G280" s="27">
        <v>10</v>
      </c>
      <c r="H280" s="42">
        <v>0</v>
      </c>
      <c r="I280" s="27" t="str">
        <f>Table43[[#This Row],[Nama Jenis Kemasan]]</f>
        <v>PCSX10</v>
      </c>
      <c r="J280" s="4" t="str">
        <f>TRIM(CONCATENATE(Table43[[#This Row],[Nama            KLP]]," ",Table43[[#This Row],[Nama            Sub KLP]]))</f>
        <v>SAMBAL NUS.</v>
      </c>
      <c r="K280" s="4" t="str">
        <f>CONCATENATE(Table43[[#This Row],[kode  2 Digit                (hrf+No)]],Table43[[#This Row],[kode  2 Digit                (Nomor)]],Table43[[#This Row],[kode  1 Digit                (Nomor)]])</f>
        <v>A1122</v>
      </c>
      <c r="L280" s="4" t="str">
        <f>IF(AG280="",CONCATENATE(Q280,S280,U280,W280,Y280,AA280,AC280,AE280,Table43[[#This Row],[Tanda Kode Revisi]]),CONCATENATE(Q280,S280,U280,W280,Y280,AA280,AC280,AG280))</f>
        <v>A1122001001811</v>
      </c>
      <c r="M280" s="11">
        <f t="shared" si="12"/>
        <v>14</v>
      </c>
      <c r="N280" s="14" t="str">
        <f>IF(AF280&lt;&gt;"",TRIM(UPPER(CONCATENATE(P280," ",R280," ",T280," ",V280," ",X280," ",Z280," ","X"," ",Table43[[#This Row],[ISI/CTN]]," ",AF280," ",AB280," ",AD280," ",AH280))),TRIM(UPPER(CONCATENATE(P280," ",R280," ",T280," ",V280," ",X280," ",Z280," ","X"," ",Table43[[#This Row],[ISI/CTN]]," ",AB280," ",AD280," ",AH280))))</f>
        <v>ABC SAMBAL NUS. TERASI 18 GR X 10 PACK PCSX10 B8G2</v>
      </c>
      <c r="O280" s="11">
        <f t="shared" si="13"/>
        <v>50</v>
      </c>
      <c r="P280" s="4" t="s">
        <v>28</v>
      </c>
      <c r="Q280" s="7" t="s">
        <v>85</v>
      </c>
      <c r="R280" s="4" t="s">
        <v>603</v>
      </c>
      <c r="S280" s="43">
        <v>12</v>
      </c>
      <c r="T280" s="44" t="s">
        <v>632</v>
      </c>
      <c r="U280" s="7">
        <v>2</v>
      </c>
      <c r="V280" s="44"/>
      <c r="W280" s="43" t="s">
        <v>1</v>
      </c>
      <c r="X280" s="4" t="s">
        <v>542</v>
      </c>
      <c r="Y280" s="45" t="s">
        <v>0</v>
      </c>
      <c r="Z280" s="4" t="s">
        <v>630</v>
      </c>
      <c r="AA280" s="45" t="s">
        <v>631</v>
      </c>
      <c r="AB280" s="4" t="s">
        <v>605</v>
      </c>
      <c r="AC280" s="7" t="s">
        <v>480</v>
      </c>
      <c r="AD280" s="4" t="s">
        <v>633</v>
      </c>
      <c r="AE280" s="7">
        <v>1</v>
      </c>
      <c r="AF280" s="7" t="s">
        <v>546</v>
      </c>
      <c r="AI280" s="7" t="s">
        <v>215</v>
      </c>
      <c r="AJ280" s="7">
        <v>1</v>
      </c>
      <c r="AL280" s="40">
        <f>Table43[[#This Row],[Harga Jual Pcs GT
(-PPN)]]-(Table43[[#This Row],[Harga Jual Pcs GT
(-PPN)]]*6%)</f>
        <v>8197.4580000000005</v>
      </c>
      <c r="AM280" s="41">
        <f>Table43[[#This Row],[Harga Beli Pcs
(-PPN)]]*Table43[[#This Row],[ISI/CTN]]</f>
        <v>81974.58</v>
      </c>
      <c r="AN280" s="41">
        <f>Table43[[#This Row],[Harga Beli Pcs
(-PPN)]]*1.11</f>
        <v>9099.1783800000012</v>
      </c>
      <c r="AO280" s="41">
        <f>Table43[[#This Row],[Harga Beli Krt
(- PPN)]]*1.11</f>
        <v>90991.783800000005</v>
      </c>
      <c r="AP280" s="41">
        <v>8720.7000000000007</v>
      </c>
      <c r="AQ280" s="41">
        <f>Table43[[#This Row],[Harga Jual Pcs GT
(-PPN)]]*Table43[[#This Row],[ISI/CTN]]</f>
        <v>87207</v>
      </c>
      <c r="AR280" s="41">
        <f>Table43[[#This Row],[Harga Jual Pcs GT
(-PPN)]]*1.11</f>
        <v>9679.9770000000008</v>
      </c>
      <c r="AS280" s="41">
        <f>Table43[[#This Row],[Harga Jual Krt GT
(- PPN)]]*1.11</f>
        <v>96799.77</v>
      </c>
      <c r="AT280" s="41">
        <v>9293.8428000000004</v>
      </c>
      <c r="AU280" s="41">
        <f>(Table43[[#This Row],[Harga Jual Pcs MT
(-PPN)]]*Table43[[#This Row],[ISI/CTN]])</f>
        <v>92938.428</v>
      </c>
      <c r="AV280" s="41">
        <f>Table43[[#This Row],[Harga Jual Pcs MT
(-PPN)]]*1.11</f>
        <v>10316.165508000002</v>
      </c>
      <c r="AW280" s="41">
        <f>Table43[[#This Row],[Harga Jual Pcs MT
(+PPN)]]*Table43[[#This Row],[ISI/CTN]]</f>
        <v>103161.65508000003</v>
      </c>
      <c r="AX280" s="41"/>
      <c r="AY280" s="46">
        <v>45553</v>
      </c>
      <c r="AZ280" s="54">
        <v>45553</v>
      </c>
      <c r="BA280" s="7" t="str">
        <f ca="1">IF(TODAY()-Table43[[#This Row],[Efektif
Pembuatan]]&gt;60,"Lama","Baru")</f>
        <v>Lama</v>
      </c>
      <c r="BB280" s="7" t="str">
        <f ca="1">IF(TODAY()-Table43[[#This Row],[Efektif Naik Harga]]&lt;30,"Naik","Sama")</f>
        <v>Sama</v>
      </c>
      <c r="BC280" s="7" t="s">
        <v>235</v>
      </c>
      <c r="BD280" s="7" t="str">
        <f>IF(Table43[[#This Row],[Kode BARANG Win2]]&lt;&gt;"","IDR","")</f>
        <v>IDR</v>
      </c>
      <c r="BE280" s="7" t="str">
        <f>CONCATENATE(Table43[[#This Row],[kode  1 Digit
(Nomor)]],Table43[[#This Row],[kode  4 Digit                (Nomor)]])</f>
        <v>10018</v>
      </c>
      <c r="BF280" s="7" t="str">
        <f>Table43[[#This Row],[Nama            Gramasi atau Jumlah Pack per CTN]]</f>
        <v>18 GR</v>
      </c>
      <c r="BG280" s="7" t="s">
        <v>653</v>
      </c>
      <c r="BH280" s="51" t="s">
        <v>654</v>
      </c>
      <c r="BI280" s="4" t="str">
        <f>IF(Table43[[#This Row],[SATUAN Fix Win]]&lt;&gt;"","KRT")</f>
        <v>KRT</v>
      </c>
      <c r="BJ280" s="4" t="str">
        <f>IF(Table43[[#This Row],[SATUAN Fix Win]]&lt;&gt;"","GD01")</f>
        <v>GD01</v>
      </c>
      <c r="BK280" s="4">
        <f>IF(Table43[[#This Row],[SATUAN Fix Win]]&lt;&gt;"",11611)</f>
        <v>11611</v>
      </c>
      <c r="BL280" s="4">
        <f>IF(Table43[[#This Row],[SATUAN Fix Win]]&lt;&gt;"",11612)</f>
        <v>11612</v>
      </c>
      <c r="BM280" s="47" t="s">
        <v>655</v>
      </c>
      <c r="BN280" s="4">
        <f>IF(Table43[[#This Row],[SATUAN Fix Win]]&lt;&gt;"",1)</f>
        <v>1</v>
      </c>
      <c r="BO280" s="4" t="s">
        <v>656</v>
      </c>
      <c r="BP280" s="4">
        <f>IFERROR(VLOOKUP(Table43[[#This Row],[Kode Pcpl]],'[1]HEINZ ABC'!$A$4:$E$112,8,0),0)</f>
        <v>0</v>
      </c>
      <c r="BQ280" s="55">
        <f>Table43[[#This Row],[Harga Jual Pcs GT
(-PPN)]]-Table43[[#This Row],[HARGA NAIK GT]]</f>
        <v>8720.7000000000007</v>
      </c>
      <c r="BR280" s="4">
        <f>IF(Table43[[#This Row],[HARGA NAIK GT]]=0,Table43[[#This Row],[Harga Jual Pcs GT
(-PPN)]],Table43[[#This Row],[HARGA NAIK GT]])</f>
        <v>8720.7000000000007</v>
      </c>
      <c r="BS280">
        <f>IFERROR(VLOOKUP(Table43[[#This Row],[Kode Pcpl]],'[1]HEINZ ABC'!$A$4:$E$112,8,0),0)</f>
        <v>0</v>
      </c>
      <c r="BT280" s="58">
        <f>Table43[[#This Row],[Harga Jual Pcs GT
(-PPN)]]-BS280</f>
        <v>8720.7000000000007</v>
      </c>
      <c r="BU280">
        <f>IF(BS280=0,Table43[[#This Row],[Harga Jual Pcs MT
(-PPN)]])</f>
        <v>9293.8428000000004</v>
      </c>
      <c r="BV280">
        <f>IFERROR(VLOOKUP(Table43[[#This Row],[Kode Pcpl]],[2]Pricelist!$A$4:$K$112,11,0),0)</f>
        <v>0</v>
      </c>
      <c r="BW280">
        <f>IFERROR(VLOOKUP(Table43[[#This Row],[Kode BARANG Win2]],[3]!RECKITT211216[[KDBRG]:[HRG_JL_PCS-PPN]],11,0),0)</f>
        <v>0</v>
      </c>
      <c r="BX280">
        <f t="shared" si="11"/>
        <v>0</v>
      </c>
    </row>
    <row r="281" spans="1:76" x14ac:dyDescent="0.25">
      <c r="A281" s="4" t="str">
        <f>CONCATENATE(Table43[[#This Row],[Kode BARANG Win2]],Table43[[#This Row],[No. Urut
Item Sama]])</f>
        <v>A11220010018112</v>
      </c>
      <c r="B281" s="7">
        <v>2</v>
      </c>
      <c r="C281" s="4">
        <v>251</v>
      </c>
      <c r="D281" s="27">
        <v>150971</v>
      </c>
      <c r="E281" s="27" t="s">
        <v>381</v>
      </c>
      <c r="F281" s="27" t="s">
        <v>450</v>
      </c>
      <c r="G281" s="27">
        <v>10</v>
      </c>
      <c r="H281" s="42">
        <v>0</v>
      </c>
      <c r="I281" s="27" t="str">
        <f>Table43[[#This Row],[Nama Jenis Kemasan]]</f>
        <v>PCSX10</v>
      </c>
      <c r="J281" s="4" t="str">
        <f>TRIM(CONCATENATE(Table43[[#This Row],[Nama            KLP]]," ",Table43[[#This Row],[Nama            Sub KLP]]))</f>
        <v>SAMBAL NUS.</v>
      </c>
      <c r="K281" s="4" t="str">
        <f>CONCATENATE(Table43[[#This Row],[kode  2 Digit                (hrf+No)]],Table43[[#This Row],[kode  2 Digit                (Nomor)]],Table43[[#This Row],[kode  1 Digit                (Nomor)]])</f>
        <v>A1122</v>
      </c>
      <c r="L281" s="4" t="str">
        <f>IF(AG281="",CONCATENATE(Q281,S281,U281,W281,Y281,AA281,AC281,AE281,Table43[[#This Row],[Tanda Kode Revisi]]),CONCATENATE(Q281,S281,U281,W281,Y281,AA281,AC281,AG281))</f>
        <v>A1122001001811</v>
      </c>
      <c r="M281" s="11">
        <f t="shared" si="12"/>
        <v>14</v>
      </c>
      <c r="N281" s="14" t="str">
        <f>IF(AF281&lt;&gt;"",TRIM(UPPER(CONCATENATE(P281," ",R281," ",T281," ",V281," ",X281," ",Z281," ","X"," ",Table43[[#This Row],[ISI/CTN]]," ",AF281," ",AB281," ",AD281," ",AH281))),TRIM(UPPER(CONCATENATE(P281," ",R281," ",T281," ",V281," ",X281," ",Z281," ","X"," ",Table43[[#This Row],[ISI/CTN]]," ",AB281," ",AD281," ",AH281))))</f>
        <v>ABC SAMBAL NUS. TERASI 18 GR X 10 PACK PCSX10 B8G2</v>
      </c>
      <c r="O281" s="11">
        <f t="shared" si="13"/>
        <v>50</v>
      </c>
      <c r="P281" s="4" t="s">
        <v>28</v>
      </c>
      <c r="Q281" s="7" t="s">
        <v>85</v>
      </c>
      <c r="R281" s="4" t="s">
        <v>603</v>
      </c>
      <c r="S281" s="43">
        <v>12</v>
      </c>
      <c r="T281" s="44" t="s">
        <v>632</v>
      </c>
      <c r="U281" s="7">
        <v>2</v>
      </c>
      <c r="V281" s="44"/>
      <c r="W281" s="43" t="s">
        <v>1</v>
      </c>
      <c r="X281" s="4" t="s">
        <v>542</v>
      </c>
      <c r="Y281" s="45" t="s">
        <v>0</v>
      </c>
      <c r="Z281" s="4" t="s">
        <v>630</v>
      </c>
      <c r="AA281" s="45" t="s">
        <v>631</v>
      </c>
      <c r="AB281" s="4" t="s">
        <v>605</v>
      </c>
      <c r="AC281" s="7" t="s">
        <v>480</v>
      </c>
      <c r="AD281" s="4" t="s">
        <v>633</v>
      </c>
      <c r="AE281" s="7">
        <v>1</v>
      </c>
      <c r="AF281" s="7" t="s">
        <v>546</v>
      </c>
      <c r="AI281" s="7" t="s">
        <v>215</v>
      </c>
      <c r="AJ281" s="7">
        <v>1</v>
      </c>
      <c r="AL281" s="40">
        <f>Table43[[#This Row],[Harga Jual Pcs GT
(-PPN)]]-(Table43[[#This Row],[Harga Jual Pcs GT
(-PPN)]]*6%)</f>
        <v>8197.4580000000005</v>
      </c>
      <c r="AM281" s="41">
        <f>Table43[[#This Row],[Harga Beli Pcs
(-PPN)]]*Table43[[#This Row],[ISI/CTN]]</f>
        <v>81974.58</v>
      </c>
      <c r="AN281" s="41">
        <f>Table43[[#This Row],[Harga Beli Pcs
(-PPN)]]*1.11</f>
        <v>9099.1783800000012</v>
      </c>
      <c r="AO281" s="41">
        <f>Table43[[#This Row],[Harga Beli Krt
(- PPN)]]*1.11</f>
        <v>90991.783800000005</v>
      </c>
      <c r="AP281" s="41">
        <v>8720.7000000000007</v>
      </c>
      <c r="AQ281" s="41">
        <f>Table43[[#This Row],[Harga Jual Pcs GT
(-PPN)]]*Table43[[#This Row],[ISI/CTN]]</f>
        <v>87207</v>
      </c>
      <c r="AR281" s="41">
        <f>Table43[[#This Row],[Harga Jual Pcs GT
(-PPN)]]*1.11</f>
        <v>9679.9770000000008</v>
      </c>
      <c r="AS281" s="41">
        <f>Table43[[#This Row],[Harga Jual Krt GT
(- PPN)]]*1.11</f>
        <v>96799.77</v>
      </c>
      <c r="AT281" s="41">
        <v>9293.8428000000004</v>
      </c>
      <c r="AU281" s="41">
        <f>(Table43[[#This Row],[Harga Jual Pcs MT
(-PPN)]]*Table43[[#This Row],[ISI/CTN]])</f>
        <v>92938.428</v>
      </c>
      <c r="AV281" s="41">
        <f>Table43[[#This Row],[Harga Jual Pcs MT
(-PPN)]]*1.11</f>
        <v>10316.165508000002</v>
      </c>
      <c r="AW281" s="41">
        <f>Table43[[#This Row],[Harga Jual Pcs MT
(+PPN)]]*Table43[[#This Row],[ISI/CTN]]</f>
        <v>103161.65508000003</v>
      </c>
      <c r="AX281" s="41"/>
      <c r="AY281" s="46">
        <v>45553</v>
      </c>
      <c r="AZ281" s="54">
        <v>45553</v>
      </c>
      <c r="BA281" s="7" t="str">
        <f ca="1">IF(TODAY()-Table43[[#This Row],[Efektif
Pembuatan]]&gt;60,"Lama","Baru")</f>
        <v>Lama</v>
      </c>
      <c r="BB281" s="7" t="str">
        <f ca="1">IF(TODAY()-Table43[[#This Row],[Efektif Naik Harga]]&lt;30,"Naik","Sama")</f>
        <v>Sama</v>
      </c>
      <c r="BC281" s="7" t="s">
        <v>235</v>
      </c>
      <c r="BD281" s="7" t="str">
        <f>IF(Table43[[#This Row],[Kode BARANG Win2]]&lt;&gt;"","IDR","")</f>
        <v>IDR</v>
      </c>
      <c r="BE281" s="7" t="str">
        <f>CONCATENATE(Table43[[#This Row],[kode  1 Digit
(Nomor)]],Table43[[#This Row],[kode  4 Digit                (Nomor)]])</f>
        <v>10018</v>
      </c>
      <c r="BF281" s="7" t="str">
        <f>Table43[[#This Row],[Nama            Gramasi atau Jumlah Pack per CTN]]</f>
        <v>18 GR</v>
      </c>
      <c r="BG281" s="7" t="s">
        <v>653</v>
      </c>
      <c r="BH281" s="51" t="s">
        <v>654</v>
      </c>
      <c r="BI281" s="4" t="str">
        <f>IF(Table43[[#This Row],[SATUAN Fix Win]]&lt;&gt;"","KRT")</f>
        <v>KRT</v>
      </c>
      <c r="BJ281" s="4" t="str">
        <f>IF(Table43[[#This Row],[SATUAN Fix Win]]&lt;&gt;"","GD01")</f>
        <v>GD01</v>
      </c>
      <c r="BK281" s="4">
        <f>IF(Table43[[#This Row],[SATUAN Fix Win]]&lt;&gt;"",11611)</f>
        <v>11611</v>
      </c>
      <c r="BL281" s="4">
        <f>IF(Table43[[#This Row],[SATUAN Fix Win]]&lt;&gt;"",11612)</f>
        <v>11612</v>
      </c>
      <c r="BM281" s="47" t="s">
        <v>655</v>
      </c>
      <c r="BN281" s="4">
        <f>IF(Table43[[#This Row],[SATUAN Fix Win]]&lt;&gt;"",1)</f>
        <v>1</v>
      </c>
      <c r="BO281" s="4" t="s">
        <v>656</v>
      </c>
      <c r="BP281" s="4">
        <f>IFERROR(VLOOKUP(Table43[[#This Row],[Kode Pcpl]],'[1]HEINZ ABC'!$A$4:$E$112,8,0),0)</f>
        <v>0</v>
      </c>
      <c r="BQ281" s="55">
        <f>Table43[[#This Row],[Harga Jual Pcs GT
(-PPN)]]-Table43[[#This Row],[HARGA NAIK GT]]</f>
        <v>8720.7000000000007</v>
      </c>
      <c r="BR281" s="4">
        <f>IF(Table43[[#This Row],[HARGA NAIK GT]]=0,Table43[[#This Row],[Harga Jual Pcs GT
(-PPN)]],Table43[[#This Row],[HARGA NAIK GT]])</f>
        <v>8720.7000000000007</v>
      </c>
      <c r="BS281">
        <f>IFERROR(VLOOKUP(Table43[[#This Row],[Kode Pcpl]],'[1]HEINZ ABC'!$A$4:$E$112,8,0),0)</f>
        <v>0</v>
      </c>
      <c r="BT281" s="58">
        <f>Table43[[#This Row],[Harga Jual Pcs GT
(-PPN)]]-BS281</f>
        <v>8720.7000000000007</v>
      </c>
      <c r="BU281">
        <f>IF(BS281=0,Table43[[#This Row],[Harga Jual Pcs MT
(-PPN)]])</f>
        <v>9293.8428000000004</v>
      </c>
      <c r="BV281">
        <f>IFERROR(VLOOKUP(Table43[[#This Row],[Kode Pcpl]],[2]Pricelist!$A$4:$K$112,11,0),0)</f>
        <v>0</v>
      </c>
      <c r="BW281">
        <f>IFERROR(VLOOKUP(Table43[[#This Row],[Kode BARANG Win2]],[3]!RECKITT211216[[KDBRG]:[HRG_JL_PCS-PPN]],11,0),0)</f>
        <v>0</v>
      </c>
      <c r="BX281">
        <f t="shared" si="11"/>
        <v>0</v>
      </c>
    </row>
    <row r="282" spans="1:76" x14ac:dyDescent="0.25">
      <c r="A282" s="4" t="str">
        <f>CONCATENATE(Table43[[#This Row],[Kode BARANG Win2]],Table43[[#This Row],[No. Urut
Item Sama]])</f>
        <v>A11220010018121</v>
      </c>
      <c r="B282" s="7">
        <v>1</v>
      </c>
      <c r="C282" s="4">
        <v>252</v>
      </c>
      <c r="D282" s="27">
        <v>150990</v>
      </c>
      <c r="E282" s="27" t="s">
        <v>381</v>
      </c>
      <c r="F282" s="27" t="s">
        <v>997</v>
      </c>
      <c r="G282" s="27">
        <v>10</v>
      </c>
      <c r="H282" s="42" t="s">
        <v>2942</v>
      </c>
      <c r="I282" s="27" t="str">
        <f>Table43[[#This Row],[Nama Jenis Kemasan]]</f>
        <v>PCSX10</v>
      </c>
      <c r="J282" s="4" t="str">
        <f>TRIM(CONCATENATE(Table43[[#This Row],[Nama            KLP]]," ",Table43[[#This Row],[Nama            Sub KLP]]))</f>
        <v>SAMBAL NUS.</v>
      </c>
      <c r="K282" s="4" t="str">
        <f>CONCATENATE(Table43[[#This Row],[kode  2 Digit                (hrf+No)]],Table43[[#This Row],[kode  2 Digit                (Nomor)]],Table43[[#This Row],[kode  1 Digit                (Nomor)]])</f>
        <v>A1122</v>
      </c>
      <c r="L282" s="4" t="str">
        <f>IF(AG282="",CONCATENATE(Q282,S282,U282,W282,Y282,AA282,AC282,AE282,Table43[[#This Row],[Tanda Kode Revisi]]),CONCATENATE(Q282,S282,U282,W282,Y282,AA282,AC282,AG282))</f>
        <v>A1122001001812</v>
      </c>
      <c r="M282" s="11">
        <f t="shared" si="12"/>
        <v>14</v>
      </c>
      <c r="N282" s="14" t="str">
        <f>IF(AF282&lt;&gt;"",TRIM(UPPER(CONCATENATE(P282," ",R282," ",T282," ",V282," ",X282," ",Z282," ","X"," ",Table43[[#This Row],[ISI/CTN]]," ",AF282," ",AB282," ",AD282," ",AH282))),TRIM(UPPER(CONCATENATE(P282," ",R282," ",T282," ",V282," ",X282," ",Z282," ","X"," ",Table43[[#This Row],[ISI/CTN]]," ",AB282," ",AD282," ",AH282))))</f>
        <v>ABC SAMBAL NUS. TERASI 18 GR X 10 PACK PCSX10 UNIK</v>
      </c>
      <c r="O282" s="11">
        <f t="shared" si="13"/>
        <v>50</v>
      </c>
      <c r="P282" s="4" t="s">
        <v>28</v>
      </c>
      <c r="Q282" s="7" t="s">
        <v>85</v>
      </c>
      <c r="R282" s="4" t="s">
        <v>603</v>
      </c>
      <c r="S282" s="43">
        <v>12</v>
      </c>
      <c r="T282" s="44" t="s">
        <v>632</v>
      </c>
      <c r="U282" s="7">
        <v>2</v>
      </c>
      <c r="V282" s="44"/>
      <c r="W282" s="43" t="s">
        <v>1</v>
      </c>
      <c r="X282" s="4" t="s">
        <v>542</v>
      </c>
      <c r="Y282" s="45" t="s">
        <v>0</v>
      </c>
      <c r="Z282" s="4" t="s">
        <v>630</v>
      </c>
      <c r="AA282" s="45" t="s">
        <v>631</v>
      </c>
      <c r="AB282" s="4" t="s">
        <v>605</v>
      </c>
      <c r="AC282" s="7" t="s">
        <v>480</v>
      </c>
      <c r="AD282" s="4" t="s">
        <v>998</v>
      </c>
      <c r="AE282" s="7">
        <v>2</v>
      </c>
      <c r="AF282" s="7" t="s">
        <v>546</v>
      </c>
      <c r="AI282" s="7" t="s">
        <v>215</v>
      </c>
      <c r="AJ282" s="7">
        <v>1</v>
      </c>
      <c r="AL282" s="40">
        <f>Table43[[#This Row],[Harga Jual Pcs GT
(-PPN)]]-(Table43[[#This Row],[Harga Jual Pcs GT
(-PPN)]]*6%)</f>
        <v>10554.254199999999</v>
      </c>
      <c r="AM282" s="41">
        <f>Table43[[#This Row],[Harga Beli Pcs
(-PPN)]]*Table43[[#This Row],[ISI/CTN]]</f>
        <v>105542.54199999999</v>
      </c>
      <c r="AN282" s="41">
        <f>Table43[[#This Row],[Harga Beli Pcs
(-PPN)]]*1.11</f>
        <v>11715.222162</v>
      </c>
      <c r="AO282" s="41">
        <f>Table43[[#This Row],[Harga Beli Krt
(- PPN)]]*1.11</f>
        <v>117152.22162</v>
      </c>
      <c r="AP282" s="41">
        <v>11227.93</v>
      </c>
      <c r="AQ282" s="41">
        <f>Table43[[#This Row],[Harga Jual Pcs GT
(-PPN)]]*Table43[[#This Row],[ISI/CTN]]</f>
        <v>112279.3</v>
      </c>
      <c r="AR282" s="41">
        <f>Table43[[#This Row],[Harga Jual Pcs GT
(-PPN)]]*1.11</f>
        <v>12463.002300000002</v>
      </c>
      <c r="AS282" s="41">
        <f>Table43[[#This Row],[Harga Jual Krt GT
(- PPN)]]*1.11</f>
        <v>124630.02300000002</v>
      </c>
      <c r="AT282" s="41">
        <v>12126.162272399999</v>
      </c>
      <c r="AU282" s="41">
        <f>(Table43[[#This Row],[Harga Jual Pcs MT
(-PPN)]]*Table43[[#This Row],[ISI/CTN]])</f>
        <v>121261.62272399999</v>
      </c>
      <c r="AV282" s="41">
        <f>Table43[[#This Row],[Harga Jual Pcs MT
(-PPN)]]*1.11</f>
        <v>13460.040122364</v>
      </c>
      <c r="AW282" s="41">
        <f>Table43[[#This Row],[Harga Jual Pcs MT
(+PPN)]]*Table43[[#This Row],[ISI/CTN]]</f>
        <v>134600.40122364002</v>
      </c>
      <c r="AX282" s="41"/>
      <c r="AY282" s="46">
        <v>45681</v>
      </c>
      <c r="AZ282" s="54">
        <v>45945</v>
      </c>
      <c r="BA282" s="7" t="str">
        <f ca="1">IF(TODAY()-Table43[[#This Row],[Efektif
Pembuatan]]&gt;60,"Lama","Baru")</f>
        <v>Lama</v>
      </c>
      <c r="BB282" s="7" t="str">
        <f ca="1">IF(TODAY()-Table43[[#This Row],[Efektif Naik Harga]]&lt;30,"Naik","Sama")</f>
        <v>Sama</v>
      </c>
      <c r="BC282" s="7"/>
      <c r="BD282" s="7" t="str">
        <f>IF(Table43[[#This Row],[Kode BARANG Win2]]&lt;&gt;"","IDR","")</f>
        <v>IDR</v>
      </c>
      <c r="BE282" s="7" t="str">
        <f>CONCATENATE(Table43[[#This Row],[kode  1 Digit
(Nomor)]],Table43[[#This Row],[kode  4 Digit                (Nomor)]])</f>
        <v>10018</v>
      </c>
      <c r="BF282" s="7" t="str">
        <f>Table43[[#This Row],[Nama            Gramasi atau Jumlah Pack per CTN]]</f>
        <v>18 GR</v>
      </c>
      <c r="BG282" s="7"/>
      <c r="BH282" s="51"/>
      <c r="BI282" s="4" t="str">
        <f>IF(Table43[[#This Row],[SATUAN Fix Win]]&lt;&gt;"","KRT")</f>
        <v>KRT</v>
      </c>
      <c r="BJ282" s="4" t="str">
        <f>IF(Table43[[#This Row],[SATUAN Fix Win]]&lt;&gt;"","GD01")</f>
        <v>GD01</v>
      </c>
      <c r="BK282" s="4">
        <f>IF(Table43[[#This Row],[SATUAN Fix Win]]&lt;&gt;"",11611)</f>
        <v>11611</v>
      </c>
      <c r="BL282" s="4">
        <f>IF(Table43[[#This Row],[SATUAN Fix Win]]&lt;&gt;"",11612)</f>
        <v>11612</v>
      </c>
      <c r="BM282" s="47"/>
      <c r="BN282" s="4">
        <f>IF(Table43[[#This Row],[SATUAN Fix Win]]&lt;&gt;"",1)</f>
        <v>1</v>
      </c>
      <c r="BP282" s="4">
        <f>IFERROR(VLOOKUP(Table43[[#This Row],[Kode Pcpl]],'[1]HEINZ ABC'!$A$4:$E$112,8,0),0)</f>
        <v>0</v>
      </c>
      <c r="BQ282" s="55">
        <f>Table43[[#This Row],[Harga Jual Pcs GT
(-PPN)]]-Table43[[#This Row],[HARGA NAIK GT]]</f>
        <v>11227.93</v>
      </c>
      <c r="BR282" s="4">
        <f>IF(Table43[[#This Row],[HARGA NAIK GT]]=0,Table43[[#This Row],[Harga Jual Pcs GT
(-PPN)]],Table43[[#This Row],[HARGA NAIK GT]])</f>
        <v>11227.93</v>
      </c>
      <c r="BS282">
        <f>IFERROR(VLOOKUP(Table43[[#This Row],[Kode Pcpl]],'[1]HEINZ ABC'!$A$4:$E$112,8,0),0)</f>
        <v>0</v>
      </c>
      <c r="BT282" s="58">
        <f>Table43[[#This Row],[Harga Jual Pcs GT
(-PPN)]]-BS282</f>
        <v>11227.93</v>
      </c>
      <c r="BU282">
        <f>IF(BS282=0,Table43[[#This Row],[Harga Jual Pcs MT
(-PPN)]])</f>
        <v>12126.162272399999</v>
      </c>
      <c r="BV282">
        <f>IFERROR(VLOOKUP(Table43[[#This Row],[Kode Pcpl]],[2]Pricelist!$A$4:$K$112,11,0),0)</f>
        <v>0</v>
      </c>
      <c r="BW282">
        <f>IFERROR(VLOOKUP(Table43[[#This Row],[Kode BARANG Win2]],[3]!RECKITT211216[[KDBRG]:[HRG_JL_PCS-PPN]],11,0),0)</f>
        <v>0</v>
      </c>
      <c r="BX282">
        <f t="shared" si="11"/>
        <v>0</v>
      </c>
    </row>
    <row r="283" spans="1:76" x14ac:dyDescent="0.25">
      <c r="A283" s="78" t="str">
        <f>CONCATENATE(Table43[[#This Row],[Kode BARANG Win2]],Table43[[#This Row],[No. Urut
Item Sama]])</f>
        <v>A11220010018131</v>
      </c>
      <c r="B283" s="79">
        <v>1</v>
      </c>
      <c r="C283" s="4">
        <v>253</v>
      </c>
      <c r="D283" s="80">
        <v>150994</v>
      </c>
      <c r="E283" s="80" t="s">
        <v>381</v>
      </c>
      <c r="F283" s="80" t="s">
        <v>1037</v>
      </c>
      <c r="G283" s="80">
        <v>12</v>
      </c>
      <c r="H283" s="81" t="s">
        <v>2945</v>
      </c>
      <c r="I283" s="80" t="str">
        <f>Table43[[#This Row],[Nama Jenis Kemasan]]</f>
        <v>PCSX10</v>
      </c>
      <c r="J283" s="78" t="str">
        <f>TRIM(CONCATENATE(Table43[[#This Row],[Nama            KLP]]," ",Table43[[#This Row],[Nama            Sub KLP]]))</f>
        <v>SAMBAL NUS.</v>
      </c>
      <c r="K283" s="78" t="str">
        <f>CONCATENATE(Table43[[#This Row],[kode  2 Digit                (hrf+No)]],Table43[[#This Row],[kode  2 Digit                (Nomor)]],Table43[[#This Row],[kode  1 Digit                (Nomor)]])</f>
        <v>A1122</v>
      </c>
      <c r="L283" s="78" t="str">
        <f>IF(AG283="",CONCATENATE(Q283,S283,U283,W283,Y283,AA283,AC283,AE283,Table43[[#This Row],[Tanda Kode Revisi]]),CONCATENATE(Q283,S283,U283,W283,Y283,AA283,AC283,AG283))</f>
        <v>A1122001001813</v>
      </c>
      <c r="M283" s="82">
        <f t="shared" si="12"/>
        <v>14</v>
      </c>
      <c r="N283" s="83" t="str">
        <f>IF(AF283&lt;&gt;"",TRIM(UPPER(CONCATENATE(P283," ",R283," ",T283," ",V283," ",X283," ",Z283," ","X"," ",Table43[[#This Row],[ISI/CTN]]," ",AF283," ",AB283," ",AD283," ",AH283))),TRIM(UPPER(CONCATENATE(P283," ",R283," ",T283," ",V283," ",X283," ",Z283," ","X"," ",Table43[[#This Row],[ISI/CTN]]," ",AB283," ",AD283," ",AH283))))</f>
        <v>ABC SAMBAL NUS. TERASI 18GR X 12 PACK PCSX10 PROMO</v>
      </c>
      <c r="O283" s="82">
        <f t="shared" si="13"/>
        <v>50</v>
      </c>
      <c r="P283" s="78" t="s">
        <v>28</v>
      </c>
      <c r="Q283" s="79" t="s">
        <v>85</v>
      </c>
      <c r="R283" s="78" t="s">
        <v>603</v>
      </c>
      <c r="S283" s="84">
        <v>12</v>
      </c>
      <c r="T283" s="85" t="s">
        <v>632</v>
      </c>
      <c r="U283" s="79">
        <v>2</v>
      </c>
      <c r="V283" s="85"/>
      <c r="W283" s="84" t="s">
        <v>1</v>
      </c>
      <c r="X283" s="78" t="s">
        <v>542</v>
      </c>
      <c r="Y283" s="86" t="s">
        <v>0</v>
      </c>
      <c r="Z283" s="78" t="s">
        <v>639</v>
      </c>
      <c r="AA283" s="86" t="s">
        <v>631</v>
      </c>
      <c r="AB283" s="78" t="s">
        <v>605</v>
      </c>
      <c r="AC283" s="79">
        <v>1</v>
      </c>
      <c r="AD283" s="78" t="s">
        <v>233</v>
      </c>
      <c r="AE283" s="79">
        <v>3</v>
      </c>
      <c r="AF283" s="79" t="s">
        <v>546</v>
      </c>
      <c r="AG283" s="79"/>
      <c r="AH283" s="79"/>
      <c r="AI283" s="79" t="s">
        <v>215</v>
      </c>
      <c r="AJ283" s="79">
        <v>1</v>
      </c>
      <c r="AK283" s="79"/>
      <c r="AL283" s="87">
        <f>Table43[[#This Row],[Harga Jual Pcs GT
(-PPN)]]-(Table43[[#This Row],[Harga Jual Pcs GT
(-PPN)]]*6%)</f>
        <v>8794.7903999999999</v>
      </c>
      <c r="AM283" s="88">
        <f>Table43[[#This Row],[Harga Beli Pcs
(-PPN)]]*Table43[[#This Row],[ISI/CTN]]</f>
        <v>105537.48480000001</v>
      </c>
      <c r="AN283" s="88">
        <f>Table43[[#This Row],[Harga Beli Pcs
(-PPN)]]*1.11</f>
        <v>9762.2173440000006</v>
      </c>
      <c r="AO283" s="88">
        <f>Table43[[#This Row],[Harga Beli Krt
(- PPN)]]*1.11</f>
        <v>117146.60812800002</v>
      </c>
      <c r="AP283" s="88">
        <v>9356.16</v>
      </c>
      <c r="AQ283" s="88">
        <f>Table43[[#This Row],[Harga Jual Pcs GT
(-PPN)]]*Table43[[#This Row],[ISI/CTN]]</f>
        <v>112273.92</v>
      </c>
      <c r="AR283" s="88">
        <f>Table43[[#This Row],[Harga Jual Pcs GT
(-PPN)]]*1.11</f>
        <v>10385.337600000001</v>
      </c>
      <c r="AS283" s="88">
        <f>Table43[[#This Row],[Harga Jual Krt GT
(- PPN)]]*1.11</f>
        <v>124624.05120000002</v>
      </c>
      <c r="AT283" s="88">
        <v>10105.135227000004</v>
      </c>
      <c r="AU283" s="88">
        <f>(Table43[[#This Row],[Harga Jual Pcs MT
(-PPN)]]*Table43[[#This Row],[ISI/CTN]])</f>
        <v>121261.62272400004</v>
      </c>
      <c r="AV283" s="88">
        <f>Table43[[#This Row],[Harga Jual Pcs MT
(-PPN)]]*1.11</f>
        <v>11216.700101970006</v>
      </c>
      <c r="AW283" s="88">
        <f>Table43[[#This Row],[Harga Jual Pcs MT
(+PPN)]]*Table43[[#This Row],[ISI/CTN]]</f>
        <v>134600.40122364007</v>
      </c>
      <c r="AX283" s="88"/>
      <c r="AY283" s="89">
        <v>45855</v>
      </c>
      <c r="AZ283" s="90">
        <v>45945</v>
      </c>
      <c r="BA283" s="79" t="str">
        <f ca="1">IF(TODAY()-Table43[[#This Row],[Efektif
Pembuatan]]&gt;60,"Lama","Baru")</f>
        <v>Lama</v>
      </c>
      <c r="BB283" s="79" t="str">
        <f ca="1">IF(TODAY()-Table43[[#This Row],[Efektif Naik Harga]]&lt;30,"Naik","Sama")</f>
        <v>Sama</v>
      </c>
      <c r="BC283" s="79" t="s">
        <v>235</v>
      </c>
      <c r="BD283" s="79" t="str">
        <f>IF(Table43[[#This Row],[Kode BARANG Win2]]&lt;&gt;"","IDR","")</f>
        <v>IDR</v>
      </c>
      <c r="BE283" s="79" t="str">
        <f>CONCATENATE(Table43[[#This Row],[kode  1 Digit
(Nomor)]],Table43[[#This Row],[kode  4 Digit                (Nomor)]])</f>
        <v>10018</v>
      </c>
      <c r="BF283" s="79" t="str">
        <f>Table43[[#This Row],[Nama            Gramasi atau Jumlah Pack per CTN]]</f>
        <v>18GR</v>
      </c>
      <c r="BG283" s="79"/>
      <c r="BH283" s="91"/>
      <c r="BI283" s="78" t="str">
        <f>IF(Table43[[#This Row],[SATUAN Fix Win]]&lt;&gt;"","KRT")</f>
        <v>KRT</v>
      </c>
      <c r="BJ283" s="78" t="str">
        <f>IF(Table43[[#This Row],[SATUAN Fix Win]]&lt;&gt;"","GD01")</f>
        <v>GD01</v>
      </c>
      <c r="BK283" s="78">
        <f>IF(Table43[[#This Row],[SATUAN Fix Win]]&lt;&gt;"",11611)</f>
        <v>11611</v>
      </c>
      <c r="BL283" s="78">
        <f>IF(Table43[[#This Row],[SATUAN Fix Win]]&lt;&gt;"",11612)</f>
        <v>11612</v>
      </c>
      <c r="BM283" s="92"/>
      <c r="BN283" s="78">
        <f>IF(Table43[[#This Row],[SATUAN Fix Win]]&lt;&gt;"",1)</f>
        <v>1</v>
      </c>
      <c r="BO283" s="78"/>
      <c r="BP283" s="78">
        <f>IFERROR(VLOOKUP(Table43[[#This Row],[Kode Pcpl]],'[1]HEINZ ABC'!$A$4:$E$112,8,0),0)</f>
        <v>0</v>
      </c>
      <c r="BQ283" s="93">
        <f>Table43[[#This Row],[Harga Jual Pcs GT
(-PPN)]]-Table43[[#This Row],[HARGA NAIK GT]]</f>
        <v>9356.16</v>
      </c>
      <c r="BR283" s="78">
        <f>IF(Table43[[#This Row],[HARGA NAIK GT]]=0,Table43[[#This Row],[Harga Jual Pcs GT
(-PPN)]],Table43[[#This Row],[HARGA NAIK GT]])</f>
        <v>9356.16</v>
      </c>
      <c r="BS283">
        <f>IFERROR(VLOOKUP(Table43[[#This Row],[Kode Pcpl]],'[1]HEINZ ABC'!$A$4:$E$112,8,0),0)</f>
        <v>0</v>
      </c>
      <c r="BT283" s="58">
        <f>Table43[[#This Row],[Harga Jual Pcs GT
(-PPN)]]-BS283</f>
        <v>9356.16</v>
      </c>
      <c r="BU283">
        <f>IF(BS283=0,Table43[[#This Row],[Harga Jual Pcs MT
(-PPN)]])</f>
        <v>10105.135227000004</v>
      </c>
      <c r="BV283">
        <f>IFERROR(VLOOKUP(Table43[[#This Row],[Kode Pcpl]],[2]Pricelist!$A$4:$K$112,11,0),0)</f>
        <v>0</v>
      </c>
      <c r="BW283">
        <f>IFERROR(VLOOKUP(Table43[[#This Row],[Kode BARANG Win2]],[3]!RECKITT211216[[KDBRG]:[HRG_JL_PCS-PPN]],11,0),0)</f>
        <v>0</v>
      </c>
      <c r="BX283">
        <f t="shared" si="11"/>
        <v>0</v>
      </c>
    </row>
    <row r="284" spans="1:76" s="76" customFormat="1" x14ac:dyDescent="0.25">
      <c r="A284" s="78" t="str">
        <f>CONCATENATE(Table43[[#This Row],[Kode BARANG Win2]],Table43[[#This Row],[No. Urut
Item Sama]])</f>
        <v>A11220010018132</v>
      </c>
      <c r="B284" s="61">
        <v>2</v>
      </c>
      <c r="C284" s="60">
        <v>279</v>
      </c>
      <c r="D284" s="62">
        <v>150995</v>
      </c>
      <c r="E284" s="62"/>
      <c r="F284" s="62" t="s">
        <v>1070</v>
      </c>
      <c r="G284" s="62">
        <v>12</v>
      </c>
      <c r="H284" s="63" t="s">
        <v>2946</v>
      </c>
      <c r="I284" s="62" t="str">
        <f>Table43[[#This Row],[Nama Jenis Kemasan]]</f>
        <v>PCSX10</v>
      </c>
      <c r="J284" s="60" t="str">
        <f>TRIM(CONCATENATE(Table43[[#This Row],[Nama            KLP]]," ",Table43[[#This Row],[Nama            Sub KLP]]))</f>
        <v>SAMBAL NUS.</v>
      </c>
      <c r="K284" s="60" t="str">
        <f>CONCATENATE(Table43[[#This Row],[kode  2 Digit                (hrf+No)]],Table43[[#This Row],[kode  2 Digit                (Nomor)]],Table43[[#This Row],[kode  1 Digit                (Nomor)]])</f>
        <v>A1122</v>
      </c>
      <c r="L284" s="60" t="str">
        <f>IF(AG284="",CONCATENATE(Q284,S284,U284,W284,Y284,AA284,AC284,AE284,Table43[[#This Row],[Tanda Kode Revisi]]),CONCATENATE(Q284,S284,U284,W284,Y284,AA284,AC284,AG284))</f>
        <v>A1122001001813</v>
      </c>
      <c r="M284" s="64">
        <f t="shared" si="12"/>
        <v>14</v>
      </c>
      <c r="N284" s="65" t="str">
        <f>IF(AF284&lt;&gt;"",TRIM(UPPER(CONCATENATE(P284," ",R284," ",T284," ",V284," ",X284," ",Z284," ","X"," ",Table43[[#This Row],[ISI/CTN]]," ",AF284," ",AB284," ",AD284," ",AH284))),TRIM(UPPER(CONCATENATE(P284," ",R284," ",T284," ",V284," ",X284," ",Z284," ","X"," ",Table43[[#This Row],[ISI/CTN]]," ",AB284," ",AD284," ",AH284))))</f>
        <v>ABC SAMBAL NUS. TERASI 18GR X 12 PACK PCSX10 PROMO</v>
      </c>
      <c r="O284" s="64">
        <f t="shared" si="13"/>
        <v>50</v>
      </c>
      <c r="P284" s="60" t="s">
        <v>28</v>
      </c>
      <c r="Q284" s="61" t="s">
        <v>85</v>
      </c>
      <c r="R284" s="60" t="s">
        <v>603</v>
      </c>
      <c r="S284" s="66">
        <v>12</v>
      </c>
      <c r="T284" s="67" t="s">
        <v>632</v>
      </c>
      <c r="U284" s="61">
        <v>2</v>
      </c>
      <c r="V284" s="67"/>
      <c r="W284" s="66" t="s">
        <v>1</v>
      </c>
      <c r="X284" s="60" t="s">
        <v>542</v>
      </c>
      <c r="Y284" s="68" t="s">
        <v>0</v>
      </c>
      <c r="Z284" s="78" t="s">
        <v>639</v>
      </c>
      <c r="AA284" s="68" t="s">
        <v>631</v>
      </c>
      <c r="AB284" s="60" t="s">
        <v>605</v>
      </c>
      <c r="AC284" s="61" t="s">
        <v>480</v>
      </c>
      <c r="AD284" s="78" t="s">
        <v>233</v>
      </c>
      <c r="AE284" s="79">
        <v>3</v>
      </c>
      <c r="AF284" s="61" t="s">
        <v>546</v>
      </c>
      <c r="AG284" s="61"/>
      <c r="AH284" s="61"/>
      <c r="AI284" s="61" t="s">
        <v>215</v>
      </c>
      <c r="AJ284" s="61">
        <v>1</v>
      </c>
      <c r="AK284" s="61"/>
      <c r="AL284" s="69">
        <f>Table43[[#This Row],[Harga Jual Pcs GT
(-PPN)]]-(Table43[[#This Row],[Harga Jual Pcs GT
(-PPN)]]*6%)</f>
        <v>10554.254199999999</v>
      </c>
      <c r="AM284" s="70">
        <f>Table43[[#This Row],[Harga Beli Pcs
(-PPN)]]*Table43[[#This Row],[ISI/CTN]]</f>
        <v>126651.05039999999</v>
      </c>
      <c r="AN284" s="70">
        <f>Table43[[#This Row],[Harga Beli Pcs
(-PPN)]]*1.11</f>
        <v>11715.222162</v>
      </c>
      <c r="AO284" s="70">
        <f>Table43[[#This Row],[Harga Beli Krt
(- PPN)]]*1.11</f>
        <v>140582.66594400001</v>
      </c>
      <c r="AP284" s="70">
        <v>11227.93</v>
      </c>
      <c r="AQ284" s="70">
        <f>Table43[[#This Row],[Harga Jual Pcs GT
(-PPN)]]*Table43[[#This Row],[ISI/CTN]]</f>
        <v>134735.16</v>
      </c>
      <c r="AR284" s="70">
        <f>Table43[[#This Row],[Harga Jual Pcs GT
(-PPN)]]*1.11</f>
        <v>12463.002300000002</v>
      </c>
      <c r="AS284" s="70">
        <f>Table43[[#This Row],[Harga Jual Krt GT
(- PPN)]]*1.11</f>
        <v>149556.02760000003</v>
      </c>
      <c r="AT284" s="70"/>
      <c r="AU284" s="70">
        <f>(Table43[[#This Row],[Harga Jual Pcs MT
(-PPN)]]*Table43[[#This Row],[ISI/CTN]])</f>
        <v>0</v>
      </c>
      <c r="AV284" s="70">
        <f>Table43[[#This Row],[Harga Jual Pcs MT
(-PPN)]]*1.11</f>
        <v>0</v>
      </c>
      <c r="AW284" s="70">
        <f>Table43[[#This Row],[Harga Jual Pcs MT
(+PPN)]]*Table43[[#This Row],[ISI/CTN]]</f>
        <v>0</v>
      </c>
      <c r="AX284" s="70"/>
      <c r="AY284" s="71"/>
      <c r="AZ284" s="72"/>
      <c r="BA284" s="61" t="str">
        <f ca="1">IF(TODAY()-Table43[[#This Row],[Efektif
Pembuatan]]&gt;60,"Lama","Baru")</f>
        <v>Lama</v>
      </c>
      <c r="BB284" s="61" t="str">
        <f ca="1">IF(TODAY()-Table43[[#This Row],[Efektif Naik Harga]]&lt;30,"Naik","Sama")</f>
        <v>Sama</v>
      </c>
      <c r="BC284" s="61"/>
      <c r="BD284" s="61" t="str">
        <f>IF(Table43[[#This Row],[Kode BARANG Win2]]&lt;&gt;"","IDR","")</f>
        <v>IDR</v>
      </c>
      <c r="BE284" s="61" t="str">
        <f>CONCATENATE(Table43[[#This Row],[kode  1 Digit
(Nomor)]],Table43[[#This Row],[kode  4 Digit                (Nomor)]])</f>
        <v>10018</v>
      </c>
      <c r="BF284" s="61" t="str">
        <f>Table43[[#This Row],[Nama            Gramasi atau Jumlah Pack per CTN]]</f>
        <v>18GR</v>
      </c>
      <c r="BG284" s="61"/>
      <c r="BH284" s="73"/>
      <c r="BI284" s="60" t="str">
        <f>IF(Table43[[#This Row],[SATUAN Fix Win]]&lt;&gt;"","KRT")</f>
        <v>KRT</v>
      </c>
      <c r="BJ284" s="60" t="str">
        <f>IF(Table43[[#This Row],[SATUAN Fix Win]]&lt;&gt;"","GD01")</f>
        <v>GD01</v>
      </c>
      <c r="BK284" s="60">
        <f>IF(Table43[[#This Row],[SATUAN Fix Win]]&lt;&gt;"",11611)</f>
        <v>11611</v>
      </c>
      <c r="BL284" s="60">
        <f>IF(Table43[[#This Row],[SATUAN Fix Win]]&lt;&gt;"",11612)</f>
        <v>11612</v>
      </c>
      <c r="BM284" s="74"/>
      <c r="BN284" s="60">
        <f>IF(Table43[[#This Row],[SATUAN Fix Win]]&lt;&gt;"",1)</f>
        <v>1</v>
      </c>
      <c r="BO284" s="60"/>
      <c r="BP284" s="60">
        <f>IFERROR(VLOOKUP(Table43[[#This Row],[Kode Pcpl]],'[1]HEINZ ABC'!$A$4:$E$112,8,0),0)</f>
        <v>0</v>
      </c>
      <c r="BQ284" s="75">
        <f>Table43[[#This Row],[Harga Jual Pcs GT
(-PPN)]]-Table43[[#This Row],[HARGA NAIK GT]]</f>
        <v>11227.93</v>
      </c>
      <c r="BR284" s="60">
        <f>IF(Table43[[#This Row],[HARGA NAIK GT]]=0,Table43[[#This Row],[Harga Jual Pcs GT
(-PPN)]],Table43[[#This Row],[HARGA NAIK GT]])</f>
        <v>11227.93</v>
      </c>
      <c r="BT284" s="77"/>
    </row>
    <row r="285" spans="1:76" s="94" customFormat="1" x14ac:dyDescent="0.25">
      <c r="A285" s="4" t="str">
        <f>CONCATENATE(Table43[[#This Row],[Kode BARANG Win2]],Table43[[#This Row],[No. Urut
Item Sama]])</f>
        <v>A11220010070101</v>
      </c>
      <c r="B285" s="7">
        <v>1</v>
      </c>
      <c r="C285" s="4">
        <v>254</v>
      </c>
      <c r="D285" s="27">
        <v>150319</v>
      </c>
      <c r="E285" s="27" t="s">
        <v>381</v>
      </c>
      <c r="F285" s="27" t="s">
        <v>451</v>
      </c>
      <c r="G285" s="27">
        <v>48</v>
      </c>
      <c r="H285" s="42" t="s">
        <v>2938</v>
      </c>
      <c r="I285" s="27" t="str">
        <f>Table43[[#This Row],[Nama Jenis Kemasan]]</f>
        <v>PCH</v>
      </c>
      <c r="J285" s="4" t="str">
        <f>TRIM(CONCATENATE(Table43[[#This Row],[Nama            KLP]]," ",Table43[[#This Row],[Nama            Sub KLP]]))</f>
        <v>SAMBAL NUSANTARA</v>
      </c>
      <c r="K285" s="4" t="str">
        <f>CONCATENATE(Table43[[#This Row],[kode  2 Digit                (hrf+No)]],Table43[[#This Row],[kode  2 Digit                (Nomor)]],Table43[[#This Row],[kode  1 Digit                (Nomor)]])</f>
        <v>A1122</v>
      </c>
      <c r="L285" s="4" t="str">
        <f>IF(AG285="",CONCATENATE(Q285,S285,U285,W285,Y285,AA285,AC285,AE285,Table43[[#This Row],[Tanda Kode Revisi]]),CONCATENATE(Q285,S285,U285,W285,Y285,AA285,AC285,AG285))</f>
        <v>A1122001007010</v>
      </c>
      <c r="M285" s="11">
        <f t="shared" si="12"/>
        <v>14</v>
      </c>
      <c r="N285" s="14" t="str">
        <f>IF(AF285&lt;&gt;"",TRIM(UPPER(CONCATENATE(P285," ",R285," ",T285," ",V285," ",X285," ",Z285," ","X"," ",Table43[[#This Row],[ISI/CTN]]," ",AF285," ",AB285," ",AD285," ",AH285))),TRIM(UPPER(CONCATENATE(P285," ",R285," ",T285," ",V285," ",X285," ",Z285," ","X"," ",Table43[[#This Row],[ISI/CTN]]," ",AB285," ",AD285," ",AH285))))</f>
        <v>ABC SAMBAL NUSANTARA TERASI 70 GR X 48 PCH</v>
      </c>
      <c r="O285" s="11">
        <f t="shared" si="13"/>
        <v>42</v>
      </c>
      <c r="P285" s="4" t="s">
        <v>28</v>
      </c>
      <c r="Q285" s="7" t="s">
        <v>85</v>
      </c>
      <c r="R285" s="4" t="s">
        <v>603</v>
      </c>
      <c r="S285" s="43">
        <v>12</v>
      </c>
      <c r="T285" s="44" t="s">
        <v>629</v>
      </c>
      <c r="U285" s="7">
        <v>2</v>
      </c>
      <c r="V285" s="44"/>
      <c r="W285" s="43" t="s">
        <v>1</v>
      </c>
      <c r="X285" s="4" t="s">
        <v>542</v>
      </c>
      <c r="Y285" s="45" t="s">
        <v>0</v>
      </c>
      <c r="Z285" s="4" t="s">
        <v>634</v>
      </c>
      <c r="AA285" s="45" t="s">
        <v>635</v>
      </c>
      <c r="AB285" s="4" t="s">
        <v>479</v>
      </c>
      <c r="AC285" s="7" t="s">
        <v>480</v>
      </c>
      <c r="AD285" s="4"/>
      <c r="AE285" s="7" t="s">
        <v>1</v>
      </c>
      <c r="AF285" s="7"/>
      <c r="AG285" s="7"/>
      <c r="AH285" s="7"/>
      <c r="AI285" s="7" t="s">
        <v>215</v>
      </c>
      <c r="AJ285" s="7">
        <v>1</v>
      </c>
      <c r="AK285" s="7"/>
      <c r="AL285" s="40">
        <f>Table43[[#This Row],[Harga Jual Pcs GT
(-PPN)]]-(Table43[[#This Row],[Harga Jual Pcs GT
(-PPN)]]*6%)</f>
        <v>4394.6503999999995</v>
      </c>
      <c r="AM285" s="41">
        <f>Table43[[#This Row],[Harga Beli Pcs
(-PPN)]]*Table43[[#This Row],[ISI/CTN]]</f>
        <v>210943.21919999999</v>
      </c>
      <c r="AN285" s="41">
        <f>Table43[[#This Row],[Harga Beli Pcs
(-PPN)]]*1.11</f>
        <v>4878.061944</v>
      </c>
      <c r="AO285" s="41">
        <f>Table43[[#This Row],[Harga Beli Krt
(- PPN)]]*1.11</f>
        <v>234146.97331200002</v>
      </c>
      <c r="AP285" s="41">
        <v>4675.16</v>
      </c>
      <c r="AQ285" s="41">
        <f>Table43[[#This Row],[Harga Jual Pcs GT
(-PPN)]]*Table43[[#This Row],[ISI/CTN]]</f>
        <v>224407.67999999999</v>
      </c>
      <c r="AR285" s="41">
        <f>Table43[[#This Row],[Harga Jual Pcs GT
(-PPN)]]*1.11</f>
        <v>5189.4276</v>
      </c>
      <c r="AS285" s="41">
        <f>Table43[[#This Row],[Harga Jual Krt GT
(- PPN)]]*1.11</f>
        <v>249092.52480000001</v>
      </c>
      <c r="AT285" s="41">
        <v>5049.1710855000001</v>
      </c>
      <c r="AU285" s="41">
        <f>(Table43[[#This Row],[Harga Jual Pcs MT
(-PPN)]]*Table43[[#This Row],[ISI/CTN]])</f>
        <v>242360.21210400001</v>
      </c>
      <c r="AV285" s="41">
        <f>Table43[[#This Row],[Harga Jual Pcs MT
(-PPN)]]*1.11</f>
        <v>5604.5799049050011</v>
      </c>
      <c r="AW285" s="41">
        <f>Table43[[#This Row],[Harga Jual Pcs MT
(+PPN)]]*Table43[[#This Row],[ISI/CTN]]</f>
        <v>269019.83543544007</v>
      </c>
      <c r="AX285" s="41"/>
      <c r="AY285" s="46">
        <v>45553</v>
      </c>
      <c r="AZ285" s="54">
        <v>45945</v>
      </c>
      <c r="BA285" s="7" t="str">
        <f ca="1">IF(TODAY()-Table43[[#This Row],[Efektif
Pembuatan]]&gt;60,"Lama","Baru")</f>
        <v>Lama</v>
      </c>
      <c r="BB285" s="7" t="str">
        <f ca="1">IF(TODAY()-Table43[[#This Row],[Efektif Naik Harga]]&lt;30,"Naik","Sama")</f>
        <v>Sama</v>
      </c>
      <c r="BC285" s="7" t="s">
        <v>235</v>
      </c>
      <c r="BD285" s="7" t="str">
        <f>IF(Table43[[#This Row],[Kode BARANG Win2]]&lt;&gt;"","IDR","")</f>
        <v>IDR</v>
      </c>
      <c r="BE285" s="7" t="str">
        <f>CONCATENATE(Table43[[#This Row],[kode  1 Digit
(Nomor)]],Table43[[#This Row],[kode  4 Digit                (Nomor)]])</f>
        <v>10070</v>
      </c>
      <c r="BF285" s="7" t="str">
        <f>Table43[[#This Row],[Nama            Gramasi atau Jumlah Pack per CTN]]</f>
        <v>70 GR</v>
      </c>
      <c r="BG285" s="7" t="s">
        <v>653</v>
      </c>
      <c r="BH285" s="51" t="s">
        <v>654</v>
      </c>
      <c r="BI285" s="4" t="str">
        <f>IF(Table43[[#This Row],[SATUAN Fix Win]]&lt;&gt;"","KRT")</f>
        <v>KRT</v>
      </c>
      <c r="BJ285" s="4" t="str">
        <f>IF(Table43[[#This Row],[SATUAN Fix Win]]&lt;&gt;"","GD01")</f>
        <v>GD01</v>
      </c>
      <c r="BK285" s="4">
        <f>IF(Table43[[#This Row],[SATUAN Fix Win]]&lt;&gt;"",11611)</f>
        <v>11611</v>
      </c>
      <c r="BL285" s="4">
        <f>IF(Table43[[#This Row],[SATUAN Fix Win]]&lt;&gt;"",11612)</f>
        <v>11612</v>
      </c>
      <c r="BM285" s="47" t="s">
        <v>655</v>
      </c>
      <c r="BN285" s="4">
        <f>IF(Table43[[#This Row],[SATUAN Fix Win]]&lt;&gt;"",1)</f>
        <v>1</v>
      </c>
      <c r="BO285" s="4" t="s">
        <v>656</v>
      </c>
      <c r="BP285" s="4">
        <f>IFERROR(VLOOKUP(Table43[[#This Row],[Kode Pcpl]],'[1]HEINZ ABC'!$A$4:$E$112,8,0),0)</f>
        <v>0</v>
      </c>
      <c r="BQ285" s="55">
        <f>Table43[[#This Row],[Harga Jual Pcs GT
(-PPN)]]-Table43[[#This Row],[HARGA NAIK GT]]</f>
        <v>4675.16</v>
      </c>
      <c r="BR285" s="4">
        <f>IF(Table43[[#This Row],[HARGA NAIK GT]]=0,Table43[[#This Row],[Harga Jual Pcs GT
(-PPN)]],Table43[[#This Row],[HARGA NAIK GT]])</f>
        <v>4675.16</v>
      </c>
      <c r="BT285" s="95"/>
    </row>
    <row r="286" spans="1:76" x14ac:dyDescent="0.25">
      <c r="A286" s="78" t="str">
        <f>CONCATENATE(Table43[[#This Row],[Kode BARANG Win2]],Table43[[#This Row],[No. Urut
Item Sama]])</f>
        <v>A11220010070102</v>
      </c>
      <c r="B286" s="79">
        <v>2</v>
      </c>
      <c r="C286" s="4">
        <v>255</v>
      </c>
      <c r="D286" s="80">
        <v>150375</v>
      </c>
      <c r="E286" s="80" t="s">
        <v>381</v>
      </c>
      <c r="F286" s="80" t="s">
        <v>1051</v>
      </c>
      <c r="G286" s="80">
        <v>48</v>
      </c>
      <c r="H286" s="81" t="s">
        <v>2939</v>
      </c>
      <c r="I286" s="80" t="str">
        <f>Table43[[#This Row],[Nama Jenis Kemasan]]</f>
        <v>PCH</v>
      </c>
      <c r="J286" s="78" t="str">
        <f>TRIM(CONCATENATE(Table43[[#This Row],[Nama            KLP]]," ",Table43[[#This Row],[Nama            Sub KLP]]))</f>
        <v>SAMBAL NUSANTARA</v>
      </c>
      <c r="K286" s="78" t="str">
        <f>CONCATENATE(Table43[[#This Row],[kode  2 Digit                (hrf+No)]],Table43[[#This Row],[kode  2 Digit                (Nomor)]],Table43[[#This Row],[kode  1 Digit                (Nomor)]])</f>
        <v>A1122</v>
      </c>
      <c r="L286" s="78" t="str">
        <f>IF(AG286="",CONCATENATE(Q286,S286,U286,W286,Y286,AA286,AC286,AE286,Table43[[#This Row],[Tanda Kode Revisi]]),CONCATENATE(Q286,S286,U286,W286,Y286,AA286,AC286,AG286))</f>
        <v>A1122001007010</v>
      </c>
      <c r="M286" s="82">
        <f t="shared" si="12"/>
        <v>14</v>
      </c>
      <c r="N286" s="83" t="str">
        <f>IF(AF286&lt;&gt;"",TRIM(UPPER(CONCATENATE(P286," ",R286," ",T286," ",V286," ",X286," ",Z286," ","X"," ",Table43[[#This Row],[ISI/CTN]]," ",AF286," ",AB286," ",AD286," ",AH286))),TRIM(UPPER(CONCATENATE(P286," ",R286," ",T286," ",V286," ",X286," ",Z286," ","X"," ",Table43[[#This Row],[ISI/CTN]]," ",AB286," ",AD286," ",AH286))))</f>
        <v>ABC SAMBAL NUSANTARA TERASI 70 GR X 48 PCH</v>
      </c>
      <c r="O286" s="82">
        <f t="shared" si="13"/>
        <v>42</v>
      </c>
      <c r="P286" s="78" t="s">
        <v>28</v>
      </c>
      <c r="Q286" s="79" t="s">
        <v>85</v>
      </c>
      <c r="R286" s="78" t="s">
        <v>603</v>
      </c>
      <c r="S286" s="84">
        <v>12</v>
      </c>
      <c r="T286" s="85" t="s">
        <v>629</v>
      </c>
      <c r="U286" s="79">
        <v>2</v>
      </c>
      <c r="V286" s="85"/>
      <c r="W286" s="84" t="s">
        <v>1</v>
      </c>
      <c r="X286" s="78" t="s">
        <v>542</v>
      </c>
      <c r="Y286" s="86" t="s">
        <v>0</v>
      </c>
      <c r="Z286" s="78" t="s">
        <v>634</v>
      </c>
      <c r="AA286" s="86" t="s">
        <v>635</v>
      </c>
      <c r="AB286" s="78" t="s">
        <v>479</v>
      </c>
      <c r="AC286" s="79" t="s">
        <v>480</v>
      </c>
      <c r="AD286" s="78"/>
      <c r="AE286" s="79" t="s">
        <v>1</v>
      </c>
      <c r="AF286" s="79"/>
      <c r="AG286" s="79"/>
      <c r="AH286" s="79"/>
      <c r="AI286" s="79" t="s">
        <v>215</v>
      </c>
      <c r="AJ286" s="79">
        <v>1</v>
      </c>
      <c r="AK286" s="79"/>
      <c r="AL286" s="87">
        <f>Table43[[#This Row],[Harga Jual Pcs GT
(-PPN)]]-(Table43[[#This Row],[Harga Jual Pcs GT
(-PPN)]]*6%)</f>
        <v>4394.6503999999995</v>
      </c>
      <c r="AM286" s="88">
        <f>Table43[[#This Row],[Harga Beli Pcs
(-PPN)]]*Table43[[#This Row],[ISI/CTN]]</f>
        <v>210943.21919999999</v>
      </c>
      <c r="AN286" s="88">
        <f>Table43[[#This Row],[Harga Beli Pcs
(-PPN)]]*1.11</f>
        <v>4878.061944</v>
      </c>
      <c r="AO286" s="88">
        <f>Table43[[#This Row],[Harga Beli Krt
(- PPN)]]*1.11</f>
        <v>234146.97331200002</v>
      </c>
      <c r="AP286" s="88">
        <v>4675.16</v>
      </c>
      <c r="AQ286" s="88">
        <f>Table43[[#This Row],[Harga Jual Pcs GT
(-PPN)]]*Table43[[#This Row],[ISI/CTN]]</f>
        <v>224407.67999999999</v>
      </c>
      <c r="AR286" s="88">
        <f>Table43[[#This Row],[Harga Jual Pcs GT
(-PPN)]]*1.11</f>
        <v>5189.4276</v>
      </c>
      <c r="AS286" s="88">
        <f>Table43[[#This Row],[Harga Jual Krt GT
(- PPN)]]*1.11</f>
        <v>249092.52480000001</v>
      </c>
      <c r="AT286" s="88">
        <v>5049.1710855000001</v>
      </c>
      <c r="AU286" s="88">
        <f>(Table43[[#This Row],[Harga Jual Pcs MT
(-PPN)]]*Table43[[#This Row],[ISI/CTN]])</f>
        <v>242360.21210400001</v>
      </c>
      <c r="AV286" s="88">
        <f>Table43[[#This Row],[Harga Jual Pcs MT
(-PPN)]]*1.11</f>
        <v>5604.5799049050011</v>
      </c>
      <c r="AW286" s="88">
        <f>Table43[[#This Row],[Harga Jual Pcs MT
(+PPN)]]*Table43[[#This Row],[ISI/CTN]]</f>
        <v>269019.83543544007</v>
      </c>
      <c r="AX286" s="88"/>
      <c r="AY286" s="89"/>
      <c r="AZ286" s="90">
        <v>45945</v>
      </c>
      <c r="BA286" s="79" t="str">
        <f ca="1">IF(TODAY()-Table43[[#This Row],[Efektif
Pembuatan]]&gt;60,"Lama","Baru")</f>
        <v>Lama</v>
      </c>
      <c r="BB286" s="79" t="str">
        <f ca="1">IF(TODAY()-Table43[[#This Row],[Efektif Naik Harga]]&lt;30,"Naik","Sama")</f>
        <v>Sama</v>
      </c>
      <c r="BC286" s="79"/>
      <c r="BD286" s="79" t="str">
        <f>IF(Table43[[#This Row],[Kode BARANG Win2]]&lt;&gt;"","IDR","")</f>
        <v>IDR</v>
      </c>
      <c r="BE286" s="79" t="str">
        <f>CONCATENATE(Table43[[#This Row],[kode  1 Digit
(Nomor)]],Table43[[#This Row],[kode  4 Digit                (Nomor)]])</f>
        <v>10070</v>
      </c>
      <c r="BF286" s="79" t="str">
        <f>Table43[[#This Row],[Nama            Gramasi atau Jumlah Pack per CTN]]</f>
        <v>70 GR</v>
      </c>
      <c r="BG286" s="79"/>
      <c r="BH286" s="91"/>
      <c r="BI286" s="78" t="str">
        <f>IF(Table43[[#This Row],[SATUAN Fix Win]]&lt;&gt;"","KRT")</f>
        <v>KRT</v>
      </c>
      <c r="BJ286" s="78" t="str">
        <f>IF(Table43[[#This Row],[SATUAN Fix Win]]&lt;&gt;"","GD01")</f>
        <v>GD01</v>
      </c>
      <c r="BK286" s="78">
        <f>IF(Table43[[#This Row],[SATUAN Fix Win]]&lt;&gt;"",11611)</f>
        <v>11611</v>
      </c>
      <c r="BL286" s="78">
        <f>IF(Table43[[#This Row],[SATUAN Fix Win]]&lt;&gt;"",11612)</f>
        <v>11612</v>
      </c>
      <c r="BM286" s="92"/>
      <c r="BN286" s="78">
        <f>IF(Table43[[#This Row],[SATUAN Fix Win]]&lt;&gt;"",1)</f>
        <v>1</v>
      </c>
      <c r="BO286" s="78"/>
      <c r="BP286" s="78">
        <f>IFERROR(VLOOKUP(Table43[[#This Row],[Kode Pcpl]],'[1]HEINZ ABC'!$A$4:$E$112,8,0),0)</f>
        <v>0</v>
      </c>
      <c r="BQ286" s="93">
        <f>Table43[[#This Row],[Harga Jual Pcs GT
(-PPN)]]-Table43[[#This Row],[HARGA NAIK GT]]</f>
        <v>4675.16</v>
      </c>
      <c r="BR286" s="78">
        <f>IF(Table43[[#This Row],[HARGA NAIK GT]]=0,Table43[[#This Row],[Harga Jual Pcs GT
(-PPN)]],Table43[[#This Row],[HARGA NAIK GT]])</f>
        <v>4675.16</v>
      </c>
      <c r="BS286">
        <f>IFERROR(VLOOKUP(Table43[[#This Row],[Kode Pcpl]],'[1]HEINZ ABC'!$A$4:$E$112,8,0),0)</f>
        <v>0</v>
      </c>
      <c r="BT286" s="58">
        <f>Table43[[#This Row],[Harga Jual Pcs GT
(-PPN)]]-BS286</f>
        <v>4675.16</v>
      </c>
      <c r="BU286">
        <f>IF(BS286=0,Table43[[#This Row],[Harga Jual Pcs MT
(-PPN)]])</f>
        <v>5049.1710855000001</v>
      </c>
      <c r="BV286">
        <f>IFERROR(VLOOKUP(Table43[[#This Row],[Kode Pcpl]],[2]Pricelist!$A$4:$K$112,11,0),0)</f>
        <v>0</v>
      </c>
      <c r="BW286">
        <f>IFERROR(VLOOKUP(Table43[[#This Row],[Kode BARANG Win2]],[3]!RECKITT211216[[KDBRG]:[HRG_JL_PCS-PPN]],11,0),0)</f>
        <v>0</v>
      </c>
      <c r="BX286">
        <f t="shared" si="11"/>
        <v>0</v>
      </c>
    </row>
    <row r="287" spans="1:76" x14ac:dyDescent="0.25">
      <c r="A287" s="4" t="str">
        <f>CONCATENATE(Table43[[#This Row],[Kode BARANG Win2]],Table43[[#This Row],[No. Urut
Item Sama]])</f>
        <v>A11220010180101</v>
      </c>
      <c r="B287" s="7">
        <v>1</v>
      </c>
      <c r="C287" s="4">
        <v>256</v>
      </c>
      <c r="D287" s="27">
        <v>150193</v>
      </c>
      <c r="E287" s="27" t="s">
        <v>381</v>
      </c>
      <c r="F287" s="27" t="s">
        <v>452</v>
      </c>
      <c r="G287" s="27">
        <v>24</v>
      </c>
      <c r="H287" s="42" t="s">
        <v>2947</v>
      </c>
      <c r="I287" s="27" t="str">
        <f>Table43[[#This Row],[Nama Jenis Kemasan]]</f>
        <v>PCH</v>
      </c>
      <c r="J287" s="4" t="str">
        <f>TRIM(CONCATENATE(Table43[[#This Row],[Nama            KLP]]," ",Table43[[#This Row],[Nama            Sub KLP]]))</f>
        <v>SAMBAL NUSANTARA</v>
      </c>
      <c r="K287" s="4" t="str">
        <f>CONCATENATE(Table43[[#This Row],[kode  2 Digit                (hrf+No)]],Table43[[#This Row],[kode  2 Digit                (Nomor)]],Table43[[#This Row],[kode  1 Digit                (Nomor)]])</f>
        <v>A1122</v>
      </c>
      <c r="L287" s="4" t="str">
        <f>IF(AG287="",CONCATENATE(Q287,S287,U287,W287,Y287,AA287,AC287,AE287,Table43[[#This Row],[Tanda Kode Revisi]]),CONCATENATE(Q287,S287,U287,W287,Y287,AA287,AC287,AG287))</f>
        <v>A1122001018010</v>
      </c>
      <c r="M287" s="11">
        <f t="shared" si="12"/>
        <v>14</v>
      </c>
      <c r="N287" s="14" t="str">
        <f>IF(AF287&lt;&gt;"",TRIM(UPPER(CONCATENATE(P287," ",R287," ",T287," ",V287," ",X287," ",Z287," ","X"," ",Table43[[#This Row],[ISI/CTN]]," ",AF287," ",AB287," ",AD287," ",AH287))),TRIM(UPPER(CONCATENATE(P287," ",R287," ",T287," ",V287," ",X287," ",Z287," ","X"," ",Table43[[#This Row],[ISI/CTN]]," ",AB287," ",AD287," ",AH287))))</f>
        <v>ABC SAMBAL NUSANTARA TERASI 180 GR X 24 PCH</v>
      </c>
      <c r="O287" s="11">
        <f t="shared" si="13"/>
        <v>43</v>
      </c>
      <c r="P287" s="4" t="s">
        <v>28</v>
      </c>
      <c r="Q287" s="7" t="s">
        <v>85</v>
      </c>
      <c r="R287" s="4" t="s">
        <v>603</v>
      </c>
      <c r="S287" s="43">
        <v>12</v>
      </c>
      <c r="T287" s="44" t="s">
        <v>629</v>
      </c>
      <c r="U287" s="7">
        <v>2</v>
      </c>
      <c r="V287" s="44"/>
      <c r="W287" s="43" t="s">
        <v>1</v>
      </c>
      <c r="X287" s="4" t="s">
        <v>542</v>
      </c>
      <c r="Y287" s="45" t="s">
        <v>0</v>
      </c>
      <c r="Z287" s="4" t="s">
        <v>636</v>
      </c>
      <c r="AA287" s="45" t="s">
        <v>217</v>
      </c>
      <c r="AB287" s="4" t="s">
        <v>479</v>
      </c>
      <c r="AC287" s="7" t="s">
        <v>480</v>
      </c>
      <c r="AE287" s="7" t="s">
        <v>1</v>
      </c>
      <c r="AI287" s="7" t="s">
        <v>215</v>
      </c>
      <c r="AJ287" s="7">
        <v>1</v>
      </c>
      <c r="AL287" s="40">
        <f>Table43[[#This Row],[Harga Jual Pcs GT
(-PPN)]]-(Table43[[#This Row],[Harga Jual Pcs GT
(-PPN)]]*6%)</f>
        <v>15607.383999999998</v>
      </c>
      <c r="AM287" s="41">
        <f>Table43[[#This Row],[Harga Beli Pcs
(-PPN)]]*Table43[[#This Row],[ISI/CTN]]</f>
        <v>374577.21599999996</v>
      </c>
      <c r="AN287" s="41">
        <f>Table43[[#This Row],[Harga Beli Pcs
(-PPN)]]*1.11</f>
        <v>17324.196240000001</v>
      </c>
      <c r="AO287" s="41">
        <f>Table43[[#This Row],[Harga Beli Krt
(- PPN)]]*1.11</f>
        <v>415780.70976</v>
      </c>
      <c r="AP287" s="41">
        <v>16603.599999999999</v>
      </c>
      <c r="AQ287" s="41">
        <f>Table43[[#This Row],[Harga Jual Pcs GT
(-PPN)]]*Table43[[#This Row],[ISI/CTN]]</f>
        <v>398486.39999999997</v>
      </c>
      <c r="AR287" s="41">
        <f>Table43[[#This Row],[Harga Jual Pcs GT
(-PPN)]]*1.11</f>
        <v>18429.995999999999</v>
      </c>
      <c r="AS287" s="41">
        <f>Table43[[#This Row],[Harga Jual Krt GT
(- PPN)]]*1.11</f>
        <v>442319.90399999998</v>
      </c>
      <c r="AT287" s="41">
        <v>17931.89</v>
      </c>
      <c r="AU287" s="41">
        <f>(Table43[[#This Row],[Harga Jual Pcs MT
(-PPN)]]*Table43[[#This Row],[ISI/CTN]])</f>
        <v>430365.36</v>
      </c>
      <c r="AV287" s="41">
        <f>Table43[[#This Row],[Harga Jual Pcs MT
(-PPN)]]*1.11</f>
        <v>19904.3979</v>
      </c>
      <c r="AW287" s="41">
        <f>Table43[[#This Row],[Harga Jual Pcs MT
(+PPN)]]*Table43[[#This Row],[ISI/CTN]]</f>
        <v>477705.54960000003</v>
      </c>
      <c r="AX287" s="41"/>
      <c r="AY287" s="46">
        <v>45553</v>
      </c>
      <c r="AZ287" s="54">
        <v>45553</v>
      </c>
      <c r="BA287" s="7" t="str">
        <f ca="1">IF(TODAY()-Table43[[#This Row],[Efektif
Pembuatan]]&gt;60,"Lama","Baru")</f>
        <v>Lama</v>
      </c>
      <c r="BB287" s="7" t="str">
        <f ca="1">IF(TODAY()-Table43[[#This Row],[Efektif Naik Harga]]&lt;30,"Naik","Sama")</f>
        <v>Sama</v>
      </c>
      <c r="BC287" s="7" t="s">
        <v>235</v>
      </c>
      <c r="BD287" s="7" t="str">
        <f>IF(Table43[[#This Row],[Kode BARANG Win2]]&lt;&gt;"","IDR","")</f>
        <v>IDR</v>
      </c>
      <c r="BE287" s="7" t="str">
        <f>CONCATENATE(Table43[[#This Row],[kode  1 Digit
(Nomor)]],Table43[[#This Row],[kode  4 Digit                (Nomor)]])</f>
        <v>10180</v>
      </c>
      <c r="BF287" s="7" t="str">
        <f>Table43[[#This Row],[Nama            Gramasi atau Jumlah Pack per CTN]]</f>
        <v>180 GR</v>
      </c>
      <c r="BG287" s="7" t="s">
        <v>653</v>
      </c>
      <c r="BH287" s="51" t="s">
        <v>654</v>
      </c>
      <c r="BI287" s="4" t="str">
        <f>IF(Table43[[#This Row],[SATUAN Fix Win]]&lt;&gt;"","KRT")</f>
        <v>KRT</v>
      </c>
      <c r="BJ287" s="4" t="str">
        <f>IF(Table43[[#This Row],[SATUAN Fix Win]]&lt;&gt;"","GD01")</f>
        <v>GD01</v>
      </c>
      <c r="BK287" s="4">
        <f>IF(Table43[[#This Row],[SATUAN Fix Win]]&lt;&gt;"",11611)</f>
        <v>11611</v>
      </c>
      <c r="BL287" s="4">
        <f>IF(Table43[[#This Row],[SATUAN Fix Win]]&lt;&gt;"",11612)</f>
        <v>11612</v>
      </c>
      <c r="BM287" s="47" t="s">
        <v>655</v>
      </c>
      <c r="BN287" s="4">
        <f>IF(Table43[[#This Row],[SATUAN Fix Win]]&lt;&gt;"",1)</f>
        <v>1</v>
      </c>
      <c r="BO287" s="4" t="s">
        <v>656</v>
      </c>
      <c r="BP287" s="4">
        <f>IFERROR(VLOOKUP(Table43[[#This Row],[Kode Pcpl]],'[1]HEINZ ABC'!$A$4:$E$112,8,0),0)</f>
        <v>0</v>
      </c>
      <c r="BQ287" s="55">
        <f>Table43[[#This Row],[Harga Jual Pcs GT
(-PPN)]]-Table43[[#This Row],[HARGA NAIK GT]]</f>
        <v>16603.599999999999</v>
      </c>
      <c r="BR287" s="4">
        <f>IF(Table43[[#This Row],[HARGA NAIK GT]]=0,Table43[[#This Row],[Harga Jual Pcs GT
(-PPN)]],Table43[[#This Row],[HARGA NAIK GT]])</f>
        <v>16603.599999999999</v>
      </c>
      <c r="BS287">
        <f>IFERROR(VLOOKUP(Table43[[#This Row],[Kode Pcpl]],'[1]HEINZ ABC'!$A$4:$E$112,8,0),0)</f>
        <v>0</v>
      </c>
      <c r="BT287" s="58">
        <f>Table43[[#This Row],[Harga Jual Pcs GT
(-PPN)]]-BS287</f>
        <v>16603.599999999999</v>
      </c>
      <c r="BU287">
        <f>IF(BS287=0,Table43[[#This Row],[Harga Jual Pcs MT
(-PPN)]])</f>
        <v>17931.89</v>
      </c>
      <c r="BV287">
        <f>IFERROR(VLOOKUP(Table43[[#This Row],[Kode Pcpl]],[2]Pricelist!$A$4:$K$112,11,0),0)</f>
        <v>0</v>
      </c>
      <c r="BW287">
        <f>IFERROR(VLOOKUP(Table43[[#This Row],[Kode BARANG Win2]],[3]!RECKITT211216[[KDBRG]:[HRG_JL_PCS-PPN]],11,0),0)</f>
        <v>0</v>
      </c>
      <c r="BX287">
        <f t="shared" si="11"/>
        <v>0</v>
      </c>
    </row>
    <row r="288" spans="1:76" x14ac:dyDescent="0.25">
      <c r="A288" s="4" t="str">
        <f>CONCATENATE(Table43[[#This Row],[Kode BARANG Win2]],Table43[[#This Row],[No. Urut
Item Sama]])</f>
        <v>A11220010180102</v>
      </c>
      <c r="B288" s="7">
        <v>2</v>
      </c>
      <c r="C288" s="4">
        <v>257</v>
      </c>
      <c r="D288" s="27">
        <v>150360</v>
      </c>
      <c r="E288" s="27"/>
      <c r="F288" s="27" t="s">
        <v>1023</v>
      </c>
      <c r="G288" s="27">
        <v>24</v>
      </c>
      <c r="H288" s="42" t="s">
        <v>2941</v>
      </c>
      <c r="I288" s="27" t="str">
        <f>Table43[[#This Row],[Nama Jenis Kemasan]]</f>
        <v>PCH</v>
      </c>
      <c r="J288" s="4" t="str">
        <f>TRIM(CONCATENATE(Table43[[#This Row],[Nama            KLP]]," ",Table43[[#This Row],[Nama            Sub KLP]]))</f>
        <v>SAMBAL NUSANTARA</v>
      </c>
      <c r="K288" s="4" t="str">
        <f>CONCATENATE(Table43[[#This Row],[kode  2 Digit                (hrf+No)]],Table43[[#This Row],[kode  2 Digit                (Nomor)]],Table43[[#This Row],[kode  1 Digit                (Nomor)]])</f>
        <v>A1122</v>
      </c>
      <c r="L288" s="4" t="str">
        <f>IF(AG288="",CONCATENATE(Q288,S288,U288,W288,Y288,AA288,AC288,AE288,Table43[[#This Row],[Tanda Kode Revisi]]),CONCATENATE(Q288,S288,U288,W288,Y288,AA288,AC288,AG288))</f>
        <v>A1122001018010</v>
      </c>
      <c r="M288" s="11">
        <f t="shared" si="12"/>
        <v>14</v>
      </c>
      <c r="N288" s="14" t="str">
        <f>IF(AF288&lt;&gt;"",TRIM(UPPER(CONCATENATE(P288," ",R288," ",T288," ",V288," ",X288," ",Z288," ","X"," ",Table43[[#This Row],[ISI/CTN]]," ",AF288," ",AB288," ",AD288," ",AH288))),TRIM(UPPER(CONCATENATE(P288," ",R288," ",T288," ",V288," ",X288," ",Z288," ","X"," ",Table43[[#This Row],[ISI/CTN]]," ",AB288," ",AD288," ",AH288))))</f>
        <v>ABC SAMBAL NUSANTARA TERASI 180 GR X 24 PCH</v>
      </c>
      <c r="O288" s="11">
        <f t="shared" si="13"/>
        <v>43</v>
      </c>
      <c r="P288" s="4" t="s">
        <v>28</v>
      </c>
      <c r="Q288" s="7" t="s">
        <v>85</v>
      </c>
      <c r="R288" s="4" t="s">
        <v>603</v>
      </c>
      <c r="S288" s="43">
        <v>12</v>
      </c>
      <c r="T288" s="44" t="s">
        <v>629</v>
      </c>
      <c r="U288" s="7">
        <v>2</v>
      </c>
      <c r="V288" s="44"/>
      <c r="W288" s="43" t="s">
        <v>1</v>
      </c>
      <c r="X288" s="4" t="s">
        <v>542</v>
      </c>
      <c r="Y288" s="45" t="s">
        <v>0</v>
      </c>
      <c r="Z288" s="4" t="s">
        <v>636</v>
      </c>
      <c r="AA288" s="45" t="s">
        <v>217</v>
      </c>
      <c r="AB288" s="4" t="s">
        <v>479</v>
      </c>
      <c r="AC288" s="7" t="s">
        <v>480</v>
      </c>
      <c r="AE288" s="7" t="s">
        <v>1</v>
      </c>
      <c r="AI288" s="7" t="s">
        <v>215</v>
      </c>
      <c r="AJ288" s="7">
        <v>1</v>
      </c>
      <c r="AL288" s="40">
        <f>Table43[[#This Row],[Harga Jual Pcs GT
(-PPN)]]-(Table43[[#This Row],[Harga Jual Pcs GT
(-PPN)]]*6%)</f>
        <v>15607.383999999998</v>
      </c>
      <c r="AM288" s="41">
        <f>Table43[[#This Row],[Harga Beli Pcs
(-PPN)]]*Table43[[#This Row],[ISI/CTN]]</f>
        <v>374577.21599999996</v>
      </c>
      <c r="AN288" s="41">
        <f>Table43[[#This Row],[Harga Beli Pcs
(-PPN)]]*1.11</f>
        <v>17324.196240000001</v>
      </c>
      <c r="AO288" s="41">
        <f>Table43[[#This Row],[Harga Beli Krt
(- PPN)]]*1.11</f>
        <v>415780.70976</v>
      </c>
      <c r="AP288" s="41">
        <v>16603.599999999999</v>
      </c>
      <c r="AQ288" s="41">
        <f>Table43[[#This Row],[Harga Jual Pcs GT
(-PPN)]]*Table43[[#This Row],[ISI/CTN]]</f>
        <v>398486.39999999997</v>
      </c>
      <c r="AR288" s="41">
        <f>Table43[[#This Row],[Harga Jual Pcs GT
(-PPN)]]*1.11</f>
        <v>18429.995999999999</v>
      </c>
      <c r="AS288" s="41">
        <f>Table43[[#This Row],[Harga Jual Krt GT
(- PPN)]]*1.11</f>
        <v>442319.90399999998</v>
      </c>
      <c r="AT288" s="41">
        <v>17931.89</v>
      </c>
      <c r="AU288" s="41">
        <f>(Table43[[#This Row],[Harga Jual Pcs MT
(-PPN)]]*Table43[[#This Row],[ISI/CTN]])</f>
        <v>430365.36</v>
      </c>
      <c r="AV288" s="41">
        <f>Table43[[#This Row],[Harga Jual Pcs MT
(-PPN)]]*1.11</f>
        <v>19904.3979</v>
      </c>
      <c r="AW288" s="41">
        <f>Table43[[#This Row],[Harga Jual Pcs MT
(+PPN)]]*Table43[[#This Row],[ISI/CTN]]</f>
        <v>477705.54960000003</v>
      </c>
      <c r="AX288" s="41"/>
      <c r="AY288" s="46">
        <v>45769</v>
      </c>
      <c r="AZ288" s="54">
        <v>45553</v>
      </c>
      <c r="BA288" s="7" t="str">
        <f ca="1">IF(TODAY()-Table43[[#This Row],[Efektif
Pembuatan]]&gt;60,"Lama","Baru")</f>
        <v>Lama</v>
      </c>
      <c r="BB288" s="7" t="str">
        <f ca="1">IF(TODAY()-Table43[[#This Row],[Efektif Naik Harga]]&lt;30,"Naik","Sama")</f>
        <v>Sama</v>
      </c>
      <c r="BC288" s="7"/>
      <c r="BD288" s="7" t="str">
        <f>IF(Table43[[#This Row],[Kode BARANG Win2]]&lt;&gt;"","IDR","")</f>
        <v>IDR</v>
      </c>
      <c r="BE288" s="7" t="str">
        <f>CONCATENATE(Table43[[#This Row],[kode  1 Digit
(Nomor)]],Table43[[#This Row],[kode  4 Digit                (Nomor)]])</f>
        <v>10180</v>
      </c>
      <c r="BF288" s="7" t="str">
        <f>Table43[[#This Row],[Nama            Gramasi atau Jumlah Pack per CTN]]</f>
        <v>180 GR</v>
      </c>
      <c r="BG288" s="7"/>
      <c r="BH288" s="51"/>
      <c r="BI288" s="4" t="str">
        <f>IF(Table43[[#This Row],[SATUAN Fix Win]]&lt;&gt;"","KRT")</f>
        <v>KRT</v>
      </c>
      <c r="BJ288" s="4" t="str">
        <f>IF(Table43[[#This Row],[SATUAN Fix Win]]&lt;&gt;"","GD01")</f>
        <v>GD01</v>
      </c>
      <c r="BK288" s="4">
        <f>IF(Table43[[#This Row],[SATUAN Fix Win]]&lt;&gt;"",11611)</f>
        <v>11611</v>
      </c>
      <c r="BL288" s="4">
        <f>IF(Table43[[#This Row],[SATUAN Fix Win]]&lt;&gt;"",11612)</f>
        <v>11612</v>
      </c>
      <c r="BM288" s="47"/>
      <c r="BN288" s="4">
        <f>IF(Table43[[#This Row],[SATUAN Fix Win]]&lt;&gt;"",1)</f>
        <v>1</v>
      </c>
      <c r="BP288" s="4">
        <f>IFERROR(VLOOKUP(Table43[[#This Row],[Kode Pcpl]],'[1]HEINZ ABC'!$A$4:$E$112,8,0),0)</f>
        <v>0</v>
      </c>
      <c r="BQ288" s="55">
        <f>Table43[[#This Row],[Harga Jual Pcs GT
(-PPN)]]-Table43[[#This Row],[HARGA NAIK GT]]</f>
        <v>16603.599999999999</v>
      </c>
      <c r="BR288" s="4">
        <f>IF(Table43[[#This Row],[HARGA NAIK GT]]=0,Table43[[#This Row],[Harga Jual Pcs GT
(-PPN)]],Table43[[#This Row],[HARGA NAIK GT]])</f>
        <v>16603.599999999999</v>
      </c>
      <c r="BS288">
        <f>IFERROR(VLOOKUP(Table43[[#This Row],[Kode Pcpl]],'[1]HEINZ ABC'!$A$4:$E$112,8,0),0)</f>
        <v>0</v>
      </c>
      <c r="BT288" s="58">
        <f>Table43[[#This Row],[Harga Jual Pcs GT
(-PPN)]]-BS288</f>
        <v>16603.599999999999</v>
      </c>
      <c r="BU288">
        <f>IF(BS288=0,Table43[[#This Row],[Harga Jual Pcs MT
(-PPN)]])</f>
        <v>17931.89</v>
      </c>
      <c r="BV288">
        <f>IFERROR(VLOOKUP(Table43[[#This Row],[Kode Pcpl]],[2]Pricelist!$A$4:$K$112,11,0),0)</f>
        <v>0</v>
      </c>
      <c r="BW288">
        <f>IFERROR(VLOOKUP(Table43[[#This Row],[Kode BARANG Win2]],[3]!RECKITT211216[[KDBRG]:[HRG_JL_PCS-PPN]],11,0),0)</f>
        <v>0</v>
      </c>
      <c r="BX288">
        <f t="shared" si="11"/>
        <v>0</v>
      </c>
    </row>
    <row r="289" spans="1:76" x14ac:dyDescent="0.25">
      <c r="A289" s="4" t="str">
        <f>CONCATENATE(Table43[[#This Row],[Kode BARANG Win2]],Table43[[#This Row],[No. Urut
Item Sama]])</f>
        <v>A11220010180111</v>
      </c>
      <c r="B289" s="7">
        <v>1</v>
      </c>
      <c r="C289" s="4">
        <v>258</v>
      </c>
      <c r="D289" s="27">
        <v>150961</v>
      </c>
      <c r="E289" s="27" t="s">
        <v>381</v>
      </c>
      <c r="F289" s="27" t="s">
        <v>453</v>
      </c>
      <c r="G289" s="27">
        <v>12</v>
      </c>
      <c r="H289" s="42">
        <v>0</v>
      </c>
      <c r="I289" s="27" t="str">
        <f>Table43[[#This Row],[Nama Jenis Kemasan]]</f>
        <v>PCH</v>
      </c>
      <c r="J289" s="4" t="str">
        <f>TRIM(CONCATENATE(Table43[[#This Row],[Nama            KLP]]," ",Table43[[#This Row],[Nama            Sub KLP]]))</f>
        <v>SAMBAL NUSANTARA</v>
      </c>
      <c r="K289" s="4" t="str">
        <f>CONCATENATE(Table43[[#This Row],[kode  2 Digit                (hrf+No)]],Table43[[#This Row],[kode  2 Digit                (Nomor)]],Table43[[#This Row],[kode  1 Digit                (Nomor)]])</f>
        <v>A1122</v>
      </c>
      <c r="L289" s="4" t="str">
        <f>IF(AG289="",CONCATENATE(Q289,S289,U289,W289,Y289,AA289,AC289,AE289,Table43[[#This Row],[Tanda Kode Revisi]]),CONCATENATE(Q289,S289,U289,W289,Y289,AA289,AC289,AG289))</f>
        <v>A1122001018011</v>
      </c>
      <c r="M289" s="11">
        <f t="shared" si="12"/>
        <v>14</v>
      </c>
      <c r="N289" s="14" t="str">
        <f>IF(AF289&lt;&gt;"",TRIM(UPPER(CONCATENATE(P289," ",R289," ",T289," ",V289," ",X289," ",Z289," ","X"," ",Table43[[#This Row],[ISI/CTN]]," ",AF289," ",AB289," ",AD289," ",AH289))),TRIM(UPPER(CONCATENATE(P289," ",R289," ",T289," ",V289," ",X289," ",Z289," ","X"," ",Table43[[#This Row],[ISI/CTN]]," ",AB289," ",AD289," ",AH289))))</f>
        <v>ABC SAMBAL NUSANTARA TERASI 180 GR X 12 PCH B8G2</v>
      </c>
      <c r="O289" s="11">
        <f t="shared" si="13"/>
        <v>48</v>
      </c>
      <c r="P289" s="4" t="s">
        <v>28</v>
      </c>
      <c r="Q289" s="7" t="s">
        <v>85</v>
      </c>
      <c r="R289" s="4" t="s">
        <v>603</v>
      </c>
      <c r="S289" s="43">
        <v>12</v>
      </c>
      <c r="T289" s="44" t="s">
        <v>629</v>
      </c>
      <c r="U289" s="7">
        <v>2</v>
      </c>
      <c r="V289" s="44"/>
      <c r="W289" s="43" t="s">
        <v>1</v>
      </c>
      <c r="X289" s="4" t="s">
        <v>542</v>
      </c>
      <c r="Y289" s="45" t="s">
        <v>0</v>
      </c>
      <c r="Z289" s="4" t="s">
        <v>636</v>
      </c>
      <c r="AA289" s="45" t="s">
        <v>217</v>
      </c>
      <c r="AB289" s="4" t="s">
        <v>479</v>
      </c>
      <c r="AC289" s="7" t="s">
        <v>480</v>
      </c>
      <c r="AD289" s="4" t="s">
        <v>633</v>
      </c>
      <c r="AE289" s="7">
        <v>1</v>
      </c>
      <c r="AI289" s="7" t="s">
        <v>215</v>
      </c>
      <c r="AJ289" s="7">
        <v>1</v>
      </c>
      <c r="AL289" s="40">
        <f>Table43[[#This Row],[Harga Jual Pcs GT
(-PPN)]]-(Table43[[#This Row],[Harga Jual Pcs GT
(-PPN)]]*6%)</f>
        <v>15607.383999999998</v>
      </c>
      <c r="AM289" s="41">
        <f>Table43[[#This Row],[Harga Beli Pcs
(-PPN)]]*Table43[[#This Row],[ISI/CTN]]</f>
        <v>187288.60799999998</v>
      </c>
      <c r="AN289" s="41">
        <f>Table43[[#This Row],[Harga Beli Pcs
(-PPN)]]*1.11</f>
        <v>17324.196240000001</v>
      </c>
      <c r="AO289" s="41">
        <f>Table43[[#This Row],[Harga Beli Krt
(- PPN)]]*1.11</f>
        <v>207890.35488</v>
      </c>
      <c r="AP289" s="41">
        <v>16603.599999999999</v>
      </c>
      <c r="AQ289" s="41">
        <f>Table43[[#This Row],[Harga Jual Pcs GT
(-PPN)]]*Table43[[#This Row],[ISI/CTN]]</f>
        <v>199243.19999999998</v>
      </c>
      <c r="AR289" s="41">
        <f>Table43[[#This Row],[Harga Jual Pcs GT
(-PPN)]]*1.11</f>
        <v>18429.995999999999</v>
      </c>
      <c r="AS289" s="41">
        <f>Table43[[#This Row],[Harga Jual Krt GT
(- PPN)]]*1.11</f>
        <v>221159.95199999999</v>
      </c>
      <c r="AT289" s="41">
        <v>0</v>
      </c>
      <c r="AU289" s="41">
        <f>(Table43[[#This Row],[Harga Jual Pcs MT
(-PPN)]]*Table43[[#This Row],[ISI/CTN]])</f>
        <v>0</v>
      </c>
      <c r="AV289" s="41">
        <f>Table43[[#This Row],[Harga Jual Pcs MT
(-PPN)]]*1.11</f>
        <v>0</v>
      </c>
      <c r="AW289" s="41">
        <f>Table43[[#This Row],[Harga Jual Pcs MT
(+PPN)]]*Table43[[#This Row],[ISI/CTN]]</f>
        <v>0</v>
      </c>
      <c r="AX289" s="41"/>
      <c r="AY289" s="46">
        <v>45553</v>
      </c>
      <c r="AZ289" s="54">
        <v>45553</v>
      </c>
      <c r="BA289" s="7" t="str">
        <f ca="1">IF(TODAY()-Table43[[#This Row],[Efektif
Pembuatan]]&gt;60,"Lama","Baru")</f>
        <v>Lama</v>
      </c>
      <c r="BB289" s="7" t="str">
        <f ca="1">IF(TODAY()-Table43[[#This Row],[Efektif Naik Harga]]&lt;30,"Naik","Sama")</f>
        <v>Sama</v>
      </c>
      <c r="BC289" s="7" t="s">
        <v>235</v>
      </c>
      <c r="BD289" s="7" t="str">
        <f>IF(Table43[[#This Row],[Kode BARANG Win2]]&lt;&gt;"","IDR","")</f>
        <v>IDR</v>
      </c>
      <c r="BE289" s="7" t="str">
        <f>CONCATENATE(Table43[[#This Row],[kode  1 Digit
(Nomor)]],Table43[[#This Row],[kode  4 Digit                (Nomor)]])</f>
        <v>10180</v>
      </c>
      <c r="BF289" s="7" t="str">
        <f>Table43[[#This Row],[Nama            Gramasi atau Jumlah Pack per CTN]]</f>
        <v>180 GR</v>
      </c>
      <c r="BG289" s="7" t="s">
        <v>653</v>
      </c>
      <c r="BH289" s="51" t="s">
        <v>654</v>
      </c>
      <c r="BI289" s="4" t="str">
        <f>IF(Table43[[#This Row],[SATUAN Fix Win]]&lt;&gt;"","KRT")</f>
        <v>KRT</v>
      </c>
      <c r="BJ289" s="4" t="str">
        <f>IF(Table43[[#This Row],[SATUAN Fix Win]]&lt;&gt;"","GD01")</f>
        <v>GD01</v>
      </c>
      <c r="BK289" s="4">
        <f>IF(Table43[[#This Row],[SATUAN Fix Win]]&lt;&gt;"",11611)</f>
        <v>11611</v>
      </c>
      <c r="BL289" s="4">
        <f>IF(Table43[[#This Row],[SATUAN Fix Win]]&lt;&gt;"",11612)</f>
        <v>11612</v>
      </c>
      <c r="BM289" s="47" t="s">
        <v>655</v>
      </c>
      <c r="BN289" s="4">
        <f>IF(Table43[[#This Row],[SATUAN Fix Win]]&lt;&gt;"",1)</f>
        <v>1</v>
      </c>
      <c r="BO289" s="4" t="s">
        <v>656</v>
      </c>
      <c r="BP289" s="4">
        <f>IFERROR(VLOOKUP(Table43[[#This Row],[Kode Pcpl]],'[1]HEINZ ABC'!$A$4:$E$112,8,0),0)</f>
        <v>0</v>
      </c>
      <c r="BQ289" s="55">
        <f>Table43[[#This Row],[Harga Jual Pcs GT
(-PPN)]]-Table43[[#This Row],[HARGA NAIK GT]]</f>
        <v>16603.599999999999</v>
      </c>
      <c r="BR289" s="4">
        <f>IF(Table43[[#This Row],[HARGA NAIK GT]]=0,Table43[[#This Row],[Harga Jual Pcs GT
(-PPN)]],Table43[[#This Row],[HARGA NAIK GT]])</f>
        <v>16603.599999999999</v>
      </c>
      <c r="BS289">
        <f>IFERROR(VLOOKUP(Table43[[#This Row],[Kode Pcpl]],'[1]HEINZ ABC'!$A$4:$E$112,8,0),0)</f>
        <v>0</v>
      </c>
      <c r="BT289" s="58">
        <f>Table43[[#This Row],[Harga Jual Pcs GT
(-PPN)]]-BS289</f>
        <v>16603.599999999999</v>
      </c>
      <c r="BU289">
        <f>IF(BS289=0,Table43[[#This Row],[Harga Jual Pcs MT
(-PPN)]])</f>
        <v>0</v>
      </c>
      <c r="BV289">
        <f>IFERROR(VLOOKUP(Table43[[#This Row],[Kode Pcpl]],[2]Pricelist!$A$4:$K$112,11,0),0)</f>
        <v>0</v>
      </c>
      <c r="BW289">
        <f>IFERROR(VLOOKUP(Table43[[#This Row],[Kode BARANG Win2]],[3]!RECKITT211216[[KDBRG]:[HRG_JL_PCS-PPN]],11,0),0)</f>
        <v>0</v>
      </c>
      <c r="BX289">
        <f t="shared" si="11"/>
        <v>0</v>
      </c>
    </row>
    <row r="290" spans="1:76" x14ac:dyDescent="0.25">
      <c r="A290" s="4" t="str">
        <f>CONCATENATE(Table43[[#This Row],[Kode BARANG Win2]],Table43[[#This Row],[No. Urut
Item Sama]])</f>
        <v>A11220010180201</v>
      </c>
      <c r="B290" s="7">
        <v>1</v>
      </c>
      <c r="C290" s="4">
        <v>259</v>
      </c>
      <c r="D290" s="27">
        <v>612095</v>
      </c>
      <c r="E290" s="27" t="s">
        <v>381</v>
      </c>
      <c r="F290" s="27" t="s">
        <v>454</v>
      </c>
      <c r="G290" s="27">
        <v>24</v>
      </c>
      <c r="H290" s="42">
        <v>0</v>
      </c>
      <c r="I290" s="27" t="str">
        <f>Table43[[#This Row],[Nama Jenis Kemasan]]</f>
        <v>BTL</v>
      </c>
      <c r="J290" s="4" t="str">
        <f>TRIM(CONCATENATE(Table43[[#This Row],[Nama            KLP]]," ",Table43[[#This Row],[Nama            Sub KLP]]))</f>
        <v>SAMBAL NUSANTARA</v>
      </c>
      <c r="K290" s="4" t="str">
        <f>CONCATENATE(Table43[[#This Row],[kode  2 Digit                (hrf+No)]],Table43[[#This Row],[kode  2 Digit                (Nomor)]],Table43[[#This Row],[kode  1 Digit                (Nomor)]])</f>
        <v>A1122</v>
      </c>
      <c r="L290" s="4" t="str">
        <f>IF(AG290="",CONCATENATE(Q290,S290,U290,W290,Y290,AA290,AC290,AE290,Table43[[#This Row],[Tanda Kode Revisi]]),CONCATENATE(Q290,S290,U290,W290,Y290,AA290,AC290,AG290))</f>
        <v>A1122001018020</v>
      </c>
      <c r="M290" s="11">
        <f t="shared" si="12"/>
        <v>14</v>
      </c>
      <c r="N290" s="14" t="str">
        <f>IF(AF290&lt;&gt;"",TRIM(UPPER(CONCATENATE(P290," ",R290," ",T290," ",V290," ",X290," ",Z290," ","X"," ",Table43[[#This Row],[ISI/CTN]]," ",AF290," ",AB290," ",AD290," ",AH290))),TRIM(UPPER(CONCATENATE(P290," ",R290," ",T290," ",V290," ",X290," ",Z290," ","X"," ",Table43[[#This Row],[ISI/CTN]]," ",AB290," ",AD290," ",AH290))))</f>
        <v>ABC SAMBAL NUSANTARA TERASI 180 GR X 24 BTL</v>
      </c>
      <c r="O290" s="11">
        <f t="shared" si="13"/>
        <v>43</v>
      </c>
      <c r="P290" s="4" t="s">
        <v>28</v>
      </c>
      <c r="Q290" s="7" t="s">
        <v>85</v>
      </c>
      <c r="R290" s="4" t="s">
        <v>603</v>
      </c>
      <c r="S290" s="43">
        <v>12</v>
      </c>
      <c r="T290" s="44" t="s">
        <v>629</v>
      </c>
      <c r="U290" s="7">
        <v>2</v>
      </c>
      <c r="V290" s="44"/>
      <c r="W290" s="43" t="s">
        <v>1</v>
      </c>
      <c r="X290" s="4" t="s">
        <v>542</v>
      </c>
      <c r="Y290" s="45" t="s">
        <v>0</v>
      </c>
      <c r="Z290" s="4" t="s">
        <v>636</v>
      </c>
      <c r="AA290" s="45" t="s">
        <v>217</v>
      </c>
      <c r="AB290" s="4" t="s">
        <v>486</v>
      </c>
      <c r="AC290" s="7" t="s">
        <v>492</v>
      </c>
      <c r="AE290" s="7" t="s">
        <v>1</v>
      </c>
      <c r="AI290" s="7" t="s">
        <v>215</v>
      </c>
      <c r="AJ290" s="7">
        <v>1</v>
      </c>
      <c r="AL290" s="40">
        <f>Table43[[#This Row],[Harga Jual Pcs GT
(-PPN)]]-(Table43[[#This Row],[Harga Jual Pcs GT
(-PPN)]]*6%)</f>
        <v>15607.383999999998</v>
      </c>
      <c r="AM290" s="41">
        <f>Table43[[#This Row],[Harga Beli Pcs
(-PPN)]]*Table43[[#This Row],[ISI/CTN]]</f>
        <v>374577.21599999996</v>
      </c>
      <c r="AN290" s="41">
        <f>Table43[[#This Row],[Harga Beli Pcs
(-PPN)]]*1.11</f>
        <v>17324.196240000001</v>
      </c>
      <c r="AO290" s="41">
        <f>Table43[[#This Row],[Harga Beli Krt
(- PPN)]]*1.11</f>
        <v>415780.70976</v>
      </c>
      <c r="AP290" s="41">
        <v>16603.599999999999</v>
      </c>
      <c r="AQ290" s="41">
        <f>Table43[[#This Row],[Harga Jual Pcs GT
(-PPN)]]*Table43[[#This Row],[ISI/CTN]]</f>
        <v>398486.39999999997</v>
      </c>
      <c r="AR290" s="41">
        <f>Table43[[#This Row],[Harga Jual Pcs GT
(-PPN)]]*1.11</f>
        <v>18429.995999999999</v>
      </c>
      <c r="AS290" s="41">
        <f>Table43[[#This Row],[Harga Jual Krt GT
(- PPN)]]*1.11</f>
        <v>442319.90399999998</v>
      </c>
      <c r="AT290" s="41">
        <v>17931.89</v>
      </c>
      <c r="AU290" s="41">
        <f>(Table43[[#This Row],[Harga Jual Pcs MT
(-PPN)]]*Table43[[#This Row],[ISI/CTN]])</f>
        <v>430365.36</v>
      </c>
      <c r="AV290" s="41">
        <f>Table43[[#This Row],[Harga Jual Pcs MT
(-PPN)]]*1.11</f>
        <v>19904.3979</v>
      </c>
      <c r="AW290" s="41">
        <f>Table43[[#This Row],[Harga Jual Pcs MT
(+PPN)]]*Table43[[#This Row],[ISI/CTN]]</f>
        <v>477705.54960000003</v>
      </c>
      <c r="AX290" s="41"/>
      <c r="AY290" s="46">
        <v>45553</v>
      </c>
      <c r="AZ290" s="54">
        <v>45553</v>
      </c>
      <c r="BA290" s="7" t="str">
        <f ca="1">IF(TODAY()-Table43[[#This Row],[Efektif
Pembuatan]]&gt;60,"Lama","Baru")</f>
        <v>Lama</v>
      </c>
      <c r="BB290" s="7" t="str">
        <f ca="1">IF(TODAY()-Table43[[#This Row],[Efektif Naik Harga]]&lt;30,"Naik","Sama")</f>
        <v>Sama</v>
      </c>
      <c r="BC290" s="7" t="s">
        <v>235</v>
      </c>
      <c r="BD290" s="7" t="str">
        <f>IF(Table43[[#This Row],[Kode BARANG Win2]]&lt;&gt;"","IDR","")</f>
        <v>IDR</v>
      </c>
      <c r="BE290" s="7" t="str">
        <f>CONCATENATE(Table43[[#This Row],[kode  1 Digit
(Nomor)]],Table43[[#This Row],[kode  4 Digit                (Nomor)]])</f>
        <v>10180</v>
      </c>
      <c r="BF290" s="7" t="str">
        <f>Table43[[#This Row],[Nama            Gramasi atau Jumlah Pack per CTN]]</f>
        <v>180 GR</v>
      </c>
      <c r="BG290" s="7" t="s">
        <v>653</v>
      </c>
      <c r="BH290" s="51" t="s">
        <v>654</v>
      </c>
      <c r="BI290" s="4" t="str">
        <f>IF(Table43[[#This Row],[SATUAN Fix Win]]&lt;&gt;"","KRT")</f>
        <v>KRT</v>
      </c>
      <c r="BJ290" s="4" t="str">
        <f>IF(Table43[[#This Row],[SATUAN Fix Win]]&lt;&gt;"","GD01")</f>
        <v>GD01</v>
      </c>
      <c r="BK290" s="4">
        <f>IF(Table43[[#This Row],[SATUAN Fix Win]]&lt;&gt;"",11611)</f>
        <v>11611</v>
      </c>
      <c r="BL290" s="4">
        <f>IF(Table43[[#This Row],[SATUAN Fix Win]]&lt;&gt;"",11612)</f>
        <v>11612</v>
      </c>
      <c r="BM290" s="47" t="s">
        <v>655</v>
      </c>
      <c r="BN290" s="4">
        <f>IF(Table43[[#This Row],[SATUAN Fix Win]]&lt;&gt;"",1)</f>
        <v>1</v>
      </c>
      <c r="BO290" s="4" t="s">
        <v>656</v>
      </c>
      <c r="BP290" s="4">
        <f>IFERROR(VLOOKUP(Table43[[#This Row],[Kode Pcpl]],'[1]HEINZ ABC'!$A$4:$E$112,8,0),0)</f>
        <v>0</v>
      </c>
      <c r="BQ290" s="55">
        <f>Table43[[#This Row],[Harga Jual Pcs GT
(-PPN)]]-Table43[[#This Row],[HARGA NAIK GT]]</f>
        <v>16603.599999999999</v>
      </c>
      <c r="BR290" s="4">
        <f>IF(Table43[[#This Row],[HARGA NAIK GT]]=0,Table43[[#This Row],[Harga Jual Pcs GT
(-PPN)]],Table43[[#This Row],[HARGA NAIK GT]])</f>
        <v>16603.599999999999</v>
      </c>
      <c r="BS290">
        <f>IFERROR(VLOOKUP(Table43[[#This Row],[Kode Pcpl]],'[1]HEINZ ABC'!$A$4:$E$112,8,0),0)</f>
        <v>0</v>
      </c>
      <c r="BT290" s="58">
        <f>Table43[[#This Row],[Harga Jual Pcs GT
(-PPN)]]-BS290</f>
        <v>16603.599999999999</v>
      </c>
      <c r="BU290">
        <f>IF(BS290=0,Table43[[#This Row],[Harga Jual Pcs MT
(-PPN)]])</f>
        <v>17931.89</v>
      </c>
      <c r="BV290">
        <f>IFERROR(VLOOKUP(Table43[[#This Row],[Kode Pcpl]],[2]Pricelist!$A$4:$K$112,11,0),0)</f>
        <v>0</v>
      </c>
      <c r="BW290">
        <f>IFERROR(VLOOKUP(Table43[[#This Row],[Kode BARANG Win2]],[3]!RECKITT211216[[KDBRG]:[HRG_JL_PCS-PPN]],11,0),0)</f>
        <v>0</v>
      </c>
      <c r="BX290">
        <f t="shared" si="11"/>
        <v>0</v>
      </c>
    </row>
    <row r="291" spans="1:76" x14ac:dyDescent="0.25">
      <c r="A291" s="4" t="str">
        <f>CONCATENATE(Table43[[#This Row],[Kode BARANG Win2]],Table43[[#This Row],[No. Urut
Item Sama]])</f>
        <v>A11220020018101</v>
      </c>
      <c r="B291" s="7">
        <v>1</v>
      </c>
      <c r="C291" s="4">
        <v>260</v>
      </c>
      <c r="D291" s="27">
        <v>612098</v>
      </c>
      <c r="E291" s="27" t="s">
        <v>381</v>
      </c>
      <c r="F291" s="27" t="s">
        <v>455</v>
      </c>
      <c r="G291" s="27">
        <v>10</v>
      </c>
      <c r="H291" s="42">
        <v>0</v>
      </c>
      <c r="I291" s="27" t="str">
        <f>Table43[[#This Row],[Nama Jenis Kemasan]]</f>
        <v>PCSX10</v>
      </c>
      <c r="J291" s="4" t="str">
        <f>TRIM(CONCATENATE(Table43[[#This Row],[Nama            KLP]]," ",Table43[[#This Row],[Nama            Sub KLP]]))</f>
        <v>SAMBAL NUSANTARA</v>
      </c>
      <c r="K291" s="4" t="str">
        <f>CONCATENATE(Table43[[#This Row],[kode  2 Digit                (hrf+No)]],Table43[[#This Row],[kode  2 Digit                (Nomor)]],Table43[[#This Row],[kode  1 Digit                (Nomor)]])</f>
        <v>A1122</v>
      </c>
      <c r="L291" s="4" t="str">
        <f>IF(AG291="",CONCATENATE(Q291,S291,U291,W291,Y291,AA291,AC291,AE291,Table43[[#This Row],[Tanda Kode Revisi]]),CONCATENATE(Q291,S291,U291,W291,Y291,AA291,AC291,AG291))</f>
        <v>A1122002001810</v>
      </c>
      <c r="M291" s="11">
        <f t="shared" si="12"/>
        <v>14</v>
      </c>
      <c r="N291" s="14" t="str">
        <f>IF(AF291&lt;&gt;"",TRIM(UPPER(CONCATENATE(P291," ",R291," ",T291," ",V291," ",X291," ",Z291," ","X"," ",Table43[[#This Row],[ISI/CTN]]," ",AF291," ",AB291," ",AD291," ",AH291))),TRIM(UPPER(CONCATENATE(P291," ",R291," ",T291," ",V291," ",X291," ",Z291," ","X"," ",Table43[[#This Row],[ISI/CTN]]," ",AB291," ",AD291," ",AH291))))</f>
        <v>ABC SAMBAL NUSANTARA HIJAU 18 GR X 10 PACK PCSX10</v>
      </c>
      <c r="O291" s="11">
        <f t="shared" si="13"/>
        <v>49</v>
      </c>
      <c r="P291" s="4" t="s">
        <v>28</v>
      </c>
      <c r="Q291" s="7" t="s">
        <v>85</v>
      </c>
      <c r="R291" s="4" t="s">
        <v>603</v>
      </c>
      <c r="S291" s="43">
        <v>12</v>
      </c>
      <c r="T291" s="44" t="s">
        <v>629</v>
      </c>
      <c r="U291" s="7">
        <v>2</v>
      </c>
      <c r="V291" s="44"/>
      <c r="W291" s="43" t="s">
        <v>1</v>
      </c>
      <c r="X291" s="4" t="s">
        <v>637</v>
      </c>
      <c r="Y291" s="45" t="s">
        <v>31</v>
      </c>
      <c r="Z291" s="4" t="s">
        <v>630</v>
      </c>
      <c r="AA291" s="45" t="s">
        <v>631</v>
      </c>
      <c r="AB291" s="4" t="s">
        <v>605</v>
      </c>
      <c r="AC291" s="7" t="s">
        <v>480</v>
      </c>
      <c r="AE291" s="7" t="s">
        <v>1</v>
      </c>
      <c r="AF291" s="7" t="s">
        <v>546</v>
      </c>
      <c r="AI291" s="7" t="s">
        <v>215</v>
      </c>
      <c r="AJ291" s="7">
        <v>1</v>
      </c>
      <c r="AL291" s="40">
        <f>Table43[[#This Row],[Harga Jual Pcs GT
(-PPN)]]-(Table43[[#This Row],[Harga Jual Pcs GT
(-PPN)]]*6%)</f>
        <v>13330.9108</v>
      </c>
      <c r="AM291" s="41">
        <f>Table43[[#This Row],[Harga Beli Pcs
(-PPN)]]*Table43[[#This Row],[ISI/CTN]]</f>
        <v>133309.10800000001</v>
      </c>
      <c r="AN291" s="41">
        <f>Table43[[#This Row],[Harga Beli Pcs
(-PPN)]]*1.11</f>
        <v>14797.310988000001</v>
      </c>
      <c r="AO291" s="41">
        <f>Table43[[#This Row],[Harga Beli Krt
(- PPN)]]*1.11</f>
        <v>147973.10988000003</v>
      </c>
      <c r="AP291" s="41">
        <v>14181.82</v>
      </c>
      <c r="AQ291" s="41">
        <f>Table43[[#This Row],[Harga Jual Pcs GT
(-PPN)]]*Table43[[#This Row],[ISI/CTN]]</f>
        <v>141818.20000000001</v>
      </c>
      <c r="AR291" s="41">
        <f>Table43[[#This Row],[Harga Jual Pcs GT
(-PPN)]]*1.11</f>
        <v>15741.820200000002</v>
      </c>
      <c r="AS291" s="41">
        <f>Table43[[#This Row],[Harga Jual Krt GT
(- PPN)]]*1.11</f>
        <v>157418.20200000002</v>
      </c>
      <c r="AT291" s="41">
        <v>15316.363440000001</v>
      </c>
      <c r="AU291" s="41">
        <f>(Table43[[#This Row],[Harga Jual Pcs MT
(-PPN)]]*Table43[[#This Row],[ISI/CTN]])</f>
        <v>153163.63440000001</v>
      </c>
      <c r="AV291" s="41">
        <f>Table43[[#This Row],[Harga Jual Pcs MT
(-PPN)]]*1.11</f>
        <v>17001.163418400003</v>
      </c>
      <c r="AW291" s="41">
        <f>Table43[[#This Row],[Harga Jual Pcs MT
(+PPN)]]*Table43[[#This Row],[ISI/CTN]]</f>
        <v>170011.63418400002</v>
      </c>
      <c r="AX291" s="41"/>
      <c r="AY291" s="46">
        <v>45553</v>
      </c>
      <c r="AZ291" s="54">
        <v>45553</v>
      </c>
      <c r="BA291" s="7" t="str">
        <f ca="1">IF(TODAY()-Table43[[#This Row],[Efektif
Pembuatan]]&gt;60,"Lama","Baru")</f>
        <v>Lama</v>
      </c>
      <c r="BB291" s="7" t="str">
        <f ca="1">IF(TODAY()-Table43[[#This Row],[Efektif Naik Harga]]&lt;30,"Naik","Sama")</f>
        <v>Sama</v>
      </c>
      <c r="BC291" s="7" t="s">
        <v>235</v>
      </c>
      <c r="BD291" s="7" t="str">
        <f>IF(Table43[[#This Row],[Kode BARANG Win2]]&lt;&gt;"","IDR","")</f>
        <v>IDR</v>
      </c>
      <c r="BE291" s="7" t="str">
        <f>CONCATENATE(Table43[[#This Row],[kode  1 Digit
(Nomor)]],Table43[[#This Row],[kode  4 Digit                (Nomor)]])</f>
        <v>10018</v>
      </c>
      <c r="BF291" s="7" t="str">
        <f>Table43[[#This Row],[Nama            Gramasi atau Jumlah Pack per CTN]]</f>
        <v>18 GR</v>
      </c>
      <c r="BG291" s="7" t="s">
        <v>653</v>
      </c>
      <c r="BH291" s="51" t="s">
        <v>654</v>
      </c>
      <c r="BI291" s="4" t="str">
        <f>IF(Table43[[#This Row],[SATUAN Fix Win]]&lt;&gt;"","KRT")</f>
        <v>KRT</v>
      </c>
      <c r="BJ291" s="4" t="str">
        <f>IF(Table43[[#This Row],[SATUAN Fix Win]]&lt;&gt;"","GD01")</f>
        <v>GD01</v>
      </c>
      <c r="BK291" s="4">
        <f>IF(Table43[[#This Row],[SATUAN Fix Win]]&lt;&gt;"",11611)</f>
        <v>11611</v>
      </c>
      <c r="BL291" s="4">
        <f>IF(Table43[[#This Row],[SATUAN Fix Win]]&lt;&gt;"",11612)</f>
        <v>11612</v>
      </c>
      <c r="BM291" s="47" t="s">
        <v>655</v>
      </c>
      <c r="BN291" s="4">
        <f>IF(Table43[[#This Row],[SATUAN Fix Win]]&lt;&gt;"",1)</f>
        <v>1</v>
      </c>
      <c r="BO291" s="4" t="s">
        <v>656</v>
      </c>
      <c r="BP291" s="4">
        <f>IFERROR(VLOOKUP(Table43[[#This Row],[Kode Pcpl]],'[1]HEINZ ABC'!$A$4:$E$112,8,0),0)</f>
        <v>0</v>
      </c>
      <c r="BQ291" s="55">
        <f>Table43[[#This Row],[Harga Jual Pcs GT
(-PPN)]]-Table43[[#This Row],[HARGA NAIK GT]]</f>
        <v>14181.82</v>
      </c>
      <c r="BR291" s="4">
        <f>IF(Table43[[#This Row],[HARGA NAIK GT]]=0,Table43[[#This Row],[Harga Jual Pcs GT
(-PPN)]],Table43[[#This Row],[HARGA NAIK GT]])</f>
        <v>14181.82</v>
      </c>
      <c r="BS291">
        <f>IFERROR(VLOOKUP(Table43[[#This Row],[Kode Pcpl]],'[1]HEINZ ABC'!$A$4:$E$112,8,0),0)</f>
        <v>0</v>
      </c>
      <c r="BT291" s="58">
        <f>Table43[[#This Row],[Harga Jual Pcs GT
(-PPN)]]-BS291</f>
        <v>14181.82</v>
      </c>
      <c r="BU291">
        <f>IF(BS291=0,Table43[[#This Row],[Harga Jual Pcs MT
(-PPN)]])</f>
        <v>15316.363440000001</v>
      </c>
      <c r="BV291">
        <f>IFERROR(VLOOKUP(Table43[[#This Row],[Kode Pcpl]],[2]Pricelist!$A$4:$K$112,11,0),0)</f>
        <v>0</v>
      </c>
      <c r="BW291">
        <f>IFERROR(VLOOKUP(Table43[[#This Row],[Kode BARANG Win2]],[3]!RECKITT211216[[KDBRG]:[HRG_JL_PCS-PPN]],11,0),0)</f>
        <v>0</v>
      </c>
      <c r="BX291">
        <f t="shared" si="11"/>
        <v>0</v>
      </c>
    </row>
    <row r="292" spans="1:76" x14ac:dyDescent="0.25">
      <c r="A292" s="4" t="str">
        <f>CONCATENATE(Table43[[#This Row],[Kode BARANG Win2]],Table43[[#This Row],[No. Urut
Item Sama]])</f>
        <v>A11220020018102</v>
      </c>
      <c r="B292" s="7">
        <v>2</v>
      </c>
      <c r="C292" s="4">
        <v>261</v>
      </c>
      <c r="D292" s="27">
        <v>150196</v>
      </c>
      <c r="E292" s="27" t="s">
        <v>381</v>
      </c>
      <c r="F292" s="27" t="s">
        <v>456</v>
      </c>
      <c r="G292" s="27">
        <v>10</v>
      </c>
      <c r="H292" s="42">
        <v>0</v>
      </c>
      <c r="I292" s="27" t="str">
        <f>Table43[[#This Row],[Nama Jenis Kemasan]]</f>
        <v>PCSX10</v>
      </c>
      <c r="J292" s="4" t="str">
        <f>TRIM(CONCATENATE(Table43[[#This Row],[Nama            KLP]]," ",Table43[[#This Row],[Nama            Sub KLP]]))</f>
        <v>SAMBAL NUSANTARA</v>
      </c>
      <c r="K292" s="4" t="str">
        <f>CONCATENATE(Table43[[#This Row],[kode  2 Digit                (hrf+No)]],Table43[[#This Row],[kode  2 Digit                (Nomor)]],Table43[[#This Row],[kode  1 Digit                (Nomor)]])</f>
        <v>A1122</v>
      </c>
      <c r="L292" s="4" t="str">
        <f>IF(AG292="",CONCATENATE(Q292,S292,U292,W292,Y292,AA292,AC292,AE292,Table43[[#This Row],[Tanda Kode Revisi]]),CONCATENATE(Q292,S292,U292,W292,Y292,AA292,AC292,AG292))</f>
        <v>A1122002001810</v>
      </c>
      <c r="M292" s="11">
        <f t="shared" si="12"/>
        <v>14</v>
      </c>
      <c r="N292" s="14" t="str">
        <f>IF(AF292&lt;&gt;"",TRIM(UPPER(CONCATENATE(P292," ",R292," ",T292," ",V292," ",X292," ",Z292," ","X"," ",Table43[[#This Row],[ISI/CTN]]," ",AF292," ",AB292," ",AD292," ",AH292))),TRIM(UPPER(CONCATENATE(P292," ",R292," ",T292," ",V292," ",X292," ",Z292," ","X"," ",Table43[[#This Row],[ISI/CTN]]," ",AB292," ",AD292," ",AH292))))</f>
        <v>ABC SAMBAL NUSANTARA HIJAU 18 GR X 10 PACK PCSX10</v>
      </c>
      <c r="O292" s="11">
        <f t="shared" si="13"/>
        <v>49</v>
      </c>
      <c r="P292" s="4" t="s">
        <v>28</v>
      </c>
      <c r="Q292" s="7" t="s">
        <v>85</v>
      </c>
      <c r="R292" s="4" t="s">
        <v>603</v>
      </c>
      <c r="S292" s="43">
        <v>12</v>
      </c>
      <c r="T292" s="44" t="s">
        <v>629</v>
      </c>
      <c r="U292" s="7">
        <v>2</v>
      </c>
      <c r="V292" s="44"/>
      <c r="W292" s="43" t="s">
        <v>1</v>
      </c>
      <c r="X292" s="4" t="s">
        <v>637</v>
      </c>
      <c r="Y292" s="45" t="s">
        <v>31</v>
      </c>
      <c r="Z292" s="4" t="s">
        <v>630</v>
      </c>
      <c r="AA292" s="45" t="s">
        <v>631</v>
      </c>
      <c r="AB292" s="4" t="s">
        <v>605</v>
      </c>
      <c r="AC292" s="7" t="s">
        <v>480</v>
      </c>
      <c r="AE292" s="7" t="s">
        <v>1</v>
      </c>
      <c r="AF292" s="7" t="s">
        <v>546</v>
      </c>
      <c r="AI292" s="7" t="s">
        <v>215</v>
      </c>
      <c r="AJ292" s="7">
        <v>1</v>
      </c>
      <c r="AL292" s="40">
        <f>Table43[[#This Row],[Harga Jual Pcs GT
(-PPN)]]-(Table43[[#This Row],[Harga Jual Pcs GT
(-PPN)]]*6%)</f>
        <v>13330.9108</v>
      </c>
      <c r="AM292" s="41">
        <f>Table43[[#This Row],[Harga Beli Pcs
(-PPN)]]*Table43[[#This Row],[ISI/CTN]]</f>
        <v>133309.10800000001</v>
      </c>
      <c r="AN292" s="41">
        <f>Table43[[#This Row],[Harga Beli Pcs
(-PPN)]]*1.11</f>
        <v>14797.310988000001</v>
      </c>
      <c r="AO292" s="41">
        <f>Table43[[#This Row],[Harga Beli Krt
(- PPN)]]*1.11</f>
        <v>147973.10988000003</v>
      </c>
      <c r="AP292" s="41">
        <v>14181.82</v>
      </c>
      <c r="AQ292" s="41">
        <f>Table43[[#This Row],[Harga Jual Pcs GT
(-PPN)]]*Table43[[#This Row],[ISI/CTN]]</f>
        <v>141818.20000000001</v>
      </c>
      <c r="AR292" s="41">
        <f>Table43[[#This Row],[Harga Jual Pcs GT
(-PPN)]]*1.11</f>
        <v>15741.820200000002</v>
      </c>
      <c r="AS292" s="41">
        <f>Table43[[#This Row],[Harga Jual Krt GT
(- PPN)]]*1.11</f>
        <v>157418.20200000002</v>
      </c>
      <c r="AT292" s="41">
        <v>15316.363440000001</v>
      </c>
      <c r="AU292" s="41">
        <f>(Table43[[#This Row],[Harga Jual Pcs MT
(-PPN)]]*Table43[[#This Row],[ISI/CTN]])</f>
        <v>153163.63440000001</v>
      </c>
      <c r="AV292" s="41">
        <f>Table43[[#This Row],[Harga Jual Pcs MT
(-PPN)]]*1.11</f>
        <v>17001.163418400003</v>
      </c>
      <c r="AW292" s="41">
        <f>Table43[[#This Row],[Harga Jual Pcs MT
(+PPN)]]*Table43[[#This Row],[ISI/CTN]]</f>
        <v>170011.63418400002</v>
      </c>
      <c r="AX292" s="41"/>
      <c r="AY292" s="46">
        <v>45553</v>
      </c>
      <c r="AZ292" s="54">
        <v>45553</v>
      </c>
      <c r="BA292" s="7" t="str">
        <f ca="1">IF(TODAY()-Table43[[#This Row],[Efektif
Pembuatan]]&gt;60,"Lama","Baru")</f>
        <v>Lama</v>
      </c>
      <c r="BB292" s="7" t="str">
        <f ca="1">IF(TODAY()-Table43[[#This Row],[Efektif Naik Harga]]&lt;30,"Naik","Sama")</f>
        <v>Sama</v>
      </c>
      <c r="BC292" s="7" t="s">
        <v>235</v>
      </c>
      <c r="BD292" s="7" t="str">
        <f>IF(Table43[[#This Row],[Kode BARANG Win2]]&lt;&gt;"","IDR","")</f>
        <v>IDR</v>
      </c>
      <c r="BE292" s="7" t="str">
        <f>CONCATENATE(Table43[[#This Row],[kode  1 Digit
(Nomor)]],Table43[[#This Row],[kode  4 Digit                (Nomor)]])</f>
        <v>10018</v>
      </c>
      <c r="BF292" s="7" t="str">
        <f>Table43[[#This Row],[Nama            Gramasi atau Jumlah Pack per CTN]]</f>
        <v>18 GR</v>
      </c>
      <c r="BG292" s="7" t="s">
        <v>653</v>
      </c>
      <c r="BH292" s="51" t="s">
        <v>654</v>
      </c>
      <c r="BI292" s="4" t="str">
        <f>IF(Table43[[#This Row],[SATUAN Fix Win]]&lt;&gt;"","KRT")</f>
        <v>KRT</v>
      </c>
      <c r="BJ292" s="4" t="str">
        <f>IF(Table43[[#This Row],[SATUAN Fix Win]]&lt;&gt;"","GD01")</f>
        <v>GD01</v>
      </c>
      <c r="BK292" s="4">
        <f>IF(Table43[[#This Row],[SATUAN Fix Win]]&lt;&gt;"",11611)</f>
        <v>11611</v>
      </c>
      <c r="BL292" s="4">
        <f>IF(Table43[[#This Row],[SATUAN Fix Win]]&lt;&gt;"",11612)</f>
        <v>11612</v>
      </c>
      <c r="BM292" s="47" t="s">
        <v>655</v>
      </c>
      <c r="BN292" s="4">
        <f>IF(Table43[[#This Row],[SATUAN Fix Win]]&lt;&gt;"",1)</f>
        <v>1</v>
      </c>
      <c r="BO292" s="4" t="s">
        <v>656</v>
      </c>
      <c r="BP292" s="4">
        <f>IFERROR(VLOOKUP(Table43[[#This Row],[Kode Pcpl]],'[1]HEINZ ABC'!$A$4:$E$112,8,0),0)</f>
        <v>0</v>
      </c>
      <c r="BQ292" s="55">
        <f>Table43[[#This Row],[Harga Jual Pcs GT
(-PPN)]]-Table43[[#This Row],[HARGA NAIK GT]]</f>
        <v>14181.82</v>
      </c>
      <c r="BR292" s="4">
        <f>IF(Table43[[#This Row],[HARGA NAIK GT]]=0,Table43[[#This Row],[Harga Jual Pcs GT
(-PPN)]],Table43[[#This Row],[HARGA NAIK GT]])</f>
        <v>14181.82</v>
      </c>
      <c r="BS292">
        <f>IFERROR(VLOOKUP(Table43[[#This Row],[Kode Pcpl]],'[1]HEINZ ABC'!$A$4:$E$112,8,0),0)</f>
        <v>0</v>
      </c>
      <c r="BT292" s="58">
        <f>Table43[[#This Row],[Harga Jual Pcs GT
(-PPN)]]-BS292</f>
        <v>14181.82</v>
      </c>
      <c r="BU292">
        <f>IF(BS292=0,Table43[[#This Row],[Harga Jual Pcs MT
(-PPN)]])</f>
        <v>15316.363440000001</v>
      </c>
      <c r="BV292">
        <f>IFERROR(VLOOKUP(Table43[[#This Row],[Kode Pcpl]],[2]Pricelist!$A$4:$K$112,11,0),0)</f>
        <v>0</v>
      </c>
      <c r="BW292">
        <f>IFERROR(VLOOKUP(Table43[[#This Row],[Kode BARANG Win2]],[3]!RECKITT211216[[KDBRG]:[HRG_JL_PCS-PPN]],11,0),0)</f>
        <v>0</v>
      </c>
      <c r="BX292">
        <f t="shared" si="11"/>
        <v>0</v>
      </c>
    </row>
    <row r="293" spans="1:76" x14ac:dyDescent="0.25">
      <c r="A293" s="4" t="str">
        <f>CONCATENATE(Table43[[#This Row],[Kode BARANG Win2]],Table43[[#This Row],[No. Urut
Item Sama]])</f>
        <v>A11220020018111</v>
      </c>
      <c r="B293" s="7">
        <v>1</v>
      </c>
      <c r="C293" s="4">
        <v>262</v>
      </c>
      <c r="D293" s="27">
        <v>612954</v>
      </c>
      <c r="E293" s="27" t="s">
        <v>381</v>
      </c>
      <c r="F293" s="27" t="s">
        <v>457</v>
      </c>
      <c r="G293" s="27">
        <v>10</v>
      </c>
      <c r="H293" s="42">
        <v>0</v>
      </c>
      <c r="I293" s="27" t="str">
        <f>Table43[[#This Row],[Nama Jenis Kemasan]]</f>
        <v>PCSX10</v>
      </c>
      <c r="J293" s="4" t="str">
        <f>TRIM(CONCATENATE(Table43[[#This Row],[Nama            KLP]]," ",Table43[[#This Row],[Nama            Sub KLP]]))</f>
        <v>SAMBAL NUS.</v>
      </c>
      <c r="K293" s="4" t="str">
        <f>CONCATENATE(Table43[[#This Row],[kode  2 Digit                (hrf+No)]],Table43[[#This Row],[kode  2 Digit                (Nomor)]],Table43[[#This Row],[kode  1 Digit                (Nomor)]])</f>
        <v>A1122</v>
      </c>
      <c r="L293" s="4" t="str">
        <f>IF(AG293="",CONCATENATE(Q293,S293,U293,W293,Y293,AA293,AC293,AE293,Table43[[#This Row],[Tanda Kode Revisi]]),CONCATENATE(Q293,S293,U293,W293,Y293,AA293,AC293,AG293))</f>
        <v>A1122002001811</v>
      </c>
      <c r="M293" s="11">
        <f t="shared" si="12"/>
        <v>14</v>
      </c>
      <c r="N293" s="14" t="str">
        <f>IF(AF293&lt;&gt;"",TRIM(UPPER(CONCATENATE(P293," ",R293," ",T293," ",V293," ",X293," ",Z293," ","X"," ",Table43[[#This Row],[ISI/CTN]]," ",AF293," ",AB293," ",AD293," ",AH293))),TRIM(UPPER(CONCATENATE(P293," ",R293," ",T293," ",V293," ",X293," ",Z293," ","X"," ",Table43[[#This Row],[ISI/CTN]]," ",AB293," ",AD293," ",AH293))))</f>
        <v>ABC SAMBAL NUS. HIJAU 18 GR X 10 PACK PCSX10 B8G2</v>
      </c>
      <c r="O293" s="11">
        <f t="shared" si="13"/>
        <v>49</v>
      </c>
      <c r="P293" s="4" t="s">
        <v>28</v>
      </c>
      <c r="Q293" s="7" t="s">
        <v>85</v>
      </c>
      <c r="R293" s="4" t="s">
        <v>603</v>
      </c>
      <c r="S293" s="43">
        <v>12</v>
      </c>
      <c r="T293" s="44" t="s">
        <v>632</v>
      </c>
      <c r="U293" s="7">
        <v>2</v>
      </c>
      <c r="V293" s="44"/>
      <c r="W293" s="43" t="s">
        <v>1</v>
      </c>
      <c r="X293" s="4" t="s">
        <v>637</v>
      </c>
      <c r="Y293" s="45" t="s">
        <v>31</v>
      </c>
      <c r="Z293" s="4" t="s">
        <v>630</v>
      </c>
      <c r="AA293" s="45" t="s">
        <v>631</v>
      </c>
      <c r="AB293" s="4" t="s">
        <v>605</v>
      </c>
      <c r="AC293" s="7" t="s">
        <v>480</v>
      </c>
      <c r="AD293" s="4" t="s">
        <v>633</v>
      </c>
      <c r="AE293" s="7">
        <v>1</v>
      </c>
      <c r="AF293" s="7" t="s">
        <v>546</v>
      </c>
      <c r="AI293" s="7" t="s">
        <v>215</v>
      </c>
      <c r="AJ293" s="7">
        <v>1</v>
      </c>
      <c r="AL293" s="40">
        <f>Table43[[#This Row],[Harga Jual Pcs GT
(-PPN)]]-(Table43[[#This Row],[Harga Jual Pcs GT
(-PPN)]]*6%)</f>
        <v>10664.723</v>
      </c>
      <c r="AM293" s="41">
        <f>Table43[[#This Row],[Harga Beli Pcs
(-PPN)]]*Table43[[#This Row],[ISI/CTN]]</f>
        <v>106647.23</v>
      </c>
      <c r="AN293" s="41">
        <f>Table43[[#This Row],[Harga Beli Pcs
(-PPN)]]*1.11</f>
        <v>11837.842530000002</v>
      </c>
      <c r="AO293" s="41">
        <f>Table43[[#This Row],[Harga Beli Krt
(- PPN)]]*1.11</f>
        <v>118378.4253</v>
      </c>
      <c r="AP293" s="41">
        <v>11345.45</v>
      </c>
      <c r="AQ293" s="41">
        <f>Table43[[#This Row],[Harga Jual Pcs GT
(-PPN)]]*Table43[[#This Row],[ISI/CTN]]</f>
        <v>113454.5</v>
      </c>
      <c r="AR293" s="41">
        <f>Table43[[#This Row],[Harga Jual Pcs GT
(-PPN)]]*1.11</f>
        <v>12593.449500000002</v>
      </c>
      <c r="AS293" s="41">
        <f>Table43[[#This Row],[Harga Jual Krt GT
(- PPN)]]*1.11</f>
        <v>125934.49500000001</v>
      </c>
      <c r="AT293" s="41">
        <v>12253.090752</v>
      </c>
      <c r="AU293" s="41">
        <f>(Table43[[#This Row],[Harga Jual Pcs MT
(-PPN)]]*Table43[[#This Row],[ISI/CTN]])</f>
        <v>122530.90752000001</v>
      </c>
      <c r="AV293" s="41">
        <f>Table43[[#This Row],[Harga Jual Pcs MT
(-PPN)]]*1.11</f>
        <v>13600.930734720001</v>
      </c>
      <c r="AW293" s="41">
        <f>Table43[[#This Row],[Harga Jual Pcs MT
(+PPN)]]*Table43[[#This Row],[ISI/CTN]]</f>
        <v>136009.3073472</v>
      </c>
      <c r="AX293" s="41"/>
      <c r="AY293" s="46">
        <v>45553</v>
      </c>
      <c r="AZ293" s="54">
        <v>45553</v>
      </c>
      <c r="BA293" s="7" t="str">
        <f ca="1">IF(TODAY()-Table43[[#This Row],[Efektif
Pembuatan]]&gt;60,"Lama","Baru")</f>
        <v>Lama</v>
      </c>
      <c r="BB293" s="7" t="str">
        <f ca="1">IF(TODAY()-Table43[[#This Row],[Efektif Naik Harga]]&lt;30,"Naik","Sama")</f>
        <v>Sama</v>
      </c>
      <c r="BC293" s="7" t="s">
        <v>235</v>
      </c>
      <c r="BD293" s="7" t="str">
        <f>IF(Table43[[#This Row],[Kode BARANG Win2]]&lt;&gt;"","IDR","")</f>
        <v>IDR</v>
      </c>
      <c r="BE293" s="7" t="str">
        <f>CONCATENATE(Table43[[#This Row],[kode  1 Digit
(Nomor)]],Table43[[#This Row],[kode  4 Digit                (Nomor)]])</f>
        <v>10018</v>
      </c>
      <c r="BF293" s="7" t="str">
        <f>Table43[[#This Row],[Nama            Gramasi atau Jumlah Pack per CTN]]</f>
        <v>18 GR</v>
      </c>
      <c r="BG293" s="7" t="s">
        <v>653</v>
      </c>
      <c r="BH293" s="51" t="s">
        <v>654</v>
      </c>
      <c r="BI293" s="4" t="str">
        <f>IF(Table43[[#This Row],[SATUAN Fix Win]]&lt;&gt;"","KRT")</f>
        <v>KRT</v>
      </c>
      <c r="BJ293" s="4" t="str">
        <f>IF(Table43[[#This Row],[SATUAN Fix Win]]&lt;&gt;"","GD01")</f>
        <v>GD01</v>
      </c>
      <c r="BK293" s="4">
        <f>IF(Table43[[#This Row],[SATUAN Fix Win]]&lt;&gt;"",11611)</f>
        <v>11611</v>
      </c>
      <c r="BL293" s="4">
        <f>IF(Table43[[#This Row],[SATUAN Fix Win]]&lt;&gt;"",11612)</f>
        <v>11612</v>
      </c>
      <c r="BM293" s="47" t="s">
        <v>655</v>
      </c>
      <c r="BN293" s="4">
        <f>IF(Table43[[#This Row],[SATUAN Fix Win]]&lt;&gt;"",1)</f>
        <v>1</v>
      </c>
      <c r="BO293" s="4" t="s">
        <v>656</v>
      </c>
      <c r="BP293" s="4">
        <f>IFERROR(VLOOKUP(Table43[[#This Row],[Kode Pcpl]],'[1]HEINZ ABC'!$A$4:$E$112,8,0),0)</f>
        <v>0</v>
      </c>
      <c r="BQ293" s="55">
        <f>Table43[[#This Row],[Harga Jual Pcs GT
(-PPN)]]-Table43[[#This Row],[HARGA NAIK GT]]</f>
        <v>11345.45</v>
      </c>
      <c r="BR293" s="4">
        <f>IF(Table43[[#This Row],[HARGA NAIK GT]]=0,Table43[[#This Row],[Harga Jual Pcs GT
(-PPN)]],Table43[[#This Row],[HARGA NAIK GT]])</f>
        <v>11345.45</v>
      </c>
      <c r="BS293">
        <f>IFERROR(VLOOKUP(Table43[[#This Row],[Kode Pcpl]],'[1]HEINZ ABC'!$A$4:$E$112,8,0),0)</f>
        <v>0</v>
      </c>
      <c r="BT293" s="58">
        <f>Table43[[#This Row],[Harga Jual Pcs GT
(-PPN)]]-BS293</f>
        <v>11345.45</v>
      </c>
      <c r="BU293">
        <f>IF(BS293=0,Table43[[#This Row],[Harga Jual Pcs MT
(-PPN)]])</f>
        <v>12253.090752</v>
      </c>
      <c r="BV293">
        <f>IFERROR(VLOOKUP(Table43[[#This Row],[Kode Pcpl]],[2]Pricelist!$A$4:$K$112,11,0),0)</f>
        <v>0</v>
      </c>
      <c r="BW293">
        <f>IFERROR(VLOOKUP(Table43[[#This Row],[Kode BARANG Win2]],[3]!RECKITT211216[[KDBRG]:[HRG_JL_PCS-PPN]],11,0),0)</f>
        <v>0</v>
      </c>
      <c r="BX293">
        <f t="shared" si="11"/>
        <v>0</v>
      </c>
    </row>
    <row r="294" spans="1:76" x14ac:dyDescent="0.25">
      <c r="A294" s="4" t="str">
        <f>CONCATENATE(Table43[[#This Row],[Kode BARANG Win2]],Table43[[#This Row],[No. Urut
Item Sama]])</f>
        <v>A11220020018112</v>
      </c>
      <c r="B294" s="7">
        <v>2</v>
      </c>
      <c r="C294" s="4">
        <v>263</v>
      </c>
      <c r="D294" s="27">
        <v>150978</v>
      </c>
      <c r="E294" s="27" t="s">
        <v>381</v>
      </c>
      <c r="F294" s="27" t="s">
        <v>458</v>
      </c>
      <c r="G294" s="27">
        <v>10</v>
      </c>
      <c r="H294" s="42">
        <v>0</v>
      </c>
      <c r="I294" s="27" t="str">
        <f>Table43[[#This Row],[Nama Jenis Kemasan]]</f>
        <v>PCSX10</v>
      </c>
      <c r="J294" s="4" t="str">
        <f>TRIM(CONCATENATE(Table43[[#This Row],[Nama            KLP]]," ",Table43[[#This Row],[Nama            Sub KLP]]))</f>
        <v>SAMBAL NUS.</v>
      </c>
      <c r="K294" s="4" t="str">
        <f>CONCATENATE(Table43[[#This Row],[kode  2 Digit                (hrf+No)]],Table43[[#This Row],[kode  2 Digit                (Nomor)]],Table43[[#This Row],[kode  1 Digit                (Nomor)]])</f>
        <v>A1122</v>
      </c>
      <c r="L294" s="4" t="str">
        <f>IF(AG294="",CONCATENATE(Q294,S294,U294,W294,Y294,AA294,AC294,AE294,Table43[[#This Row],[Tanda Kode Revisi]]),CONCATENATE(Q294,S294,U294,W294,Y294,AA294,AC294,AG294))</f>
        <v>A1122002001811</v>
      </c>
      <c r="M294" s="11">
        <f t="shared" si="12"/>
        <v>14</v>
      </c>
      <c r="N294" s="14" t="str">
        <f>IF(AF294&lt;&gt;"",TRIM(UPPER(CONCATENATE(P294," ",R294," ",T294," ",V294," ",X294," ",Z294," ","X"," ",Table43[[#This Row],[ISI/CTN]]," ",AF294," ",AB294," ",AD294," ",AH294))),TRIM(UPPER(CONCATENATE(P294," ",R294," ",T294," ",V294," ",X294," ",Z294," ","X"," ",Table43[[#This Row],[ISI/CTN]]," ",AB294," ",AD294," ",AH294))))</f>
        <v>ABC SAMBAL NUS. HIJAU 18 GR X 10 PACK PCSX10 B8G2</v>
      </c>
      <c r="O294" s="11">
        <f t="shared" si="13"/>
        <v>49</v>
      </c>
      <c r="P294" s="4" t="s">
        <v>28</v>
      </c>
      <c r="Q294" s="7" t="s">
        <v>85</v>
      </c>
      <c r="R294" s="4" t="s">
        <v>603</v>
      </c>
      <c r="S294" s="43">
        <v>12</v>
      </c>
      <c r="T294" s="44" t="s">
        <v>632</v>
      </c>
      <c r="U294" s="7">
        <v>2</v>
      </c>
      <c r="V294" s="44"/>
      <c r="W294" s="43" t="s">
        <v>1</v>
      </c>
      <c r="X294" s="4" t="s">
        <v>637</v>
      </c>
      <c r="Y294" s="45" t="s">
        <v>31</v>
      </c>
      <c r="Z294" s="4" t="s">
        <v>630</v>
      </c>
      <c r="AA294" s="45" t="s">
        <v>631</v>
      </c>
      <c r="AB294" s="4" t="s">
        <v>605</v>
      </c>
      <c r="AC294" s="7" t="s">
        <v>480</v>
      </c>
      <c r="AD294" s="4" t="s">
        <v>633</v>
      </c>
      <c r="AE294" s="7">
        <v>1</v>
      </c>
      <c r="AF294" s="7" t="s">
        <v>546</v>
      </c>
      <c r="AI294" s="7" t="s">
        <v>215</v>
      </c>
      <c r="AJ294" s="7">
        <v>1</v>
      </c>
      <c r="AL294" s="40">
        <f>Table43[[#This Row],[Harga Jual Pcs GT
(-PPN)]]-(Table43[[#This Row],[Harga Jual Pcs GT
(-PPN)]]*6%)</f>
        <v>10664.723</v>
      </c>
      <c r="AM294" s="41">
        <f>Table43[[#This Row],[Harga Beli Pcs
(-PPN)]]*Table43[[#This Row],[ISI/CTN]]</f>
        <v>106647.23</v>
      </c>
      <c r="AN294" s="41">
        <f>Table43[[#This Row],[Harga Beli Pcs
(-PPN)]]*1.11</f>
        <v>11837.842530000002</v>
      </c>
      <c r="AO294" s="41">
        <f>Table43[[#This Row],[Harga Beli Krt
(- PPN)]]*1.11</f>
        <v>118378.4253</v>
      </c>
      <c r="AP294" s="41">
        <v>11345.45</v>
      </c>
      <c r="AQ294" s="41">
        <f>Table43[[#This Row],[Harga Jual Pcs GT
(-PPN)]]*Table43[[#This Row],[ISI/CTN]]</f>
        <v>113454.5</v>
      </c>
      <c r="AR294" s="41">
        <f>Table43[[#This Row],[Harga Jual Pcs GT
(-PPN)]]*1.11</f>
        <v>12593.449500000002</v>
      </c>
      <c r="AS294" s="41">
        <f>Table43[[#This Row],[Harga Jual Krt GT
(- PPN)]]*1.11</f>
        <v>125934.49500000001</v>
      </c>
      <c r="AT294" s="41">
        <v>12253.090752</v>
      </c>
      <c r="AU294" s="41">
        <f>(Table43[[#This Row],[Harga Jual Pcs MT
(-PPN)]]*Table43[[#This Row],[ISI/CTN]])</f>
        <v>122530.90752000001</v>
      </c>
      <c r="AV294" s="41">
        <f>Table43[[#This Row],[Harga Jual Pcs MT
(-PPN)]]*1.11</f>
        <v>13600.930734720001</v>
      </c>
      <c r="AW294" s="41">
        <f>Table43[[#This Row],[Harga Jual Pcs MT
(+PPN)]]*Table43[[#This Row],[ISI/CTN]]</f>
        <v>136009.3073472</v>
      </c>
      <c r="AX294" s="41"/>
      <c r="AY294" s="46">
        <v>45553</v>
      </c>
      <c r="AZ294" s="54">
        <v>45553</v>
      </c>
      <c r="BA294" s="7" t="str">
        <f ca="1">IF(TODAY()-Table43[[#This Row],[Efektif
Pembuatan]]&gt;60,"Lama","Baru")</f>
        <v>Lama</v>
      </c>
      <c r="BB294" s="7" t="str">
        <f ca="1">IF(TODAY()-Table43[[#This Row],[Efektif Naik Harga]]&lt;30,"Naik","Sama")</f>
        <v>Sama</v>
      </c>
      <c r="BC294" s="7" t="s">
        <v>235</v>
      </c>
      <c r="BD294" s="7" t="str">
        <f>IF(Table43[[#This Row],[Kode BARANG Win2]]&lt;&gt;"","IDR","")</f>
        <v>IDR</v>
      </c>
      <c r="BE294" s="7" t="str">
        <f>CONCATENATE(Table43[[#This Row],[kode  1 Digit
(Nomor)]],Table43[[#This Row],[kode  4 Digit                (Nomor)]])</f>
        <v>10018</v>
      </c>
      <c r="BF294" s="7" t="str">
        <f>Table43[[#This Row],[Nama            Gramasi atau Jumlah Pack per CTN]]</f>
        <v>18 GR</v>
      </c>
      <c r="BG294" s="7" t="s">
        <v>653</v>
      </c>
      <c r="BH294" s="51" t="s">
        <v>654</v>
      </c>
      <c r="BI294" s="4" t="str">
        <f>IF(Table43[[#This Row],[SATUAN Fix Win]]&lt;&gt;"","KRT")</f>
        <v>KRT</v>
      </c>
      <c r="BJ294" s="4" t="str">
        <f>IF(Table43[[#This Row],[SATUAN Fix Win]]&lt;&gt;"","GD01")</f>
        <v>GD01</v>
      </c>
      <c r="BK294" s="4">
        <f>IF(Table43[[#This Row],[SATUAN Fix Win]]&lt;&gt;"",11611)</f>
        <v>11611</v>
      </c>
      <c r="BL294" s="4">
        <f>IF(Table43[[#This Row],[SATUAN Fix Win]]&lt;&gt;"",11612)</f>
        <v>11612</v>
      </c>
      <c r="BM294" s="47" t="s">
        <v>655</v>
      </c>
      <c r="BN294" s="4">
        <f>IF(Table43[[#This Row],[SATUAN Fix Win]]&lt;&gt;"",1)</f>
        <v>1</v>
      </c>
      <c r="BO294" s="4" t="s">
        <v>656</v>
      </c>
      <c r="BP294" s="4">
        <f>IFERROR(VLOOKUP(Table43[[#This Row],[Kode Pcpl]],'[1]HEINZ ABC'!$A$4:$E$112,8,0),0)</f>
        <v>0</v>
      </c>
      <c r="BQ294" s="55">
        <f>Table43[[#This Row],[Harga Jual Pcs GT
(-PPN)]]-Table43[[#This Row],[HARGA NAIK GT]]</f>
        <v>11345.45</v>
      </c>
      <c r="BR294" s="4">
        <f>IF(Table43[[#This Row],[HARGA NAIK GT]]=0,Table43[[#This Row],[Harga Jual Pcs GT
(-PPN)]],Table43[[#This Row],[HARGA NAIK GT]])</f>
        <v>11345.45</v>
      </c>
      <c r="BS294">
        <f>IFERROR(VLOOKUP(Table43[[#This Row],[Kode Pcpl]],'[1]HEINZ ABC'!$A$4:$E$112,8,0),0)</f>
        <v>0</v>
      </c>
      <c r="BT294" s="58">
        <f>Table43[[#This Row],[Harga Jual Pcs GT
(-PPN)]]-BS294</f>
        <v>11345.45</v>
      </c>
      <c r="BU294">
        <f>IF(BS294=0,Table43[[#This Row],[Harga Jual Pcs MT
(-PPN)]])</f>
        <v>12253.090752</v>
      </c>
      <c r="BV294">
        <f>IFERROR(VLOOKUP(Table43[[#This Row],[Kode Pcpl]],[2]Pricelist!$A$4:$K$112,11,0),0)</f>
        <v>0</v>
      </c>
      <c r="BW294">
        <f>IFERROR(VLOOKUP(Table43[[#This Row],[Kode BARANG Win2]],[3]!RECKITT211216[[KDBRG]:[HRG_JL_PCS-PPN]],11,0),0)</f>
        <v>0</v>
      </c>
      <c r="BX294">
        <f t="shared" si="11"/>
        <v>0</v>
      </c>
    </row>
    <row r="295" spans="1:76" x14ac:dyDescent="0.25">
      <c r="A295" s="4" t="str">
        <f>CONCATENATE(Table43[[#This Row],[Kode BARANG Win2]],Table43[[#This Row],[No. Urut
Item Sama]])</f>
        <v>A11220030018101</v>
      </c>
      <c r="B295" s="7">
        <v>1</v>
      </c>
      <c r="C295" s="4">
        <v>264</v>
      </c>
      <c r="D295" s="27">
        <v>612128</v>
      </c>
      <c r="E295" s="27" t="s">
        <v>381</v>
      </c>
      <c r="F295" s="27" t="s">
        <v>459</v>
      </c>
      <c r="G295" s="27">
        <v>10</v>
      </c>
      <c r="H295" s="42">
        <v>0</v>
      </c>
      <c r="I295" s="27" t="str">
        <f>Table43[[#This Row],[Nama Jenis Kemasan]]</f>
        <v>PCSX10</v>
      </c>
      <c r="J295" s="4" t="str">
        <f>TRIM(CONCATENATE(Table43[[#This Row],[Nama            KLP]]," ",Table43[[#This Row],[Nama            Sub KLP]]))</f>
        <v>SAMBAL NUSANTARA</v>
      </c>
      <c r="K295" s="4" t="str">
        <f>CONCATENATE(Table43[[#This Row],[kode  2 Digit                (hrf+No)]],Table43[[#This Row],[kode  2 Digit                (Nomor)]],Table43[[#This Row],[kode  1 Digit                (Nomor)]])</f>
        <v>A1122</v>
      </c>
      <c r="L295" s="4" t="str">
        <f>IF(AG295="",CONCATENATE(Q295,S295,U295,W295,Y295,AA295,AC295,AE295,Table43[[#This Row],[Tanda Kode Revisi]]),CONCATENATE(Q295,S295,U295,W295,Y295,AA295,AC295,AG295))</f>
        <v>A1122003001810</v>
      </c>
      <c r="M295" s="11">
        <f t="shared" si="12"/>
        <v>14</v>
      </c>
      <c r="N295" s="14" t="str">
        <f>IF(AF295&lt;&gt;"",TRIM(UPPER(CONCATENATE(P295," ",R295," ",T295," ",V295," ",X295," ",Z295," ","X"," ",Table43[[#This Row],[ISI/CTN]]," ",AF295," ",AB295," ",AD295," ",AH295))),TRIM(UPPER(CONCATENATE(P295," ",R295," ",T295," ",V295," ",X295," ",Z295," ","X"," ",Table43[[#This Row],[ISI/CTN]]," ",AB295," ",AD295," ",AH295))))</f>
        <v>ABC SAMBAL NUSANTARA RENDANG 18 GR X 10 PACK PCSX10</v>
      </c>
      <c r="O295" s="11">
        <f t="shared" si="13"/>
        <v>51</v>
      </c>
      <c r="P295" s="4" t="s">
        <v>28</v>
      </c>
      <c r="Q295" s="7" t="s">
        <v>85</v>
      </c>
      <c r="R295" s="4" t="s">
        <v>603</v>
      </c>
      <c r="S295" s="43">
        <v>12</v>
      </c>
      <c r="T295" s="44" t="s">
        <v>629</v>
      </c>
      <c r="U295" s="7">
        <v>2</v>
      </c>
      <c r="V295" s="44"/>
      <c r="W295" s="43" t="s">
        <v>1</v>
      </c>
      <c r="X295" s="4" t="s">
        <v>638</v>
      </c>
      <c r="Y295" s="45" t="s">
        <v>219</v>
      </c>
      <c r="Z295" s="4" t="s">
        <v>630</v>
      </c>
      <c r="AA295" s="45" t="s">
        <v>631</v>
      </c>
      <c r="AB295" s="4" t="s">
        <v>605</v>
      </c>
      <c r="AC295" s="7" t="s">
        <v>480</v>
      </c>
      <c r="AE295" s="7" t="s">
        <v>1</v>
      </c>
      <c r="AF295" s="7" t="s">
        <v>546</v>
      </c>
      <c r="AI295" s="7" t="s">
        <v>215</v>
      </c>
      <c r="AJ295" s="7">
        <v>1</v>
      </c>
      <c r="AL295" s="40">
        <f>Table43[[#This Row],[Harga Jual Pcs GT
(-PPN)]]-(Table43[[#This Row],[Harga Jual Pcs GT
(-PPN)]]*6%)</f>
        <v>13330.9108</v>
      </c>
      <c r="AM295" s="41">
        <f>Table43[[#This Row],[Harga Beli Pcs
(-PPN)]]*Table43[[#This Row],[ISI/CTN]]</f>
        <v>133309.10800000001</v>
      </c>
      <c r="AN295" s="41">
        <f>Table43[[#This Row],[Harga Beli Pcs
(-PPN)]]*1.11</f>
        <v>14797.310988000001</v>
      </c>
      <c r="AO295" s="41">
        <f>Table43[[#This Row],[Harga Beli Krt
(- PPN)]]*1.11</f>
        <v>147973.10988000003</v>
      </c>
      <c r="AP295" s="41">
        <v>14181.82</v>
      </c>
      <c r="AQ295" s="41">
        <f>Table43[[#This Row],[Harga Jual Pcs GT
(-PPN)]]*Table43[[#This Row],[ISI/CTN]]</f>
        <v>141818.20000000001</v>
      </c>
      <c r="AR295" s="41">
        <f>Table43[[#This Row],[Harga Jual Pcs GT
(-PPN)]]*1.11</f>
        <v>15741.820200000002</v>
      </c>
      <c r="AS295" s="41">
        <f>Table43[[#This Row],[Harga Jual Krt GT
(- PPN)]]*1.11</f>
        <v>157418.20200000002</v>
      </c>
      <c r="AT295" s="41">
        <v>0</v>
      </c>
      <c r="AU295" s="41">
        <f>(Table43[[#This Row],[Harga Jual Pcs MT
(-PPN)]]*Table43[[#This Row],[ISI/CTN]])</f>
        <v>0</v>
      </c>
      <c r="AV295" s="41">
        <f>Table43[[#This Row],[Harga Jual Pcs MT
(-PPN)]]*1.11</f>
        <v>0</v>
      </c>
      <c r="AW295" s="41">
        <f>Table43[[#This Row],[Harga Jual Pcs MT
(+PPN)]]*Table43[[#This Row],[ISI/CTN]]</f>
        <v>0</v>
      </c>
      <c r="AX295" s="41"/>
      <c r="AY295" s="46">
        <v>45553</v>
      </c>
      <c r="AZ295" s="54">
        <v>45553</v>
      </c>
      <c r="BA295" s="7" t="str">
        <f ca="1">IF(TODAY()-Table43[[#This Row],[Efektif
Pembuatan]]&gt;60,"Lama","Baru")</f>
        <v>Lama</v>
      </c>
      <c r="BB295" s="7" t="str">
        <f ca="1">IF(TODAY()-Table43[[#This Row],[Efektif Naik Harga]]&lt;30,"Naik","Sama")</f>
        <v>Sama</v>
      </c>
      <c r="BC295" s="7" t="s">
        <v>235</v>
      </c>
      <c r="BD295" s="7" t="str">
        <f>IF(Table43[[#This Row],[Kode BARANG Win2]]&lt;&gt;"","IDR","")</f>
        <v>IDR</v>
      </c>
      <c r="BE295" s="7" t="str">
        <f>CONCATENATE(Table43[[#This Row],[kode  1 Digit
(Nomor)]],Table43[[#This Row],[kode  4 Digit                (Nomor)]])</f>
        <v>10018</v>
      </c>
      <c r="BF295" s="7" t="str">
        <f>Table43[[#This Row],[Nama            Gramasi atau Jumlah Pack per CTN]]</f>
        <v>18 GR</v>
      </c>
      <c r="BG295" s="7" t="s">
        <v>653</v>
      </c>
      <c r="BH295" s="51" t="s">
        <v>654</v>
      </c>
      <c r="BI295" s="4" t="str">
        <f>IF(Table43[[#This Row],[SATUAN Fix Win]]&lt;&gt;"","KRT")</f>
        <v>KRT</v>
      </c>
      <c r="BJ295" s="4" t="str">
        <f>IF(Table43[[#This Row],[SATUAN Fix Win]]&lt;&gt;"","GD01")</f>
        <v>GD01</v>
      </c>
      <c r="BK295" s="4">
        <f>IF(Table43[[#This Row],[SATUAN Fix Win]]&lt;&gt;"",11611)</f>
        <v>11611</v>
      </c>
      <c r="BL295" s="4">
        <f>IF(Table43[[#This Row],[SATUAN Fix Win]]&lt;&gt;"",11612)</f>
        <v>11612</v>
      </c>
      <c r="BM295" s="47" t="s">
        <v>655</v>
      </c>
      <c r="BN295" s="4">
        <f>IF(Table43[[#This Row],[SATUAN Fix Win]]&lt;&gt;"",1)</f>
        <v>1</v>
      </c>
      <c r="BO295" s="4" t="s">
        <v>656</v>
      </c>
      <c r="BP295" s="4">
        <f>IFERROR(VLOOKUP(Table43[[#This Row],[Kode Pcpl]],'[1]HEINZ ABC'!$A$4:$E$112,8,0),0)</f>
        <v>0</v>
      </c>
      <c r="BQ295" s="55">
        <f>Table43[[#This Row],[Harga Jual Pcs GT
(-PPN)]]-Table43[[#This Row],[HARGA NAIK GT]]</f>
        <v>14181.82</v>
      </c>
      <c r="BR295" s="4">
        <f>IF(Table43[[#This Row],[HARGA NAIK GT]]=0,Table43[[#This Row],[Harga Jual Pcs GT
(-PPN)]],Table43[[#This Row],[HARGA NAIK GT]])</f>
        <v>14181.82</v>
      </c>
      <c r="BS295">
        <f>IFERROR(VLOOKUP(Table43[[#This Row],[Kode Pcpl]],'[1]HEINZ ABC'!$A$4:$E$112,8,0),0)</f>
        <v>0</v>
      </c>
      <c r="BT295" s="58">
        <f>Table43[[#This Row],[Harga Jual Pcs GT
(-PPN)]]-BS295</f>
        <v>14181.82</v>
      </c>
      <c r="BU295">
        <f>IF(BS295=0,Table43[[#This Row],[Harga Jual Pcs MT
(-PPN)]])</f>
        <v>0</v>
      </c>
      <c r="BV295">
        <f>IFERROR(VLOOKUP(Table43[[#This Row],[Kode Pcpl]],[2]Pricelist!$A$4:$K$112,11,0),0)</f>
        <v>0</v>
      </c>
      <c r="BW295">
        <f>IFERROR(VLOOKUP(Table43[[#This Row],[Kode BARANG Win2]],[3]!RECKITT211216[[KDBRG]:[HRG_JL_PCS-PPN]],11,0),0)</f>
        <v>0</v>
      </c>
      <c r="BX295">
        <f t="shared" si="11"/>
        <v>0</v>
      </c>
    </row>
    <row r="296" spans="1:76" x14ac:dyDescent="0.25">
      <c r="A296" s="4" t="str">
        <f>CONCATENATE(Table43[[#This Row],[Kode BARANG Win2]],Table43[[#This Row],[No. Urut
Item Sama]])</f>
        <v>A11220030018111</v>
      </c>
      <c r="B296" s="7">
        <v>1</v>
      </c>
      <c r="C296" s="4">
        <v>265</v>
      </c>
      <c r="D296" s="27">
        <v>612955</v>
      </c>
      <c r="E296" s="27" t="s">
        <v>381</v>
      </c>
      <c r="F296" s="27" t="s">
        <v>460</v>
      </c>
      <c r="G296" s="27">
        <v>10</v>
      </c>
      <c r="H296" s="42">
        <v>0</v>
      </c>
      <c r="I296" s="27" t="str">
        <f>Table43[[#This Row],[Nama Jenis Kemasan]]</f>
        <v>PCSX10</v>
      </c>
      <c r="J296" s="4" t="str">
        <f>TRIM(CONCATENATE(Table43[[#This Row],[Nama            KLP]]," ",Table43[[#This Row],[Nama            Sub KLP]]))</f>
        <v>SAMBAL NUS.</v>
      </c>
      <c r="K296" s="4" t="str">
        <f>CONCATENATE(Table43[[#This Row],[kode  2 Digit                (hrf+No)]],Table43[[#This Row],[kode  2 Digit                (Nomor)]],Table43[[#This Row],[kode  1 Digit                (Nomor)]])</f>
        <v>A1122</v>
      </c>
      <c r="L296" s="4" t="str">
        <f>IF(AG296="",CONCATENATE(Q296,S296,U296,W296,Y296,AA296,AC296,AE296,Table43[[#This Row],[Tanda Kode Revisi]]),CONCATENATE(Q296,S296,U296,W296,Y296,AA296,AC296,AG296))</f>
        <v>A1122003001811</v>
      </c>
      <c r="M296" s="11">
        <f t="shared" si="12"/>
        <v>14</v>
      </c>
      <c r="N296" s="14" t="str">
        <f>IF(AF296&lt;&gt;"",TRIM(UPPER(CONCATENATE(P296," ",R296," ",T296," ",V296," ",X296," ",Z296," ","X"," ",Table43[[#This Row],[ISI/CTN]]," ",AF296," ",AB296," ",AD296," ",AH296))),TRIM(UPPER(CONCATENATE(P296," ",R296," ",T296," ",V296," ",X296," ",Z296," ","X"," ",Table43[[#This Row],[ISI/CTN]]," ",AB296," ",AD296," ",AH296))))</f>
        <v>ABC SAMBAL NUS. RENDANG 18GR X 10 PACK PCSX10 B8G2</v>
      </c>
      <c r="O296" s="11">
        <f t="shared" si="13"/>
        <v>50</v>
      </c>
      <c r="P296" s="4" t="s">
        <v>28</v>
      </c>
      <c r="Q296" s="7" t="s">
        <v>85</v>
      </c>
      <c r="R296" s="4" t="s">
        <v>603</v>
      </c>
      <c r="S296" s="43">
        <v>12</v>
      </c>
      <c r="T296" s="44" t="s">
        <v>632</v>
      </c>
      <c r="U296" s="7">
        <v>2</v>
      </c>
      <c r="V296" s="44"/>
      <c r="W296" s="43" t="s">
        <v>1</v>
      </c>
      <c r="X296" s="4" t="s">
        <v>638</v>
      </c>
      <c r="Y296" s="45" t="s">
        <v>219</v>
      </c>
      <c r="Z296" s="4" t="s">
        <v>639</v>
      </c>
      <c r="AA296" s="45" t="s">
        <v>631</v>
      </c>
      <c r="AB296" s="4" t="s">
        <v>605</v>
      </c>
      <c r="AC296" s="7" t="s">
        <v>480</v>
      </c>
      <c r="AD296" s="4" t="s">
        <v>633</v>
      </c>
      <c r="AE296" s="7">
        <v>1</v>
      </c>
      <c r="AF296" s="7" t="s">
        <v>546</v>
      </c>
      <c r="AI296" s="7" t="s">
        <v>215</v>
      </c>
      <c r="AJ296" s="7">
        <v>1</v>
      </c>
      <c r="AL296" s="40">
        <f>Table43[[#This Row],[Harga Jual Pcs GT
(-PPN)]]-(Table43[[#This Row],[Harga Jual Pcs GT
(-PPN)]]*6%)</f>
        <v>10664.723</v>
      </c>
      <c r="AM296" s="41">
        <f>Table43[[#This Row],[Harga Beli Pcs
(-PPN)]]*Table43[[#This Row],[ISI/CTN]]</f>
        <v>106647.23</v>
      </c>
      <c r="AN296" s="41">
        <f>Table43[[#This Row],[Harga Beli Pcs
(-PPN)]]*1.11</f>
        <v>11837.842530000002</v>
      </c>
      <c r="AO296" s="41">
        <f>Table43[[#This Row],[Harga Beli Krt
(- PPN)]]*1.11</f>
        <v>118378.4253</v>
      </c>
      <c r="AP296" s="41">
        <v>11345.45</v>
      </c>
      <c r="AQ296" s="41">
        <f>Table43[[#This Row],[Harga Jual Pcs GT
(-PPN)]]*Table43[[#This Row],[ISI/CTN]]</f>
        <v>113454.5</v>
      </c>
      <c r="AR296" s="41">
        <f>Table43[[#This Row],[Harga Jual Pcs GT
(-PPN)]]*1.11</f>
        <v>12593.449500000002</v>
      </c>
      <c r="AS296" s="41">
        <f>Table43[[#This Row],[Harga Jual Krt GT
(- PPN)]]*1.11</f>
        <v>125934.49500000001</v>
      </c>
      <c r="AT296" s="41">
        <v>0</v>
      </c>
      <c r="AU296" s="41">
        <f>(Table43[[#This Row],[Harga Jual Pcs MT
(-PPN)]]*Table43[[#This Row],[ISI/CTN]])</f>
        <v>0</v>
      </c>
      <c r="AV296" s="41">
        <f>Table43[[#This Row],[Harga Jual Pcs MT
(-PPN)]]*1.11</f>
        <v>0</v>
      </c>
      <c r="AW296" s="41">
        <f>Table43[[#This Row],[Harga Jual Pcs MT
(+PPN)]]*Table43[[#This Row],[ISI/CTN]]</f>
        <v>0</v>
      </c>
      <c r="AX296" s="41"/>
      <c r="AY296" s="46">
        <v>45553</v>
      </c>
      <c r="AZ296" s="54">
        <v>45553</v>
      </c>
      <c r="BA296" s="7" t="str">
        <f ca="1">IF(TODAY()-Table43[[#This Row],[Efektif
Pembuatan]]&gt;60,"Lama","Baru")</f>
        <v>Lama</v>
      </c>
      <c r="BB296" s="7" t="str">
        <f ca="1">IF(TODAY()-Table43[[#This Row],[Efektif Naik Harga]]&lt;30,"Naik","Sama")</f>
        <v>Sama</v>
      </c>
      <c r="BC296" s="7" t="s">
        <v>235</v>
      </c>
      <c r="BD296" s="7" t="str">
        <f>IF(Table43[[#This Row],[Kode BARANG Win2]]&lt;&gt;"","IDR","")</f>
        <v>IDR</v>
      </c>
      <c r="BE296" s="7" t="str">
        <f>CONCATENATE(Table43[[#This Row],[kode  1 Digit
(Nomor)]],Table43[[#This Row],[kode  4 Digit                (Nomor)]])</f>
        <v>10018</v>
      </c>
      <c r="BF296" s="7" t="str">
        <f>Table43[[#This Row],[Nama            Gramasi atau Jumlah Pack per CTN]]</f>
        <v>18GR</v>
      </c>
      <c r="BG296" s="7" t="s">
        <v>653</v>
      </c>
      <c r="BH296" s="51" t="s">
        <v>654</v>
      </c>
      <c r="BI296" s="4" t="str">
        <f>IF(Table43[[#This Row],[SATUAN Fix Win]]&lt;&gt;"","KRT")</f>
        <v>KRT</v>
      </c>
      <c r="BJ296" s="4" t="str">
        <f>IF(Table43[[#This Row],[SATUAN Fix Win]]&lt;&gt;"","GD01")</f>
        <v>GD01</v>
      </c>
      <c r="BK296" s="4">
        <f>IF(Table43[[#This Row],[SATUAN Fix Win]]&lt;&gt;"",11611)</f>
        <v>11611</v>
      </c>
      <c r="BL296" s="4">
        <f>IF(Table43[[#This Row],[SATUAN Fix Win]]&lt;&gt;"",11612)</f>
        <v>11612</v>
      </c>
      <c r="BM296" s="47" t="s">
        <v>655</v>
      </c>
      <c r="BN296" s="4">
        <f>IF(Table43[[#This Row],[SATUAN Fix Win]]&lt;&gt;"",1)</f>
        <v>1</v>
      </c>
      <c r="BO296" s="4" t="s">
        <v>656</v>
      </c>
      <c r="BP296" s="4">
        <f>IFERROR(VLOOKUP(Table43[[#This Row],[Kode Pcpl]],'[1]HEINZ ABC'!$A$4:$E$112,8,0),0)</f>
        <v>0</v>
      </c>
      <c r="BQ296" s="55">
        <f>Table43[[#This Row],[Harga Jual Pcs GT
(-PPN)]]-Table43[[#This Row],[HARGA NAIK GT]]</f>
        <v>11345.45</v>
      </c>
      <c r="BR296" s="4">
        <f>IF(Table43[[#This Row],[HARGA NAIK GT]]=0,Table43[[#This Row],[Harga Jual Pcs GT
(-PPN)]],Table43[[#This Row],[HARGA NAIK GT]])</f>
        <v>11345.45</v>
      </c>
      <c r="BS296">
        <f>IFERROR(VLOOKUP(Table43[[#This Row],[Kode Pcpl]],'[1]HEINZ ABC'!$A$4:$E$112,8,0),0)</f>
        <v>0</v>
      </c>
      <c r="BT296" s="58">
        <f>Table43[[#This Row],[Harga Jual Pcs GT
(-PPN)]]-BS296</f>
        <v>11345.45</v>
      </c>
      <c r="BU296">
        <f>IF(BS296=0,Table43[[#This Row],[Harga Jual Pcs MT
(-PPN)]])</f>
        <v>0</v>
      </c>
      <c r="BV296">
        <f>IFERROR(VLOOKUP(Table43[[#This Row],[Kode Pcpl]],[2]Pricelist!$A$4:$K$112,11,0),0)</f>
        <v>0</v>
      </c>
      <c r="BW296">
        <f>IFERROR(VLOOKUP(Table43[[#This Row],[Kode BARANG Win2]],[3]!RECKITT211216[[KDBRG]:[HRG_JL_PCS-PPN]],11,0),0)</f>
        <v>0</v>
      </c>
      <c r="BX296">
        <f t="shared" si="11"/>
        <v>0</v>
      </c>
    </row>
    <row r="297" spans="1:76" x14ac:dyDescent="0.25">
      <c r="A297" s="4" t="str">
        <f>CONCATENATE(Table43[[#This Row],[Kode BARANG Win2]],Table43[[#This Row],[No. Urut
Item Sama]])</f>
        <v>A11220040018101</v>
      </c>
      <c r="B297" s="7">
        <v>1</v>
      </c>
      <c r="C297" s="4">
        <v>266</v>
      </c>
      <c r="D297" s="27">
        <v>612130</v>
      </c>
      <c r="E297" s="27" t="s">
        <v>381</v>
      </c>
      <c r="F297" s="27" t="s">
        <v>461</v>
      </c>
      <c r="G297" s="27">
        <v>10</v>
      </c>
      <c r="H297" s="42">
        <v>0</v>
      </c>
      <c r="I297" s="27" t="str">
        <f>Table43[[#This Row],[Nama Jenis Kemasan]]</f>
        <v>PCSX10</v>
      </c>
      <c r="J297" s="4" t="str">
        <f>TRIM(CONCATENATE(Table43[[#This Row],[Nama            KLP]]," ",Table43[[#This Row],[Nama            Sub KLP]]))</f>
        <v>SAMBAL NUSANTARA</v>
      </c>
      <c r="K297" s="4" t="str">
        <f>CONCATENATE(Table43[[#This Row],[kode  2 Digit                (hrf+No)]],Table43[[#This Row],[kode  2 Digit                (Nomor)]],Table43[[#This Row],[kode  1 Digit                (Nomor)]])</f>
        <v>A1122</v>
      </c>
      <c r="L297" s="4" t="str">
        <f>IF(AG297="",CONCATENATE(Q297,S297,U297,W297,Y297,AA297,AC297,AE297,Table43[[#This Row],[Tanda Kode Revisi]]),CONCATENATE(Q297,S297,U297,W297,Y297,AA297,AC297,AG297))</f>
        <v>A1122004001810</v>
      </c>
      <c r="M297" s="11">
        <f t="shared" si="12"/>
        <v>14</v>
      </c>
      <c r="N297" s="14" t="str">
        <f>IF(AF297&lt;&gt;"",TRIM(UPPER(CONCATENATE(P297," ",R297," ",T297," ",V297," ",X297," ",Z297," ","X"," ",Table43[[#This Row],[ISI/CTN]]," ",AF297," ",AB297," ",AD297," ",AH297))),TRIM(UPPER(CONCATENATE(P297," ",R297," ",T297," ",V297," ",X297," ",Z297," ","X"," ",Table43[[#This Row],[ISI/CTN]]," ",AB297," ",AD297," ",AH297))))</f>
        <v>ABC SAMBAL NUSANTARA GEPREK 18 GR X 10 PACK PCSX10</v>
      </c>
      <c r="O297" s="11">
        <f t="shared" si="13"/>
        <v>50</v>
      </c>
      <c r="P297" s="4" t="s">
        <v>28</v>
      </c>
      <c r="Q297" s="7" t="s">
        <v>85</v>
      </c>
      <c r="R297" s="4" t="s">
        <v>603</v>
      </c>
      <c r="S297" s="43">
        <v>12</v>
      </c>
      <c r="T297" s="44" t="s">
        <v>629</v>
      </c>
      <c r="U297" s="7">
        <v>2</v>
      </c>
      <c r="V297" s="44"/>
      <c r="W297" s="43" t="s">
        <v>1</v>
      </c>
      <c r="X297" s="4" t="s">
        <v>640</v>
      </c>
      <c r="Y297" s="45" t="s">
        <v>220</v>
      </c>
      <c r="Z297" s="4" t="s">
        <v>630</v>
      </c>
      <c r="AA297" s="45" t="s">
        <v>631</v>
      </c>
      <c r="AB297" s="4" t="s">
        <v>605</v>
      </c>
      <c r="AC297" s="7" t="s">
        <v>480</v>
      </c>
      <c r="AE297" s="7" t="s">
        <v>1</v>
      </c>
      <c r="AF297" s="7" t="s">
        <v>546</v>
      </c>
      <c r="AI297" s="7" t="s">
        <v>215</v>
      </c>
      <c r="AJ297" s="7">
        <v>1</v>
      </c>
      <c r="AL297" s="40">
        <f>Table43[[#This Row],[Harga Jual Pcs GT
(-PPN)]]-(Table43[[#This Row],[Harga Jual Pcs GT
(-PPN)]]*6%)</f>
        <v>13330.9108</v>
      </c>
      <c r="AM297" s="41">
        <f>Table43[[#This Row],[Harga Beli Pcs
(-PPN)]]*Table43[[#This Row],[ISI/CTN]]</f>
        <v>133309.10800000001</v>
      </c>
      <c r="AN297" s="41">
        <f>Table43[[#This Row],[Harga Beli Pcs
(-PPN)]]*1.11</f>
        <v>14797.310988000001</v>
      </c>
      <c r="AO297" s="41">
        <f>Table43[[#This Row],[Harga Beli Krt
(- PPN)]]*1.11</f>
        <v>147973.10988000003</v>
      </c>
      <c r="AP297" s="41">
        <v>14181.82</v>
      </c>
      <c r="AQ297" s="41">
        <f>Table43[[#This Row],[Harga Jual Pcs GT
(-PPN)]]*Table43[[#This Row],[ISI/CTN]]</f>
        <v>141818.20000000001</v>
      </c>
      <c r="AR297" s="41">
        <f>Table43[[#This Row],[Harga Jual Pcs GT
(-PPN)]]*1.11</f>
        <v>15741.820200000002</v>
      </c>
      <c r="AS297" s="41">
        <f>Table43[[#This Row],[Harga Jual Krt GT
(- PPN)]]*1.11</f>
        <v>157418.20200000002</v>
      </c>
      <c r="AT297" s="41">
        <v>15316.363440000001</v>
      </c>
      <c r="AU297" s="41">
        <f>(Table43[[#This Row],[Harga Jual Pcs MT
(-PPN)]]*Table43[[#This Row],[ISI/CTN]])</f>
        <v>153163.63440000001</v>
      </c>
      <c r="AV297" s="41">
        <f>Table43[[#This Row],[Harga Jual Pcs MT
(-PPN)]]*1.11</f>
        <v>17001.163418400003</v>
      </c>
      <c r="AW297" s="41">
        <f>Table43[[#This Row],[Harga Jual Pcs MT
(+PPN)]]*Table43[[#This Row],[ISI/CTN]]</f>
        <v>170011.63418400002</v>
      </c>
      <c r="AX297" s="41"/>
      <c r="AY297" s="46">
        <v>45553</v>
      </c>
      <c r="AZ297" s="54">
        <v>45553</v>
      </c>
      <c r="BA297" s="7" t="str">
        <f ca="1">IF(TODAY()-Table43[[#This Row],[Efektif
Pembuatan]]&gt;60,"Lama","Baru")</f>
        <v>Lama</v>
      </c>
      <c r="BB297" s="7" t="str">
        <f ca="1">IF(TODAY()-Table43[[#This Row],[Efektif Naik Harga]]&lt;30,"Naik","Sama")</f>
        <v>Sama</v>
      </c>
      <c r="BC297" s="7" t="s">
        <v>235</v>
      </c>
      <c r="BD297" s="7" t="str">
        <f>IF(Table43[[#This Row],[Kode BARANG Win2]]&lt;&gt;"","IDR","")</f>
        <v>IDR</v>
      </c>
      <c r="BE297" s="7" t="str">
        <f>CONCATENATE(Table43[[#This Row],[kode  1 Digit
(Nomor)]],Table43[[#This Row],[kode  4 Digit                (Nomor)]])</f>
        <v>10018</v>
      </c>
      <c r="BF297" s="7" t="str">
        <f>Table43[[#This Row],[Nama            Gramasi atau Jumlah Pack per CTN]]</f>
        <v>18 GR</v>
      </c>
      <c r="BG297" s="7" t="s">
        <v>653</v>
      </c>
      <c r="BH297" s="51" t="s">
        <v>654</v>
      </c>
      <c r="BI297" s="4" t="str">
        <f>IF(Table43[[#This Row],[SATUAN Fix Win]]&lt;&gt;"","KRT")</f>
        <v>KRT</v>
      </c>
      <c r="BJ297" s="4" t="str">
        <f>IF(Table43[[#This Row],[SATUAN Fix Win]]&lt;&gt;"","GD01")</f>
        <v>GD01</v>
      </c>
      <c r="BK297" s="4">
        <f>IF(Table43[[#This Row],[SATUAN Fix Win]]&lt;&gt;"",11611)</f>
        <v>11611</v>
      </c>
      <c r="BL297" s="4">
        <f>IF(Table43[[#This Row],[SATUAN Fix Win]]&lt;&gt;"",11612)</f>
        <v>11612</v>
      </c>
      <c r="BM297" s="47" t="s">
        <v>655</v>
      </c>
      <c r="BN297" s="4">
        <f>IF(Table43[[#This Row],[SATUAN Fix Win]]&lt;&gt;"",1)</f>
        <v>1</v>
      </c>
      <c r="BO297" s="4" t="s">
        <v>656</v>
      </c>
      <c r="BP297" s="4">
        <f>IFERROR(VLOOKUP(Table43[[#This Row],[Kode Pcpl]],'[1]HEINZ ABC'!$A$4:$E$112,8,0),0)</f>
        <v>0</v>
      </c>
      <c r="BQ297" s="55">
        <f>Table43[[#This Row],[Harga Jual Pcs GT
(-PPN)]]-Table43[[#This Row],[HARGA NAIK GT]]</f>
        <v>14181.82</v>
      </c>
      <c r="BR297" s="4">
        <f>IF(Table43[[#This Row],[HARGA NAIK GT]]=0,Table43[[#This Row],[Harga Jual Pcs GT
(-PPN)]],Table43[[#This Row],[HARGA NAIK GT]])</f>
        <v>14181.82</v>
      </c>
      <c r="BS297">
        <f>IFERROR(VLOOKUP(Table43[[#This Row],[Kode Pcpl]],'[1]HEINZ ABC'!$A$4:$E$112,8,0),0)</f>
        <v>0</v>
      </c>
      <c r="BT297" s="58">
        <f>Table43[[#This Row],[Harga Jual Pcs GT
(-PPN)]]-BS297</f>
        <v>14181.82</v>
      </c>
      <c r="BU297">
        <f>IF(BS297=0,Table43[[#This Row],[Harga Jual Pcs MT
(-PPN)]])</f>
        <v>15316.363440000001</v>
      </c>
      <c r="BV297">
        <f>IFERROR(VLOOKUP(Table43[[#This Row],[Kode Pcpl]],[2]Pricelist!$A$4:$K$112,11,0),0)</f>
        <v>0</v>
      </c>
      <c r="BW297">
        <f>IFERROR(VLOOKUP(Table43[[#This Row],[Kode BARANG Win2]],[3]!RECKITT211216[[KDBRG]:[HRG_JL_PCS-PPN]],11,0),0)</f>
        <v>0</v>
      </c>
      <c r="BX297">
        <f t="shared" si="11"/>
        <v>0</v>
      </c>
    </row>
    <row r="298" spans="1:76" x14ac:dyDescent="0.25">
      <c r="A298" s="4" t="str">
        <f>CONCATENATE(Table43[[#This Row],[Kode BARANG Win2]],Table43[[#This Row],[No. Urut
Item Sama]])</f>
        <v>A11220040018102</v>
      </c>
      <c r="B298" s="7">
        <v>2</v>
      </c>
      <c r="C298" s="4">
        <v>267</v>
      </c>
      <c r="D298" s="27">
        <v>150202</v>
      </c>
      <c r="E298" s="27" t="s">
        <v>381</v>
      </c>
      <c r="F298" s="27" t="s">
        <v>462</v>
      </c>
      <c r="G298" s="27">
        <v>10</v>
      </c>
      <c r="H298" s="42">
        <v>0</v>
      </c>
      <c r="I298" s="27" t="str">
        <f>Table43[[#This Row],[Nama Jenis Kemasan]]</f>
        <v>PCSX10</v>
      </c>
      <c r="J298" s="4" t="str">
        <f>TRIM(CONCATENATE(Table43[[#This Row],[Nama            KLP]]," ",Table43[[#This Row],[Nama            Sub KLP]]))</f>
        <v>SAMBAL NUSANTARA</v>
      </c>
      <c r="K298" s="4" t="str">
        <f>CONCATENATE(Table43[[#This Row],[kode  2 Digit                (hrf+No)]],Table43[[#This Row],[kode  2 Digit                (Nomor)]],Table43[[#This Row],[kode  1 Digit                (Nomor)]])</f>
        <v>A1122</v>
      </c>
      <c r="L298" s="4" t="str">
        <f>IF(AG298="",CONCATENATE(Q298,S298,U298,W298,Y298,AA298,AC298,AE298,Table43[[#This Row],[Tanda Kode Revisi]]),CONCATENATE(Q298,S298,U298,W298,Y298,AA298,AC298,AG298))</f>
        <v>A1122004001810</v>
      </c>
      <c r="M298" s="11">
        <f t="shared" si="12"/>
        <v>14</v>
      </c>
      <c r="N298" s="14" t="str">
        <f>IF(AF298&lt;&gt;"",TRIM(UPPER(CONCATENATE(P298," ",R298," ",T298," ",V298," ",X298," ",Z298," ","X"," ",Table43[[#This Row],[ISI/CTN]]," ",AF298," ",AB298," ",AD298," ",AH298))),TRIM(UPPER(CONCATENATE(P298," ",R298," ",T298," ",V298," ",X298," ",Z298," ","X"," ",Table43[[#This Row],[ISI/CTN]]," ",AB298," ",AD298," ",AH298))))</f>
        <v>ABC SAMBAL NUSANTARA GEPREK 18 GR X 10 PACK PCSX10</v>
      </c>
      <c r="O298" s="11">
        <f t="shared" si="13"/>
        <v>50</v>
      </c>
      <c r="P298" s="4" t="s">
        <v>28</v>
      </c>
      <c r="Q298" s="7" t="s">
        <v>85</v>
      </c>
      <c r="R298" s="4" t="s">
        <v>603</v>
      </c>
      <c r="S298" s="43">
        <v>12</v>
      </c>
      <c r="T298" s="44" t="s">
        <v>629</v>
      </c>
      <c r="U298" s="7">
        <v>2</v>
      </c>
      <c r="V298" s="44"/>
      <c r="W298" s="43" t="s">
        <v>1</v>
      </c>
      <c r="X298" s="4" t="s">
        <v>640</v>
      </c>
      <c r="Y298" s="45" t="s">
        <v>220</v>
      </c>
      <c r="Z298" s="4" t="s">
        <v>630</v>
      </c>
      <c r="AA298" s="45" t="s">
        <v>631</v>
      </c>
      <c r="AB298" s="4" t="s">
        <v>605</v>
      </c>
      <c r="AC298" s="7" t="s">
        <v>480</v>
      </c>
      <c r="AE298" s="7" t="s">
        <v>1</v>
      </c>
      <c r="AF298" s="7" t="s">
        <v>546</v>
      </c>
      <c r="AI298" s="7" t="s">
        <v>215</v>
      </c>
      <c r="AJ298" s="7">
        <v>1</v>
      </c>
      <c r="AL298" s="40">
        <f>Table43[[#This Row],[Harga Jual Pcs GT
(-PPN)]]-(Table43[[#This Row],[Harga Jual Pcs GT
(-PPN)]]*6%)</f>
        <v>13330.9108</v>
      </c>
      <c r="AM298" s="41">
        <f>Table43[[#This Row],[Harga Beli Pcs
(-PPN)]]*Table43[[#This Row],[ISI/CTN]]</f>
        <v>133309.10800000001</v>
      </c>
      <c r="AN298" s="41">
        <f>Table43[[#This Row],[Harga Beli Pcs
(-PPN)]]*1.11</f>
        <v>14797.310988000001</v>
      </c>
      <c r="AO298" s="41">
        <f>Table43[[#This Row],[Harga Beli Krt
(- PPN)]]*1.11</f>
        <v>147973.10988000003</v>
      </c>
      <c r="AP298" s="41">
        <v>14181.82</v>
      </c>
      <c r="AQ298" s="41">
        <f>Table43[[#This Row],[Harga Jual Pcs GT
(-PPN)]]*Table43[[#This Row],[ISI/CTN]]</f>
        <v>141818.20000000001</v>
      </c>
      <c r="AR298" s="41">
        <f>Table43[[#This Row],[Harga Jual Pcs GT
(-PPN)]]*1.11</f>
        <v>15741.820200000002</v>
      </c>
      <c r="AS298" s="41">
        <f>Table43[[#This Row],[Harga Jual Krt GT
(- PPN)]]*1.11</f>
        <v>157418.20200000002</v>
      </c>
      <c r="AT298" s="41">
        <v>15316.363440000001</v>
      </c>
      <c r="AU298" s="41">
        <f>(Table43[[#This Row],[Harga Jual Pcs MT
(-PPN)]]*Table43[[#This Row],[ISI/CTN]])</f>
        <v>153163.63440000001</v>
      </c>
      <c r="AV298" s="41">
        <f>Table43[[#This Row],[Harga Jual Pcs MT
(-PPN)]]*1.11</f>
        <v>17001.163418400003</v>
      </c>
      <c r="AW298" s="41">
        <f>Table43[[#This Row],[Harga Jual Pcs MT
(+PPN)]]*Table43[[#This Row],[ISI/CTN]]</f>
        <v>170011.63418400002</v>
      </c>
      <c r="AX298" s="41"/>
      <c r="AY298" s="46">
        <v>45553</v>
      </c>
      <c r="AZ298" s="54">
        <v>45553</v>
      </c>
      <c r="BA298" s="7" t="str">
        <f ca="1">IF(TODAY()-Table43[[#This Row],[Efektif
Pembuatan]]&gt;60,"Lama","Baru")</f>
        <v>Lama</v>
      </c>
      <c r="BB298" s="7" t="str">
        <f ca="1">IF(TODAY()-Table43[[#This Row],[Efektif Naik Harga]]&lt;30,"Naik","Sama")</f>
        <v>Sama</v>
      </c>
      <c r="BC298" s="7" t="s">
        <v>235</v>
      </c>
      <c r="BD298" s="7" t="str">
        <f>IF(Table43[[#This Row],[Kode BARANG Win2]]&lt;&gt;"","IDR","")</f>
        <v>IDR</v>
      </c>
      <c r="BE298" s="7" t="str">
        <f>CONCATENATE(Table43[[#This Row],[kode  1 Digit
(Nomor)]],Table43[[#This Row],[kode  4 Digit                (Nomor)]])</f>
        <v>10018</v>
      </c>
      <c r="BF298" s="7" t="str">
        <f>Table43[[#This Row],[Nama            Gramasi atau Jumlah Pack per CTN]]</f>
        <v>18 GR</v>
      </c>
      <c r="BG298" s="7" t="s">
        <v>653</v>
      </c>
      <c r="BH298" s="51" t="s">
        <v>654</v>
      </c>
      <c r="BI298" s="4" t="str">
        <f>IF(Table43[[#This Row],[SATUAN Fix Win]]&lt;&gt;"","KRT")</f>
        <v>KRT</v>
      </c>
      <c r="BJ298" s="4" t="str">
        <f>IF(Table43[[#This Row],[SATUAN Fix Win]]&lt;&gt;"","GD01")</f>
        <v>GD01</v>
      </c>
      <c r="BK298" s="4">
        <f>IF(Table43[[#This Row],[SATUAN Fix Win]]&lt;&gt;"",11611)</f>
        <v>11611</v>
      </c>
      <c r="BL298" s="4">
        <f>IF(Table43[[#This Row],[SATUAN Fix Win]]&lt;&gt;"",11612)</f>
        <v>11612</v>
      </c>
      <c r="BM298" s="47" t="s">
        <v>655</v>
      </c>
      <c r="BN298" s="4">
        <f>IF(Table43[[#This Row],[SATUAN Fix Win]]&lt;&gt;"",1)</f>
        <v>1</v>
      </c>
      <c r="BO298" s="4" t="s">
        <v>656</v>
      </c>
      <c r="BP298" s="4">
        <f>IFERROR(VLOOKUP(Table43[[#This Row],[Kode Pcpl]],'[1]HEINZ ABC'!$A$4:$E$112,8,0),0)</f>
        <v>0</v>
      </c>
      <c r="BQ298" s="55">
        <f>Table43[[#This Row],[Harga Jual Pcs GT
(-PPN)]]-Table43[[#This Row],[HARGA NAIK GT]]</f>
        <v>14181.82</v>
      </c>
      <c r="BR298" s="4">
        <f>IF(Table43[[#This Row],[HARGA NAIK GT]]=0,Table43[[#This Row],[Harga Jual Pcs GT
(-PPN)]],Table43[[#This Row],[HARGA NAIK GT]])</f>
        <v>14181.82</v>
      </c>
      <c r="BS298">
        <f>IFERROR(VLOOKUP(Table43[[#This Row],[Kode Pcpl]],'[1]HEINZ ABC'!$A$4:$E$112,8,0),0)</f>
        <v>0</v>
      </c>
      <c r="BT298" s="58">
        <f>Table43[[#This Row],[Harga Jual Pcs GT
(-PPN)]]-BS298</f>
        <v>14181.82</v>
      </c>
      <c r="BU298">
        <f>IF(BS298=0,Table43[[#This Row],[Harga Jual Pcs MT
(-PPN)]])</f>
        <v>15316.363440000001</v>
      </c>
      <c r="BV298">
        <f>IFERROR(VLOOKUP(Table43[[#This Row],[Kode Pcpl]],[2]Pricelist!$A$4:$K$112,11,0),0)</f>
        <v>0</v>
      </c>
      <c r="BW298">
        <f>IFERROR(VLOOKUP(Table43[[#This Row],[Kode BARANG Win2]],[3]!RECKITT211216[[KDBRG]:[HRG_JL_PCS-PPN]],11,0),0)</f>
        <v>0</v>
      </c>
      <c r="BX298">
        <f t="shared" ref="BX298:BX308" si="14">BV298/1.11</f>
        <v>0</v>
      </c>
    </row>
    <row r="299" spans="1:76" x14ac:dyDescent="0.25">
      <c r="A299" s="4" t="str">
        <f>CONCATENATE(Table43[[#This Row],[Kode BARANG Win2]],Table43[[#This Row],[No. Urut
Item Sama]])</f>
        <v>A11220040018111</v>
      </c>
      <c r="B299" s="7">
        <v>1</v>
      </c>
      <c r="C299" s="4">
        <v>268</v>
      </c>
      <c r="D299" s="27">
        <v>612957</v>
      </c>
      <c r="E299" s="27" t="s">
        <v>381</v>
      </c>
      <c r="F299" s="27" t="s">
        <v>463</v>
      </c>
      <c r="G299" s="27">
        <v>10</v>
      </c>
      <c r="H299" s="42">
        <v>0</v>
      </c>
      <c r="I299" s="27" t="str">
        <f>Table43[[#This Row],[Nama Jenis Kemasan]]</f>
        <v>PCSX10</v>
      </c>
      <c r="J299" s="4" t="str">
        <f>TRIM(CONCATENATE(Table43[[#This Row],[Nama            KLP]]," ",Table43[[#This Row],[Nama            Sub KLP]]))</f>
        <v>SAMBAL NUS.</v>
      </c>
      <c r="K299" s="4" t="str">
        <f>CONCATENATE(Table43[[#This Row],[kode  2 Digit                (hrf+No)]],Table43[[#This Row],[kode  2 Digit                (Nomor)]],Table43[[#This Row],[kode  1 Digit                (Nomor)]])</f>
        <v>A1122</v>
      </c>
      <c r="L299" s="4" t="str">
        <f>IF(AG299="",CONCATENATE(Q299,S299,U299,W299,Y299,AA299,AC299,AE299,Table43[[#This Row],[Tanda Kode Revisi]]),CONCATENATE(Q299,S299,U299,W299,Y299,AA299,AC299,AG299))</f>
        <v>A1122004001811</v>
      </c>
      <c r="M299" s="11">
        <f t="shared" si="12"/>
        <v>14</v>
      </c>
      <c r="N299" s="14" t="str">
        <f>IF(AF299&lt;&gt;"",TRIM(UPPER(CONCATENATE(P299," ",R299," ",T299," ",V299," ",X299," ",Z299," ","X"," ",Table43[[#This Row],[ISI/CTN]]," ",AF299," ",AB299," ",AD299," ",AH299))),TRIM(UPPER(CONCATENATE(P299," ",R299," ",T299," ",V299," ",X299," ",Z299," ","X"," ",Table43[[#This Row],[ISI/CTN]]," ",AB299," ",AD299," ",AH299))))</f>
        <v>ABC SAMBAL NUS. GEPREK 18 GR X 10 PACK PCSX10 B8G2</v>
      </c>
      <c r="O299" s="11">
        <f t="shared" si="13"/>
        <v>50</v>
      </c>
      <c r="P299" s="4" t="s">
        <v>28</v>
      </c>
      <c r="Q299" s="7" t="s">
        <v>85</v>
      </c>
      <c r="R299" s="4" t="s">
        <v>603</v>
      </c>
      <c r="S299" s="43">
        <v>12</v>
      </c>
      <c r="T299" s="44" t="s">
        <v>632</v>
      </c>
      <c r="U299" s="7">
        <v>2</v>
      </c>
      <c r="V299" s="44"/>
      <c r="W299" s="43" t="s">
        <v>1</v>
      </c>
      <c r="X299" s="4" t="s">
        <v>640</v>
      </c>
      <c r="Y299" s="45" t="s">
        <v>220</v>
      </c>
      <c r="Z299" s="4" t="s">
        <v>630</v>
      </c>
      <c r="AA299" s="45" t="s">
        <v>631</v>
      </c>
      <c r="AB299" s="4" t="s">
        <v>605</v>
      </c>
      <c r="AC299" s="7" t="s">
        <v>480</v>
      </c>
      <c r="AD299" s="4" t="s">
        <v>633</v>
      </c>
      <c r="AE299" s="7">
        <v>1</v>
      </c>
      <c r="AF299" s="7" t="s">
        <v>546</v>
      </c>
      <c r="AI299" s="7" t="s">
        <v>215</v>
      </c>
      <c r="AJ299" s="7">
        <v>1</v>
      </c>
      <c r="AL299" s="40">
        <f>Table43[[#This Row],[Harga Jual Pcs GT
(-PPN)]]-(Table43[[#This Row],[Harga Jual Pcs GT
(-PPN)]]*6%)</f>
        <v>10664.723</v>
      </c>
      <c r="AM299" s="41">
        <f>Table43[[#This Row],[Harga Beli Pcs
(-PPN)]]*Table43[[#This Row],[ISI/CTN]]</f>
        <v>106647.23</v>
      </c>
      <c r="AN299" s="41">
        <f>Table43[[#This Row],[Harga Beli Pcs
(-PPN)]]*1.11</f>
        <v>11837.842530000002</v>
      </c>
      <c r="AO299" s="41">
        <f>Table43[[#This Row],[Harga Beli Krt
(- PPN)]]*1.11</f>
        <v>118378.4253</v>
      </c>
      <c r="AP299" s="41">
        <v>11345.45</v>
      </c>
      <c r="AQ299" s="41">
        <f>Table43[[#This Row],[Harga Jual Pcs GT
(-PPN)]]*Table43[[#This Row],[ISI/CTN]]</f>
        <v>113454.5</v>
      </c>
      <c r="AR299" s="41">
        <f>Table43[[#This Row],[Harga Jual Pcs GT
(-PPN)]]*1.11</f>
        <v>12593.449500000002</v>
      </c>
      <c r="AS299" s="41">
        <f>Table43[[#This Row],[Harga Jual Krt GT
(- PPN)]]*1.11</f>
        <v>125934.49500000001</v>
      </c>
      <c r="AT299" s="41">
        <v>0</v>
      </c>
      <c r="AU299" s="41">
        <f>(Table43[[#This Row],[Harga Jual Pcs MT
(-PPN)]]*Table43[[#This Row],[ISI/CTN]])</f>
        <v>0</v>
      </c>
      <c r="AV299" s="41">
        <f>Table43[[#This Row],[Harga Jual Pcs MT
(-PPN)]]*1.11</f>
        <v>0</v>
      </c>
      <c r="AW299" s="41">
        <f>Table43[[#This Row],[Harga Jual Pcs MT
(+PPN)]]*Table43[[#This Row],[ISI/CTN]]</f>
        <v>0</v>
      </c>
      <c r="AX299" s="41"/>
      <c r="AY299" s="46">
        <v>45553</v>
      </c>
      <c r="AZ299" s="54">
        <v>45553</v>
      </c>
      <c r="BA299" s="7" t="str">
        <f ca="1">IF(TODAY()-Table43[[#This Row],[Efektif
Pembuatan]]&gt;60,"Lama","Baru")</f>
        <v>Lama</v>
      </c>
      <c r="BB299" s="7" t="str">
        <f ca="1">IF(TODAY()-Table43[[#This Row],[Efektif Naik Harga]]&lt;30,"Naik","Sama")</f>
        <v>Sama</v>
      </c>
      <c r="BC299" s="7" t="s">
        <v>235</v>
      </c>
      <c r="BD299" s="7" t="str">
        <f>IF(Table43[[#This Row],[Kode BARANG Win2]]&lt;&gt;"","IDR","")</f>
        <v>IDR</v>
      </c>
      <c r="BE299" s="7" t="str">
        <f>CONCATENATE(Table43[[#This Row],[kode  1 Digit
(Nomor)]],Table43[[#This Row],[kode  4 Digit                (Nomor)]])</f>
        <v>10018</v>
      </c>
      <c r="BF299" s="7" t="str">
        <f>Table43[[#This Row],[Nama            Gramasi atau Jumlah Pack per CTN]]</f>
        <v>18 GR</v>
      </c>
      <c r="BG299" s="7" t="s">
        <v>653</v>
      </c>
      <c r="BH299" s="51" t="s">
        <v>654</v>
      </c>
      <c r="BI299" s="4" t="str">
        <f>IF(Table43[[#This Row],[SATUAN Fix Win]]&lt;&gt;"","KRT")</f>
        <v>KRT</v>
      </c>
      <c r="BJ299" s="4" t="str">
        <f>IF(Table43[[#This Row],[SATUAN Fix Win]]&lt;&gt;"","GD01")</f>
        <v>GD01</v>
      </c>
      <c r="BK299" s="4">
        <f>IF(Table43[[#This Row],[SATUAN Fix Win]]&lt;&gt;"",11611)</f>
        <v>11611</v>
      </c>
      <c r="BL299" s="4">
        <f>IF(Table43[[#This Row],[SATUAN Fix Win]]&lt;&gt;"",11612)</f>
        <v>11612</v>
      </c>
      <c r="BM299" s="47" t="s">
        <v>655</v>
      </c>
      <c r="BN299" s="4">
        <f>IF(Table43[[#This Row],[SATUAN Fix Win]]&lt;&gt;"",1)</f>
        <v>1</v>
      </c>
      <c r="BO299" s="4" t="s">
        <v>656</v>
      </c>
      <c r="BP299" s="4">
        <f>IFERROR(VLOOKUP(Table43[[#This Row],[Kode Pcpl]],'[1]HEINZ ABC'!$A$4:$E$112,8,0),0)</f>
        <v>0</v>
      </c>
      <c r="BQ299" s="55">
        <f>Table43[[#This Row],[Harga Jual Pcs GT
(-PPN)]]-Table43[[#This Row],[HARGA NAIK GT]]</f>
        <v>11345.45</v>
      </c>
      <c r="BR299" s="4">
        <f>IF(Table43[[#This Row],[HARGA NAIK GT]]=0,Table43[[#This Row],[Harga Jual Pcs GT
(-PPN)]],Table43[[#This Row],[HARGA NAIK GT]])</f>
        <v>11345.45</v>
      </c>
      <c r="BS299">
        <f>IFERROR(VLOOKUP(Table43[[#This Row],[Kode Pcpl]],'[1]HEINZ ABC'!$A$4:$E$112,8,0),0)</f>
        <v>0</v>
      </c>
      <c r="BT299" s="58">
        <f>Table43[[#This Row],[Harga Jual Pcs GT
(-PPN)]]-BS299</f>
        <v>11345.45</v>
      </c>
      <c r="BU299">
        <f>IF(BS299=0,Table43[[#This Row],[Harga Jual Pcs MT
(-PPN)]])</f>
        <v>0</v>
      </c>
      <c r="BV299">
        <f>IFERROR(VLOOKUP(Table43[[#This Row],[Kode Pcpl]],[2]Pricelist!$A$4:$K$112,11,0),0)</f>
        <v>0</v>
      </c>
      <c r="BW299">
        <f>IFERROR(VLOOKUP(Table43[[#This Row],[Kode BARANG Win2]],[3]!RECKITT211216[[KDBRG]:[HRG_JL_PCS-PPN]],11,0),0)</f>
        <v>0</v>
      </c>
      <c r="BX299">
        <f t="shared" si="14"/>
        <v>0</v>
      </c>
    </row>
    <row r="300" spans="1:76" x14ac:dyDescent="0.25">
      <c r="A300" s="4" t="str">
        <f>CONCATENATE(Table43[[#This Row],[Kode BARANG Win2]],Table43[[#This Row],[No. Urut
Item Sama]])</f>
        <v>A11220050018101</v>
      </c>
      <c r="B300" s="7">
        <v>1</v>
      </c>
      <c r="C300" s="4">
        <v>269</v>
      </c>
      <c r="D300" s="27">
        <v>612100</v>
      </c>
      <c r="E300" s="27" t="s">
        <v>381</v>
      </c>
      <c r="F300" s="27" t="s">
        <v>464</v>
      </c>
      <c r="G300" s="27">
        <v>10</v>
      </c>
      <c r="H300" s="42">
        <v>0</v>
      </c>
      <c r="I300" s="27" t="str">
        <f>Table43[[#This Row],[Nama Jenis Kemasan]]</f>
        <v>PCSX10</v>
      </c>
      <c r="J300" s="4" t="str">
        <f>TRIM(CONCATENATE(Table43[[#This Row],[Nama            KLP]]," ",Table43[[#This Row],[Nama            Sub KLP]]))</f>
        <v>SAMBAL NUSANTARA</v>
      </c>
      <c r="K300" s="4" t="str">
        <f>CONCATENATE(Table43[[#This Row],[kode  2 Digit                (hrf+No)]],Table43[[#This Row],[kode  2 Digit                (Nomor)]],Table43[[#This Row],[kode  1 Digit                (Nomor)]])</f>
        <v>A1122</v>
      </c>
      <c r="L300" s="4" t="str">
        <f>IF(AG300="",CONCATENATE(Q300,S300,U300,W300,Y300,AA300,AC300,AE300,Table43[[#This Row],[Tanda Kode Revisi]]),CONCATENATE(Q300,S300,U300,W300,Y300,AA300,AC300,AG300))</f>
        <v>A1122005001810</v>
      </c>
      <c r="M300" s="11">
        <f t="shared" si="12"/>
        <v>14</v>
      </c>
      <c r="N300" s="14" t="str">
        <f>IF(AF300&lt;&gt;"",TRIM(UPPER(CONCATENATE(P300," ",R300," ",T300," ",V300," ",X300," ",Z300," ","X"," ",Table43[[#This Row],[ISI/CTN]]," ",AF300," ",AB300," ",AD300," ",AH300))),TRIM(UPPER(CONCATENATE(P300," ",R300," ",T300," ",V300," ",X300," ",Z300," ","X"," ",Table43[[#This Row],[ISI/CTN]]," ",AB300," ",AD300," ",AH300))))</f>
        <v>ABC SAMBAL NUSANTARA TERI 18 GR X 10 PACK PCSX10</v>
      </c>
      <c r="O300" s="11">
        <f t="shared" si="13"/>
        <v>48</v>
      </c>
      <c r="P300" s="4" t="s">
        <v>28</v>
      </c>
      <c r="Q300" s="7" t="s">
        <v>85</v>
      </c>
      <c r="R300" s="4" t="s">
        <v>603</v>
      </c>
      <c r="S300" s="43">
        <v>12</v>
      </c>
      <c r="T300" s="44" t="s">
        <v>629</v>
      </c>
      <c r="U300" s="7">
        <v>2</v>
      </c>
      <c r="V300" s="44"/>
      <c r="W300" s="43" t="s">
        <v>1</v>
      </c>
      <c r="X300" s="4" t="s">
        <v>641</v>
      </c>
      <c r="Y300" s="45" t="s">
        <v>223</v>
      </c>
      <c r="Z300" s="4" t="s">
        <v>630</v>
      </c>
      <c r="AA300" s="45" t="s">
        <v>631</v>
      </c>
      <c r="AB300" s="4" t="s">
        <v>605</v>
      </c>
      <c r="AC300" s="7" t="s">
        <v>480</v>
      </c>
      <c r="AE300" s="7" t="s">
        <v>1</v>
      </c>
      <c r="AF300" s="7" t="s">
        <v>546</v>
      </c>
      <c r="AI300" s="7" t="s">
        <v>215</v>
      </c>
      <c r="AJ300" s="7">
        <v>1</v>
      </c>
      <c r="AL300" s="40">
        <f>Table43[[#This Row],[Harga Jual Pcs GT
(-PPN)]]-(Table43[[#This Row],[Harga Jual Pcs GT
(-PPN)]]*6%)</f>
        <v>13330.9108</v>
      </c>
      <c r="AM300" s="41">
        <f>Table43[[#This Row],[Harga Beli Pcs
(-PPN)]]*Table43[[#This Row],[ISI/CTN]]</f>
        <v>133309.10800000001</v>
      </c>
      <c r="AN300" s="41">
        <f>Table43[[#This Row],[Harga Beli Pcs
(-PPN)]]*1.11</f>
        <v>14797.310988000001</v>
      </c>
      <c r="AO300" s="41">
        <f>Table43[[#This Row],[Harga Beli Krt
(- PPN)]]*1.11</f>
        <v>147973.10988000003</v>
      </c>
      <c r="AP300" s="41">
        <v>14181.82</v>
      </c>
      <c r="AQ300" s="41">
        <f>Table43[[#This Row],[Harga Jual Pcs GT
(-PPN)]]*Table43[[#This Row],[ISI/CTN]]</f>
        <v>141818.20000000001</v>
      </c>
      <c r="AR300" s="41">
        <f>Table43[[#This Row],[Harga Jual Pcs GT
(-PPN)]]*1.11</f>
        <v>15741.820200000002</v>
      </c>
      <c r="AS300" s="41">
        <f>Table43[[#This Row],[Harga Jual Krt GT
(- PPN)]]*1.11</f>
        <v>157418.20200000002</v>
      </c>
      <c r="AT300" s="41">
        <v>15316.363440000001</v>
      </c>
      <c r="AU300" s="41">
        <f>(Table43[[#This Row],[Harga Jual Pcs MT
(-PPN)]]*Table43[[#This Row],[ISI/CTN]])</f>
        <v>153163.63440000001</v>
      </c>
      <c r="AV300" s="41">
        <f>Table43[[#This Row],[Harga Jual Pcs MT
(-PPN)]]*1.11</f>
        <v>17001.163418400003</v>
      </c>
      <c r="AW300" s="41">
        <f>Table43[[#This Row],[Harga Jual Pcs MT
(+PPN)]]*Table43[[#This Row],[ISI/CTN]]</f>
        <v>170011.63418400002</v>
      </c>
      <c r="AX300" s="41"/>
      <c r="AY300" s="46">
        <v>45553</v>
      </c>
      <c r="AZ300" s="54">
        <v>45553</v>
      </c>
      <c r="BA300" s="7" t="str">
        <f ca="1">IF(TODAY()-Table43[[#This Row],[Efektif
Pembuatan]]&gt;60,"Lama","Baru")</f>
        <v>Lama</v>
      </c>
      <c r="BB300" s="7" t="str">
        <f ca="1">IF(TODAY()-Table43[[#This Row],[Efektif Naik Harga]]&lt;30,"Naik","Sama")</f>
        <v>Sama</v>
      </c>
      <c r="BC300" s="7" t="s">
        <v>235</v>
      </c>
      <c r="BD300" s="7" t="str">
        <f>IF(Table43[[#This Row],[Kode BARANG Win2]]&lt;&gt;"","IDR","")</f>
        <v>IDR</v>
      </c>
      <c r="BE300" s="7" t="str">
        <f>CONCATENATE(Table43[[#This Row],[kode  1 Digit
(Nomor)]],Table43[[#This Row],[kode  4 Digit                (Nomor)]])</f>
        <v>10018</v>
      </c>
      <c r="BF300" s="7" t="str">
        <f>Table43[[#This Row],[Nama            Gramasi atau Jumlah Pack per CTN]]</f>
        <v>18 GR</v>
      </c>
      <c r="BG300" s="7" t="s">
        <v>653</v>
      </c>
      <c r="BH300" s="51" t="s">
        <v>654</v>
      </c>
      <c r="BI300" s="4" t="str">
        <f>IF(Table43[[#This Row],[SATUAN Fix Win]]&lt;&gt;"","KRT")</f>
        <v>KRT</v>
      </c>
      <c r="BJ300" s="4" t="str">
        <f>IF(Table43[[#This Row],[SATUAN Fix Win]]&lt;&gt;"","GD01")</f>
        <v>GD01</v>
      </c>
      <c r="BK300" s="4">
        <f>IF(Table43[[#This Row],[SATUAN Fix Win]]&lt;&gt;"",11611)</f>
        <v>11611</v>
      </c>
      <c r="BL300" s="4">
        <f>IF(Table43[[#This Row],[SATUAN Fix Win]]&lt;&gt;"",11612)</f>
        <v>11612</v>
      </c>
      <c r="BM300" s="47" t="s">
        <v>655</v>
      </c>
      <c r="BN300" s="4">
        <f>IF(Table43[[#This Row],[SATUAN Fix Win]]&lt;&gt;"",1)</f>
        <v>1</v>
      </c>
      <c r="BO300" s="4" t="s">
        <v>656</v>
      </c>
      <c r="BP300" s="4">
        <f>IFERROR(VLOOKUP(Table43[[#This Row],[Kode Pcpl]],'[1]HEINZ ABC'!$A$4:$E$112,8,0),0)</f>
        <v>0</v>
      </c>
      <c r="BQ300" s="55">
        <f>Table43[[#This Row],[Harga Jual Pcs GT
(-PPN)]]-Table43[[#This Row],[HARGA NAIK GT]]</f>
        <v>14181.82</v>
      </c>
      <c r="BR300" s="4">
        <f>IF(Table43[[#This Row],[HARGA NAIK GT]]=0,Table43[[#This Row],[Harga Jual Pcs GT
(-PPN)]],Table43[[#This Row],[HARGA NAIK GT]])</f>
        <v>14181.82</v>
      </c>
      <c r="BS300">
        <f>IFERROR(VLOOKUP(Table43[[#This Row],[Kode Pcpl]],'[1]HEINZ ABC'!$A$4:$E$112,8,0),0)</f>
        <v>0</v>
      </c>
      <c r="BT300" s="58">
        <f>Table43[[#This Row],[Harga Jual Pcs GT
(-PPN)]]-BS300</f>
        <v>14181.82</v>
      </c>
      <c r="BU300">
        <f>IF(BS300=0,Table43[[#This Row],[Harga Jual Pcs MT
(-PPN)]])</f>
        <v>15316.363440000001</v>
      </c>
      <c r="BV300">
        <f>IFERROR(VLOOKUP(Table43[[#This Row],[Kode Pcpl]],[2]Pricelist!$A$4:$K$112,11,0),0)</f>
        <v>0</v>
      </c>
      <c r="BW300">
        <f>IFERROR(VLOOKUP(Table43[[#This Row],[Kode BARANG Win2]],[3]!RECKITT211216[[KDBRG]:[HRG_JL_PCS-PPN]],11,0),0)</f>
        <v>0</v>
      </c>
      <c r="BX300">
        <f t="shared" si="14"/>
        <v>0</v>
      </c>
    </row>
    <row r="301" spans="1:76" x14ac:dyDescent="0.25">
      <c r="A301" s="4" t="str">
        <f>CONCATENATE(Table43[[#This Row],[Kode BARANG Win2]],Table43[[#This Row],[No. Urut
Item Sama]])</f>
        <v>A11220050018111</v>
      </c>
      <c r="B301" s="7">
        <v>1</v>
      </c>
      <c r="C301" s="4">
        <v>270</v>
      </c>
      <c r="D301" s="27">
        <v>612956</v>
      </c>
      <c r="E301" s="27" t="s">
        <v>381</v>
      </c>
      <c r="F301" s="27" t="s">
        <v>465</v>
      </c>
      <c r="G301" s="27">
        <v>10</v>
      </c>
      <c r="H301" s="42">
        <v>0</v>
      </c>
      <c r="I301" s="27" t="str">
        <f>Table43[[#This Row],[Nama Jenis Kemasan]]</f>
        <v>PCSX10</v>
      </c>
      <c r="J301" s="4" t="str">
        <f>TRIM(CONCATENATE(Table43[[#This Row],[Nama            KLP]]," ",Table43[[#This Row],[Nama            Sub KLP]]))</f>
        <v>SAMBAL NUS.</v>
      </c>
      <c r="K301" s="4" t="str">
        <f>CONCATENATE(Table43[[#This Row],[kode  2 Digit                (hrf+No)]],Table43[[#This Row],[kode  2 Digit                (Nomor)]],Table43[[#This Row],[kode  1 Digit                (Nomor)]])</f>
        <v>A1122</v>
      </c>
      <c r="L301" s="4" t="str">
        <f>IF(AG301="",CONCATENATE(Q301,S301,U301,W301,Y301,AA301,AC301,AE301,Table43[[#This Row],[Tanda Kode Revisi]]),CONCATENATE(Q301,S301,U301,W301,Y301,AA301,AC301,AG301))</f>
        <v>A1122005001811</v>
      </c>
      <c r="M301" s="11">
        <f t="shared" si="12"/>
        <v>14</v>
      </c>
      <c r="N301" s="14" t="str">
        <f>IF(AF301&lt;&gt;"",TRIM(UPPER(CONCATENATE(P301," ",R301," ",T301," ",V301," ",X301," ",Z301," ","X"," ",Table43[[#This Row],[ISI/CTN]]," ",AF301," ",AB301," ",AD301," ",AH301))),TRIM(UPPER(CONCATENATE(P301," ",R301," ",T301," ",V301," ",X301," ",Z301," ","X"," ",Table43[[#This Row],[ISI/CTN]]," ",AB301," ",AD301," ",AH301))))</f>
        <v>ABC SAMBAL NUS. TERI 18 GR X 10 PACK PCSX10 B8G2</v>
      </c>
      <c r="O301" s="11">
        <f t="shared" si="13"/>
        <v>48</v>
      </c>
      <c r="P301" s="4" t="s">
        <v>28</v>
      </c>
      <c r="Q301" s="7" t="s">
        <v>85</v>
      </c>
      <c r="R301" s="4" t="s">
        <v>603</v>
      </c>
      <c r="S301" s="43">
        <v>12</v>
      </c>
      <c r="T301" s="44" t="s">
        <v>632</v>
      </c>
      <c r="U301" s="7">
        <v>2</v>
      </c>
      <c r="V301" s="44"/>
      <c r="W301" s="43" t="s">
        <v>1</v>
      </c>
      <c r="X301" s="4" t="s">
        <v>641</v>
      </c>
      <c r="Y301" s="45" t="s">
        <v>223</v>
      </c>
      <c r="Z301" s="4" t="s">
        <v>630</v>
      </c>
      <c r="AA301" s="45" t="s">
        <v>631</v>
      </c>
      <c r="AB301" s="4" t="s">
        <v>605</v>
      </c>
      <c r="AC301" s="7" t="s">
        <v>480</v>
      </c>
      <c r="AD301" s="4" t="s">
        <v>633</v>
      </c>
      <c r="AE301" s="7">
        <v>1</v>
      </c>
      <c r="AF301" s="7" t="s">
        <v>546</v>
      </c>
      <c r="AI301" s="7" t="s">
        <v>215</v>
      </c>
      <c r="AJ301" s="7">
        <v>1</v>
      </c>
      <c r="AL301" s="40">
        <f>Table43[[#This Row],[Harga Jual Pcs GT
(-PPN)]]-(Table43[[#This Row],[Harga Jual Pcs GT
(-PPN)]]*6%)</f>
        <v>10664.723</v>
      </c>
      <c r="AM301" s="41">
        <f>Table43[[#This Row],[Harga Beli Pcs
(-PPN)]]*Table43[[#This Row],[ISI/CTN]]</f>
        <v>106647.23</v>
      </c>
      <c r="AN301" s="41">
        <f>Table43[[#This Row],[Harga Beli Pcs
(-PPN)]]*1.11</f>
        <v>11837.842530000002</v>
      </c>
      <c r="AO301" s="41">
        <f>Table43[[#This Row],[Harga Beli Krt
(- PPN)]]*1.11</f>
        <v>118378.4253</v>
      </c>
      <c r="AP301" s="41">
        <v>11345.45</v>
      </c>
      <c r="AQ301" s="41">
        <f>Table43[[#This Row],[Harga Jual Pcs GT
(-PPN)]]*Table43[[#This Row],[ISI/CTN]]</f>
        <v>113454.5</v>
      </c>
      <c r="AR301" s="41">
        <f>Table43[[#This Row],[Harga Jual Pcs GT
(-PPN)]]*1.11</f>
        <v>12593.449500000002</v>
      </c>
      <c r="AS301" s="41">
        <f>Table43[[#This Row],[Harga Jual Krt GT
(- PPN)]]*1.11</f>
        <v>125934.49500000001</v>
      </c>
      <c r="AT301" s="41">
        <v>0</v>
      </c>
      <c r="AU301" s="41">
        <f>(Table43[[#This Row],[Harga Jual Pcs MT
(-PPN)]]*Table43[[#This Row],[ISI/CTN]])</f>
        <v>0</v>
      </c>
      <c r="AV301" s="41">
        <f>Table43[[#This Row],[Harga Jual Pcs MT
(-PPN)]]*1.11</f>
        <v>0</v>
      </c>
      <c r="AW301" s="41">
        <f>Table43[[#This Row],[Harga Jual Pcs MT
(+PPN)]]*Table43[[#This Row],[ISI/CTN]]</f>
        <v>0</v>
      </c>
      <c r="AX301" s="41"/>
      <c r="AY301" s="46">
        <v>45553</v>
      </c>
      <c r="AZ301" s="54">
        <v>45553</v>
      </c>
      <c r="BA301" s="7" t="str">
        <f ca="1">IF(TODAY()-Table43[[#This Row],[Efektif
Pembuatan]]&gt;60,"Lama","Baru")</f>
        <v>Lama</v>
      </c>
      <c r="BB301" s="7" t="str">
        <f ca="1">IF(TODAY()-Table43[[#This Row],[Efektif Naik Harga]]&lt;30,"Naik","Sama")</f>
        <v>Sama</v>
      </c>
      <c r="BC301" s="7" t="s">
        <v>235</v>
      </c>
      <c r="BD301" s="7" t="str">
        <f>IF(Table43[[#This Row],[Kode BARANG Win2]]&lt;&gt;"","IDR","")</f>
        <v>IDR</v>
      </c>
      <c r="BE301" s="7" t="str">
        <f>CONCATENATE(Table43[[#This Row],[kode  1 Digit
(Nomor)]],Table43[[#This Row],[kode  4 Digit                (Nomor)]])</f>
        <v>10018</v>
      </c>
      <c r="BF301" s="7" t="str">
        <f>Table43[[#This Row],[Nama            Gramasi atau Jumlah Pack per CTN]]</f>
        <v>18 GR</v>
      </c>
      <c r="BG301" s="7" t="s">
        <v>653</v>
      </c>
      <c r="BH301" s="51" t="s">
        <v>654</v>
      </c>
      <c r="BI301" s="4" t="str">
        <f>IF(Table43[[#This Row],[SATUAN Fix Win]]&lt;&gt;"","KRT")</f>
        <v>KRT</v>
      </c>
      <c r="BJ301" s="4" t="str">
        <f>IF(Table43[[#This Row],[SATUAN Fix Win]]&lt;&gt;"","GD01")</f>
        <v>GD01</v>
      </c>
      <c r="BK301" s="4">
        <f>IF(Table43[[#This Row],[SATUAN Fix Win]]&lt;&gt;"",11611)</f>
        <v>11611</v>
      </c>
      <c r="BL301" s="4">
        <f>IF(Table43[[#This Row],[SATUAN Fix Win]]&lt;&gt;"",11612)</f>
        <v>11612</v>
      </c>
      <c r="BM301" s="47" t="s">
        <v>655</v>
      </c>
      <c r="BN301" s="4">
        <f>IF(Table43[[#This Row],[SATUAN Fix Win]]&lt;&gt;"",1)</f>
        <v>1</v>
      </c>
      <c r="BO301" s="4" t="s">
        <v>656</v>
      </c>
      <c r="BP301" s="4">
        <f>IFERROR(VLOOKUP(Table43[[#This Row],[Kode Pcpl]],'[1]HEINZ ABC'!$A$4:$E$112,8,0),0)</f>
        <v>0</v>
      </c>
      <c r="BQ301" s="55">
        <f>Table43[[#This Row],[Harga Jual Pcs GT
(-PPN)]]-Table43[[#This Row],[HARGA NAIK GT]]</f>
        <v>11345.45</v>
      </c>
      <c r="BR301" s="4">
        <f>IF(Table43[[#This Row],[HARGA NAIK GT]]=0,Table43[[#This Row],[Harga Jual Pcs GT
(-PPN)]],Table43[[#This Row],[HARGA NAIK GT]])</f>
        <v>11345.45</v>
      </c>
      <c r="BS301">
        <f>IFERROR(VLOOKUP(Table43[[#This Row],[Kode Pcpl]],'[1]HEINZ ABC'!$A$4:$E$112,8,0),0)</f>
        <v>0</v>
      </c>
      <c r="BT301" s="58">
        <f>Table43[[#This Row],[Harga Jual Pcs GT
(-PPN)]]-BS301</f>
        <v>11345.45</v>
      </c>
      <c r="BU301">
        <f>IF(BS301=0,Table43[[#This Row],[Harga Jual Pcs MT
(-PPN)]])</f>
        <v>0</v>
      </c>
      <c r="BV301">
        <f>IFERROR(VLOOKUP(Table43[[#This Row],[Kode Pcpl]],[2]Pricelist!$A$4:$K$112,11,0),0)</f>
        <v>0</v>
      </c>
      <c r="BW301">
        <f>IFERROR(VLOOKUP(Table43[[#This Row],[Kode BARANG Win2]],[3]!RECKITT211216[[KDBRG]:[HRG_JL_PCS-PPN]],11,0),0)</f>
        <v>0</v>
      </c>
      <c r="BX301">
        <f t="shared" si="14"/>
        <v>0</v>
      </c>
    </row>
    <row r="302" spans="1:76" x14ac:dyDescent="0.25">
      <c r="A302" s="4" t="str">
        <f>CONCATENATE(Table43[[#This Row],[Kode BARANG Win2]],Table43[[#This Row],[No. Urut
Item Sama]])</f>
        <v>A11230010125101</v>
      </c>
      <c r="B302" s="7">
        <v>1</v>
      </c>
      <c r="C302" s="4">
        <v>271</v>
      </c>
      <c r="D302" s="27">
        <v>150148</v>
      </c>
      <c r="E302" s="27" t="s">
        <v>381</v>
      </c>
      <c r="F302" s="27" t="s">
        <v>466</v>
      </c>
      <c r="G302" s="27">
        <v>48</v>
      </c>
      <c r="H302" s="42">
        <v>0</v>
      </c>
      <c r="I302" s="27" t="str">
        <f>Table43[[#This Row],[Nama Jenis Kemasan]]</f>
        <v>PCH</v>
      </c>
      <c r="J302" s="4" t="str">
        <f>TRIM(CONCATENATE(Table43[[#This Row],[Nama            KLP]]," ",Table43[[#This Row],[Nama            Sub KLP]]))</f>
        <v>SAMBAL HEINZ</v>
      </c>
      <c r="K302" s="4" t="str">
        <f>CONCATENATE(Table43[[#This Row],[kode  2 Digit                (hrf+No)]],Table43[[#This Row],[kode  2 Digit                (Nomor)]],Table43[[#This Row],[kode  1 Digit                (Nomor)]])</f>
        <v>A1123</v>
      </c>
      <c r="L302" s="4" t="str">
        <f>IF(AG302="",CONCATENATE(Q302,S302,U302,W302,Y302,AA302,AC302,AE302,Table43[[#This Row],[Tanda Kode Revisi]]),CONCATENATE(Q302,S302,U302,W302,Y302,AA302,AC302,AG302))</f>
        <v>A1123001012510</v>
      </c>
      <c r="M302" s="11">
        <f t="shared" si="12"/>
        <v>14</v>
      </c>
      <c r="N302" s="14" t="str">
        <f>IF(AF302&lt;&gt;"",TRIM(UPPER(CONCATENATE(P302," ",R302," ",T302," ",V302," ",X302," ",Z302," ","X"," ",Table43[[#This Row],[ISI/CTN]]," ",AF302," ",AB302," ",AD302," ",AH302))),TRIM(UPPER(CONCATENATE(P302," ",R302," ",T302," ",V302," ",X302," ",Z302," ","X"," ",Table43[[#This Row],[ISI/CTN]]," ",AB302," ",AD302," ",AH302))))</f>
        <v>ABC SAMBAL HEINZ INDONESIA CHILI 125 GR X 48 PCH</v>
      </c>
      <c r="O302" s="11">
        <f t="shared" si="13"/>
        <v>48</v>
      </c>
      <c r="P302" s="4" t="s">
        <v>28</v>
      </c>
      <c r="Q302" s="7" t="s">
        <v>85</v>
      </c>
      <c r="R302" s="4" t="s">
        <v>603</v>
      </c>
      <c r="S302" s="43">
        <v>12</v>
      </c>
      <c r="T302" s="44" t="s">
        <v>597</v>
      </c>
      <c r="U302" s="7">
        <v>3</v>
      </c>
      <c r="V302" s="44"/>
      <c r="W302" s="43" t="s">
        <v>1</v>
      </c>
      <c r="X302" s="4" t="s">
        <v>642</v>
      </c>
      <c r="Y302" s="45" t="s">
        <v>0</v>
      </c>
      <c r="Z302" s="4" t="s">
        <v>599</v>
      </c>
      <c r="AA302" s="45" t="s">
        <v>600</v>
      </c>
      <c r="AB302" s="4" t="s">
        <v>479</v>
      </c>
      <c r="AC302" s="7" t="s">
        <v>480</v>
      </c>
      <c r="AE302" s="7" t="s">
        <v>1</v>
      </c>
      <c r="AI302" s="7" t="s">
        <v>215</v>
      </c>
      <c r="AJ302" s="7">
        <v>1</v>
      </c>
      <c r="AL302" s="40">
        <f>Table43[[#This Row],[Harga Jual Pcs GT
(-PPN)]]-(Table43[[#This Row],[Harga Jual Pcs GT
(-PPN)]]*6%)</f>
        <v>6053.0360000000001</v>
      </c>
      <c r="AM302" s="41">
        <f>Table43[[#This Row],[Harga Beli Pcs
(-PPN)]]*Table43[[#This Row],[ISI/CTN]]</f>
        <v>290545.728</v>
      </c>
      <c r="AN302" s="41">
        <f>Table43[[#This Row],[Harga Beli Pcs
(-PPN)]]*1.11</f>
        <v>6718.8699600000009</v>
      </c>
      <c r="AO302" s="41">
        <f>Table43[[#This Row],[Harga Beli Krt
(- PPN)]]*1.11</f>
        <v>322505.75808000006</v>
      </c>
      <c r="AP302" s="41">
        <v>6439.4</v>
      </c>
      <c r="AQ302" s="41">
        <f>Table43[[#This Row],[Harga Jual Pcs GT
(-PPN)]]*Table43[[#This Row],[ISI/CTN]]</f>
        <v>309091.19999999995</v>
      </c>
      <c r="AR302" s="41">
        <f>Table43[[#This Row],[Harga Jual Pcs GT
(-PPN)]]*1.11</f>
        <v>7147.7340000000004</v>
      </c>
      <c r="AS302" s="41">
        <f>Table43[[#This Row],[Harga Jual Krt GT
(- PPN)]]*1.11</f>
        <v>343091.23199999996</v>
      </c>
      <c r="AT302" s="41">
        <v>6954.5475000000006</v>
      </c>
      <c r="AU302" s="41">
        <f>(Table43[[#This Row],[Harga Jual Pcs MT
(-PPN)]]*Table43[[#This Row],[ISI/CTN]])</f>
        <v>333818.28000000003</v>
      </c>
      <c r="AV302" s="41">
        <f>Table43[[#This Row],[Harga Jual Pcs MT
(-PPN)]]*1.11</f>
        <v>7719.5477250000013</v>
      </c>
      <c r="AW302" s="41">
        <f>Table43[[#This Row],[Harga Jual Pcs MT
(+PPN)]]*Table43[[#This Row],[ISI/CTN]]</f>
        <v>370538.29080000008</v>
      </c>
      <c r="AX302" s="41"/>
      <c r="AY302" s="46">
        <v>45553</v>
      </c>
      <c r="AZ302" s="54">
        <v>45553</v>
      </c>
      <c r="BA302" s="7" t="str">
        <f ca="1">IF(TODAY()-Table43[[#This Row],[Efektif
Pembuatan]]&gt;60,"Lama","Baru")</f>
        <v>Lama</v>
      </c>
      <c r="BB302" s="7" t="str">
        <f ca="1">IF(TODAY()-Table43[[#This Row],[Efektif Naik Harga]]&lt;30,"Naik","Sama")</f>
        <v>Sama</v>
      </c>
      <c r="BC302" s="7" t="s">
        <v>235</v>
      </c>
      <c r="BD302" s="7" t="str">
        <f>IF(Table43[[#This Row],[Kode BARANG Win2]]&lt;&gt;"","IDR","")</f>
        <v>IDR</v>
      </c>
      <c r="BE302" s="7" t="str">
        <f>CONCATENATE(Table43[[#This Row],[kode  1 Digit
(Nomor)]],Table43[[#This Row],[kode  4 Digit                (Nomor)]])</f>
        <v>10125</v>
      </c>
      <c r="BF302" s="7" t="str">
        <f>Table43[[#This Row],[Nama            Gramasi atau Jumlah Pack per CTN]]</f>
        <v>125 GR</v>
      </c>
      <c r="BG302" s="7" t="s">
        <v>653</v>
      </c>
      <c r="BH302" s="51" t="s">
        <v>654</v>
      </c>
      <c r="BI302" s="4" t="str">
        <f>IF(Table43[[#This Row],[SATUAN Fix Win]]&lt;&gt;"","KRT")</f>
        <v>KRT</v>
      </c>
      <c r="BJ302" s="4" t="str">
        <f>IF(Table43[[#This Row],[SATUAN Fix Win]]&lt;&gt;"","GD01")</f>
        <v>GD01</v>
      </c>
      <c r="BK302" s="4">
        <f>IF(Table43[[#This Row],[SATUAN Fix Win]]&lt;&gt;"",11611)</f>
        <v>11611</v>
      </c>
      <c r="BL302" s="4">
        <f>IF(Table43[[#This Row],[SATUAN Fix Win]]&lt;&gt;"",11612)</f>
        <v>11612</v>
      </c>
      <c r="BM302" s="47" t="s">
        <v>655</v>
      </c>
      <c r="BN302" s="4">
        <f>IF(Table43[[#This Row],[SATUAN Fix Win]]&lt;&gt;"",1)</f>
        <v>1</v>
      </c>
      <c r="BO302" s="4" t="s">
        <v>656</v>
      </c>
      <c r="BP302" s="4">
        <f>IFERROR(VLOOKUP(Table43[[#This Row],[Kode Pcpl]],'[1]HEINZ ABC'!$A$4:$E$112,8,0),0)</f>
        <v>0</v>
      </c>
      <c r="BQ302" s="55">
        <f>Table43[[#This Row],[Harga Jual Pcs GT
(-PPN)]]-Table43[[#This Row],[HARGA NAIK GT]]</f>
        <v>6439.4</v>
      </c>
      <c r="BR302" s="4">
        <f>IF(Table43[[#This Row],[HARGA NAIK GT]]=0,Table43[[#This Row],[Harga Jual Pcs GT
(-PPN)]],Table43[[#This Row],[HARGA NAIK GT]])</f>
        <v>6439.4</v>
      </c>
      <c r="BS302">
        <f>IFERROR(VLOOKUP(Table43[[#This Row],[Kode Pcpl]],'[1]HEINZ ABC'!$A$4:$E$112,8,0),0)</f>
        <v>0</v>
      </c>
      <c r="BT302" s="58">
        <f>Table43[[#This Row],[Harga Jual Pcs GT
(-PPN)]]-BS302</f>
        <v>6439.4</v>
      </c>
      <c r="BU302">
        <f>IF(BS302=0,Table43[[#This Row],[Harga Jual Pcs MT
(-PPN)]])</f>
        <v>6954.5475000000006</v>
      </c>
      <c r="BV302">
        <f>IFERROR(VLOOKUP(Table43[[#This Row],[Kode Pcpl]],[2]Pricelist!$A$4:$K$112,11,0),0)</f>
        <v>0</v>
      </c>
      <c r="BW302">
        <f>IFERROR(VLOOKUP(Table43[[#This Row],[Kode BARANG Win2]],[3]!RECKITT211216[[KDBRG]:[HRG_JL_PCS-PPN]],11,0),0)</f>
        <v>0</v>
      </c>
      <c r="BX302">
        <f t="shared" si="14"/>
        <v>0</v>
      </c>
    </row>
    <row r="303" spans="1:76" x14ac:dyDescent="0.25">
      <c r="A303" s="4" t="str">
        <f>CONCATENATE(Table43[[#This Row],[Kode BARANG Win2]],Table43[[#This Row],[No. Urut
Item Sama]])</f>
        <v>A11230010125102</v>
      </c>
      <c r="B303" s="7">
        <v>2</v>
      </c>
      <c r="C303" s="4">
        <v>272</v>
      </c>
      <c r="D303" s="27">
        <v>150218</v>
      </c>
      <c r="E303" s="27" t="s">
        <v>381</v>
      </c>
      <c r="F303" s="27" t="s">
        <v>467</v>
      </c>
      <c r="G303" s="27">
        <v>48</v>
      </c>
      <c r="H303" s="42">
        <v>0</v>
      </c>
      <c r="I303" s="27" t="str">
        <f>Table43[[#This Row],[Nama Jenis Kemasan]]</f>
        <v>PCH</v>
      </c>
      <c r="J303" s="4" t="str">
        <f>TRIM(CONCATENATE(Table43[[#This Row],[Nama            KLP]]," ",Table43[[#This Row],[Nama            Sub KLP]]))</f>
        <v>SAMBAL HEINZ</v>
      </c>
      <c r="K303" s="4" t="str">
        <f>CONCATENATE(Table43[[#This Row],[kode  2 Digit                (hrf+No)]],Table43[[#This Row],[kode  2 Digit                (Nomor)]],Table43[[#This Row],[kode  1 Digit                (Nomor)]])</f>
        <v>A1123</v>
      </c>
      <c r="L303" s="4" t="str">
        <f>IF(AG303="",CONCATENATE(Q303,S303,U303,W303,Y303,AA303,AC303,AE303,Table43[[#This Row],[Tanda Kode Revisi]]),CONCATENATE(Q303,S303,U303,W303,Y303,AA303,AC303,AG303))</f>
        <v>A1123001012510</v>
      </c>
      <c r="M303" s="11">
        <f t="shared" si="12"/>
        <v>14</v>
      </c>
      <c r="N303" s="14" t="str">
        <f>IF(AF303&lt;&gt;"",TRIM(UPPER(CONCATENATE(P303," ",R303," ",T303," ",V303," ",X303," ",Z303," ","X"," ",Table43[[#This Row],[ISI/CTN]]," ",AF303," ",AB303," ",AD303," ",AH303))),TRIM(UPPER(CONCATENATE(P303," ",R303," ",T303," ",V303," ",X303," ",Z303," ","X"," ",Table43[[#This Row],[ISI/CTN]]," ",AB303," ",AD303," ",AH303))))</f>
        <v>ABC SAMBAL HEINZ INDONESIA CHILI 125 GR X 48 PCH</v>
      </c>
      <c r="O303" s="11">
        <f t="shared" si="13"/>
        <v>48</v>
      </c>
      <c r="P303" s="4" t="s">
        <v>28</v>
      </c>
      <c r="Q303" s="7" t="s">
        <v>85</v>
      </c>
      <c r="R303" s="4" t="s">
        <v>603</v>
      </c>
      <c r="S303" s="43">
        <v>12</v>
      </c>
      <c r="T303" s="44" t="s">
        <v>597</v>
      </c>
      <c r="U303" s="7">
        <v>3</v>
      </c>
      <c r="V303" s="44"/>
      <c r="W303" s="43" t="s">
        <v>1</v>
      </c>
      <c r="X303" s="4" t="s">
        <v>642</v>
      </c>
      <c r="Y303" s="45" t="s">
        <v>0</v>
      </c>
      <c r="Z303" s="4" t="s">
        <v>599</v>
      </c>
      <c r="AA303" s="45" t="s">
        <v>600</v>
      </c>
      <c r="AB303" s="4" t="s">
        <v>479</v>
      </c>
      <c r="AC303" s="7" t="s">
        <v>480</v>
      </c>
      <c r="AE303" s="7" t="s">
        <v>1</v>
      </c>
      <c r="AI303" s="7" t="s">
        <v>215</v>
      </c>
      <c r="AJ303" s="7">
        <v>1</v>
      </c>
      <c r="AL303" s="40">
        <f>Table43[[#This Row],[Harga Jual Pcs GT
(-PPN)]]-(Table43[[#This Row],[Harga Jual Pcs GT
(-PPN)]]*6%)</f>
        <v>6053.0360000000001</v>
      </c>
      <c r="AM303" s="41">
        <f>Table43[[#This Row],[Harga Beli Pcs
(-PPN)]]*Table43[[#This Row],[ISI/CTN]]</f>
        <v>290545.728</v>
      </c>
      <c r="AN303" s="41">
        <f>Table43[[#This Row],[Harga Beli Pcs
(-PPN)]]*1.11</f>
        <v>6718.8699600000009</v>
      </c>
      <c r="AO303" s="41">
        <f>Table43[[#This Row],[Harga Beli Krt
(- PPN)]]*1.11</f>
        <v>322505.75808000006</v>
      </c>
      <c r="AP303" s="41">
        <v>6439.4</v>
      </c>
      <c r="AQ303" s="41">
        <f>Table43[[#This Row],[Harga Jual Pcs GT
(-PPN)]]*Table43[[#This Row],[ISI/CTN]]</f>
        <v>309091.19999999995</v>
      </c>
      <c r="AR303" s="41">
        <f>Table43[[#This Row],[Harga Jual Pcs GT
(-PPN)]]*1.11</f>
        <v>7147.7340000000004</v>
      </c>
      <c r="AS303" s="41">
        <f>Table43[[#This Row],[Harga Jual Krt GT
(- PPN)]]*1.11</f>
        <v>343091.23199999996</v>
      </c>
      <c r="AT303" s="41">
        <v>6954.5475000000006</v>
      </c>
      <c r="AU303" s="41">
        <f>(Table43[[#This Row],[Harga Jual Pcs MT
(-PPN)]]*Table43[[#This Row],[ISI/CTN]])</f>
        <v>333818.28000000003</v>
      </c>
      <c r="AV303" s="41">
        <f>Table43[[#This Row],[Harga Jual Pcs MT
(-PPN)]]*1.11</f>
        <v>7719.5477250000013</v>
      </c>
      <c r="AW303" s="41">
        <f>Table43[[#This Row],[Harga Jual Pcs MT
(+PPN)]]*Table43[[#This Row],[ISI/CTN]]</f>
        <v>370538.29080000008</v>
      </c>
      <c r="AX303" s="41"/>
      <c r="AY303" s="46">
        <v>45553</v>
      </c>
      <c r="AZ303" s="54">
        <v>45553</v>
      </c>
      <c r="BA303" s="7" t="str">
        <f ca="1">IF(TODAY()-Table43[[#This Row],[Efektif
Pembuatan]]&gt;60,"Lama","Baru")</f>
        <v>Lama</v>
      </c>
      <c r="BB303" s="7" t="str">
        <f ca="1">IF(TODAY()-Table43[[#This Row],[Efektif Naik Harga]]&lt;30,"Naik","Sama")</f>
        <v>Sama</v>
      </c>
      <c r="BC303" s="7" t="s">
        <v>235</v>
      </c>
      <c r="BD303" s="7" t="str">
        <f>IF(Table43[[#This Row],[Kode BARANG Win2]]&lt;&gt;"","IDR","")</f>
        <v>IDR</v>
      </c>
      <c r="BE303" s="7" t="str">
        <f>CONCATENATE(Table43[[#This Row],[kode  1 Digit
(Nomor)]],Table43[[#This Row],[kode  4 Digit                (Nomor)]])</f>
        <v>10125</v>
      </c>
      <c r="BF303" s="7" t="str">
        <f>Table43[[#This Row],[Nama            Gramasi atau Jumlah Pack per CTN]]</f>
        <v>125 GR</v>
      </c>
      <c r="BG303" s="7" t="s">
        <v>653</v>
      </c>
      <c r="BH303" s="51" t="s">
        <v>654</v>
      </c>
      <c r="BI303" s="4" t="str">
        <f>IF(Table43[[#This Row],[SATUAN Fix Win]]&lt;&gt;"","KRT")</f>
        <v>KRT</v>
      </c>
      <c r="BJ303" s="4" t="str">
        <f>IF(Table43[[#This Row],[SATUAN Fix Win]]&lt;&gt;"","GD01")</f>
        <v>GD01</v>
      </c>
      <c r="BK303" s="4">
        <f>IF(Table43[[#This Row],[SATUAN Fix Win]]&lt;&gt;"",11611)</f>
        <v>11611</v>
      </c>
      <c r="BL303" s="4">
        <f>IF(Table43[[#This Row],[SATUAN Fix Win]]&lt;&gt;"",11612)</f>
        <v>11612</v>
      </c>
      <c r="BM303" s="47" t="s">
        <v>655</v>
      </c>
      <c r="BN303" s="4">
        <f>IF(Table43[[#This Row],[SATUAN Fix Win]]&lt;&gt;"",1)</f>
        <v>1</v>
      </c>
      <c r="BO303" s="4" t="s">
        <v>656</v>
      </c>
      <c r="BP303" s="4">
        <f>IFERROR(VLOOKUP(Table43[[#This Row],[Kode Pcpl]],'[1]HEINZ ABC'!$A$4:$E$112,8,0),0)</f>
        <v>0</v>
      </c>
      <c r="BQ303" s="55">
        <f>Table43[[#This Row],[Harga Jual Pcs GT
(-PPN)]]-Table43[[#This Row],[HARGA NAIK GT]]</f>
        <v>6439.4</v>
      </c>
      <c r="BR303" s="4">
        <f>IF(Table43[[#This Row],[HARGA NAIK GT]]=0,Table43[[#This Row],[Harga Jual Pcs GT
(-PPN)]],Table43[[#This Row],[HARGA NAIK GT]])</f>
        <v>6439.4</v>
      </c>
      <c r="BS303">
        <f>IFERROR(VLOOKUP(Table43[[#This Row],[Kode Pcpl]],'[1]HEINZ ABC'!$A$4:$E$112,8,0),0)</f>
        <v>0</v>
      </c>
      <c r="BT303" s="58">
        <f>Table43[[#This Row],[Harga Jual Pcs GT
(-PPN)]]-BS303</f>
        <v>6439.4</v>
      </c>
      <c r="BU303">
        <f>IF(BS303=0,Table43[[#This Row],[Harga Jual Pcs MT
(-PPN)]])</f>
        <v>6954.5475000000006</v>
      </c>
      <c r="BV303">
        <f>IFERROR(VLOOKUP(Table43[[#This Row],[Kode Pcpl]],[2]Pricelist!$A$4:$K$112,11,0),0)</f>
        <v>0</v>
      </c>
      <c r="BW303">
        <f>IFERROR(VLOOKUP(Table43[[#This Row],[Kode BARANG Win2]],[3]!RECKITT211216[[KDBRG]:[HRG_JL_PCS-PPN]],11,0),0)</f>
        <v>0</v>
      </c>
      <c r="BX303">
        <f t="shared" si="14"/>
        <v>0</v>
      </c>
    </row>
    <row r="304" spans="1:76" x14ac:dyDescent="0.25">
      <c r="A304" s="4" t="str">
        <f>CONCATENATE(Table43[[#This Row],[Kode BARANG Win2]],Table43[[#This Row],[No. Urut
Item Sama]])</f>
        <v>A11230020125101</v>
      </c>
      <c r="B304" s="7">
        <v>1</v>
      </c>
      <c r="C304" s="4">
        <v>273</v>
      </c>
      <c r="D304" s="27">
        <v>150217</v>
      </c>
      <c r="E304" s="27" t="s">
        <v>381</v>
      </c>
      <c r="F304" s="27" t="s">
        <v>468</v>
      </c>
      <c r="G304" s="27">
        <v>48</v>
      </c>
      <c r="H304" s="42">
        <v>0</v>
      </c>
      <c r="I304" s="27" t="str">
        <f>Table43[[#This Row],[Nama Jenis Kemasan]]</f>
        <v>PCH</v>
      </c>
      <c r="J304" s="4" t="str">
        <f>TRIM(CONCATENATE(Table43[[#This Row],[Nama            KLP]]," ",Table43[[#This Row],[Nama            Sub KLP]]))</f>
        <v>SAMBAL HEINZ</v>
      </c>
      <c r="K304" s="4" t="str">
        <f>CONCATENATE(Table43[[#This Row],[kode  2 Digit                (hrf+No)]],Table43[[#This Row],[kode  2 Digit                (Nomor)]],Table43[[#This Row],[kode  1 Digit                (Nomor)]])</f>
        <v>A1123</v>
      </c>
      <c r="L304" s="4" t="str">
        <f>IF(AG304="",CONCATENATE(Q304,S304,U304,W304,Y304,AA304,AC304,AE304,Table43[[#This Row],[Tanda Kode Revisi]]),CONCATENATE(Q304,S304,U304,W304,Y304,AA304,AC304,AG304))</f>
        <v>A1123002012510</v>
      </c>
      <c r="M304" s="11">
        <f t="shared" si="12"/>
        <v>14</v>
      </c>
      <c r="N304" s="14" t="str">
        <f>IF(AF304&lt;&gt;"",TRIM(UPPER(CONCATENATE(P304," ",R304," ",T304," ",V304," ",X304," ",Z304," ","X"," ",Table43[[#This Row],[ISI/CTN]]," ",AF304," ",AB304," ",AD304," ",AH304))),TRIM(UPPER(CONCATENATE(P304," ",R304," ",T304," ",V304," ",X304," ",Z304," ","X"," ",Table43[[#This Row],[ISI/CTN]]," ",AB304," ",AD304," ",AH304))))</f>
        <v>ABC SAMBAL HEINZ MEXICAN CHILI 125 GR X 48 PCH</v>
      </c>
      <c r="O304" s="11">
        <f t="shared" si="13"/>
        <v>46</v>
      </c>
      <c r="P304" s="4" t="s">
        <v>28</v>
      </c>
      <c r="Q304" s="7" t="s">
        <v>85</v>
      </c>
      <c r="R304" s="4" t="s">
        <v>603</v>
      </c>
      <c r="S304" s="43">
        <v>12</v>
      </c>
      <c r="T304" s="44" t="s">
        <v>597</v>
      </c>
      <c r="U304" s="7">
        <v>3</v>
      </c>
      <c r="V304" s="44"/>
      <c r="W304" s="43" t="s">
        <v>1</v>
      </c>
      <c r="X304" s="4" t="s">
        <v>643</v>
      </c>
      <c r="Y304" s="45" t="s">
        <v>31</v>
      </c>
      <c r="Z304" s="4" t="s">
        <v>599</v>
      </c>
      <c r="AA304" s="45" t="s">
        <v>600</v>
      </c>
      <c r="AB304" s="4" t="s">
        <v>479</v>
      </c>
      <c r="AC304" s="7" t="s">
        <v>480</v>
      </c>
      <c r="AE304" s="7" t="s">
        <v>1</v>
      </c>
      <c r="AI304" s="7" t="s">
        <v>215</v>
      </c>
      <c r="AJ304" s="7">
        <v>1</v>
      </c>
      <c r="AL304" s="40">
        <f>Table43[[#This Row],[Harga Jual Pcs GT
(-PPN)]]-(Table43[[#This Row],[Harga Jual Pcs GT
(-PPN)]]*6%)</f>
        <v>6053.0360000000001</v>
      </c>
      <c r="AM304" s="41">
        <f>Table43[[#This Row],[Harga Beli Pcs
(-PPN)]]*Table43[[#This Row],[ISI/CTN]]</f>
        <v>290545.728</v>
      </c>
      <c r="AN304" s="41">
        <f>Table43[[#This Row],[Harga Beli Pcs
(-PPN)]]*1.11</f>
        <v>6718.8699600000009</v>
      </c>
      <c r="AO304" s="41">
        <f>Table43[[#This Row],[Harga Beli Krt
(- PPN)]]*1.11</f>
        <v>322505.75808000006</v>
      </c>
      <c r="AP304" s="41">
        <v>6439.4</v>
      </c>
      <c r="AQ304" s="41">
        <f>Table43[[#This Row],[Harga Jual Pcs GT
(-PPN)]]*Table43[[#This Row],[ISI/CTN]]</f>
        <v>309091.19999999995</v>
      </c>
      <c r="AR304" s="41">
        <f>Table43[[#This Row],[Harga Jual Pcs GT
(-PPN)]]*1.11</f>
        <v>7147.7340000000004</v>
      </c>
      <c r="AS304" s="41">
        <f>Table43[[#This Row],[Harga Jual Krt GT
(- PPN)]]*1.11</f>
        <v>343091.23199999996</v>
      </c>
      <c r="AT304" s="41">
        <v>6954.5475000000006</v>
      </c>
      <c r="AU304" s="41">
        <f>(Table43[[#This Row],[Harga Jual Pcs MT
(-PPN)]]*Table43[[#This Row],[ISI/CTN]])</f>
        <v>333818.28000000003</v>
      </c>
      <c r="AV304" s="41">
        <f>Table43[[#This Row],[Harga Jual Pcs MT
(-PPN)]]*1.11</f>
        <v>7719.5477250000013</v>
      </c>
      <c r="AW304" s="41">
        <f>Table43[[#This Row],[Harga Jual Pcs MT
(+PPN)]]*Table43[[#This Row],[ISI/CTN]]</f>
        <v>370538.29080000008</v>
      </c>
      <c r="AX304" s="41"/>
      <c r="AY304" s="46">
        <v>45553</v>
      </c>
      <c r="AZ304" s="54">
        <v>45553</v>
      </c>
      <c r="BA304" s="7" t="str">
        <f ca="1">IF(TODAY()-Table43[[#This Row],[Efektif
Pembuatan]]&gt;60,"Lama","Baru")</f>
        <v>Lama</v>
      </c>
      <c r="BB304" s="7" t="str">
        <f ca="1">IF(TODAY()-Table43[[#This Row],[Efektif Naik Harga]]&lt;30,"Naik","Sama")</f>
        <v>Sama</v>
      </c>
      <c r="BC304" s="7" t="s">
        <v>235</v>
      </c>
      <c r="BD304" s="7" t="str">
        <f>IF(Table43[[#This Row],[Kode BARANG Win2]]&lt;&gt;"","IDR","")</f>
        <v>IDR</v>
      </c>
      <c r="BE304" s="7" t="str">
        <f>CONCATENATE(Table43[[#This Row],[kode  1 Digit
(Nomor)]],Table43[[#This Row],[kode  4 Digit                (Nomor)]])</f>
        <v>10125</v>
      </c>
      <c r="BF304" s="7" t="str">
        <f>Table43[[#This Row],[Nama            Gramasi atau Jumlah Pack per CTN]]</f>
        <v>125 GR</v>
      </c>
      <c r="BG304" s="7" t="s">
        <v>653</v>
      </c>
      <c r="BH304" s="51" t="s">
        <v>654</v>
      </c>
      <c r="BI304" s="4" t="str">
        <f>IF(Table43[[#This Row],[SATUAN Fix Win]]&lt;&gt;"","KRT")</f>
        <v>KRT</v>
      </c>
      <c r="BJ304" s="4" t="str">
        <f>IF(Table43[[#This Row],[SATUAN Fix Win]]&lt;&gt;"","GD01")</f>
        <v>GD01</v>
      </c>
      <c r="BK304" s="4">
        <f>IF(Table43[[#This Row],[SATUAN Fix Win]]&lt;&gt;"",11611)</f>
        <v>11611</v>
      </c>
      <c r="BL304" s="4">
        <f>IF(Table43[[#This Row],[SATUAN Fix Win]]&lt;&gt;"",11612)</f>
        <v>11612</v>
      </c>
      <c r="BM304" s="47" t="s">
        <v>655</v>
      </c>
      <c r="BN304" s="4">
        <f>IF(Table43[[#This Row],[SATUAN Fix Win]]&lt;&gt;"",1)</f>
        <v>1</v>
      </c>
      <c r="BO304" s="4" t="s">
        <v>656</v>
      </c>
      <c r="BP304" s="4">
        <f>IFERROR(VLOOKUP(Table43[[#This Row],[Kode Pcpl]],'[1]HEINZ ABC'!$A$4:$E$112,8,0),0)</f>
        <v>0</v>
      </c>
      <c r="BQ304" s="55">
        <f>Table43[[#This Row],[Harga Jual Pcs GT
(-PPN)]]-Table43[[#This Row],[HARGA NAIK GT]]</f>
        <v>6439.4</v>
      </c>
      <c r="BR304" s="4">
        <f>IF(Table43[[#This Row],[HARGA NAIK GT]]=0,Table43[[#This Row],[Harga Jual Pcs GT
(-PPN)]],Table43[[#This Row],[HARGA NAIK GT]])</f>
        <v>6439.4</v>
      </c>
      <c r="BS304">
        <f>IFERROR(VLOOKUP(Table43[[#This Row],[Kode Pcpl]],'[1]HEINZ ABC'!$A$4:$E$112,8,0),0)</f>
        <v>0</v>
      </c>
      <c r="BT304" s="58">
        <f>Table43[[#This Row],[Harga Jual Pcs GT
(-PPN)]]-BS304</f>
        <v>6439.4</v>
      </c>
      <c r="BU304">
        <f>IF(BS304=0,Table43[[#This Row],[Harga Jual Pcs MT
(-PPN)]])</f>
        <v>6954.5475000000006</v>
      </c>
      <c r="BV304">
        <f>IFERROR(VLOOKUP(Table43[[#This Row],[Kode Pcpl]],[2]Pricelist!$A$4:$K$112,11,0),0)</f>
        <v>0</v>
      </c>
      <c r="BW304">
        <f>IFERROR(VLOOKUP(Table43[[#This Row],[Kode BARANG Win2]],[3]!RECKITT211216[[KDBRG]:[HRG_JL_PCS-PPN]],11,0),0)</f>
        <v>0</v>
      </c>
      <c r="BX304">
        <f t="shared" si="14"/>
        <v>0</v>
      </c>
    </row>
    <row r="305" spans="1:76" x14ac:dyDescent="0.25">
      <c r="A305" s="4" t="str">
        <f>CONCATENATE(Table43[[#This Row],[Kode BARANG Win2]],Table43[[#This Row],[No. Urut
Item Sama]])</f>
        <v>A11230030125101</v>
      </c>
      <c r="B305" s="7">
        <v>1</v>
      </c>
      <c r="C305" s="4">
        <v>274</v>
      </c>
      <c r="D305" s="27">
        <v>150219</v>
      </c>
      <c r="E305" s="27" t="s">
        <v>381</v>
      </c>
      <c r="F305" s="27" t="s">
        <v>469</v>
      </c>
      <c r="G305" s="27">
        <v>48</v>
      </c>
      <c r="H305" s="42">
        <v>0</v>
      </c>
      <c r="I305" s="27" t="str">
        <f>Table43[[#This Row],[Nama Jenis Kemasan]]</f>
        <v>PCH</v>
      </c>
      <c r="J305" s="4" t="str">
        <f>TRIM(CONCATENATE(Table43[[#This Row],[Nama            KLP]]," ",Table43[[#This Row],[Nama            Sub KLP]]))</f>
        <v>SAMBAL HEINZ</v>
      </c>
      <c r="K305" s="4" t="str">
        <f>CONCATENATE(Table43[[#This Row],[kode  2 Digit                (hrf+No)]],Table43[[#This Row],[kode  2 Digit                (Nomor)]],Table43[[#This Row],[kode  1 Digit                (Nomor)]])</f>
        <v>A1123</v>
      </c>
      <c r="L305" s="4" t="str">
        <f>IF(AG305="",CONCATENATE(Q305,S305,U305,W305,Y305,AA305,AC305,AE305,Table43[[#This Row],[Tanda Kode Revisi]]),CONCATENATE(Q305,S305,U305,W305,Y305,AA305,AC305,AG305))</f>
        <v>A1123003012510</v>
      </c>
      <c r="M305" s="11">
        <f t="shared" si="12"/>
        <v>14</v>
      </c>
      <c r="N305" s="14" t="str">
        <f>IF(AF305&lt;&gt;"",TRIM(UPPER(CONCATENATE(P305," ",R305," ",T305," ",V305," ",X305," ",Z305," ","X"," ",Table43[[#This Row],[ISI/CTN]]," ",AF305," ",AB305," ",AD305," ",AH305))),TRIM(UPPER(CONCATENATE(P305," ",R305," ",T305," ",V305," ",X305," ",Z305," ","X"," ",Table43[[#This Row],[ISI/CTN]]," ",AB305," ",AD305," ",AH305))))</f>
        <v>ABC SAMBAL HEINZ KOREAN CHILI 125 GR X 48 PCH</v>
      </c>
      <c r="O305" s="11">
        <f t="shared" si="13"/>
        <v>45</v>
      </c>
      <c r="P305" s="4" t="s">
        <v>28</v>
      </c>
      <c r="Q305" s="7" t="s">
        <v>85</v>
      </c>
      <c r="R305" s="4" t="s">
        <v>603</v>
      </c>
      <c r="S305" s="43">
        <v>12</v>
      </c>
      <c r="T305" s="44" t="s">
        <v>597</v>
      </c>
      <c r="U305" s="7">
        <v>3</v>
      </c>
      <c r="V305" s="44"/>
      <c r="W305" s="43" t="s">
        <v>1</v>
      </c>
      <c r="X305" s="4" t="s">
        <v>644</v>
      </c>
      <c r="Y305" s="45" t="s">
        <v>219</v>
      </c>
      <c r="Z305" s="4" t="s">
        <v>599</v>
      </c>
      <c r="AA305" s="45" t="s">
        <v>600</v>
      </c>
      <c r="AB305" s="4" t="s">
        <v>479</v>
      </c>
      <c r="AC305" s="7" t="s">
        <v>480</v>
      </c>
      <c r="AE305" s="7" t="s">
        <v>1</v>
      </c>
      <c r="AI305" s="7" t="s">
        <v>215</v>
      </c>
      <c r="AJ305" s="7">
        <v>1</v>
      </c>
      <c r="AL305" s="40">
        <f>Table43[[#This Row],[Harga Jual Pcs GT
(-PPN)]]-(Table43[[#This Row],[Harga Jual Pcs GT
(-PPN)]]*6%)</f>
        <v>6053.0360000000001</v>
      </c>
      <c r="AM305" s="41">
        <f>Table43[[#This Row],[Harga Beli Pcs
(-PPN)]]*Table43[[#This Row],[ISI/CTN]]</f>
        <v>290545.728</v>
      </c>
      <c r="AN305" s="41">
        <f>Table43[[#This Row],[Harga Beli Pcs
(-PPN)]]*1.11</f>
        <v>6718.8699600000009</v>
      </c>
      <c r="AO305" s="41">
        <f>Table43[[#This Row],[Harga Beli Krt
(- PPN)]]*1.11</f>
        <v>322505.75808000006</v>
      </c>
      <c r="AP305" s="41">
        <v>6439.4</v>
      </c>
      <c r="AQ305" s="41">
        <f>Table43[[#This Row],[Harga Jual Pcs GT
(-PPN)]]*Table43[[#This Row],[ISI/CTN]]</f>
        <v>309091.19999999995</v>
      </c>
      <c r="AR305" s="41">
        <f>Table43[[#This Row],[Harga Jual Pcs GT
(-PPN)]]*1.11</f>
        <v>7147.7340000000004</v>
      </c>
      <c r="AS305" s="41">
        <f>Table43[[#This Row],[Harga Jual Krt GT
(- PPN)]]*1.11</f>
        <v>343091.23199999996</v>
      </c>
      <c r="AT305" s="41">
        <v>6954.5475000000006</v>
      </c>
      <c r="AU305" s="41">
        <f>(Table43[[#This Row],[Harga Jual Pcs MT
(-PPN)]]*Table43[[#This Row],[ISI/CTN]])</f>
        <v>333818.28000000003</v>
      </c>
      <c r="AV305" s="41">
        <f>Table43[[#This Row],[Harga Jual Pcs MT
(-PPN)]]*1.11</f>
        <v>7719.5477250000013</v>
      </c>
      <c r="AW305" s="41">
        <f>Table43[[#This Row],[Harga Jual Pcs MT
(+PPN)]]*Table43[[#This Row],[ISI/CTN]]</f>
        <v>370538.29080000008</v>
      </c>
      <c r="AX305" s="41"/>
      <c r="AY305" s="46">
        <v>45553</v>
      </c>
      <c r="AZ305" s="54">
        <v>45553</v>
      </c>
      <c r="BA305" s="7" t="str">
        <f ca="1">IF(TODAY()-Table43[[#This Row],[Efektif
Pembuatan]]&gt;60,"Lama","Baru")</f>
        <v>Lama</v>
      </c>
      <c r="BB305" s="7" t="str">
        <f ca="1">IF(TODAY()-Table43[[#This Row],[Efektif Naik Harga]]&lt;30,"Naik","Sama")</f>
        <v>Sama</v>
      </c>
      <c r="BC305" s="7" t="s">
        <v>235</v>
      </c>
      <c r="BD305" s="7" t="str">
        <f>IF(Table43[[#This Row],[Kode BARANG Win2]]&lt;&gt;"","IDR","")</f>
        <v>IDR</v>
      </c>
      <c r="BE305" s="7" t="str">
        <f>CONCATENATE(Table43[[#This Row],[kode  1 Digit
(Nomor)]],Table43[[#This Row],[kode  4 Digit                (Nomor)]])</f>
        <v>10125</v>
      </c>
      <c r="BF305" s="7" t="str">
        <f>Table43[[#This Row],[Nama            Gramasi atau Jumlah Pack per CTN]]</f>
        <v>125 GR</v>
      </c>
      <c r="BG305" s="7" t="s">
        <v>653</v>
      </c>
      <c r="BH305" s="51" t="s">
        <v>654</v>
      </c>
      <c r="BI305" s="4" t="str">
        <f>IF(Table43[[#This Row],[SATUAN Fix Win]]&lt;&gt;"","KRT")</f>
        <v>KRT</v>
      </c>
      <c r="BJ305" s="4" t="str">
        <f>IF(Table43[[#This Row],[SATUAN Fix Win]]&lt;&gt;"","GD01")</f>
        <v>GD01</v>
      </c>
      <c r="BK305" s="4">
        <f>IF(Table43[[#This Row],[SATUAN Fix Win]]&lt;&gt;"",11611)</f>
        <v>11611</v>
      </c>
      <c r="BL305" s="4">
        <f>IF(Table43[[#This Row],[SATUAN Fix Win]]&lt;&gt;"",11612)</f>
        <v>11612</v>
      </c>
      <c r="BM305" s="47" t="s">
        <v>655</v>
      </c>
      <c r="BN305" s="4">
        <f>IF(Table43[[#This Row],[SATUAN Fix Win]]&lt;&gt;"",1)</f>
        <v>1</v>
      </c>
      <c r="BO305" s="4" t="s">
        <v>656</v>
      </c>
      <c r="BP305" s="4">
        <f>IFERROR(VLOOKUP(Table43[[#This Row],[Kode Pcpl]],'[1]HEINZ ABC'!$A$4:$E$112,8,0),0)</f>
        <v>0</v>
      </c>
      <c r="BQ305" s="55">
        <f>Table43[[#This Row],[Harga Jual Pcs GT
(-PPN)]]-Table43[[#This Row],[HARGA NAIK GT]]</f>
        <v>6439.4</v>
      </c>
      <c r="BR305" s="4">
        <f>IF(Table43[[#This Row],[HARGA NAIK GT]]=0,Table43[[#This Row],[Harga Jual Pcs GT
(-PPN)]],Table43[[#This Row],[HARGA NAIK GT]])</f>
        <v>6439.4</v>
      </c>
      <c r="BS305">
        <f>IFERROR(VLOOKUP(Table43[[#This Row],[Kode Pcpl]],'[1]HEINZ ABC'!$A$4:$E$112,8,0),0)</f>
        <v>0</v>
      </c>
      <c r="BT305" s="58">
        <f>Table43[[#This Row],[Harga Jual Pcs GT
(-PPN)]]-BS305</f>
        <v>6439.4</v>
      </c>
      <c r="BU305">
        <f>IF(BS305=0,Table43[[#This Row],[Harga Jual Pcs MT
(-PPN)]])</f>
        <v>6954.5475000000006</v>
      </c>
      <c r="BV305">
        <f>IFERROR(VLOOKUP(Table43[[#This Row],[Kode Pcpl]],[2]Pricelist!$A$4:$K$112,11,0),0)</f>
        <v>0</v>
      </c>
      <c r="BW305">
        <f>IFERROR(VLOOKUP(Table43[[#This Row],[Kode BARANG Win2]],[3]!RECKITT211216[[KDBRG]:[HRG_JL_PCS-PPN]],11,0),0)</f>
        <v>0</v>
      </c>
      <c r="BX305">
        <f t="shared" si="14"/>
        <v>0</v>
      </c>
    </row>
    <row r="306" spans="1:76" x14ac:dyDescent="0.25">
      <c r="A306" s="4" t="str">
        <f>CONCATENATE(Table43[[#This Row],[Kode BARANG Win2]],Table43[[#This Row],[No. Urut
Item Sama]])</f>
        <v>A11240010135101</v>
      </c>
      <c r="B306" s="7">
        <v>1</v>
      </c>
      <c r="C306" s="4">
        <v>275</v>
      </c>
      <c r="D306" s="27">
        <v>150159</v>
      </c>
      <c r="E306" s="27" t="s">
        <v>381</v>
      </c>
      <c r="F306" s="27" t="s">
        <v>470</v>
      </c>
      <c r="G306" s="27">
        <v>48</v>
      </c>
      <c r="H306" s="42">
        <v>0</v>
      </c>
      <c r="I306" s="27" t="str">
        <f>Table43[[#This Row],[Nama Jenis Kemasan]]</f>
        <v>BTL</v>
      </c>
      <c r="J306" s="4" t="str">
        <f>TRIM(CONCATENATE(Table43[[#This Row],[Nama            KLP]]," ",Table43[[#This Row],[Nama            Sub KLP]]))</f>
        <v>SAMBAL FRUITY</v>
      </c>
      <c r="K306" s="4" t="str">
        <f>CONCATENATE(Table43[[#This Row],[kode  2 Digit                (hrf+No)]],Table43[[#This Row],[kode  2 Digit                (Nomor)]],Table43[[#This Row],[kode  1 Digit                (Nomor)]])</f>
        <v>A1124</v>
      </c>
      <c r="L306" s="4" t="str">
        <f>IF(AG306="",CONCATENATE(Q306,S306,U306,W306,Y306,AA306,AC306,AE306,Table43[[#This Row],[Tanda Kode Revisi]]),CONCATENATE(Q306,S306,U306,W306,Y306,AA306,AC306,AG306))</f>
        <v>A1124001013510</v>
      </c>
      <c r="M306" s="11">
        <f t="shared" si="12"/>
        <v>14</v>
      </c>
      <c r="N306" s="14" t="str">
        <f>IF(AF306&lt;&gt;"",TRIM(UPPER(CONCATENATE(P306," ",R306," ",T306," ",V306," ",X306," ",Z306," ","X"," ",Table43[[#This Row],[ISI/CTN]]," ",AF306," ",AB306," ",AD306," ",AH306))),TRIM(UPPER(CONCATENATE(P306," ",R306," ",T306," ",V306," ",X306," ",Z306," ","X"," ",Table43[[#This Row],[ISI/CTN]]," ",AB306," ",AD306," ",AH306))))</f>
        <v>ABC SAMBAL FRUITY NANAS JERUK 135 ML X 48 BTL</v>
      </c>
      <c r="O306" s="11">
        <f t="shared" si="13"/>
        <v>45</v>
      </c>
      <c r="P306" s="4" t="s">
        <v>28</v>
      </c>
      <c r="Q306" s="7" t="s">
        <v>85</v>
      </c>
      <c r="R306" s="4" t="s">
        <v>603</v>
      </c>
      <c r="S306" s="43">
        <v>12</v>
      </c>
      <c r="T306" s="44" t="s">
        <v>555</v>
      </c>
      <c r="U306" s="7">
        <v>4</v>
      </c>
      <c r="V306" s="44"/>
      <c r="W306" s="43" t="s">
        <v>1</v>
      </c>
      <c r="X306" s="4" t="s">
        <v>645</v>
      </c>
      <c r="Y306" s="45" t="s">
        <v>0</v>
      </c>
      <c r="Z306" s="4" t="s">
        <v>484</v>
      </c>
      <c r="AA306" s="45" t="s">
        <v>487</v>
      </c>
      <c r="AB306" s="4" t="s">
        <v>486</v>
      </c>
      <c r="AC306" s="7" t="s">
        <v>480</v>
      </c>
      <c r="AE306" s="7" t="s">
        <v>1</v>
      </c>
      <c r="AI306" s="7" t="s">
        <v>214</v>
      </c>
      <c r="AJ306" s="7">
        <v>2</v>
      </c>
      <c r="AL306" s="40">
        <f>Table43[[#This Row],[Harga Jual Pcs GT
(-PPN)]]-(Table43[[#This Row],[Harga Jual Pcs GT
(-PPN)]]*6%)</f>
        <v>5725.4553999999998</v>
      </c>
      <c r="AM306" s="41">
        <f>Table43[[#This Row],[Harga Beli Pcs
(-PPN)]]*Table43[[#This Row],[ISI/CTN]]</f>
        <v>274821.85920000001</v>
      </c>
      <c r="AN306" s="41">
        <f>Table43[[#This Row],[Harga Beli Pcs
(-PPN)]]*1.11</f>
        <v>6355.255494</v>
      </c>
      <c r="AO306" s="41">
        <f>Table43[[#This Row],[Harga Beli Krt
(- PPN)]]*1.11</f>
        <v>305052.26371200004</v>
      </c>
      <c r="AP306" s="41">
        <v>6090.91</v>
      </c>
      <c r="AQ306" s="41">
        <f>Table43[[#This Row],[Harga Jual Pcs GT
(-PPN)]]*Table43[[#This Row],[ISI/CTN]]</f>
        <v>292363.68</v>
      </c>
      <c r="AR306" s="41">
        <f>Table43[[#This Row],[Harga Jual Pcs GT
(-PPN)]]*1.11</f>
        <v>6760.9101000000001</v>
      </c>
      <c r="AS306" s="41">
        <f>Table43[[#This Row],[Harga Jual Krt GT
(- PPN)]]*1.11</f>
        <v>324523.68480000005</v>
      </c>
      <c r="AT306" s="41">
        <v>0</v>
      </c>
      <c r="AU306" s="41">
        <f>(Table43[[#This Row],[Harga Jual Pcs MT
(-PPN)]]*Table43[[#This Row],[ISI/CTN]])</f>
        <v>0</v>
      </c>
      <c r="AV306" s="41">
        <f>Table43[[#This Row],[Harga Jual Pcs MT
(-PPN)]]*1.11</f>
        <v>0</v>
      </c>
      <c r="AW306" s="41">
        <f>Table43[[#This Row],[Harga Jual Pcs MT
(+PPN)]]*Table43[[#This Row],[ISI/CTN]]</f>
        <v>0</v>
      </c>
      <c r="AX306" s="41"/>
      <c r="AY306" s="46">
        <v>45553</v>
      </c>
      <c r="AZ306" s="54">
        <v>45553</v>
      </c>
      <c r="BA306" s="7" t="str">
        <f ca="1">IF(TODAY()-Table43[[#This Row],[Efektif
Pembuatan]]&gt;60,"Lama","Baru")</f>
        <v>Lama</v>
      </c>
      <c r="BB306" s="7" t="str">
        <f ca="1">IF(TODAY()-Table43[[#This Row],[Efektif Naik Harga]]&lt;30,"Naik","Sama")</f>
        <v>Sama</v>
      </c>
      <c r="BC306" s="7" t="s">
        <v>235</v>
      </c>
      <c r="BD306" s="7" t="str">
        <f>IF(Table43[[#This Row],[Kode BARANG Win2]]&lt;&gt;"","IDR","")</f>
        <v>IDR</v>
      </c>
      <c r="BE306" s="7" t="str">
        <f>CONCATENATE(Table43[[#This Row],[kode  1 Digit
(Nomor)]],Table43[[#This Row],[kode  4 Digit                (Nomor)]])</f>
        <v>20135</v>
      </c>
      <c r="BF306" s="7" t="str">
        <f>Table43[[#This Row],[Nama            Gramasi atau Jumlah Pack per CTN]]</f>
        <v>135 ML</v>
      </c>
      <c r="BG306" s="7" t="s">
        <v>653</v>
      </c>
      <c r="BH306" s="51" t="s">
        <v>654</v>
      </c>
      <c r="BI306" s="4" t="str">
        <f>IF(Table43[[#This Row],[SATUAN Fix Win]]&lt;&gt;"","KRT")</f>
        <v>KRT</v>
      </c>
      <c r="BJ306" s="4" t="str">
        <f>IF(Table43[[#This Row],[SATUAN Fix Win]]&lt;&gt;"","GD01")</f>
        <v>GD01</v>
      </c>
      <c r="BK306" s="4">
        <f>IF(Table43[[#This Row],[SATUAN Fix Win]]&lt;&gt;"",11611)</f>
        <v>11611</v>
      </c>
      <c r="BL306" s="4">
        <f>IF(Table43[[#This Row],[SATUAN Fix Win]]&lt;&gt;"",11612)</f>
        <v>11612</v>
      </c>
      <c r="BM306" s="47" t="s">
        <v>655</v>
      </c>
      <c r="BN306" s="4">
        <f>IF(Table43[[#This Row],[SATUAN Fix Win]]&lt;&gt;"",1)</f>
        <v>1</v>
      </c>
      <c r="BO306" s="4" t="s">
        <v>656</v>
      </c>
      <c r="BP306" s="4">
        <f>IFERROR(VLOOKUP(Table43[[#This Row],[Kode Pcpl]],'[1]HEINZ ABC'!$A$4:$E$112,8,0),0)</f>
        <v>0</v>
      </c>
      <c r="BQ306" s="55">
        <f>Table43[[#This Row],[Harga Jual Pcs GT
(-PPN)]]-Table43[[#This Row],[HARGA NAIK GT]]</f>
        <v>6090.91</v>
      </c>
      <c r="BR306" s="4">
        <f>IF(Table43[[#This Row],[HARGA NAIK GT]]=0,Table43[[#This Row],[Harga Jual Pcs GT
(-PPN)]],Table43[[#This Row],[HARGA NAIK GT]])</f>
        <v>6090.91</v>
      </c>
      <c r="BS306">
        <f>IFERROR(VLOOKUP(Table43[[#This Row],[Kode Pcpl]],'[1]HEINZ ABC'!$A$4:$E$112,8,0),0)</f>
        <v>0</v>
      </c>
      <c r="BT306" s="58">
        <f>Table43[[#This Row],[Harga Jual Pcs GT
(-PPN)]]-BS306</f>
        <v>6090.91</v>
      </c>
      <c r="BU306">
        <f>IF(BS306=0,Table43[[#This Row],[Harga Jual Pcs MT
(-PPN)]])</f>
        <v>0</v>
      </c>
      <c r="BV306">
        <f>IFERROR(VLOOKUP(Table43[[#This Row],[Kode Pcpl]],[2]Pricelist!$A$4:$K$112,11,0),0)</f>
        <v>0</v>
      </c>
      <c r="BW306">
        <f>IFERROR(VLOOKUP(Table43[[#This Row],[Kode BARANG Win2]],[3]!RECKITT211216[[KDBRG]:[HRG_JL_PCS-PPN]],11,0),0)</f>
        <v>0</v>
      </c>
      <c r="BX306">
        <f t="shared" si="14"/>
        <v>0</v>
      </c>
    </row>
    <row r="307" spans="1:76" x14ac:dyDescent="0.25">
      <c r="A307" s="4" t="str">
        <f>CONCATENATE(Table43[[#This Row],[Kode BARANG Win2]],Table43[[#This Row],[No. Urut
Item Sama]])</f>
        <v>A11240020135101</v>
      </c>
      <c r="B307" s="7">
        <v>1</v>
      </c>
      <c r="C307" s="4">
        <v>276</v>
      </c>
      <c r="D307" s="27">
        <v>150184</v>
      </c>
      <c r="E307" s="27" t="s">
        <v>381</v>
      </c>
      <c r="F307" s="27" t="s">
        <v>471</v>
      </c>
      <c r="G307" s="27">
        <v>48</v>
      </c>
      <c r="H307" s="42">
        <v>0</v>
      </c>
      <c r="I307" s="27" t="str">
        <f>Table43[[#This Row],[Nama Jenis Kemasan]]</f>
        <v>BTL</v>
      </c>
      <c r="J307" s="4" t="str">
        <f>TRIM(CONCATENATE(Table43[[#This Row],[Nama            KLP]]," ",Table43[[#This Row],[Nama            Sub KLP]]))</f>
        <v>SAMBAL FRUITY</v>
      </c>
      <c r="K307" s="4" t="str">
        <f>CONCATENATE(Table43[[#This Row],[kode  2 Digit                (hrf+No)]],Table43[[#This Row],[kode  2 Digit                (Nomor)]],Table43[[#This Row],[kode  1 Digit                (Nomor)]])</f>
        <v>A1124</v>
      </c>
      <c r="L307" s="4" t="str">
        <f>IF(AG307="",CONCATENATE(Q307,S307,U307,W307,Y307,AA307,AC307,AE307,Table43[[#This Row],[Tanda Kode Revisi]]),CONCATENATE(Q307,S307,U307,W307,Y307,AA307,AC307,AG307))</f>
        <v>A1124002013510</v>
      </c>
      <c r="M307" s="11">
        <f t="shared" si="12"/>
        <v>14</v>
      </c>
      <c r="N307" s="14" t="str">
        <f>IF(AF307&lt;&gt;"",TRIM(UPPER(CONCATENATE(P307," ",R307," ",T307," ",V307," ",X307," ",Z307," ","X"," ",Table43[[#This Row],[ISI/CTN]]," ",AF307," ",AB307," ",AD307," ",AH307))),TRIM(UPPER(CONCATENATE(P307," ",R307," ",T307," ",V307," ",X307," ",Z307," ","X"," ",Table43[[#This Row],[ISI/CTN]]," ",AB307," ",AD307," ",AH307))))</f>
        <v>ABC SAMBAL FRUITY APEL MANGGA 135 ML X 48 BTL</v>
      </c>
      <c r="O307" s="11">
        <f t="shared" si="13"/>
        <v>45</v>
      </c>
      <c r="P307" s="4" t="s">
        <v>28</v>
      </c>
      <c r="Q307" s="7" t="s">
        <v>85</v>
      </c>
      <c r="R307" s="4" t="s">
        <v>603</v>
      </c>
      <c r="S307" s="43">
        <v>12</v>
      </c>
      <c r="T307" s="44" t="s">
        <v>555</v>
      </c>
      <c r="U307" s="7">
        <v>4</v>
      </c>
      <c r="V307" s="44"/>
      <c r="W307" s="43" t="s">
        <v>1</v>
      </c>
      <c r="X307" s="4" t="s">
        <v>646</v>
      </c>
      <c r="Y307" s="45" t="s">
        <v>31</v>
      </c>
      <c r="Z307" s="4" t="s">
        <v>484</v>
      </c>
      <c r="AA307" s="45" t="s">
        <v>487</v>
      </c>
      <c r="AB307" s="4" t="s">
        <v>486</v>
      </c>
      <c r="AC307" s="7" t="s">
        <v>480</v>
      </c>
      <c r="AE307" s="7" t="s">
        <v>1</v>
      </c>
      <c r="AI307" s="7" t="s">
        <v>214</v>
      </c>
      <c r="AJ307" s="7">
        <v>2</v>
      </c>
      <c r="AL307" s="40">
        <f>Table43[[#This Row],[Harga Jual Pcs GT
(-PPN)]]-(Table43[[#This Row],[Harga Jual Pcs GT
(-PPN)]]*6%)</f>
        <v>0</v>
      </c>
      <c r="AM307" s="41">
        <f>Table43[[#This Row],[Harga Beli Pcs
(-PPN)]]*Table43[[#This Row],[ISI/CTN]]</f>
        <v>0</v>
      </c>
      <c r="AN307" s="41">
        <f>Table43[[#This Row],[Harga Beli Pcs
(-PPN)]]*1.11</f>
        <v>0</v>
      </c>
      <c r="AO307" s="41">
        <f>Table43[[#This Row],[Harga Beli Krt
(- PPN)]]*1.11</f>
        <v>0</v>
      </c>
      <c r="AP307" s="41">
        <v>0</v>
      </c>
      <c r="AQ307" s="41">
        <f>Table43[[#This Row],[Harga Jual Pcs GT
(-PPN)]]*Table43[[#This Row],[ISI/CTN]]</f>
        <v>0</v>
      </c>
      <c r="AR307" s="41">
        <f>Table43[[#This Row],[Harga Jual Pcs GT
(-PPN)]]*1.11</f>
        <v>0</v>
      </c>
      <c r="AS307" s="41">
        <f>Table43[[#This Row],[Harga Jual Krt GT
(- PPN)]]*1.11</f>
        <v>0</v>
      </c>
      <c r="AT307" s="41">
        <v>0</v>
      </c>
      <c r="AU307" s="41">
        <f>(Table43[[#This Row],[Harga Jual Pcs MT
(-PPN)]]*Table43[[#This Row],[ISI/CTN]])</f>
        <v>0</v>
      </c>
      <c r="AV307" s="41">
        <f>Table43[[#This Row],[Harga Jual Pcs MT
(-PPN)]]*1.11</f>
        <v>0</v>
      </c>
      <c r="AW307" s="41">
        <f>Table43[[#This Row],[Harga Jual Pcs MT
(+PPN)]]*Table43[[#This Row],[ISI/CTN]]</f>
        <v>0</v>
      </c>
      <c r="AX307" s="41"/>
      <c r="AY307" s="46">
        <v>45553</v>
      </c>
      <c r="AZ307" s="54">
        <v>45553</v>
      </c>
      <c r="BA307" s="7" t="str">
        <f ca="1">IF(TODAY()-Table43[[#This Row],[Efektif
Pembuatan]]&gt;60,"Lama","Baru")</f>
        <v>Lama</v>
      </c>
      <c r="BB307" s="7" t="str">
        <f ca="1">IF(TODAY()-Table43[[#This Row],[Efektif Naik Harga]]&lt;30,"Naik","Sama")</f>
        <v>Sama</v>
      </c>
      <c r="BC307" s="7" t="s">
        <v>235</v>
      </c>
      <c r="BD307" s="7" t="str">
        <f>IF(Table43[[#This Row],[Kode BARANG Win2]]&lt;&gt;"","IDR","")</f>
        <v>IDR</v>
      </c>
      <c r="BE307" s="7" t="str">
        <f>CONCATENATE(Table43[[#This Row],[kode  1 Digit
(Nomor)]],Table43[[#This Row],[kode  4 Digit                (Nomor)]])</f>
        <v>20135</v>
      </c>
      <c r="BF307" s="7" t="str">
        <f>Table43[[#This Row],[Nama            Gramasi atau Jumlah Pack per CTN]]</f>
        <v>135 ML</v>
      </c>
      <c r="BG307" s="7" t="s">
        <v>653</v>
      </c>
      <c r="BH307" s="51" t="s">
        <v>654</v>
      </c>
      <c r="BI307" s="4" t="str">
        <f>IF(Table43[[#This Row],[SATUAN Fix Win]]&lt;&gt;"","KRT")</f>
        <v>KRT</v>
      </c>
      <c r="BJ307" s="4" t="str">
        <f>IF(Table43[[#This Row],[SATUAN Fix Win]]&lt;&gt;"","GD01")</f>
        <v>GD01</v>
      </c>
      <c r="BK307" s="4">
        <f>IF(Table43[[#This Row],[SATUAN Fix Win]]&lt;&gt;"",11611)</f>
        <v>11611</v>
      </c>
      <c r="BL307" s="4">
        <f>IF(Table43[[#This Row],[SATUAN Fix Win]]&lt;&gt;"",11612)</f>
        <v>11612</v>
      </c>
      <c r="BM307" s="47" t="s">
        <v>655</v>
      </c>
      <c r="BN307" s="4">
        <f>IF(Table43[[#This Row],[SATUAN Fix Win]]&lt;&gt;"",1)</f>
        <v>1</v>
      </c>
      <c r="BO307" s="4" t="s">
        <v>656</v>
      </c>
      <c r="BP307" s="4">
        <f>IFERROR(VLOOKUP(Table43[[#This Row],[Kode Pcpl]],'[1]HEINZ ABC'!$A$4:$E$112,8,0),0)</f>
        <v>0</v>
      </c>
      <c r="BQ307" s="55">
        <f>Table43[[#This Row],[Harga Jual Pcs GT
(-PPN)]]-Table43[[#This Row],[HARGA NAIK GT]]</f>
        <v>0</v>
      </c>
      <c r="BR307" s="4">
        <f>IF(Table43[[#This Row],[HARGA NAIK GT]]=0,Table43[[#This Row],[Harga Jual Pcs GT
(-PPN)]],Table43[[#This Row],[HARGA NAIK GT]])</f>
        <v>0</v>
      </c>
      <c r="BS307">
        <f>IFERROR(VLOOKUP(Table43[[#This Row],[Kode Pcpl]],'[1]HEINZ ABC'!$A$4:$E$112,8,0),0)</f>
        <v>0</v>
      </c>
      <c r="BT307" s="58">
        <f>Table43[[#This Row],[Harga Jual Pcs GT
(-PPN)]]-BS307</f>
        <v>0</v>
      </c>
      <c r="BU307">
        <f>IF(BS307=0,Table43[[#This Row],[Harga Jual Pcs MT
(-PPN)]])</f>
        <v>0</v>
      </c>
      <c r="BV307">
        <f>IFERROR(VLOOKUP(Table43[[#This Row],[Kode Pcpl]],[2]Pricelist!$A$4:$K$112,11,0),0)</f>
        <v>0</v>
      </c>
      <c r="BW307">
        <f>IFERROR(VLOOKUP(Table43[[#This Row],[Kode BARANG Win2]],[3]!RECKITT211216[[KDBRG]:[HRG_JL_PCS-PPN]],11,0),0)</f>
        <v>0</v>
      </c>
      <c r="BX307">
        <f t="shared" si="14"/>
        <v>0</v>
      </c>
    </row>
    <row r="308" spans="1:76" x14ac:dyDescent="0.25">
      <c r="A308" s="4" t="str">
        <f>CONCATENATE(Table43[[#This Row],[Kode BARANG Win2]],Table43[[#This Row],[No. Urut
Item Sama]])</f>
        <v>A1130001022011B1</v>
      </c>
      <c r="B308" s="7">
        <v>1</v>
      </c>
      <c r="C308" s="4">
        <v>277</v>
      </c>
      <c r="D308" s="52">
        <v>900005</v>
      </c>
      <c r="E308" s="52" t="s">
        <v>472</v>
      </c>
      <c r="F308" s="52" t="s">
        <v>473</v>
      </c>
      <c r="G308" s="52">
        <v>48</v>
      </c>
      <c r="H308" s="53">
        <v>0</v>
      </c>
      <c r="I308" s="27" t="str">
        <f>Table43[[#This Row],[Nama Jenis Kemasan]]</f>
        <v>CUP</v>
      </c>
      <c r="J308" s="4" t="str">
        <f>TRIM(CONCATENATE(Table43[[#This Row],[Nama            KLP]]," ",Table43[[#This Row],[Nama            Sub KLP]]))</f>
        <v>MINYAK GORENG</v>
      </c>
      <c r="K308" s="4" t="str">
        <f>CONCATENATE(Table43[[#This Row],[kode  2 Digit                (hrf+No)]],Table43[[#This Row],[kode  2 Digit                (Nomor)]],Table43[[#This Row],[kode  1 Digit                (Nomor)]])</f>
        <v>A1130</v>
      </c>
      <c r="L308" s="4" t="str">
        <f>IF(AG308="",CONCATENATE(Q308,S308,U308,W308,Y308,AA308,AC308,AE308,Table43[[#This Row],[Tanda Kode Revisi]]),CONCATENATE(Q308,S308,U308,W308,Y308,AA308,AC308,AG308))</f>
        <v>A1130001022011B</v>
      </c>
      <c r="M308" s="11">
        <f t="shared" si="12"/>
        <v>15</v>
      </c>
      <c r="N308" s="14" t="str">
        <f>IF(AF308&lt;&gt;"",TRIM(UPPER(CONCATENATE(P308," ",R308," ",T308," ",V308," ",X308," ",Z308," ","X"," ",Table43[[#This Row],[ISI/CTN]]," ",AF308," ",AB308," ",AD308," ",AH308))),TRIM(UPPER(CONCATENATE(P308," ",R308," ",T308," ",V308," ",X308," ",Z308," ","X"," ",Table43[[#This Row],[ISI/CTN]]," ",AB308," ",AD308," ",AH308))))</f>
        <v>B&gt; ABC MINYAK GORENG ROSEBRAND 220ML X 48 CUP</v>
      </c>
      <c r="O308" s="11">
        <f t="shared" si="13"/>
        <v>45</v>
      </c>
      <c r="P308" s="4" t="s">
        <v>647</v>
      </c>
      <c r="Q308" s="7" t="s">
        <v>85</v>
      </c>
      <c r="R308" s="4" t="s">
        <v>472</v>
      </c>
      <c r="S308" s="43">
        <v>13</v>
      </c>
      <c r="T308" s="44"/>
      <c r="U308" s="7">
        <v>0</v>
      </c>
      <c r="V308" s="44"/>
      <c r="W308" s="43">
        <v>0</v>
      </c>
      <c r="X308" s="4" t="s">
        <v>648</v>
      </c>
      <c r="Y308" s="45" t="s">
        <v>0</v>
      </c>
      <c r="Z308" s="4" t="s">
        <v>649</v>
      </c>
      <c r="AA308" s="45" t="s">
        <v>650</v>
      </c>
      <c r="AB308" s="4" t="s">
        <v>651</v>
      </c>
      <c r="AC308" s="7">
        <v>1</v>
      </c>
      <c r="AE308" s="7" t="s">
        <v>652</v>
      </c>
      <c r="AI308" s="7" t="s">
        <v>214</v>
      </c>
      <c r="AJ308" s="7">
        <v>2</v>
      </c>
      <c r="AL308" s="40">
        <f>Table43[[#This Row],[Harga Jual Pcs GT
(-PPN)]]-(Table43[[#This Row],[Harga Jual Pcs GT
(-PPN)]]*6%)</f>
        <v>0</v>
      </c>
      <c r="AM308" s="41">
        <f>Table43[[#This Row],[Harga Beli Pcs
(-PPN)]]*Table43[[#This Row],[ISI/CTN]]</f>
        <v>0</v>
      </c>
      <c r="AN308" s="41">
        <f>Table43[[#This Row],[Harga Beli Pcs
(-PPN)]]*1.11</f>
        <v>0</v>
      </c>
      <c r="AO308" s="41">
        <f>Table43[[#This Row],[Harga Beli Krt
(- PPN)]]*1.11</f>
        <v>0</v>
      </c>
      <c r="AP308" s="41">
        <v>0</v>
      </c>
      <c r="AQ308" s="41">
        <f>Table43[[#This Row],[Harga Jual Pcs GT
(-PPN)]]*Table43[[#This Row],[ISI/CTN]]</f>
        <v>0</v>
      </c>
      <c r="AR308" s="41">
        <f>Table43[[#This Row],[Harga Jual Pcs GT
(-PPN)]]*1.11</f>
        <v>0</v>
      </c>
      <c r="AS308" s="41">
        <f>Table43[[#This Row],[Harga Jual Krt GT
(- PPN)]]*1.11</f>
        <v>0</v>
      </c>
      <c r="AT308" s="41">
        <v>0</v>
      </c>
      <c r="AU308" s="41">
        <f>(Table43[[#This Row],[Harga Jual Pcs MT
(-PPN)]]*Table43[[#This Row],[ISI/CTN]])</f>
        <v>0</v>
      </c>
      <c r="AV308" s="41">
        <f>Table43[[#This Row],[Harga Jual Pcs MT
(-PPN)]]*1.11</f>
        <v>0</v>
      </c>
      <c r="AW308" s="41">
        <f>Table43[[#This Row],[Harga Jual Pcs MT
(+PPN)]]*Table43[[#This Row],[ISI/CTN]]</f>
        <v>0</v>
      </c>
      <c r="AX308" s="41"/>
      <c r="AY308" s="46">
        <v>45606</v>
      </c>
      <c r="AZ308" s="54">
        <v>45553</v>
      </c>
      <c r="BA308" s="7" t="str">
        <f ca="1">IF(TODAY()-Table43[[#This Row],[Efektif
Pembuatan]]&gt;60,"Lama","Baru")</f>
        <v>Lama</v>
      </c>
      <c r="BB308" s="7" t="str">
        <f ca="1">IF(TODAY()-Table43[[#This Row],[Efektif Naik Harga]]&lt;30,"Naik","Sama")</f>
        <v>Sama</v>
      </c>
      <c r="BC308" s="7" t="s">
        <v>235</v>
      </c>
      <c r="BD308" s="7" t="str">
        <f>IF(Table43[[#This Row],[Kode BARANG Win2]]&lt;&gt;"","IDR","")</f>
        <v>IDR</v>
      </c>
      <c r="BE308" s="7" t="str">
        <f>CONCATENATE(Table43[[#This Row],[kode  1 Digit
(Nomor)]],Table43[[#This Row],[kode  4 Digit                (Nomor)]])</f>
        <v>20220</v>
      </c>
      <c r="BF308" s="7" t="str">
        <f>Table43[[#This Row],[Nama            Gramasi atau Jumlah Pack per CTN]]</f>
        <v>220ML</v>
      </c>
      <c r="BG308" s="7" t="s">
        <v>653</v>
      </c>
      <c r="BH308" s="51" t="s">
        <v>654</v>
      </c>
      <c r="BI308" s="4" t="str">
        <f>IF(Table43[[#This Row],[SATUAN Fix Win]]&lt;&gt;"","KRT")</f>
        <v>KRT</v>
      </c>
      <c r="BJ308" s="4" t="str">
        <f>IF(Table43[[#This Row],[SATUAN Fix Win]]&lt;&gt;"","GD01")</f>
        <v>GD01</v>
      </c>
      <c r="BK308" s="4">
        <f>IF(Table43[[#This Row],[SATUAN Fix Win]]&lt;&gt;"",11611)</f>
        <v>11611</v>
      </c>
      <c r="BL308" s="4">
        <f>IF(Table43[[#This Row],[SATUAN Fix Win]]&lt;&gt;"",11612)</f>
        <v>11612</v>
      </c>
      <c r="BM308" s="47" t="s">
        <v>655</v>
      </c>
      <c r="BN308" s="4">
        <f>IF(Table43[[#This Row],[SATUAN Fix Win]]&lt;&gt;"",1)</f>
        <v>1</v>
      </c>
      <c r="BO308" s="4" t="s">
        <v>656</v>
      </c>
      <c r="BP308" s="4">
        <f>IFERROR(VLOOKUP(Table43[[#This Row],[Kode Pcpl]],'[1]HEINZ ABC'!$A$4:$E$112,8,0),0)</f>
        <v>0</v>
      </c>
      <c r="BQ308" s="55">
        <f>Table43[[#This Row],[Harga Jual Pcs GT
(-PPN)]]-Table43[[#This Row],[HARGA NAIK GT]]</f>
        <v>0</v>
      </c>
      <c r="BR308" s="4">
        <f>IF(Table43[[#This Row],[HARGA NAIK GT]]=0,Table43[[#This Row],[Harga Jual Pcs GT
(-PPN)]],Table43[[#This Row],[HARGA NAIK GT]])</f>
        <v>0</v>
      </c>
      <c r="BS308">
        <f>IFERROR(VLOOKUP(Table43[[#This Row],[Kode Pcpl]],'[1]HEINZ ABC'!$A$4:$E$112,8,0),0)</f>
        <v>0</v>
      </c>
      <c r="BT308" s="58">
        <f>Table43[[#This Row],[Harga Jual Pcs GT
(-PPN)]]-BS308</f>
        <v>0</v>
      </c>
      <c r="BU308">
        <f>IF(BS308=0,Table43[[#This Row],[Harga Jual Pcs MT
(-PPN)]])</f>
        <v>0</v>
      </c>
      <c r="BV308">
        <f>IFERROR(VLOOKUP(Table43[[#This Row],[Kode Pcpl]],[2]Pricelist!$A$4:$K$112,11,0),0)</f>
        <v>0</v>
      </c>
      <c r="BW308">
        <f>IFERROR(VLOOKUP(Table43[[#This Row],[Kode BARANG Win2]],[3]!RECKITT211216[[KDBRG]:[HRG_JL_PCS-PPN]],11,0),0)</f>
        <v>0</v>
      </c>
      <c r="BX308">
        <f t="shared" si="14"/>
        <v>0</v>
      </c>
    </row>
    <row r="309" spans="1:76" x14ac:dyDescent="0.25">
      <c r="A309" s="4" t="str">
        <f>CONCATENATE(Table43[[#This Row],[Kode BARANG Win2]],Table43[[#This Row],[No. Urut
Item Sama]])</f>
        <v>A1140001000011B1</v>
      </c>
      <c r="B309" s="7">
        <v>1</v>
      </c>
      <c r="C309" s="4">
        <v>278</v>
      </c>
      <c r="D309" s="52">
        <v>900053</v>
      </c>
      <c r="E309" s="52" t="s">
        <v>1002</v>
      </c>
      <c r="F309" s="52" t="s">
        <v>1001</v>
      </c>
      <c r="G309" s="52">
        <v>1</v>
      </c>
      <c r="H309" s="53">
        <v>0</v>
      </c>
      <c r="I309" s="52" t="str">
        <f>Table43[[#This Row],[Nama Jenis Kemasan]]</f>
        <v>PCS</v>
      </c>
      <c r="J309" s="4" t="str">
        <f>TRIM(CONCATENATE(Table43[[#This Row],[Nama            KLP]]," ",Table43[[#This Row],[Nama            Sub KLP]]))</f>
        <v>T-SHIRT</v>
      </c>
      <c r="K309" s="4" t="str">
        <f>CONCATENATE(Table43[[#This Row],[kode  2 Digit                (hrf+No)]],Table43[[#This Row],[kode  2 Digit                (Nomor)]],Table43[[#This Row],[kode  1 Digit                (Nomor)]])</f>
        <v>A1140</v>
      </c>
      <c r="L309" s="4" t="str">
        <f>IF(AG309="",CONCATENATE(Q309,S309,U309,W309,Y309,AA309,AC309,AE309,Table43[[#This Row],[Tanda Kode Revisi]]),CONCATENATE(Q309,S309,U309,W309,Y309,AA309,AC309,AG309))</f>
        <v>A1140001000011B</v>
      </c>
      <c r="M309" s="11">
        <f t="shared" si="12"/>
        <v>15</v>
      </c>
      <c r="N309" s="14" t="str">
        <f>IF(AF309&lt;&gt;"",TRIM(UPPER(CONCATENATE(P309," ",R309," ",T309," ",V309," ",X309," ",Z309," ","X"," ",Table43[[#This Row],[ISI/CTN]]," ",AF309," ",AB309," ",AD309," ",AH309))),TRIM(UPPER(CONCATENATE(P309," ",R309," ",T309," ",V309," ",X309," ",Z309," ","X"," ",Table43[[#This Row],[ISI/CTN]]," ",AB309," ",AD309," ",AH309))))</f>
        <v>B&gt; ABC T-SHIRT RETAIL GIMMICK X 1 PCS</v>
      </c>
      <c r="O309" s="11">
        <f t="shared" si="13"/>
        <v>37</v>
      </c>
      <c r="P309" s="4" t="s">
        <v>647</v>
      </c>
      <c r="Q309" s="7" t="s">
        <v>85</v>
      </c>
      <c r="R309" s="4" t="s">
        <v>1003</v>
      </c>
      <c r="S309" s="43" t="s">
        <v>1004</v>
      </c>
      <c r="T309" s="44"/>
      <c r="U309" s="7">
        <v>0</v>
      </c>
      <c r="V309" s="44"/>
      <c r="W309" s="43" t="s">
        <v>1</v>
      </c>
      <c r="X309" s="4" t="s">
        <v>1005</v>
      </c>
      <c r="Y309" s="43" t="s">
        <v>0</v>
      </c>
      <c r="AA309" s="43" t="s">
        <v>1006</v>
      </c>
      <c r="AB309" s="4" t="s">
        <v>552</v>
      </c>
      <c r="AC309" s="7">
        <v>1</v>
      </c>
      <c r="AE309" s="7" t="s">
        <v>652</v>
      </c>
      <c r="AI309" s="7" t="s">
        <v>1007</v>
      </c>
      <c r="AJ309" s="7">
        <v>3</v>
      </c>
      <c r="AL309" s="40">
        <f>Table43[[#This Row],[Harga Jual Pcs GT
(-PPN)]]-(Table43[[#This Row],[Harga Jual Pcs GT
(-PPN)]]*6%)</f>
        <v>0</v>
      </c>
      <c r="AM309" s="40">
        <f>Table43[[#This Row],[Harga Beli Pcs
(-PPN)]]*Table43[[#This Row],[ISI/CTN]]</f>
        <v>0</v>
      </c>
      <c r="AN309" s="40">
        <f>Table43[[#This Row],[Harga Beli Pcs
(-PPN)]]*1.11</f>
        <v>0</v>
      </c>
      <c r="AO309" s="40">
        <f>Table43[[#This Row],[Harga Beli Krt
(- PPN)]]*1.11</f>
        <v>0</v>
      </c>
      <c r="AP309" s="41">
        <v>0</v>
      </c>
      <c r="AQ309" s="40">
        <f>Table43[[#This Row],[Harga Jual Pcs GT
(-PPN)]]*Table43[[#This Row],[ISI/CTN]]</f>
        <v>0</v>
      </c>
      <c r="AR309" s="40">
        <f>Table43[[#This Row],[Harga Jual Pcs GT
(-PPN)]]*1.11</f>
        <v>0</v>
      </c>
      <c r="AS309" s="40">
        <f>Table43[[#This Row],[Harga Jual Krt GT
(- PPN)]]*1.11</f>
        <v>0</v>
      </c>
      <c r="AT309" s="40">
        <v>0</v>
      </c>
      <c r="AU309" s="40">
        <f>(Table43[[#This Row],[Harga Jual Pcs MT
(-PPN)]]*Table43[[#This Row],[ISI/CTN]])</f>
        <v>0</v>
      </c>
      <c r="AV309" s="40">
        <f>Table43[[#This Row],[Harga Jual Pcs MT
(-PPN)]]*1.11</f>
        <v>0</v>
      </c>
      <c r="AW309" s="40">
        <f>Table43[[#This Row],[Harga Jual Pcs MT
(+PPN)]]*Table43[[#This Row],[ISI/CTN]]</f>
        <v>0</v>
      </c>
      <c r="AX309" s="40"/>
      <c r="AY309" s="54">
        <v>45694</v>
      </c>
      <c r="AZ309" s="54">
        <v>45553</v>
      </c>
      <c r="BA309" s="7" t="str">
        <f ca="1">IF(TODAY()-Table43[[#This Row],[Efektif
Pembuatan]]&gt;60,"Lama","Baru")</f>
        <v>Lama</v>
      </c>
      <c r="BB309" s="7" t="str">
        <f ca="1">IF(TODAY()-Table43[[#This Row],[Efektif Naik Harga]]&lt;30,"Naik","Sama")</f>
        <v>Sama</v>
      </c>
      <c r="BC309" s="7" t="s">
        <v>235</v>
      </c>
      <c r="BD309" s="7" t="str">
        <f>IF(Table43[[#This Row],[Kode BARANG Win2]]&lt;&gt;"","IDR","")</f>
        <v>IDR</v>
      </c>
      <c r="BE309" s="7" t="str">
        <f>CONCATENATE(Table43[[#This Row],[kode  1 Digit
(Nomor)]],Table43[[#This Row],[kode  4 Digit                (Nomor)]])</f>
        <v>30000</v>
      </c>
      <c r="BF309" s="7">
        <f>Table43[[#This Row],[Nama            Gramasi atau Jumlah Pack per CTN]]</f>
        <v>0</v>
      </c>
      <c r="BG309" s="7"/>
      <c r="BH309" s="7"/>
      <c r="BI309" s="4" t="str">
        <f>IF(Table43[[#This Row],[SATUAN Fix Win]]&lt;&gt;"","KRT")</f>
        <v>KRT</v>
      </c>
      <c r="BJ309" s="4" t="str">
        <f>IF(Table43[[#This Row],[SATUAN Fix Win]]&lt;&gt;"","GD01")</f>
        <v>GD01</v>
      </c>
      <c r="BK309" s="4">
        <f>IF(Table43[[#This Row],[SATUAN Fix Win]]&lt;&gt;"",11611)</f>
        <v>11611</v>
      </c>
      <c r="BL309" s="4">
        <f>IF(Table43[[#This Row],[SATUAN Fix Win]]&lt;&gt;"",11612)</f>
        <v>11612</v>
      </c>
      <c r="BN309" s="4">
        <f>IF(Table43[[#This Row],[SATUAN Fix Win]]&lt;&gt;"",1)</f>
        <v>1</v>
      </c>
      <c r="BP309" s="4">
        <f>IFERROR(VLOOKUP(Table43[[#This Row],[Kode Pcpl]],'[1]HEINZ ABC'!$A$4:$E$112,8,0),0)</f>
        <v>0</v>
      </c>
      <c r="BQ309" s="55">
        <f>Table43[[#This Row],[Harga Jual Pcs GT
(-PPN)]]-Table43[[#This Row],[HARGA NAIK GT]]</f>
        <v>0</v>
      </c>
      <c r="BR309" s="4">
        <f>IF(Table43[[#This Row],[HARGA NAIK GT]]=0,Table43[[#This Row],[Harga Jual Pcs GT
(-PPN)]],Table43[[#This Row],[HARGA NAIK GT]])</f>
        <v>0</v>
      </c>
      <c r="BT309" s="58"/>
    </row>
    <row r="310" spans="1:76" x14ac:dyDescent="0.25">
      <c r="A310" s="4" t="str">
        <f>CONCATENATE(Table43[[#This Row],[Kode BARANG Win2]],Table43[[#This Row],[No. Urut
Item Sama]])</f>
        <v>A1150001000011B1</v>
      </c>
      <c r="B310" s="7">
        <v>1</v>
      </c>
      <c r="C310" s="4">
        <v>286</v>
      </c>
      <c r="D310" s="52">
        <v>900044</v>
      </c>
      <c r="E310" s="52"/>
      <c r="F310" s="52" t="s">
        <v>1097</v>
      </c>
      <c r="G310" s="52">
        <v>1</v>
      </c>
      <c r="H310" s="53">
        <v>0</v>
      </c>
      <c r="I310" s="52" t="str">
        <f>Table43[[#This Row],[Nama Jenis Kemasan]]</f>
        <v>PCS</v>
      </c>
      <c r="J310" s="4" t="str">
        <f>TRIM(CONCATENATE(Table43[[#This Row],[Nama            KLP]]," ",Table43[[#This Row],[Nama            Sub KLP]]))</f>
        <v>KAOS</v>
      </c>
      <c r="K310" s="4" t="str">
        <f>CONCATENATE(Table43[[#This Row],[kode  2 Digit                (hrf+No)]],Table43[[#This Row],[kode  2 Digit                (Nomor)]],Table43[[#This Row],[kode  1 Digit                (Nomor)]])</f>
        <v>A1150</v>
      </c>
      <c r="L310" s="4" t="str">
        <f>IF(AG310="",CONCATENATE(Q310,S310,U310,W310,Y310,AA310,AC310,AE310,Table43[[#This Row],[Tanda Kode Revisi]]),CONCATENATE(Q310,S310,U310,W310,Y310,AA310,AC310,AG310))</f>
        <v>A1150001000011B</v>
      </c>
      <c r="M310" s="11">
        <f>LEN(L310)</f>
        <v>15</v>
      </c>
      <c r="N310" s="14" t="str">
        <f>IF(AF310&lt;&gt;"",TRIM(UPPER(CONCATENATE(P310," ",R310," ",T310," ",V310," ",X310," ",Z310," ","X"," ",Table43[[#This Row],[ISI/CTN]]," ",AF310," ",AB310," ",AD310," ",AH310))),TRIM(UPPER(CONCATENATE(P310," ",R310," ",T310," ",V310," ",X310," ",Z310," ","X"," ",Table43[[#This Row],[ISI/CTN]]," ",AB310," ",AD310," ",AH310))))</f>
        <v>B&gt; ABC KAOS CORDIAL SACHET SG X 1 PCS</v>
      </c>
      <c r="O310" s="11">
        <f t="shared" si="13"/>
        <v>37</v>
      </c>
      <c r="P310" s="4" t="s">
        <v>647</v>
      </c>
      <c r="Q310" s="7" t="s">
        <v>85</v>
      </c>
      <c r="R310" s="4" t="s">
        <v>1098</v>
      </c>
      <c r="S310" s="43" t="s">
        <v>1099</v>
      </c>
      <c r="T310" s="44"/>
      <c r="U310" s="7">
        <v>0</v>
      </c>
      <c r="V310" s="44"/>
      <c r="W310" s="43" t="s">
        <v>1</v>
      </c>
      <c r="X310" s="4" t="s">
        <v>1100</v>
      </c>
      <c r="Y310" s="43" t="s">
        <v>0</v>
      </c>
      <c r="AA310" s="43" t="s">
        <v>1006</v>
      </c>
      <c r="AB310" s="4" t="s">
        <v>552</v>
      </c>
      <c r="AC310" s="7">
        <v>1</v>
      </c>
      <c r="AE310" s="7" t="s">
        <v>652</v>
      </c>
      <c r="AI310" s="7" t="s">
        <v>1007</v>
      </c>
      <c r="AJ310" s="7">
        <v>3</v>
      </c>
      <c r="AL310" s="40">
        <f>Table43[[#This Row],[Harga Jual Pcs GT
(-PPN)]]-(Table43[[#This Row],[Harga Jual Pcs GT
(-PPN)]]*6%)</f>
        <v>0</v>
      </c>
      <c r="AM310" s="40">
        <f>Table43[[#This Row],[Harga Beli Pcs
(-PPN)]]*Table43[[#This Row],[ISI/CTN]]</f>
        <v>0</v>
      </c>
      <c r="AN310" s="40">
        <f>Table43[[#This Row],[Harga Beli Pcs
(-PPN)]]*1.11</f>
        <v>0</v>
      </c>
      <c r="AO310" s="40">
        <f>Table43[[#This Row],[Harga Beli Krt
(- PPN)]]*1.11</f>
        <v>0</v>
      </c>
      <c r="AP310" s="40"/>
      <c r="AQ310" s="40">
        <f>Table43[[#This Row],[Harga Jual Pcs GT
(-PPN)]]*Table43[[#This Row],[ISI/CTN]]</f>
        <v>0</v>
      </c>
      <c r="AR310" s="40">
        <f>Table43[[#This Row],[Harga Jual Pcs GT
(-PPN)]]*1.11</f>
        <v>0</v>
      </c>
      <c r="AS310" s="40">
        <f>Table43[[#This Row],[Harga Jual Krt GT
(- PPN)]]*1.11</f>
        <v>0</v>
      </c>
      <c r="AT310" s="40"/>
      <c r="AU310" s="40">
        <f>(Table43[[#This Row],[Harga Jual Pcs MT
(-PPN)]]*Table43[[#This Row],[ISI/CTN]])</f>
        <v>0</v>
      </c>
      <c r="AV310" s="40">
        <f>Table43[[#This Row],[Harga Jual Pcs MT
(-PPN)]]*1.11</f>
        <v>0</v>
      </c>
      <c r="AW310" s="40">
        <f>Table43[[#This Row],[Harga Jual Pcs MT
(+PPN)]]*Table43[[#This Row],[ISI/CTN]]</f>
        <v>0</v>
      </c>
      <c r="AX310" s="40"/>
      <c r="AY310" s="54">
        <v>46085</v>
      </c>
      <c r="AZ310" s="7"/>
      <c r="BA310" s="7" t="str">
        <f ca="1">IF(TODAY()-Table43[[#This Row],[Efektif
Pembuatan]]&gt;60,"Lama","Baru")</f>
        <v>Lama</v>
      </c>
      <c r="BB310" s="7" t="str">
        <f ca="1">IF(TODAY()-Table43[[#This Row],[Efektif Naik Harga]]&lt;30,"Naik","Sama")</f>
        <v>Sama</v>
      </c>
      <c r="BC310" s="7" t="s">
        <v>235</v>
      </c>
      <c r="BD310" s="7" t="str">
        <f>IF(Table43[[#This Row],[Kode BARANG Win2]]&lt;&gt;"","IDR","")</f>
        <v>IDR</v>
      </c>
      <c r="BE310" s="7" t="str">
        <f>CONCATENATE(Table43[[#This Row],[kode  1 Digit
(Nomor)]],Table43[[#This Row],[kode  4 Digit                (Nomor)]])</f>
        <v>30000</v>
      </c>
      <c r="BF310" s="7">
        <f>Table43[[#This Row],[Nama            Gramasi atau Jumlah Pack per CTN]]</f>
        <v>0</v>
      </c>
      <c r="BG310" s="7"/>
      <c r="BH310" s="7"/>
      <c r="BI310" s="4" t="str">
        <f>IF(Table43[[#This Row],[SATUAN Fix Win]]&lt;&gt;"","KRT")</f>
        <v>KRT</v>
      </c>
      <c r="BJ310" s="4" t="str">
        <f>IF(Table43[[#This Row],[SATUAN Fix Win]]&lt;&gt;"","GD01")</f>
        <v>GD01</v>
      </c>
      <c r="BK310" s="4">
        <f>IF(Table43[[#This Row],[SATUAN Fix Win]]&lt;&gt;"",11611)</f>
        <v>11611</v>
      </c>
      <c r="BL310" s="4">
        <f>IF(Table43[[#This Row],[SATUAN Fix Win]]&lt;&gt;"",11612)</f>
        <v>11612</v>
      </c>
      <c r="BN310" s="4">
        <f>IF(Table43[[#This Row],[SATUAN Fix Win]]&lt;&gt;"",1)</f>
        <v>1</v>
      </c>
      <c r="BP310" s="4">
        <f>IFERROR(VLOOKUP(Table43[[#This Row],[Kode Pcpl]],'[1]HEINZ ABC'!$A$4:$E$112,8,0),0)</f>
        <v>0</v>
      </c>
      <c r="BQ310" s="55">
        <f>Table43[[#This Row],[Harga Jual Pcs GT
(-PPN)]]-Table43[[#This Row],[HARGA NAIK GT]]</f>
        <v>0</v>
      </c>
      <c r="BR310" s="4">
        <f>IF(Table43[[#This Row],[HARGA NAIK GT]]=0,Table43[[#This Row],[Harga Jual Pcs GT
(-PPN)]],Table43[[#This Row],[HARGA NAIK GT]])</f>
        <v>0</v>
      </c>
    </row>
  </sheetData>
  <autoFilter ref="BS5:BU308" xr:uid="{8460A06F-CC69-44EB-88FE-651D20727B8E}"/>
  <mergeCells count="10">
    <mergeCell ref="BD4:BN4"/>
    <mergeCell ref="D3:G4"/>
    <mergeCell ref="I3:N3"/>
    <mergeCell ref="AL3:AW3"/>
    <mergeCell ref="AY3:AZ4"/>
    <mergeCell ref="K4:O4"/>
    <mergeCell ref="P4:Q4"/>
    <mergeCell ref="AL4:AO4"/>
    <mergeCell ref="AP4:AS4"/>
    <mergeCell ref="AT4:AW4"/>
  </mergeCells>
  <phoneticPr fontId="11" type="noConversion"/>
  <conditionalFormatting sqref="H1:H5">
    <cfRule type="duplicateValues" dxfId="5" priority="533"/>
  </conditionalFormatting>
  <conditionalFormatting sqref="L1:L3 K4 L5:L1048576">
    <cfRule type="duplicateValues" dxfId="4" priority="8"/>
  </conditionalFormatting>
  <conditionalFormatting sqref="M6:M310">
    <cfRule type="cellIs" dxfId="3" priority="9" operator="notEqual">
      <formula>14</formula>
    </cfRule>
  </conditionalFormatting>
  <conditionalFormatting sqref="O2">
    <cfRule type="cellIs" dxfId="2" priority="4" operator="greaterThan">
      <formula>0</formula>
    </cfRule>
  </conditionalFormatting>
  <conditionalFormatting sqref="O6:O310">
    <cfRule type="cellIs" dxfId="1" priority="5" operator="greaterThan">
      <formula>50</formula>
    </cfRule>
  </conditionalFormatting>
  <dataValidations count="1">
    <dataValidation type="list" allowBlank="1" showInputMessage="1" showErrorMessage="1" sqref="BC6:BC310" xr:uid="{F2CAA400-F63C-4CD8-A8D8-4437323A6F5D}">
      <formula1>"Aktif, Discontinue"</formula1>
    </dataValidation>
  </dataValidations>
  <pageMargins left="0.7" right="0.7" top="0.75" bottom="0.75" header="0.3" footer="0.3"/>
  <pageSetup orientation="portrait" horizontalDpi="120" verticalDpi="72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EE4C-C78A-4B1C-BEEF-D83EC32F2692}">
  <sheetPr>
    <tabColor rgb="FF00B050"/>
  </sheetPr>
  <dimension ref="A1:BJ569"/>
  <sheetViews>
    <sheetView topLeftCell="A536" workbookViewId="0">
      <selection activeCell="F555" sqref="F555"/>
    </sheetView>
  </sheetViews>
  <sheetFormatPr defaultRowHeight="15" x14ac:dyDescent="0.25"/>
  <cols>
    <col min="4" max="4" width="14.7109375" bestFit="1" customWidth="1"/>
  </cols>
  <sheetData>
    <row r="1" spans="1:62" x14ac:dyDescent="0.25">
      <c r="B1" t="s">
        <v>1111</v>
      </c>
      <c r="D1" t="s">
        <v>1112</v>
      </c>
      <c r="J1" t="s">
        <v>1113</v>
      </c>
      <c r="L1" t="s">
        <v>1114</v>
      </c>
    </row>
    <row r="2" spans="1:62" x14ac:dyDescent="0.25">
      <c r="A2" t="s">
        <v>1115</v>
      </c>
      <c r="B2" t="s">
        <v>1116</v>
      </c>
      <c r="C2" t="s">
        <v>1117</v>
      </c>
      <c r="D2" t="s">
        <v>1118</v>
      </c>
      <c r="E2" t="s">
        <v>1119</v>
      </c>
      <c r="F2" t="s">
        <v>1120</v>
      </c>
      <c r="G2" t="s">
        <v>1121</v>
      </c>
      <c r="H2" t="s">
        <v>1122</v>
      </c>
      <c r="I2" t="s">
        <v>1123</v>
      </c>
      <c r="J2" t="s">
        <v>1124</v>
      </c>
      <c r="K2" t="s">
        <v>1125</v>
      </c>
      <c r="L2" t="s">
        <v>1126</v>
      </c>
      <c r="M2" t="s">
        <v>1127</v>
      </c>
      <c r="N2" t="s">
        <v>1128</v>
      </c>
      <c r="O2" t="s">
        <v>1129</v>
      </c>
      <c r="P2" t="s">
        <v>1130</v>
      </c>
      <c r="Q2" t="s">
        <v>1131</v>
      </c>
      <c r="R2" t="s">
        <v>1132</v>
      </c>
      <c r="S2" t="s">
        <v>1133</v>
      </c>
      <c r="T2" t="s">
        <v>1134</v>
      </c>
      <c r="U2" t="s">
        <v>1135</v>
      </c>
      <c r="V2" t="s">
        <v>1136</v>
      </c>
      <c r="W2" t="s">
        <v>1137</v>
      </c>
      <c r="X2" t="s">
        <v>1138</v>
      </c>
      <c r="Y2" t="s">
        <v>1139</v>
      </c>
      <c r="Z2" t="s">
        <v>1140</v>
      </c>
      <c r="AA2" t="s">
        <v>1141</v>
      </c>
      <c r="AB2" t="s">
        <v>1142</v>
      </c>
      <c r="AC2" t="s">
        <v>1143</v>
      </c>
      <c r="AD2" t="s">
        <v>1144</v>
      </c>
      <c r="AE2" t="s">
        <v>1145</v>
      </c>
      <c r="AF2" t="s">
        <v>1146</v>
      </c>
      <c r="AG2" t="s">
        <v>1147</v>
      </c>
      <c r="AH2" t="s">
        <v>1148</v>
      </c>
      <c r="AI2" t="s">
        <v>1149</v>
      </c>
      <c r="AJ2" t="s">
        <v>1150</v>
      </c>
      <c r="AK2" t="s">
        <v>1151</v>
      </c>
      <c r="AL2" t="s">
        <v>1152</v>
      </c>
      <c r="AM2" t="s">
        <v>1153</v>
      </c>
      <c r="AN2" t="s">
        <v>1154</v>
      </c>
      <c r="AO2" t="s">
        <v>1155</v>
      </c>
      <c r="AP2" t="s">
        <v>1156</v>
      </c>
      <c r="AQ2" t="s">
        <v>1157</v>
      </c>
      <c r="AR2" t="s">
        <v>1158</v>
      </c>
      <c r="AS2" t="s">
        <v>1159</v>
      </c>
      <c r="AT2" t="s">
        <v>1160</v>
      </c>
      <c r="AU2" t="s">
        <v>1161</v>
      </c>
      <c r="AV2" t="s">
        <v>1162</v>
      </c>
      <c r="AW2" t="s">
        <v>1163</v>
      </c>
      <c r="AX2" t="s">
        <v>1164</v>
      </c>
      <c r="AY2" t="s">
        <v>1165</v>
      </c>
      <c r="AZ2" t="s">
        <v>1166</v>
      </c>
      <c r="BA2" t="s">
        <v>1167</v>
      </c>
      <c r="BB2" t="s">
        <v>1168</v>
      </c>
      <c r="BC2" t="s">
        <v>1169</v>
      </c>
      <c r="BD2" t="s">
        <v>1170</v>
      </c>
      <c r="BE2" t="s">
        <v>1171</v>
      </c>
      <c r="BF2" t="s">
        <v>1172</v>
      </c>
      <c r="BG2" t="s">
        <v>1173</v>
      </c>
      <c r="BH2" t="s">
        <v>1174</v>
      </c>
      <c r="BI2" t="s">
        <v>1175</v>
      </c>
      <c r="BJ2" t="s">
        <v>1176</v>
      </c>
    </row>
    <row r="3" spans="1:62" x14ac:dyDescent="0.25">
      <c r="A3" t="s">
        <v>1177</v>
      </c>
      <c r="B3">
        <v>410073</v>
      </c>
      <c r="C3">
        <v>410073</v>
      </c>
      <c r="D3" s="112" t="s">
        <v>2426</v>
      </c>
      <c r="E3" t="s">
        <v>1119</v>
      </c>
      <c r="F3" t="s">
        <v>1178</v>
      </c>
      <c r="G3" t="s">
        <v>346</v>
      </c>
      <c r="H3" s="135" t="s">
        <v>1179</v>
      </c>
      <c r="I3">
        <v>10</v>
      </c>
      <c r="J3" t="s">
        <v>1180</v>
      </c>
      <c r="K3">
        <v>10181</v>
      </c>
      <c r="L3" t="s">
        <v>1181</v>
      </c>
      <c r="M3">
        <v>10181175</v>
      </c>
      <c r="N3" t="s">
        <v>1182</v>
      </c>
      <c r="O3">
        <v>10181175812</v>
      </c>
      <c r="P3" t="s">
        <v>1183</v>
      </c>
      <c r="Q3" s="135" t="s">
        <v>1184</v>
      </c>
      <c r="R3" t="s">
        <v>1185</v>
      </c>
      <c r="S3" s="135" t="s">
        <v>1179</v>
      </c>
      <c r="T3" t="s">
        <v>1186</v>
      </c>
      <c r="U3" t="s">
        <v>1187</v>
      </c>
      <c r="V3" t="s">
        <v>1188</v>
      </c>
      <c r="W3">
        <v>460</v>
      </c>
      <c r="X3" t="s">
        <v>1189</v>
      </c>
      <c r="Y3">
        <v>12</v>
      </c>
      <c r="Z3">
        <v>5520</v>
      </c>
      <c r="AA3" t="s">
        <v>28</v>
      </c>
      <c r="AB3" t="s">
        <v>1190</v>
      </c>
      <c r="AC3">
        <v>460</v>
      </c>
      <c r="AD3" t="s">
        <v>1191</v>
      </c>
      <c r="AE3" t="s">
        <v>1192</v>
      </c>
      <c r="AF3" t="s">
        <v>1193</v>
      </c>
      <c r="AG3" t="s">
        <v>1194</v>
      </c>
      <c r="AH3" t="s">
        <v>1195</v>
      </c>
      <c r="AI3" t="s">
        <v>1196</v>
      </c>
      <c r="AJ3" t="s">
        <v>1197</v>
      </c>
      <c r="AK3" t="s">
        <v>1198</v>
      </c>
      <c r="AL3" t="s">
        <v>1199</v>
      </c>
      <c r="AM3" t="s">
        <v>1200</v>
      </c>
      <c r="AN3" t="s">
        <v>1201</v>
      </c>
      <c r="AO3" t="s">
        <v>573</v>
      </c>
      <c r="AP3" t="s">
        <v>1202</v>
      </c>
      <c r="AQ3" t="s">
        <v>1203</v>
      </c>
      <c r="AR3" t="s">
        <v>1201</v>
      </c>
      <c r="AS3" t="s">
        <v>1203</v>
      </c>
      <c r="AU3" t="s">
        <v>1204</v>
      </c>
      <c r="AW3" t="b">
        <v>0</v>
      </c>
      <c r="AY3" t="b">
        <v>0</v>
      </c>
      <c r="BA3" t="s">
        <v>1205</v>
      </c>
      <c r="BB3" t="s">
        <v>1206</v>
      </c>
      <c r="BC3" t="s">
        <v>1206</v>
      </c>
      <c r="BD3" t="s">
        <v>1207</v>
      </c>
      <c r="BE3" t="s">
        <v>1208</v>
      </c>
      <c r="BF3" t="s">
        <v>1209</v>
      </c>
      <c r="BG3" t="s">
        <v>342</v>
      </c>
      <c r="BH3" t="s">
        <v>1210</v>
      </c>
      <c r="BI3" t="s">
        <v>1206</v>
      </c>
      <c r="BJ3" t="s">
        <v>1211</v>
      </c>
    </row>
    <row r="4" spans="1:62" x14ac:dyDescent="0.25">
      <c r="A4" t="s">
        <v>1177</v>
      </c>
      <c r="B4">
        <v>410075</v>
      </c>
      <c r="C4">
        <v>410075</v>
      </c>
      <c r="D4" s="112" t="s">
        <v>2427</v>
      </c>
      <c r="E4" t="s">
        <v>1119</v>
      </c>
      <c r="F4" t="s">
        <v>1178</v>
      </c>
      <c r="G4" t="s">
        <v>1212</v>
      </c>
      <c r="H4" s="135" t="s">
        <v>1179</v>
      </c>
      <c r="I4">
        <v>10</v>
      </c>
      <c r="J4" t="s">
        <v>1180</v>
      </c>
      <c r="K4">
        <v>10181</v>
      </c>
      <c r="L4" t="s">
        <v>1181</v>
      </c>
      <c r="M4">
        <v>10181175</v>
      </c>
      <c r="N4" t="s">
        <v>1182</v>
      </c>
      <c r="O4">
        <v>10181175812</v>
      </c>
      <c r="P4" t="s">
        <v>1183</v>
      </c>
      <c r="Q4" s="135" t="s">
        <v>1184</v>
      </c>
      <c r="R4" t="s">
        <v>1185</v>
      </c>
      <c r="S4" s="135" t="s">
        <v>1179</v>
      </c>
      <c r="T4" t="s">
        <v>1186</v>
      </c>
      <c r="U4" t="s">
        <v>1187</v>
      </c>
      <c r="V4" t="s">
        <v>1188</v>
      </c>
      <c r="W4">
        <v>460</v>
      </c>
      <c r="X4" t="s">
        <v>1189</v>
      </c>
      <c r="Y4">
        <v>12</v>
      </c>
      <c r="Z4">
        <v>5520</v>
      </c>
      <c r="AA4" t="s">
        <v>28</v>
      </c>
      <c r="AB4" t="s">
        <v>1190</v>
      </c>
      <c r="AC4">
        <v>460</v>
      </c>
      <c r="AD4" t="s">
        <v>1191</v>
      </c>
      <c r="AE4" t="s">
        <v>1192</v>
      </c>
      <c r="AF4" t="s">
        <v>1193</v>
      </c>
      <c r="AG4" t="s">
        <v>1194</v>
      </c>
      <c r="AH4" t="s">
        <v>1195</v>
      </c>
      <c r="AI4" t="s">
        <v>1196</v>
      </c>
      <c r="AJ4" t="s">
        <v>1197</v>
      </c>
      <c r="AK4" t="s">
        <v>1198</v>
      </c>
      <c r="AL4" t="s">
        <v>1213</v>
      </c>
      <c r="AM4" t="s">
        <v>1200</v>
      </c>
      <c r="AN4" t="s">
        <v>1201</v>
      </c>
      <c r="AO4" t="s">
        <v>1214</v>
      </c>
      <c r="AP4" t="s">
        <v>1202</v>
      </c>
      <c r="AQ4" t="s">
        <v>1203</v>
      </c>
      <c r="AR4" t="s">
        <v>1201</v>
      </c>
      <c r="AS4" t="s">
        <v>1203</v>
      </c>
      <c r="AU4" t="s">
        <v>1204</v>
      </c>
      <c r="AW4" t="b">
        <v>0</v>
      </c>
      <c r="AY4" t="b">
        <v>0</v>
      </c>
      <c r="BA4" t="s">
        <v>1205</v>
      </c>
      <c r="BB4" t="s">
        <v>1206</v>
      </c>
      <c r="BC4" t="s">
        <v>1206</v>
      </c>
      <c r="BD4" t="s">
        <v>1207</v>
      </c>
      <c r="BE4" t="s">
        <v>1208</v>
      </c>
      <c r="BF4" t="s">
        <v>1209</v>
      </c>
      <c r="BG4" t="s">
        <v>342</v>
      </c>
      <c r="BH4" t="s">
        <v>1210</v>
      </c>
      <c r="BI4" t="s">
        <v>1206</v>
      </c>
      <c r="BJ4" t="s">
        <v>1211</v>
      </c>
    </row>
    <row r="5" spans="1:62" x14ac:dyDescent="0.25">
      <c r="A5" t="s">
        <v>1177</v>
      </c>
      <c r="B5">
        <v>410074</v>
      </c>
      <c r="C5">
        <v>410074</v>
      </c>
      <c r="D5" s="112" t="s">
        <v>2428</v>
      </c>
      <c r="E5" t="s">
        <v>1119</v>
      </c>
      <c r="F5" t="s">
        <v>1178</v>
      </c>
      <c r="G5" t="s">
        <v>1215</v>
      </c>
      <c r="H5" s="135" t="s">
        <v>1179</v>
      </c>
      <c r="I5">
        <v>10</v>
      </c>
      <c r="J5" t="s">
        <v>1180</v>
      </c>
      <c r="K5">
        <v>10181</v>
      </c>
      <c r="L5" t="s">
        <v>1181</v>
      </c>
      <c r="M5">
        <v>10181175</v>
      </c>
      <c r="N5" t="s">
        <v>1182</v>
      </c>
      <c r="O5">
        <v>10181175812</v>
      </c>
      <c r="P5" t="s">
        <v>1183</v>
      </c>
      <c r="Q5" s="135" t="s">
        <v>1184</v>
      </c>
      <c r="R5" t="s">
        <v>1185</v>
      </c>
      <c r="S5" s="135" t="s">
        <v>1179</v>
      </c>
      <c r="T5" t="s">
        <v>1186</v>
      </c>
      <c r="U5" t="s">
        <v>1187</v>
      </c>
      <c r="V5" t="s">
        <v>1188</v>
      </c>
      <c r="W5">
        <v>460</v>
      </c>
      <c r="X5" t="s">
        <v>1189</v>
      </c>
      <c r="Y5">
        <v>12</v>
      </c>
      <c r="Z5">
        <v>5520</v>
      </c>
      <c r="AA5" t="s">
        <v>28</v>
      </c>
      <c r="AB5" t="s">
        <v>1190</v>
      </c>
      <c r="AC5">
        <v>460</v>
      </c>
      <c r="AD5" t="s">
        <v>1191</v>
      </c>
      <c r="AE5" t="s">
        <v>1192</v>
      </c>
      <c r="AF5" t="s">
        <v>1193</v>
      </c>
      <c r="AG5" t="s">
        <v>1194</v>
      </c>
      <c r="AH5" t="s">
        <v>1195</v>
      </c>
      <c r="AI5" t="s">
        <v>1196</v>
      </c>
      <c r="AJ5" t="s">
        <v>1216</v>
      </c>
      <c r="AK5" t="s">
        <v>1217</v>
      </c>
      <c r="AL5" t="s">
        <v>1218</v>
      </c>
      <c r="AM5" t="s">
        <v>1200</v>
      </c>
      <c r="AN5" t="s">
        <v>1201</v>
      </c>
      <c r="AO5" t="s">
        <v>1219</v>
      </c>
      <c r="AP5" t="s">
        <v>1202</v>
      </c>
      <c r="AQ5" t="s">
        <v>1203</v>
      </c>
      <c r="AR5" t="s">
        <v>1201</v>
      </c>
      <c r="AS5" t="s">
        <v>1203</v>
      </c>
      <c r="AU5" t="s">
        <v>1204</v>
      </c>
      <c r="AW5" t="b">
        <v>0</v>
      </c>
      <c r="AY5" t="b">
        <v>0</v>
      </c>
      <c r="BA5" t="s">
        <v>1205</v>
      </c>
      <c r="BB5" t="s">
        <v>1206</v>
      </c>
      <c r="BC5" t="s">
        <v>1206</v>
      </c>
      <c r="BD5" t="s">
        <v>1207</v>
      </c>
      <c r="BE5" t="s">
        <v>1208</v>
      </c>
      <c r="BF5" t="s">
        <v>1209</v>
      </c>
      <c r="BG5" t="s">
        <v>342</v>
      </c>
      <c r="BH5" t="s">
        <v>1210</v>
      </c>
      <c r="BI5" t="s">
        <v>1206</v>
      </c>
      <c r="BJ5" t="s">
        <v>1211</v>
      </c>
    </row>
    <row r="6" spans="1:62" x14ac:dyDescent="0.25">
      <c r="A6" t="s">
        <v>1177</v>
      </c>
      <c r="B6">
        <v>410071</v>
      </c>
      <c r="C6">
        <v>410071</v>
      </c>
      <c r="D6" s="112" t="s">
        <v>2429</v>
      </c>
      <c r="E6" t="s">
        <v>1119</v>
      </c>
      <c r="F6" t="s">
        <v>1178</v>
      </c>
      <c r="G6" t="s">
        <v>1220</v>
      </c>
      <c r="H6" t="s">
        <v>1221</v>
      </c>
      <c r="I6">
        <v>10</v>
      </c>
      <c r="J6" t="s">
        <v>1180</v>
      </c>
      <c r="K6">
        <v>10181</v>
      </c>
      <c r="L6" t="s">
        <v>1181</v>
      </c>
      <c r="M6">
        <v>10181175</v>
      </c>
      <c r="N6" t="s">
        <v>1182</v>
      </c>
      <c r="O6">
        <v>10181175812</v>
      </c>
      <c r="P6" t="s">
        <v>1183</v>
      </c>
      <c r="Q6" t="s">
        <v>1222</v>
      </c>
      <c r="R6" t="s">
        <v>1223</v>
      </c>
      <c r="S6" t="s">
        <v>1221</v>
      </c>
      <c r="T6" t="s">
        <v>1224</v>
      </c>
      <c r="U6" t="s">
        <v>1187</v>
      </c>
      <c r="V6" t="s">
        <v>1188</v>
      </c>
      <c r="W6">
        <v>485</v>
      </c>
      <c r="X6" t="s">
        <v>1189</v>
      </c>
      <c r="Y6">
        <v>12</v>
      </c>
      <c r="Z6">
        <v>5820</v>
      </c>
      <c r="AA6" t="s">
        <v>28</v>
      </c>
      <c r="AB6" t="s">
        <v>1190</v>
      </c>
      <c r="AC6">
        <v>485</v>
      </c>
      <c r="AD6" t="s">
        <v>1191</v>
      </c>
      <c r="AE6" t="s">
        <v>1192</v>
      </c>
      <c r="AF6" t="s">
        <v>1193</v>
      </c>
      <c r="AG6" t="s">
        <v>1194</v>
      </c>
      <c r="AH6" t="s">
        <v>1195</v>
      </c>
      <c r="AI6" t="s">
        <v>1196</v>
      </c>
      <c r="AJ6" t="s">
        <v>1216</v>
      </c>
      <c r="AK6" t="s">
        <v>1217</v>
      </c>
      <c r="AL6" t="s">
        <v>1218</v>
      </c>
      <c r="AM6" t="s">
        <v>1200</v>
      </c>
      <c r="AN6" t="s">
        <v>1201</v>
      </c>
      <c r="AO6" t="s">
        <v>1219</v>
      </c>
      <c r="AP6" t="s">
        <v>1202</v>
      </c>
      <c r="AQ6" t="s">
        <v>1203</v>
      </c>
      <c r="AR6" t="s">
        <v>1201</v>
      </c>
      <c r="AS6" t="s">
        <v>1203</v>
      </c>
      <c r="AU6" t="s">
        <v>1204</v>
      </c>
      <c r="AW6" t="b">
        <v>0</v>
      </c>
      <c r="AY6" t="b">
        <v>0</v>
      </c>
      <c r="BA6" t="s">
        <v>1205</v>
      </c>
      <c r="BB6" t="s">
        <v>1206</v>
      </c>
      <c r="BC6" t="s">
        <v>1206</v>
      </c>
      <c r="BD6" t="s">
        <v>1207</v>
      </c>
      <c r="BE6" t="s">
        <v>1208</v>
      </c>
      <c r="BF6" t="s">
        <v>1209</v>
      </c>
      <c r="BG6" t="s">
        <v>342</v>
      </c>
      <c r="BH6" t="s">
        <v>1210</v>
      </c>
      <c r="BI6" t="s">
        <v>1206</v>
      </c>
      <c r="BJ6" t="s">
        <v>1211</v>
      </c>
    </row>
    <row r="7" spans="1:62" x14ac:dyDescent="0.25">
      <c r="A7" t="s">
        <v>1177</v>
      </c>
      <c r="B7">
        <v>410072</v>
      </c>
      <c r="C7">
        <v>410072</v>
      </c>
      <c r="D7" s="112" t="s">
        <v>2430</v>
      </c>
      <c r="E7" t="s">
        <v>1119</v>
      </c>
      <c r="F7" t="s">
        <v>1178</v>
      </c>
      <c r="G7" t="s">
        <v>344</v>
      </c>
      <c r="H7" s="135" t="s">
        <v>1179</v>
      </c>
      <c r="I7">
        <v>10</v>
      </c>
      <c r="J7" t="s">
        <v>1180</v>
      </c>
      <c r="K7">
        <v>10181</v>
      </c>
      <c r="L7" t="s">
        <v>1181</v>
      </c>
      <c r="M7">
        <v>10181175</v>
      </c>
      <c r="N7" t="s">
        <v>1182</v>
      </c>
      <c r="O7">
        <v>10181175812</v>
      </c>
      <c r="P7" t="s">
        <v>1183</v>
      </c>
      <c r="Q7" s="135" t="s">
        <v>1184</v>
      </c>
      <c r="R7" t="s">
        <v>1185</v>
      </c>
      <c r="S7" s="135" t="s">
        <v>1179</v>
      </c>
      <c r="T7" t="s">
        <v>1186</v>
      </c>
      <c r="U7" t="s">
        <v>1187</v>
      </c>
      <c r="V7" t="s">
        <v>1188</v>
      </c>
      <c r="W7">
        <v>460</v>
      </c>
      <c r="X7" t="s">
        <v>1189</v>
      </c>
      <c r="Y7">
        <v>12</v>
      </c>
      <c r="Z7">
        <v>5520</v>
      </c>
      <c r="AA7" t="s">
        <v>28</v>
      </c>
      <c r="AB7" t="s">
        <v>1190</v>
      </c>
      <c r="AC7">
        <v>460</v>
      </c>
      <c r="AD7" t="s">
        <v>1191</v>
      </c>
      <c r="AE7" t="s">
        <v>1192</v>
      </c>
      <c r="AF7" t="s">
        <v>1193</v>
      </c>
      <c r="AG7" t="s">
        <v>1194</v>
      </c>
      <c r="AH7" t="s">
        <v>1195</v>
      </c>
      <c r="AI7" t="s">
        <v>1196</v>
      </c>
      <c r="AJ7" t="s">
        <v>1197</v>
      </c>
      <c r="AK7" t="s">
        <v>1198</v>
      </c>
      <c r="AL7" t="s">
        <v>1213</v>
      </c>
      <c r="AM7" t="s">
        <v>1200</v>
      </c>
      <c r="AN7" t="s">
        <v>1201</v>
      </c>
      <c r="AO7" t="s">
        <v>1214</v>
      </c>
      <c r="AP7" t="s">
        <v>1202</v>
      </c>
      <c r="AQ7" t="s">
        <v>1203</v>
      </c>
      <c r="AR7" t="s">
        <v>1201</v>
      </c>
      <c r="AS7" t="s">
        <v>1203</v>
      </c>
      <c r="AU7" t="s">
        <v>1204</v>
      </c>
      <c r="AW7" t="b">
        <v>0</v>
      </c>
      <c r="AY7" t="b">
        <v>0</v>
      </c>
      <c r="BA7" t="s">
        <v>1205</v>
      </c>
      <c r="BB7" t="s">
        <v>1206</v>
      </c>
      <c r="BC7" t="s">
        <v>1206</v>
      </c>
      <c r="BD7" t="s">
        <v>1207</v>
      </c>
      <c r="BE7" t="s">
        <v>1208</v>
      </c>
      <c r="BF7" t="s">
        <v>1209</v>
      </c>
      <c r="BG7" t="s">
        <v>342</v>
      </c>
      <c r="BH7" t="s">
        <v>1210</v>
      </c>
      <c r="BI7" t="s">
        <v>1206</v>
      </c>
      <c r="BJ7" t="s">
        <v>1211</v>
      </c>
    </row>
    <row r="8" spans="1:62" x14ac:dyDescent="0.25">
      <c r="A8" t="s">
        <v>1177</v>
      </c>
      <c r="B8">
        <v>410076</v>
      </c>
      <c r="C8">
        <v>410076</v>
      </c>
      <c r="D8" s="112" t="s">
        <v>2431</v>
      </c>
      <c r="E8" t="s">
        <v>1119</v>
      </c>
      <c r="F8" t="s">
        <v>1178</v>
      </c>
      <c r="G8" t="s">
        <v>1225</v>
      </c>
      <c r="H8" t="s">
        <v>1226</v>
      </c>
      <c r="I8">
        <v>10</v>
      </c>
      <c r="J8" t="s">
        <v>1180</v>
      </c>
      <c r="K8">
        <v>10181</v>
      </c>
      <c r="L8" t="s">
        <v>1181</v>
      </c>
      <c r="M8">
        <v>10181175</v>
      </c>
      <c r="N8" t="s">
        <v>1182</v>
      </c>
      <c r="O8">
        <v>10181175812</v>
      </c>
      <c r="P8" t="s">
        <v>1183</v>
      </c>
      <c r="Q8" t="s">
        <v>1227</v>
      </c>
      <c r="R8" t="s">
        <v>1228</v>
      </c>
      <c r="S8" t="s">
        <v>1226</v>
      </c>
      <c r="T8" t="s">
        <v>1229</v>
      </c>
      <c r="U8" t="s">
        <v>1230</v>
      </c>
      <c r="V8" t="s">
        <v>1231</v>
      </c>
      <c r="W8">
        <v>28</v>
      </c>
      <c r="X8" t="s">
        <v>1189</v>
      </c>
      <c r="Y8">
        <v>120</v>
      </c>
      <c r="Z8">
        <v>3360</v>
      </c>
      <c r="AA8" t="s">
        <v>28</v>
      </c>
      <c r="AB8" t="s">
        <v>1190</v>
      </c>
      <c r="AC8">
        <v>28</v>
      </c>
      <c r="AD8" t="s">
        <v>1232</v>
      </c>
      <c r="AE8" t="s">
        <v>1192</v>
      </c>
      <c r="AF8" t="s">
        <v>1193</v>
      </c>
      <c r="AG8" t="s">
        <v>1194</v>
      </c>
      <c r="AH8" t="s">
        <v>1195</v>
      </c>
      <c r="AI8" t="s">
        <v>1196</v>
      </c>
      <c r="AJ8" t="s">
        <v>1197</v>
      </c>
      <c r="AK8" t="s">
        <v>1198</v>
      </c>
      <c r="AL8" t="s">
        <v>1213</v>
      </c>
      <c r="AM8" t="s">
        <v>1200</v>
      </c>
      <c r="AN8" t="s">
        <v>1201</v>
      </c>
      <c r="AO8" t="s">
        <v>1214</v>
      </c>
      <c r="AP8" t="s">
        <v>1202</v>
      </c>
      <c r="AQ8" t="s">
        <v>1203</v>
      </c>
      <c r="AR8" t="s">
        <v>1201</v>
      </c>
      <c r="AS8" t="s">
        <v>1203</v>
      </c>
      <c r="AU8" t="s">
        <v>1204</v>
      </c>
      <c r="AW8" t="b">
        <v>0</v>
      </c>
      <c r="AY8" t="b">
        <v>0</v>
      </c>
      <c r="BA8" t="s">
        <v>1205</v>
      </c>
      <c r="BJ8" t="s">
        <v>1211</v>
      </c>
    </row>
    <row r="9" spans="1:62" x14ac:dyDescent="0.25">
      <c r="A9" t="s">
        <v>1177</v>
      </c>
      <c r="B9">
        <v>410066</v>
      </c>
      <c r="C9">
        <v>410066</v>
      </c>
      <c r="D9" s="112" t="s">
        <v>2432</v>
      </c>
      <c r="E9" t="s">
        <v>1119</v>
      </c>
      <c r="F9" t="s">
        <v>1178</v>
      </c>
      <c r="G9" t="s">
        <v>343</v>
      </c>
      <c r="H9" s="135" t="s">
        <v>1233</v>
      </c>
      <c r="I9">
        <v>10</v>
      </c>
      <c r="J9" t="s">
        <v>1180</v>
      </c>
      <c r="K9">
        <v>10181</v>
      </c>
      <c r="L9" t="s">
        <v>1181</v>
      </c>
      <c r="M9">
        <v>10181175</v>
      </c>
      <c r="N9" t="s">
        <v>1182</v>
      </c>
      <c r="O9">
        <v>10181175812</v>
      </c>
      <c r="P9" t="s">
        <v>1183</v>
      </c>
      <c r="Q9" s="135" t="s">
        <v>1234</v>
      </c>
      <c r="R9" t="s">
        <v>1235</v>
      </c>
      <c r="S9" s="135" t="s">
        <v>1233</v>
      </c>
      <c r="T9" t="s">
        <v>1236</v>
      </c>
      <c r="U9" t="s">
        <v>1237</v>
      </c>
      <c r="V9" t="s">
        <v>1238</v>
      </c>
      <c r="W9">
        <v>485</v>
      </c>
      <c r="X9" t="s">
        <v>1189</v>
      </c>
      <c r="Y9">
        <v>12</v>
      </c>
      <c r="Z9">
        <v>5820</v>
      </c>
      <c r="AA9" t="s">
        <v>28</v>
      </c>
      <c r="AB9" t="s">
        <v>1190</v>
      </c>
      <c r="AC9">
        <v>485</v>
      </c>
      <c r="AD9" t="s">
        <v>1191</v>
      </c>
      <c r="AE9" t="s">
        <v>1192</v>
      </c>
      <c r="AF9" t="s">
        <v>1193</v>
      </c>
      <c r="AG9" t="s">
        <v>1194</v>
      </c>
      <c r="AH9" t="s">
        <v>1195</v>
      </c>
      <c r="AI9" t="s">
        <v>1196</v>
      </c>
      <c r="AJ9" t="s">
        <v>1197</v>
      </c>
      <c r="AK9" t="s">
        <v>1198</v>
      </c>
      <c r="AL9" t="s">
        <v>1213</v>
      </c>
      <c r="AM9" t="s">
        <v>1200</v>
      </c>
      <c r="AN9" t="s">
        <v>1201</v>
      </c>
      <c r="AO9" t="s">
        <v>1214</v>
      </c>
      <c r="AP9" t="s">
        <v>1202</v>
      </c>
      <c r="AQ9" t="s">
        <v>1203</v>
      </c>
      <c r="AR9" t="s">
        <v>1201</v>
      </c>
      <c r="AS9" t="s">
        <v>1203</v>
      </c>
      <c r="AU9" t="s">
        <v>1204</v>
      </c>
      <c r="AW9" t="b">
        <v>0</v>
      </c>
      <c r="AY9" t="b">
        <v>0</v>
      </c>
      <c r="BA9" t="s">
        <v>1205</v>
      </c>
      <c r="BJ9" t="s">
        <v>1211</v>
      </c>
    </row>
    <row r="10" spans="1:62" x14ac:dyDescent="0.25">
      <c r="A10" t="s">
        <v>1177</v>
      </c>
      <c r="B10">
        <v>410068</v>
      </c>
      <c r="C10">
        <v>410068</v>
      </c>
      <c r="D10" s="112" t="s">
        <v>2433</v>
      </c>
      <c r="E10" t="s">
        <v>1119</v>
      </c>
      <c r="F10" t="s">
        <v>1178</v>
      </c>
      <c r="G10" t="s">
        <v>345</v>
      </c>
      <c r="H10" s="135" t="s">
        <v>1233</v>
      </c>
      <c r="I10">
        <v>10</v>
      </c>
      <c r="J10" t="s">
        <v>1180</v>
      </c>
      <c r="K10">
        <v>10181</v>
      </c>
      <c r="L10" t="s">
        <v>1181</v>
      </c>
      <c r="M10">
        <v>10181175</v>
      </c>
      <c r="N10" t="s">
        <v>1182</v>
      </c>
      <c r="O10">
        <v>10181175812</v>
      </c>
      <c r="P10" t="s">
        <v>1183</v>
      </c>
      <c r="Q10" s="135" t="s">
        <v>1234</v>
      </c>
      <c r="R10" t="s">
        <v>1235</v>
      </c>
      <c r="S10" s="135" t="s">
        <v>1233</v>
      </c>
      <c r="T10" t="s">
        <v>1236</v>
      </c>
      <c r="U10" t="s">
        <v>1237</v>
      </c>
      <c r="V10" t="s">
        <v>1238</v>
      </c>
      <c r="W10">
        <v>485</v>
      </c>
      <c r="X10" t="s">
        <v>1189</v>
      </c>
      <c r="Y10">
        <v>12</v>
      </c>
      <c r="Z10">
        <v>5820</v>
      </c>
      <c r="AA10" t="s">
        <v>28</v>
      </c>
      <c r="AB10" t="s">
        <v>1190</v>
      </c>
      <c r="AC10">
        <v>485</v>
      </c>
      <c r="AD10" t="s">
        <v>1191</v>
      </c>
      <c r="AE10" t="s">
        <v>1192</v>
      </c>
      <c r="AF10" t="s">
        <v>1193</v>
      </c>
      <c r="AG10" t="s">
        <v>1194</v>
      </c>
      <c r="AH10" t="s">
        <v>1195</v>
      </c>
      <c r="AI10" t="s">
        <v>1196</v>
      </c>
      <c r="AJ10" t="s">
        <v>1197</v>
      </c>
      <c r="AK10" t="s">
        <v>1198</v>
      </c>
      <c r="AL10" t="s">
        <v>1199</v>
      </c>
      <c r="AM10" t="s">
        <v>1200</v>
      </c>
      <c r="AN10" t="s">
        <v>1201</v>
      </c>
      <c r="AO10" t="s">
        <v>573</v>
      </c>
      <c r="AP10" t="s">
        <v>1202</v>
      </c>
      <c r="AQ10" t="s">
        <v>1203</v>
      </c>
      <c r="AR10" t="s">
        <v>1201</v>
      </c>
      <c r="AS10" t="s">
        <v>1203</v>
      </c>
      <c r="AU10" t="s">
        <v>1204</v>
      </c>
      <c r="AW10" t="b">
        <v>0</v>
      </c>
      <c r="AY10" t="b">
        <v>0</v>
      </c>
      <c r="BA10" t="s">
        <v>1205</v>
      </c>
      <c r="BJ10" t="s">
        <v>1211</v>
      </c>
    </row>
    <row r="11" spans="1:62" x14ac:dyDescent="0.25">
      <c r="A11" t="s">
        <v>1177</v>
      </c>
      <c r="B11">
        <v>400133</v>
      </c>
      <c r="C11">
        <v>400133</v>
      </c>
      <c r="D11" s="112" t="s">
        <v>2434</v>
      </c>
      <c r="E11" t="s">
        <v>1119</v>
      </c>
      <c r="F11" t="s">
        <v>1178</v>
      </c>
      <c r="G11" t="s">
        <v>352</v>
      </c>
      <c r="H11" s="135" t="s">
        <v>1239</v>
      </c>
      <c r="I11">
        <v>10</v>
      </c>
      <c r="J11" t="s">
        <v>1180</v>
      </c>
      <c r="K11">
        <v>10181</v>
      </c>
      <c r="L11" t="s">
        <v>1181</v>
      </c>
      <c r="M11">
        <v>10181175</v>
      </c>
      <c r="N11" t="s">
        <v>1182</v>
      </c>
      <c r="O11">
        <v>10181175811</v>
      </c>
      <c r="P11" t="s">
        <v>1240</v>
      </c>
      <c r="Q11" s="135" t="s">
        <v>1241</v>
      </c>
      <c r="R11" t="s">
        <v>1242</v>
      </c>
      <c r="S11" s="135" t="s">
        <v>1239</v>
      </c>
      <c r="T11" t="s">
        <v>1243</v>
      </c>
      <c r="U11" t="s">
        <v>1187</v>
      </c>
      <c r="V11" t="s">
        <v>1188</v>
      </c>
      <c r="W11">
        <v>450</v>
      </c>
      <c r="X11" t="s">
        <v>1189</v>
      </c>
      <c r="Y11">
        <v>12</v>
      </c>
      <c r="Z11">
        <v>5400</v>
      </c>
      <c r="AA11" t="s">
        <v>28</v>
      </c>
      <c r="AB11" t="s">
        <v>1190</v>
      </c>
      <c r="AC11">
        <v>450</v>
      </c>
      <c r="AD11" t="s">
        <v>1191</v>
      </c>
      <c r="AE11" t="s">
        <v>1192</v>
      </c>
      <c r="AF11" t="s">
        <v>1193</v>
      </c>
      <c r="AG11" t="s">
        <v>1194</v>
      </c>
      <c r="AH11" t="s">
        <v>1195</v>
      </c>
      <c r="AI11" t="s">
        <v>1196</v>
      </c>
      <c r="AJ11" t="s">
        <v>1197</v>
      </c>
      <c r="AK11" t="s">
        <v>1198</v>
      </c>
      <c r="AL11" t="s">
        <v>1244</v>
      </c>
      <c r="AM11" t="s">
        <v>1200</v>
      </c>
      <c r="AN11" t="s">
        <v>1201</v>
      </c>
      <c r="AO11" t="s">
        <v>1245</v>
      </c>
      <c r="AP11" t="s">
        <v>1202</v>
      </c>
      <c r="AQ11" t="s">
        <v>1203</v>
      </c>
      <c r="AR11" t="s">
        <v>1201</v>
      </c>
      <c r="AS11" t="s">
        <v>1203</v>
      </c>
      <c r="AU11" t="s">
        <v>1204</v>
      </c>
      <c r="AW11" t="b">
        <v>0</v>
      </c>
      <c r="AY11" t="b">
        <v>0</v>
      </c>
      <c r="BA11" t="s">
        <v>1246</v>
      </c>
      <c r="BB11" t="s">
        <v>1206</v>
      </c>
      <c r="BC11" t="s">
        <v>1206</v>
      </c>
      <c r="BD11" t="s">
        <v>1207</v>
      </c>
      <c r="BE11" t="s">
        <v>1208</v>
      </c>
      <c r="BF11" t="s">
        <v>1209</v>
      </c>
      <c r="BG11" t="s">
        <v>347</v>
      </c>
      <c r="BH11" t="s">
        <v>1247</v>
      </c>
      <c r="BI11" t="s">
        <v>1206</v>
      </c>
      <c r="BJ11" t="s">
        <v>1248</v>
      </c>
    </row>
    <row r="12" spans="1:62" x14ac:dyDescent="0.25">
      <c r="A12" t="s">
        <v>1177</v>
      </c>
      <c r="B12">
        <v>400137</v>
      </c>
      <c r="C12">
        <v>400137</v>
      </c>
      <c r="D12" s="112" t="s">
        <v>2435</v>
      </c>
      <c r="E12" t="s">
        <v>1119</v>
      </c>
      <c r="F12" t="s">
        <v>1178</v>
      </c>
      <c r="G12" t="s">
        <v>355</v>
      </c>
      <c r="H12" s="135" t="s">
        <v>1239</v>
      </c>
      <c r="I12">
        <v>10</v>
      </c>
      <c r="J12" t="s">
        <v>1180</v>
      </c>
      <c r="K12">
        <v>10181</v>
      </c>
      <c r="L12" t="s">
        <v>1181</v>
      </c>
      <c r="M12">
        <v>10181175</v>
      </c>
      <c r="N12" t="s">
        <v>1182</v>
      </c>
      <c r="O12">
        <v>10181175811</v>
      </c>
      <c r="P12" t="s">
        <v>1240</v>
      </c>
      <c r="Q12" s="135" t="s">
        <v>1241</v>
      </c>
      <c r="R12" t="s">
        <v>1242</v>
      </c>
      <c r="S12" s="135" t="s">
        <v>1239</v>
      </c>
      <c r="T12" t="s">
        <v>1243</v>
      </c>
      <c r="U12" t="s">
        <v>1187</v>
      </c>
      <c r="V12" t="s">
        <v>1188</v>
      </c>
      <c r="W12">
        <v>450</v>
      </c>
      <c r="X12" t="s">
        <v>1189</v>
      </c>
      <c r="Y12">
        <v>12</v>
      </c>
      <c r="Z12">
        <v>5400</v>
      </c>
      <c r="AA12" t="s">
        <v>28</v>
      </c>
      <c r="AB12" t="s">
        <v>1190</v>
      </c>
      <c r="AC12">
        <v>450</v>
      </c>
      <c r="AD12" t="s">
        <v>1191</v>
      </c>
      <c r="AE12" t="s">
        <v>1192</v>
      </c>
      <c r="AF12" t="s">
        <v>1193</v>
      </c>
      <c r="AG12" t="s">
        <v>1194</v>
      </c>
      <c r="AH12" t="s">
        <v>1195</v>
      </c>
      <c r="AI12" t="s">
        <v>1196</v>
      </c>
      <c r="AJ12" t="s">
        <v>1197</v>
      </c>
      <c r="AK12" t="s">
        <v>1198</v>
      </c>
      <c r="AL12" t="s">
        <v>1249</v>
      </c>
      <c r="AM12" t="s">
        <v>1200</v>
      </c>
      <c r="AN12" t="s">
        <v>1201</v>
      </c>
      <c r="AO12" t="s">
        <v>1250</v>
      </c>
      <c r="AP12" t="s">
        <v>1202</v>
      </c>
      <c r="AQ12" t="s">
        <v>1203</v>
      </c>
      <c r="AR12" t="s">
        <v>1201</v>
      </c>
      <c r="AS12" t="s">
        <v>1203</v>
      </c>
      <c r="AU12" t="s">
        <v>1204</v>
      </c>
      <c r="AW12" t="b">
        <v>0</v>
      </c>
      <c r="AY12" t="b">
        <v>0</v>
      </c>
      <c r="BA12" t="s">
        <v>1246</v>
      </c>
      <c r="BB12" t="s">
        <v>1206</v>
      </c>
      <c r="BC12" t="s">
        <v>1206</v>
      </c>
      <c r="BD12" t="s">
        <v>1207</v>
      </c>
      <c r="BE12" t="s">
        <v>1208</v>
      </c>
      <c r="BF12" t="s">
        <v>1209</v>
      </c>
      <c r="BG12" t="s">
        <v>347</v>
      </c>
      <c r="BH12" t="s">
        <v>1247</v>
      </c>
      <c r="BI12" t="s">
        <v>1206</v>
      </c>
      <c r="BJ12" t="s">
        <v>1248</v>
      </c>
    </row>
    <row r="13" spans="1:62" x14ac:dyDescent="0.25">
      <c r="A13" t="s">
        <v>1177</v>
      </c>
      <c r="B13">
        <v>400139</v>
      </c>
      <c r="C13">
        <v>400139</v>
      </c>
      <c r="D13" s="112" t="s">
        <v>2436</v>
      </c>
      <c r="E13" t="s">
        <v>1119</v>
      </c>
      <c r="F13" t="s">
        <v>1178</v>
      </c>
      <c r="G13" t="s">
        <v>353</v>
      </c>
      <c r="H13" s="135" t="s">
        <v>1239</v>
      </c>
      <c r="I13">
        <v>10</v>
      </c>
      <c r="J13" t="s">
        <v>1180</v>
      </c>
      <c r="K13">
        <v>10181</v>
      </c>
      <c r="L13" t="s">
        <v>1181</v>
      </c>
      <c r="M13">
        <v>10181175</v>
      </c>
      <c r="N13" t="s">
        <v>1182</v>
      </c>
      <c r="O13">
        <v>10181175811</v>
      </c>
      <c r="P13" t="s">
        <v>1240</v>
      </c>
      <c r="Q13" s="135" t="s">
        <v>1241</v>
      </c>
      <c r="R13" t="s">
        <v>1242</v>
      </c>
      <c r="S13" s="135" t="s">
        <v>1239</v>
      </c>
      <c r="T13" t="s">
        <v>1243</v>
      </c>
      <c r="U13" t="s">
        <v>1187</v>
      </c>
      <c r="V13" t="s">
        <v>1188</v>
      </c>
      <c r="W13">
        <v>450</v>
      </c>
      <c r="X13" t="s">
        <v>1189</v>
      </c>
      <c r="Y13">
        <v>12</v>
      </c>
      <c r="Z13">
        <v>5400</v>
      </c>
      <c r="AA13" t="s">
        <v>28</v>
      </c>
      <c r="AB13" t="s">
        <v>1190</v>
      </c>
      <c r="AC13">
        <v>450</v>
      </c>
      <c r="AD13" t="s">
        <v>1191</v>
      </c>
      <c r="AE13" t="s">
        <v>1192</v>
      </c>
      <c r="AF13" t="s">
        <v>1193</v>
      </c>
      <c r="AG13" t="s">
        <v>1194</v>
      </c>
      <c r="AH13" t="s">
        <v>1195</v>
      </c>
      <c r="AI13" t="s">
        <v>1196</v>
      </c>
      <c r="AJ13" t="s">
        <v>1197</v>
      </c>
      <c r="AK13" t="s">
        <v>1198</v>
      </c>
      <c r="AL13" t="s">
        <v>1244</v>
      </c>
      <c r="AM13" t="s">
        <v>1200</v>
      </c>
      <c r="AN13" t="s">
        <v>1201</v>
      </c>
      <c r="AO13" t="s">
        <v>1245</v>
      </c>
      <c r="AP13" t="s">
        <v>1202</v>
      </c>
      <c r="AQ13" t="s">
        <v>1203</v>
      </c>
      <c r="AR13" t="s">
        <v>1201</v>
      </c>
      <c r="AS13" t="s">
        <v>1203</v>
      </c>
      <c r="AU13" t="s">
        <v>1204</v>
      </c>
      <c r="AW13" t="b">
        <v>0</v>
      </c>
      <c r="AY13" t="b">
        <v>0</v>
      </c>
      <c r="BA13" t="s">
        <v>1246</v>
      </c>
      <c r="BB13" t="s">
        <v>1206</v>
      </c>
      <c r="BC13" t="s">
        <v>1206</v>
      </c>
      <c r="BD13" t="s">
        <v>1207</v>
      </c>
      <c r="BE13" t="s">
        <v>1208</v>
      </c>
      <c r="BF13" t="s">
        <v>1209</v>
      </c>
      <c r="BG13" t="s">
        <v>347</v>
      </c>
      <c r="BH13" t="s">
        <v>1247</v>
      </c>
      <c r="BI13" t="s">
        <v>1206</v>
      </c>
      <c r="BJ13" t="s">
        <v>1248</v>
      </c>
    </row>
    <row r="14" spans="1:62" x14ac:dyDescent="0.25">
      <c r="A14" t="s">
        <v>1177</v>
      </c>
      <c r="B14">
        <v>400142</v>
      </c>
      <c r="C14">
        <v>400142</v>
      </c>
      <c r="D14" s="112" t="s">
        <v>2437</v>
      </c>
      <c r="E14" t="s">
        <v>1119</v>
      </c>
      <c r="F14" t="s">
        <v>1178</v>
      </c>
      <c r="G14" t="s">
        <v>1251</v>
      </c>
      <c r="H14" s="135" t="s">
        <v>1252</v>
      </c>
      <c r="I14">
        <v>10</v>
      </c>
      <c r="J14" t="s">
        <v>1180</v>
      </c>
      <c r="K14">
        <v>10181</v>
      </c>
      <c r="L14" t="s">
        <v>1181</v>
      </c>
      <c r="M14">
        <v>10181175</v>
      </c>
      <c r="N14" t="s">
        <v>1182</v>
      </c>
      <c r="O14">
        <v>10181175811</v>
      </c>
      <c r="P14" t="s">
        <v>1240</v>
      </c>
      <c r="Q14" s="135" t="s">
        <v>1253</v>
      </c>
      <c r="R14" t="s">
        <v>1254</v>
      </c>
      <c r="S14" s="135" t="s">
        <v>1252</v>
      </c>
      <c r="T14" t="s">
        <v>1255</v>
      </c>
      <c r="U14" t="s">
        <v>1187</v>
      </c>
      <c r="V14" t="s">
        <v>1188</v>
      </c>
      <c r="W14">
        <v>425</v>
      </c>
      <c r="X14" t="s">
        <v>1189</v>
      </c>
      <c r="Y14">
        <v>12</v>
      </c>
      <c r="Z14">
        <v>5100</v>
      </c>
      <c r="AA14" t="s">
        <v>28</v>
      </c>
      <c r="AB14" t="s">
        <v>1190</v>
      </c>
      <c r="AC14">
        <v>425</v>
      </c>
      <c r="AD14" t="s">
        <v>1191</v>
      </c>
      <c r="AE14" t="s">
        <v>1192</v>
      </c>
      <c r="AF14" t="s">
        <v>1193</v>
      </c>
      <c r="AG14" t="s">
        <v>1194</v>
      </c>
      <c r="AH14" t="s">
        <v>1195</v>
      </c>
      <c r="AI14" t="s">
        <v>1196</v>
      </c>
      <c r="AJ14" t="s">
        <v>1197</v>
      </c>
      <c r="AK14" t="s">
        <v>1198</v>
      </c>
      <c r="AL14" t="s">
        <v>1256</v>
      </c>
      <c r="AM14" t="s">
        <v>1200</v>
      </c>
      <c r="AN14" t="s">
        <v>1201</v>
      </c>
      <c r="AO14" t="s">
        <v>1257</v>
      </c>
      <c r="AP14" t="s">
        <v>1202</v>
      </c>
      <c r="AQ14" t="s">
        <v>1203</v>
      </c>
      <c r="AR14" t="s">
        <v>1201</v>
      </c>
      <c r="AS14" t="s">
        <v>1203</v>
      </c>
      <c r="AU14" t="s">
        <v>1204</v>
      </c>
      <c r="AW14" t="b">
        <v>0</v>
      </c>
      <c r="AY14" t="b">
        <v>0</v>
      </c>
      <c r="BA14" t="s">
        <v>1246</v>
      </c>
      <c r="BB14" t="s">
        <v>1206</v>
      </c>
      <c r="BC14" t="s">
        <v>1206</v>
      </c>
      <c r="BD14" t="s">
        <v>1207</v>
      </c>
      <c r="BE14" t="s">
        <v>1208</v>
      </c>
      <c r="BF14" t="s">
        <v>1209</v>
      </c>
      <c r="BG14" t="s">
        <v>347</v>
      </c>
      <c r="BH14" t="s">
        <v>1247</v>
      </c>
      <c r="BI14" t="s">
        <v>1206</v>
      </c>
      <c r="BJ14" t="s">
        <v>1248</v>
      </c>
    </row>
    <row r="15" spans="1:62" x14ac:dyDescent="0.25">
      <c r="A15" t="s">
        <v>1177</v>
      </c>
      <c r="B15">
        <v>400136</v>
      </c>
      <c r="C15">
        <v>400136</v>
      </c>
      <c r="D15" s="112" t="s">
        <v>2438</v>
      </c>
      <c r="E15" t="s">
        <v>1119</v>
      </c>
      <c r="F15" t="s">
        <v>1178</v>
      </c>
      <c r="G15" t="s">
        <v>357</v>
      </c>
      <c r="H15" s="135" t="s">
        <v>1239</v>
      </c>
      <c r="I15">
        <v>10</v>
      </c>
      <c r="J15" t="s">
        <v>1180</v>
      </c>
      <c r="K15">
        <v>10181</v>
      </c>
      <c r="L15" t="s">
        <v>1181</v>
      </c>
      <c r="M15">
        <v>10181175</v>
      </c>
      <c r="N15" t="s">
        <v>1182</v>
      </c>
      <c r="O15">
        <v>10181175811</v>
      </c>
      <c r="P15" t="s">
        <v>1240</v>
      </c>
      <c r="Q15" s="135" t="s">
        <v>1241</v>
      </c>
      <c r="R15" t="s">
        <v>1242</v>
      </c>
      <c r="S15" s="135" t="s">
        <v>1239</v>
      </c>
      <c r="T15" t="s">
        <v>1243</v>
      </c>
      <c r="U15" t="s">
        <v>1187</v>
      </c>
      <c r="V15" t="s">
        <v>1188</v>
      </c>
      <c r="W15">
        <v>450</v>
      </c>
      <c r="X15" t="s">
        <v>1189</v>
      </c>
      <c r="Y15">
        <v>12</v>
      </c>
      <c r="Z15">
        <v>5400</v>
      </c>
      <c r="AA15" t="s">
        <v>28</v>
      </c>
      <c r="AB15" t="s">
        <v>1190</v>
      </c>
      <c r="AC15">
        <v>450</v>
      </c>
      <c r="AD15" t="s">
        <v>1191</v>
      </c>
      <c r="AE15" t="s">
        <v>1192</v>
      </c>
      <c r="AF15" t="s">
        <v>1193</v>
      </c>
      <c r="AG15" t="s">
        <v>1194</v>
      </c>
      <c r="AH15" t="s">
        <v>1195</v>
      </c>
      <c r="AI15" t="s">
        <v>1196</v>
      </c>
      <c r="AJ15" t="s">
        <v>1197</v>
      </c>
      <c r="AK15" t="s">
        <v>1198</v>
      </c>
      <c r="AL15" t="s">
        <v>1256</v>
      </c>
      <c r="AM15" t="s">
        <v>1200</v>
      </c>
      <c r="AN15" t="s">
        <v>1201</v>
      </c>
      <c r="AO15" t="s">
        <v>1257</v>
      </c>
      <c r="AP15" t="s">
        <v>1202</v>
      </c>
      <c r="AQ15" t="s">
        <v>1203</v>
      </c>
      <c r="AR15" t="s">
        <v>1201</v>
      </c>
      <c r="AS15" t="s">
        <v>1203</v>
      </c>
      <c r="AU15" t="s">
        <v>1204</v>
      </c>
      <c r="AW15" t="b">
        <v>0</v>
      </c>
      <c r="AY15" t="b">
        <v>0</v>
      </c>
      <c r="BA15" t="s">
        <v>1246</v>
      </c>
      <c r="BB15" t="s">
        <v>1206</v>
      </c>
      <c r="BC15" t="s">
        <v>1206</v>
      </c>
      <c r="BD15" t="s">
        <v>1207</v>
      </c>
      <c r="BE15" t="s">
        <v>1208</v>
      </c>
      <c r="BF15" t="s">
        <v>1209</v>
      </c>
      <c r="BG15" t="s">
        <v>347</v>
      </c>
      <c r="BH15" t="s">
        <v>1247</v>
      </c>
      <c r="BI15" t="s">
        <v>1206</v>
      </c>
      <c r="BJ15" t="s">
        <v>1248</v>
      </c>
    </row>
    <row r="16" spans="1:62" x14ac:dyDescent="0.25">
      <c r="A16" t="s">
        <v>1177</v>
      </c>
      <c r="B16">
        <v>400143</v>
      </c>
      <c r="C16" t="s">
        <v>1258</v>
      </c>
      <c r="D16" s="112" t="s">
        <v>2439</v>
      </c>
      <c r="E16" t="s">
        <v>1119</v>
      </c>
      <c r="F16" t="s">
        <v>1178</v>
      </c>
      <c r="G16" t="s">
        <v>1259</v>
      </c>
      <c r="H16" s="135" t="s">
        <v>1252</v>
      </c>
      <c r="I16">
        <v>10</v>
      </c>
      <c r="J16" t="s">
        <v>1180</v>
      </c>
      <c r="K16">
        <v>10181</v>
      </c>
      <c r="L16" t="s">
        <v>1181</v>
      </c>
      <c r="M16">
        <v>10181175</v>
      </c>
      <c r="N16" t="s">
        <v>1182</v>
      </c>
      <c r="O16">
        <v>10181175811</v>
      </c>
      <c r="P16" t="s">
        <v>1240</v>
      </c>
      <c r="Q16" s="135" t="s">
        <v>1253</v>
      </c>
      <c r="R16" t="s">
        <v>1254</v>
      </c>
      <c r="S16" s="135" t="s">
        <v>1252</v>
      </c>
      <c r="T16" t="s">
        <v>1255</v>
      </c>
      <c r="U16" t="s">
        <v>1187</v>
      </c>
      <c r="V16" t="s">
        <v>1188</v>
      </c>
      <c r="W16">
        <v>425</v>
      </c>
      <c r="X16" t="s">
        <v>1189</v>
      </c>
      <c r="Y16">
        <v>12</v>
      </c>
      <c r="Z16">
        <v>5100</v>
      </c>
      <c r="AA16" t="s">
        <v>28</v>
      </c>
      <c r="AB16" t="s">
        <v>1190</v>
      </c>
      <c r="AC16">
        <v>425</v>
      </c>
      <c r="AD16" t="s">
        <v>1191</v>
      </c>
      <c r="AE16" t="s">
        <v>1192</v>
      </c>
      <c r="AF16" t="s">
        <v>1193</v>
      </c>
      <c r="AG16" t="s">
        <v>1194</v>
      </c>
      <c r="AH16" t="s">
        <v>1195</v>
      </c>
      <c r="AI16" t="s">
        <v>1196</v>
      </c>
      <c r="AJ16" t="s">
        <v>1197</v>
      </c>
      <c r="AK16" t="s">
        <v>1198</v>
      </c>
      <c r="AL16" t="s">
        <v>1249</v>
      </c>
      <c r="AM16" t="s">
        <v>1200</v>
      </c>
      <c r="AN16" t="s">
        <v>1201</v>
      </c>
      <c r="AO16" t="s">
        <v>1250</v>
      </c>
      <c r="AP16" t="s">
        <v>1202</v>
      </c>
      <c r="AQ16" t="s">
        <v>1203</v>
      </c>
      <c r="AR16" t="s">
        <v>1201</v>
      </c>
      <c r="AS16" t="s">
        <v>1203</v>
      </c>
      <c r="AU16" t="s">
        <v>1204</v>
      </c>
      <c r="AW16" t="b">
        <v>0</v>
      </c>
      <c r="AY16" t="b">
        <v>0</v>
      </c>
      <c r="BA16" t="s">
        <v>1246</v>
      </c>
      <c r="BB16" t="s">
        <v>1206</v>
      </c>
      <c r="BC16" t="s">
        <v>1206</v>
      </c>
      <c r="BD16" t="s">
        <v>1207</v>
      </c>
      <c r="BE16" t="s">
        <v>1208</v>
      </c>
      <c r="BF16" t="s">
        <v>1209</v>
      </c>
      <c r="BG16" t="s">
        <v>347</v>
      </c>
      <c r="BH16" t="s">
        <v>1247</v>
      </c>
      <c r="BI16" t="s">
        <v>1206</v>
      </c>
      <c r="BJ16" t="s">
        <v>1248</v>
      </c>
    </row>
    <row r="17" spans="1:62" x14ac:dyDescent="0.25">
      <c r="A17" t="s">
        <v>1177</v>
      </c>
      <c r="B17">
        <v>400145</v>
      </c>
      <c r="C17">
        <v>400145</v>
      </c>
      <c r="D17" s="112" t="s">
        <v>2440</v>
      </c>
      <c r="E17" t="s">
        <v>1119</v>
      </c>
      <c r="F17" t="s">
        <v>1178</v>
      </c>
      <c r="G17" t="s">
        <v>1260</v>
      </c>
      <c r="H17" s="135" t="s">
        <v>1252</v>
      </c>
      <c r="I17">
        <v>10</v>
      </c>
      <c r="J17" t="s">
        <v>1180</v>
      </c>
      <c r="K17">
        <v>10181</v>
      </c>
      <c r="L17" t="s">
        <v>1181</v>
      </c>
      <c r="M17">
        <v>10181175</v>
      </c>
      <c r="N17" t="s">
        <v>1182</v>
      </c>
      <c r="O17">
        <v>10181175811</v>
      </c>
      <c r="P17" t="s">
        <v>1240</v>
      </c>
      <c r="Q17" s="135" t="s">
        <v>1253</v>
      </c>
      <c r="R17" t="s">
        <v>1254</v>
      </c>
      <c r="S17" s="135" t="s">
        <v>1252</v>
      </c>
      <c r="T17" t="s">
        <v>1255</v>
      </c>
      <c r="U17" t="s">
        <v>1187</v>
      </c>
      <c r="V17" t="s">
        <v>1188</v>
      </c>
      <c r="W17">
        <v>425</v>
      </c>
      <c r="X17" t="s">
        <v>1189</v>
      </c>
      <c r="Y17">
        <v>12</v>
      </c>
      <c r="Z17">
        <v>5100</v>
      </c>
      <c r="AA17" t="s">
        <v>28</v>
      </c>
      <c r="AB17" t="s">
        <v>1190</v>
      </c>
      <c r="AC17">
        <v>425</v>
      </c>
      <c r="AD17" t="s">
        <v>1191</v>
      </c>
      <c r="AE17" t="s">
        <v>1192</v>
      </c>
      <c r="AF17" t="s">
        <v>1193</v>
      </c>
      <c r="AG17" t="s">
        <v>1194</v>
      </c>
      <c r="AH17" t="s">
        <v>1195</v>
      </c>
      <c r="AI17" t="s">
        <v>1196</v>
      </c>
      <c r="AJ17" t="s">
        <v>1197</v>
      </c>
      <c r="AK17" t="s">
        <v>1198</v>
      </c>
      <c r="AL17" t="s">
        <v>1244</v>
      </c>
      <c r="AM17" t="s">
        <v>1200</v>
      </c>
      <c r="AN17" t="s">
        <v>1201</v>
      </c>
      <c r="AO17" t="s">
        <v>1245</v>
      </c>
      <c r="AP17" t="s">
        <v>1202</v>
      </c>
      <c r="AQ17" t="s">
        <v>1203</v>
      </c>
      <c r="AR17" t="s">
        <v>1201</v>
      </c>
      <c r="AS17" t="s">
        <v>1203</v>
      </c>
      <c r="AU17" t="s">
        <v>1204</v>
      </c>
      <c r="AW17" t="b">
        <v>0</v>
      </c>
      <c r="AY17" t="b">
        <v>0</v>
      </c>
      <c r="BA17" t="s">
        <v>1246</v>
      </c>
      <c r="BB17" t="s">
        <v>1206</v>
      </c>
      <c r="BC17" t="s">
        <v>1206</v>
      </c>
      <c r="BD17" t="s">
        <v>1207</v>
      </c>
      <c r="BE17" t="s">
        <v>1208</v>
      </c>
      <c r="BF17" t="s">
        <v>1209</v>
      </c>
      <c r="BG17" t="s">
        <v>347</v>
      </c>
      <c r="BH17" t="s">
        <v>1247</v>
      </c>
      <c r="BI17" t="s">
        <v>1206</v>
      </c>
      <c r="BJ17" t="s">
        <v>1248</v>
      </c>
    </row>
    <row r="18" spans="1:62" x14ac:dyDescent="0.25">
      <c r="A18" t="s">
        <v>1177</v>
      </c>
      <c r="B18">
        <v>400146</v>
      </c>
      <c r="C18">
        <v>400146</v>
      </c>
      <c r="D18" s="112" t="s">
        <v>2441</v>
      </c>
      <c r="E18" t="s">
        <v>1119</v>
      </c>
      <c r="F18" t="s">
        <v>1178</v>
      </c>
      <c r="G18" t="s">
        <v>1261</v>
      </c>
      <c r="H18" s="135" t="s">
        <v>1252</v>
      </c>
      <c r="I18">
        <v>10</v>
      </c>
      <c r="J18" t="s">
        <v>1180</v>
      </c>
      <c r="K18">
        <v>10181</v>
      </c>
      <c r="L18" t="s">
        <v>1181</v>
      </c>
      <c r="M18">
        <v>10181175</v>
      </c>
      <c r="N18" t="s">
        <v>1182</v>
      </c>
      <c r="O18">
        <v>10181175811</v>
      </c>
      <c r="P18" t="s">
        <v>1240</v>
      </c>
      <c r="Q18" s="135" t="s">
        <v>1253</v>
      </c>
      <c r="R18" t="s">
        <v>1254</v>
      </c>
      <c r="S18" s="135" t="s">
        <v>1252</v>
      </c>
      <c r="T18" t="s">
        <v>1255</v>
      </c>
      <c r="U18" t="s">
        <v>1187</v>
      </c>
      <c r="V18" t="s">
        <v>1188</v>
      </c>
      <c r="W18">
        <v>425</v>
      </c>
      <c r="X18" t="s">
        <v>1189</v>
      </c>
      <c r="Y18">
        <v>12</v>
      </c>
      <c r="Z18">
        <v>5100</v>
      </c>
      <c r="AA18" t="s">
        <v>28</v>
      </c>
      <c r="AB18" t="s">
        <v>1190</v>
      </c>
      <c r="AC18">
        <v>425</v>
      </c>
      <c r="AD18" t="s">
        <v>1191</v>
      </c>
      <c r="AE18" t="s">
        <v>1192</v>
      </c>
      <c r="AF18" t="s">
        <v>1193</v>
      </c>
      <c r="AG18" t="s">
        <v>1194</v>
      </c>
      <c r="AH18" t="s">
        <v>1195</v>
      </c>
      <c r="AI18" t="s">
        <v>1196</v>
      </c>
      <c r="AJ18" t="s">
        <v>1197</v>
      </c>
      <c r="AK18" t="s">
        <v>1198</v>
      </c>
      <c r="AL18" t="s">
        <v>1262</v>
      </c>
      <c r="AM18" t="s">
        <v>1200</v>
      </c>
      <c r="AN18" t="s">
        <v>1201</v>
      </c>
      <c r="AO18" t="s">
        <v>1263</v>
      </c>
      <c r="AP18" t="s">
        <v>1202</v>
      </c>
      <c r="AQ18" t="s">
        <v>1203</v>
      </c>
      <c r="AR18" t="s">
        <v>1201</v>
      </c>
      <c r="AS18" t="s">
        <v>1203</v>
      </c>
      <c r="AU18" t="s">
        <v>1204</v>
      </c>
      <c r="AW18" t="b">
        <v>0</v>
      </c>
      <c r="AY18" t="b">
        <v>0</v>
      </c>
      <c r="BA18" t="s">
        <v>1246</v>
      </c>
      <c r="BB18" t="s">
        <v>1206</v>
      </c>
      <c r="BC18" t="s">
        <v>1206</v>
      </c>
      <c r="BD18" t="s">
        <v>1207</v>
      </c>
      <c r="BE18" t="s">
        <v>1208</v>
      </c>
      <c r="BF18" t="s">
        <v>1209</v>
      </c>
      <c r="BG18" t="s">
        <v>347</v>
      </c>
      <c r="BH18" t="s">
        <v>1247</v>
      </c>
      <c r="BI18" t="s">
        <v>1206</v>
      </c>
      <c r="BJ18" t="s">
        <v>1248</v>
      </c>
    </row>
    <row r="19" spans="1:62" x14ac:dyDescent="0.25">
      <c r="A19" t="s">
        <v>1177</v>
      </c>
      <c r="B19">
        <v>400134</v>
      </c>
      <c r="C19">
        <v>400134</v>
      </c>
      <c r="D19" s="112" t="s">
        <v>2442</v>
      </c>
      <c r="E19" t="s">
        <v>1119</v>
      </c>
      <c r="F19" t="s">
        <v>1178</v>
      </c>
      <c r="G19" t="s">
        <v>358</v>
      </c>
      <c r="H19" s="135" t="s">
        <v>1239</v>
      </c>
      <c r="I19">
        <v>10</v>
      </c>
      <c r="J19" t="s">
        <v>1180</v>
      </c>
      <c r="K19">
        <v>10181</v>
      </c>
      <c r="L19" t="s">
        <v>1181</v>
      </c>
      <c r="M19">
        <v>10181175</v>
      </c>
      <c r="N19" t="s">
        <v>1182</v>
      </c>
      <c r="O19">
        <v>10181175811</v>
      </c>
      <c r="P19" t="s">
        <v>1240</v>
      </c>
      <c r="Q19" s="135" t="s">
        <v>1241</v>
      </c>
      <c r="R19" t="s">
        <v>1242</v>
      </c>
      <c r="S19" s="135" t="s">
        <v>1239</v>
      </c>
      <c r="T19" t="s">
        <v>1243</v>
      </c>
      <c r="U19" t="s">
        <v>1187</v>
      </c>
      <c r="V19" t="s">
        <v>1188</v>
      </c>
      <c r="W19">
        <v>450</v>
      </c>
      <c r="X19" t="s">
        <v>1189</v>
      </c>
      <c r="Y19">
        <v>12</v>
      </c>
      <c r="Z19">
        <v>5400</v>
      </c>
      <c r="AA19" t="s">
        <v>28</v>
      </c>
      <c r="AB19" t="s">
        <v>1190</v>
      </c>
      <c r="AC19">
        <v>450</v>
      </c>
      <c r="AD19" t="s">
        <v>1191</v>
      </c>
      <c r="AE19" t="s">
        <v>1192</v>
      </c>
      <c r="AF19" t="s">
        <v>1193</v>
      </c>
      <c r="AG19" t="s">
        <v>1194</v>
      </c>
      <c r="AH19" t="s">
        <v>1195</v>
      </c>
      <c r="AI19" t="s">
        <v>1196</v>
      </c>
      <c r="AJ19" t="s">
        <v>1197</v>
      </c>
      <c r="AK19" t="s">
        <v>1198</v>
      </c>
      <c r="AL19" t="s">
        <v>1262</v>
      </c>
      <c r="AM19" t="s">
        <v>1200</v>
      </c>
      <c r="AN19" t="s">
        <v>1201</v>
      </c>
      <c r="AO19" t="s">
        <v>1263</v>
      </c>
      <c r="AP19" t="s">
        <v>1202</v>
      </c>
      <c r="AQ19" t="s">
        <v>1203</v>
      </c>
      <c r="AR19" t="s">
        <v>1201</v>
      </c>
      <c r="AS19" t="s">
        <v>1203</v>
      </c>
      <c r="AU19" t="s">
        <v>1204</v>
      </c>
      <c r="AW19" t="b">
        <v>0</v>
      </c>
      <c r="AY19" t="b">
        <v>0</v>
      </c>
      <c r="BA19" t="s">
        <v>1246</v>
      </c>
      <c r="BB19" t="s">
        <v>1206</v>
      </c>
      <c r="BC19" t="s">
        <v>1206</v>
      </c>
      <c r="BD19" t="s">
        <v>1207</v>
      </c>
      <c r="BE19" t="s">
        <v>1208</v>
      </c>
      <c r="BF19" t="s">
        <v>1209</v>
      </c>
      <c r="BG19" t="s">
        <v>347</v>
      </c>
      <c r="BH19" t="s">
        <v>1247</v>
      </c>
      <c r="BI19" t="s">
        <v>1206</v>
      </c>
      <c r="BJ19" t="s">
        <v>1248</v>
      </c>
    </row>
    <row r="20" spans="1:62" x14ac:dyDescent="0.25">
      <c r="A20" t="s">
        <v>1177</v>
      </c>
      <c r="B20">
        <v>400140</v>
      </c>
      <c r="C20">
        <v>400140</v>
      </c>
      <c r="D20" s="112" t="s">
        <v>2443</v>
      </c>
      <c r="E20" t="s">
        <v>1119</v>
      </c>
      <c r="F20" t="s">
        <v>1178</v>
      </c>
      <c r="G20" t="s">
        <v>359</v>
      </c>
      <c r="H20" s="135" t="s">
        <v>1239</v>
      </c>
      <c r="I20">
        <v>10</v>
      </c>
      <c r="J20" t="s">
        <v>1180</v>
      </c>
      <c r="K20">
        <v>10181</v>
      </c>
      <c r="L20" t="s">
        <v>1181</v>
      </c>
      <c r="M20">
        <v>10181175</v>
      </c>
      <c r="N20" t="s">
        <v>1182</v>
      </c>
      <c r="O20">
        <v>10181175811</v>
      </c>
      <c r="P20" t="s">
        <v>1240</v>
      </c>
      <c r="Q20" s="135" t="s">
        <v>1241</v>
      </c>
      <c r="R20" t="s">
        <v>1242</v>
      </c>
      <c r="S20" s="135" t="s">
        <v>1239</v>
      </c>
      <c r="T20" t="s">
        <v>1243</v>
      </c>
      <c r="U20" t="s">
        <v>1187</v>
      </c>
      <c r="V20" t="s">
        <v>1188</v>
      </c>
      <c r="W20">
        <v>450</v>
      </c>
      <c r="X20" t="s">
        <v>1189</v>
      </c>
      <c r="Y20">
        <v>12</v>
      </c>
      <c r="Z20">
        <v>5400</v>
      </c>
      <c r="AA20" t="s">
        <v>28</v>
      </c>
      <c r="AB20" t="s">
        <v>1190</v>
      </c>
      <c r="AC20">
        <v>450</v>
      </c>
      <c r="AD20" t="s">
        <v>1191</v>
      </c>
      <c r="AE20" t="s">
        <v>1192</v>
      </c>
      <c r="AF20" t="s">
        <v>1193</v>
      </c>
      <c r="AG20" t="s">
        <v>1194</v>
      </c>
      <c r="AH20" t="s">
        <v>1195</v>
      </c>
      <c r="AI20" t="s">
        <v>1196</v>
      </c>
      <c r="AJ20" t="s">
        <v>1197</v>
      </c>
      <c r="AK20" t="s">
        <v>1198</v>
      </c>
      <c r="AL20" t="s">
        <v>1262</v>
      </c>
      <c r="AM20" t="s">
        <v>1200</v>
      </c>
      <c r="AN20" t="s">
        <v>1201</v>
      </c>
      <c r="AO20" t="s">
        <v>1263</v>
      </c>
      <c r="AP20" t="s">
        <v>1202</v>
      </c>
      <c r="AQ20" t="s">
        <v>1203</v>
      </c>
      <c r="AR20" t="s">
        <v>1201</v>
      </c>
      <c r="AS20" t="s">
        <v>1203</v>
      </c>
      <c r="AU20" t="s">
        <v>1204</v>
      </c>
      <c r="AW20" t="b">
        <v>0</v>
      </c>
      <c r="AY20" t="b">
        <v>0</v>
      </c>
      <c r="BA20" t="s">
        <v>1246</v>
      </c>
      <c r="BB20" t="s">
        <v>1206</v>
      </c>
      <c r="BC20" t="s">
        <v>1206</v>
      </c>
      <c r="BD20" t="s">
        <v>1207</v>
      </c>
      <c r="BE20" t="s">
        <v>1208</v>
      </c>
      <c r="BF20" t="s">
        <v>1209</v>
      </c>
      <c r="BG20" t="s">
        <v>347</v>
      </c>
      <c r="BH20" t="s">
        <v>1247</v>
      </c>
      <c r="BI20" t="s">
        <v>1206</v>
      </c>
      <c r="BJ20" t="s">
        <v>1248</v>
      </c>
    </row>
    <row r="21" spans="1:62" x14ac:dyDescent="0.25">
      <c r="A21" t="s">
        <v>1177</v>
      </c>
      <c r="B21">
        <v>400141</v>
      </c>
      <c r="C21">
        <v>400141</v>
      </c>
      <c r="D21" s="112" t="s">
        <v>2444</v>
      </c>
      <c r="E21" t="s">
        <v>1119</v>
      </c>
      <c r="F21" t="s">
        <v>1178</v>
      </c>
      <c r="G21" t="s">
        <v>1264</v>
      </c>
      <c r="H21" s="135" t="s">
        <v>1252</v>
      </c>
      <c r="I21">
        <v>10</v>
      </c>
      <c r="J21" t="s">
        <v>1180</v>
      </c>
      <c r="K21">
        <v>10181</v>
      </c>
      <c r="L21" t="s">
        <v>1181</v>
      </c>
      <c r="M21">
        <v>10181175</v>
      </c>
      <c r="N21" t="s">
        <v>1182</v>
      </c>
      <c r="O21">
        <v>10181175811</v>
      </c>
      <c r="P21" t="s">
        <v>1240</v>
      </c>
      <c r="Q21" s="135" t="s">
        <v>1253</v>
      </c>
      <c r="R21" t="s">
        <v>1254</v>
      </c>
      <c r="S21" s="135" t="s">
        <v>1252</v>
      </c>
      <c r="T21" t="s">
        <v>1255</v>
      </c>
      <c r="U21" t="s">
        <v>1187</v>
      </c>
      <c r="V21" t="s">
        <v>1188</v>
      </c>
      <c r="W21">
        <v>425</v>
      </c>
      <c r="X21" t="s">
        <v>1189</v>
      </c>
      <c r="Y21">
        <v>12</v>
      </c>
      <c r="Z21">
        <v>5100</v>
      </c>
      <c r="AA21" t="s">
        <v>28</v>
      </c>
      <c r="AB21" t="s">
        <v>1190</v>
      </c>
      <c r="AC21">
        <v>425</v>
      </c>
      <c r="AD21" t="s">
        <v>1191</v>
      </c>
      <c r="AE21" t="s">
        <v>1192</v>
      </c>
      <c r="AF21" t="s">
        <v>1193</v>
      </c>
      <c r="AG21" t="s">
        <v>1194</v>
      </c>
      <c r="AH21" t="s">
        <v>1195</v>
      </c>
      <c r="AI21" t="s">
        <v>1196</v>
      </c>
      <c r="AJ21" t="s">
        <v>1197</v>
      </c>
      <c r="AK21" t="s">
        <v>1198</v>
      </c>
      <c r="AL21" t="s">
        <v>1265</v>
      </c>
      <c r="AM21" t="s">
        <v>1200</v>
      </c>
      <c r="AN21" t="s">
        <v>1201</v>
      </c>
      <c r="AO21" t="s">
        <v>1266</v>
      </c>
      <c r="AP21" t="s">
        <v>1202</v>
      </c>
      <c r="AQ21" t="s">
        <v>1203</v>
      </c>
      <c r="AR21" t="s">
        <v>1201</v>
      </c>
      <c r="AS21" t="s">
        <v>1203</v>
      </c>
      <c r="AU21" t="s">
        <v>1204</v>
      </c>
      <c r="AW21" t="b">
        <v>0</v>
      </c>
      <c r="AY21" t="b">
        <v>0</v>
      </c>
      <c r="BA21" t="s">
        <v>1246</v>
      </c>
      <c r="BB21" t="s">
        <v>1206</v>
      </c>
      <c r="BC21" t="s">
        <v>1206</v>
      </c>
      <c r="BD21" t="s">
        <v>1207</v>
      </c>
      <c r="BE21" t="s">
        <v>1208</v>
      </c>
      <c r="BF21" t="s">
        <v>1209</v>
      </c>
      <c r="BG21" t="s">
        <v>347</v>
      </c>
      <c r="BH21" t="s">
        <v>1247</v>
      </c>
      <c r="BI21" t="s">
        <v>1206</v>
      </c>
      <c r="BJ21" t="s">
        <v>1248</v>
      </c>
    </row>
    <row r="22" spans="1:62" x14ac:dyDescent="0.25">
      <c r="A22" t="s">
        <v>1177</v>
      </c>
      <c r="B22">
        <v>400129</v>
      </c>
      <c r="C22">
        <v>400129</v>
      </c>
      <c r="D22" s="112" t="s">
        <v>2445</v>
      </c>
      <c r="E22" t="s">
        <v>1119</v>
      </c>
      <c r="F22" t="s">
        <v>1178</v>
      </c>
      <c r="G22" t="s">
        <v>348</v>
      </c>
      <c r="H22" s="135" t="s">
        <v>1239</v>
      </c>
      <c r="I22">
        <v>10</v>
      </c>
      <c r="J22" t="s">
        <v>1180</v>
      </c>
      <c r="K22">
        <v>10181</v>
      </c>
      <c r="L22" t="s">
        <v>1181</v>
      </c>
      <c r="M22">
        <v>10181175</v>
      </c>
      <c r="N22" t="s">
        <v>1182</v>
      </c>
      <c r="O22">
        <v>10181175811</v>
      </c>
      <c r="P22" t="s">
        <v>1240</v>
      </c>
      <c r="Q22" s="135" t="s">
        <v>1241</v>
      </c>
      <c r="R22" t="s">
        <v>1242</v>
      </c>
      <c r="S22" s="135" t="s">
        <v>1239</v>
      </c>
      <c r="T22" t="s">
        <v>1243</v>
      </c>
      <c r="U22" t="s">
        <v>1187</v>
      </c>
      <c r="V22" t="s">
        <v>1188</v>
      </c>
      <c r="W22">
        <v>450</v>
      </c>
      <c r="X22" t="s">
        <v>1189</v>
      </c>
      <c r="Y22">
        <v>12</v>
      </c>
      <c r="Z22">
        <v>5400</v>
      </c>
      <c r="AA22" t="s">
        <v>28</v>
      </c>
      <c r="AB22" t="s">
        <v>1190</v>
      </c>
      <c r="AC22">
        <v>450</v>
      </c>
      <c r="AD22" t="s">
        <v>1191</v>
      </c>
      <c r="AE22" t="s">
        <v>1192</v>
      </c>
      <c r="AF22" t="s">
        <v>1193</v>
      </c>
      <c r="AG22" t="s">
        <v>1194</v>
      </c>
      <c r="AH22" t="s">
        <v>1195</v>
      </c>
      <c r="AI22" t="s">
        <v>1196</v>
      </c>
      <c r="AJ22" t="s">
        <v>1197</v>
      </c>
      <c r="AK22" t="s">
        <v>1198</v>
      </c>
      <c r="AL22" t="s">
        <v>1265</v>
      </c>
      <c r="AM22" t="s">
        <v>1200</v>
      </c>
      <c r="AN22" t="s">
        <v>1201</v>
      </c>
      <c r="AO22" t="s">
        <v>1266</v>
      </c>
      <c r="AP22" t="s">
        <v>1202</v>
      </c>
      <c r="AQ22" t="s">
        <v>1203</v>
      </c>
      <c r="AR22" t="s">
        <v>1201</v>
      </c>
      <c r="AS22" t="s">
        <v>1203</v>
      </c>
      <c r="AU22" t="s">
        <v>1204</v>
      </c>
      <c r="AW22" t="b">
        <v>0</v>
      </c>
      <c r="AY22" t="b">
        <v>0</v>
      </c>
      <c r="BA22" t="s">
        <v>1246</v>
      </c>
      <c r="BB22" t="s">
        <v>1206</v>
      </c>
      <c r="BC22" t="s">
        <v>1206</v>
      </c>
      <c r="BD22" t="s">
        <v>1207</v>
      </c>
      <c r="BE22" t="s">
        <v>1208</v>
      </c>
      <c r="BF22" t="s">
        <v>1209</v>
      </c>
      <c r="BG22" t="s">
        <v>347</v>
      </c>
      <c r="BH22" t="s">
        <v>1247</v>
      </c>
      <c r="BI22" t="s">
        <v>1206</v>
      </c>
      <c r="BJ22" t="s">
        <v>1248</v>
      </c>
    </row>
    <row r="23" spans="1:62" x14ac:dyDescent="0.25">
      <c r="A23" t="s">
        <v>1177</v>
      </c>
      <c r="B23">
        <v>400135</v>
      </c>
      <c r="C23">
        <v>400135</v>
      </c>
      <c r="D23" s="112" t="s">
        <v>2446</v>
      </c>
      <c r="E23" t="s">
        <v>1119</v>
      </c>
      <c r="F23" t="s">
        <v>1178</v>
      </c>
      <c r="G23" t="s">
        <v>349</v>
      </c>
      <c r="H23" s="135" t="s">
        <v>1239</v>
      </c>
      <c r="I23">
        <v>10</v>
      </c>
      <c r="J23" t="s">
        <v>1180</v>
      </c>
      <c r="K23">
        <v>10181</v>
      </c>
      <c r="L23" t="s">
        <v>1181</v>
      </c>
      <c r="M23">
        <v>10181175</v>
      </c>
      <c r="N23" t="s">
        <v>1182</v>
      </c>
      <c r="O23">
        <v>10181175811</v>
      </c>
      <c r="P23" t="s">
        <v>1240</v>
      </c>
      <c r="Q23" s="135" t="s">
        <v>1241</v>
      </c>
      <c r="R23" t="s">
        <v>1242</v>
      </c>
      <c r="S23" s="135" t="s">
        <v>1239</v>
      </c>
      <c r="T23" t="s">
        <v>1243</v>
      </c>
      <c r="U23" t="s">
        <v>1187</v>
      </c>
      <c r="V23" t="s">
        <v>1188</v>
      </c>
      <c r="W23">
        <v>450</v>
      </c>
      <c r="X23" t="s">
        <v>1189</v>
      </c>
      <c r="Y23">
        <v>12</v>
      </c>
      <c r="Z23">
        <v>5400</v>
      </c>
      <c r="AA23" t="s">
        <v>28</v>
      </c>
      <c r="AB23" t="s">
        <v>1190</v>
      </c>
      <c r="AC23">
        <v>450</v>
      </c>
      <c r="AD23" t="s">
        <v>1191</v>
      </c>
      <c r="AE23" t="s">
        <v>1192</v>
      </c>
      <c r="AF23" t="s">
        <v>1193</v>
      </c>
      <c r="AG23" t="s">
        <v>1194</v>
      </c>
      <c r="AH23" t="s">
        <v>1195</v>
      </c>
      <c r="AI23" t="s">
        <v>1196</v>
      </c>
      <c r="AJ23" t="s">
        <v>1197</v>
      </c>
      <c r="AK23" t="s">
        <v>1198</v>
      </c>
      <c r="AL23" t="s">
        <v>1265</v>
      </c>
      <c r="AM23" t="s">
        <v>1200</v>
      </c>
      <c r="AN23" t="s">
        <v>1201</v>
      </c>
      <c r="AO23" t="s">
        <v>1266</v>
      </c>
      <c r="AP23" t="s">
        <v>1202</v>
      </c>
      <c r="AQ23" t="s">
        <v>1203</v>
      </c>
      <c r="AR23" t="s">
        <v>1201</v>
      </c>
      <c r="AS23" t="s">
        <v>1203</v>
      </c>
      <c r="AU23" t="s">
        <v>1204</v>
      </c>
      <c r="AW23" t="b">
        <v>0</v>
      </c>
      <c r="AY23" t="b">
        <v>0</v>
      </c>
      <c r="BA23" t="s">
        <v>1246</v>
      </c>
      <c r="BB23" t="s">
        <v>1206</v>
      </c>
      <c r="BC23" t="s">
        <v>1206</v>
      </c>
      <c r="BD23" t="s">
        <v>1207</v>
      </c>
      <c r="BE23" t="s">
        <v>1208</v>
      </c>
      <c r="BF23" t="s">
        <v>1209</v>
      </c>
      <c r="BG23" t="s">
        <v>347</v>
      </c>
      <c r="BH23" t="s">
        <v>1247</v>
      </c>
      <c r="BI23" t="s">
        <v>1206</v>
      </c>
      <c r="BJ23" t="s">
        <v>1248</v>
      </c>
    </row>
    <row r="24" spans="1:62" x14ac:dyDescent="0.25">
      <c r="A24" t="s">
        <v>1177</v>
      </c>
      <c r="B24">
        <v>400144</v>
      </c>
      <c r="C24">
        <v>400144</v>
      </c>
      <c r="D24" s="112" t="s">
        <v>2447</v>
      </c>
      <c r="E24" t="s">
        <v>1119</v>
      </c>
      <c r="F24" t="s">
        <v>1178</v>
      </c>
      <c r="G24" t="s">
        <v>1267</v>
      </c>
      <c r="H24" s="135" t="s">
        <v>1252</v>
      </c>
      <c r="I24">
        <v>10</v>
      </c>
      <c r="J24" t="s">
        <v>1180</v>
      </c>
      <c r="K24">
        <v>10181</v>
      </c>
      <c r="L24" t="s">
        <v>1181</v>
      </c>
      <c r="M24">
        <v>10181175</v>
      </c>
      <c r="N24" t="s">
        <v>1182</v>
      </c>
      <c r="O24">
        <v>10181175811</v>
      </c>
      <c r="P24" t="s">
        <v>1240</v>
      </c>
      <c r="Q24" s="135" t="s">
        <v>1253</v>
      </c>
      <c r="R24" t="s">
        <v>1254</v>
      </c>
      <c r="S24" s="135" t="s">
        <v>1252</v>
      </c>
      <c r="T24" t="s">
        <v>1255</v>
      </c>
      <c r="U24" t="s">
        <v>1187</v>
      </c>
      <c r="V24" t="s">
        <v>1188</v>
      </c>
      <c r="W24">
        <v>425</v>
      </c>
      <c r="X24" t="s">
        <v>1189</v>
      </c>
      <c r="Y24">
        <v>12</v>
      </c>
      <c r="Z24">
        <v>5100</v>
      </c>
      <c r="AA24" t="s">
        <v>28</v>
      </c>
      <c r="AB24" t="s">
        <v>1190</v>
      </c>
      <c r="AC24">
        <v>425</v>
      </c>
      <c r="AD24" t="s">
        <v>1191</v>
      </c>
      <c r="AE24" t="s">
        <v>1192</v>
      </c>
      <c r="AF24" t="s">
        <v>1193</v>
      </c>
      <c r="AG24" t="s">
        <v>1194</v>
      </c>
      <c r="AH24" t="s">
        <v>1195</v>
      </c>
      <c r="AI24" t="s">
        <v>1196</v>
      </c>
      <c r="AJ24" t="s">
        <v>1197</v>
      </c>
      <c r="AK24" t="s">
        <v>1198</v>
      </c>
      <c r="AL24" t="s">
        <v>1268</v>
      </c>
      <c r="AM24" t="s">
        <v>1200</v>
      </c>
      <c r="AN24" t="s">
        <v>1201</v>
      </c>
      <c r="AO24" t="s">
        <v>1269</v>
      </c>
      <c r="AP24" t="s">
        <v>1202</v>
      </c>
      <c r="AQ24" t="s">
        <v>1203</v>
      </c>
      <c r="AR24" t="s">
        <v>1201</v>
      </c>
      <c r="AS24" t="s">
        <v>1203</v>
      </c>
      <c r="AU24" t="s">
        <v>1204</v>
      </c>
      <c r="AW24" t="b">
        <v>0</v>
      </c>
      <c r="AY24" t="b">
        <v>0</v>
      </c>
      <c r="BA24" t="s">
        <v>1246</v>
      </c>
      <c r="BB24" t="s">
        <v>1206</v>
      </c>
      <c r="BC24" t="s">
        <v>1206</v>
      </c>
      <c r="BD24" t="s">
        <v>1207</v>
      </c>
      <c r="BE24" t="s">
        <v>1208</v>
      </c>
      <c r="BF24" t="s">
        <v>1209</v>
      </c>
      <c r="BG24" t="s">
        <v>347</v>
      </c>
      <c r="BH24" t="s">
        <v>1247</v>
      </c>
      <c r="BI24" t="s">
        <v>1206</v>
      </c>
      <c r="BJ24" t="s">
        <v>1248</v>
      </c>
    </row>
    <row r="25" spans="1:62" x14ac:dyDescent="0.25">
      <c r="A25" t="s">
        <v>1177</v>
      </c>
      <c r="B25">
        <v>400132</v>
      </c>
      <c r="C25">
        <v>400132</v>
      </c>
      <c r="D25" s="112" t="s">
        <v>2448</v>
      </c>
      <c r="E25" t="s">
        <v>1119</v>
      </c>
      <c r="F25" t="s">
        <v>1178</v>
      </c>
      <c r="G25" t="s">
        <v>350</v>
      </c>
      <c r="H25" s="135" t="s">
        <v>1239</v>
      </c>
      <c r="I25">
        <v>10</v>
      </c>
      <c r="J25" t="s">
        <v>1180</v>
      </c>
      <c r="K25">
        <v>10181</v>
      </c>
      <c r="L25" t="s">
        <v>1181</v>
      </c>
      <c r="M25">
        <v>10181175</v>
      </c>
      <c r="N25" t="s">
        <v>1182</v>
      </c>
      <c r="O25">
        <v>10181175811</v>
      </c>
      <c r="P25" t="s">
        <v>1240</v>
      </c>
      <c r="Q25" s="135" t="s">
        <v>1241</v>
      </c>
      <c r="R25" t="s">
        <v>1242</v>
      </c>
      <c r="S25" s="135" t="s">
        <v>1239</v>
      </c>
      <c r="T25" t="s">
        <v>1243</v>
      </c>
      <c r="U25" t="s">
        <v>1187</v>
      </c>
      <c r="V25" t="s">
        <v>1188</v>
      </c>
      <c r="W25">
        <v>450</v>
      </c>
      <c r="X25" t="s">
        <v>1189</v>
      </c>
      <c r="Y25">
        <v>12</v>
      </c>
      <c r="Z25">
        <v>5400</v>
      </c>
      <c r="AA25" t="s">
        <v>28</v>
      </c>
      <c r="AB25" t="s">
        <v>1190</v>
      </c>
      <c r="AC25">
        <v>450</v>
      </c>
      <c r="AD25" t="s">
        <v>1191</v>
      </c>
      <c r="AE25" t="s">
        <v>1192</v>
      </c>
      <c r="AF25" t="s">
        <v>1193</v>
      </c>
      <c r="AG25" t="s">
        <v>1194</v>
      </c>
      <c r="AH25" t="s">
        <v>1195</v>
      </c>
      <c r="AI25" t="s">
        <v>1196</v>
      </c>
      <c r="AJ25" t="s">
        <v>1197</v>
      </c>
      <c r="AK25" t="s">
        <v>1198</v>
      </c>
      <c r="AL25" t="s">
        <v>1268</v>
      </c>
      <c r="AM25" t="s">
        <v>1200</v>
      </c>
      <c r="AN25" t="s">
        <v>1201</v>
      </c>
      <c r="AO25" t="s">
        <v>1269</v>
      </c>
      <c r="AP25" t="s">
        <v>1202</v>
      </c>
      <c r="AQ25" t="s">
        <v>1203</v>
      </c>
      <c r="AR25" t="s">
        <v>1201</v>
      </c>
      <c r="AS25" t="s">
        <v>1203</v>
      </c>
      <c r="AU25" t="s">
        <v>1204</v>
      </c>
      <c r="AW25" t="b">
        <v>0</v>
      </c>
      <c r="AY25" t="b">
        <v>0</v>
      </c>
      <c r="BA25" t="s">
        <v>1246</v>
      </c>
      <c r="BB25" t="s">
        <v>1206</v>
      </c>
      <c r="BC25" t="s">
        <v>1206</v>
      </c>
      <c r="BD25" t="s">
        <v>1207</v>
      </c>
      <c r="BE25" t="s">
        <v>1208</v>
      </c>
      <c r="BF25" t="s">
        <v>1209</v>
      </c>
      <c r="BG25" t="s">
        <v>347</v>
      </c>
      <c r="BH25" t="s">
        <v>1247</v>
      </c>
      <c r="BI25" t="s">
        <v>1206</v>
      </c>
      <c r="BJ25" t="s">
        <v>1248</v>
      </c>
    </row>
    <row r="26" spans="1:62" x14ac:dyDescent="0.25">
      <c r="A26" t="s">
        <v>1177</v>
      </c>
      <c r="B26">
        <v>400138</v>
      </c>
      <c r="C26">
        <v>400138</v>
      </c>
      <c r="D26" s="112" t="s">
        <v>2449</v>
      </c>
      <c r="E26" t="s">
        <v>1119</v>
      </c>
      <c r="F26" t="s">
        <v>1178</v>
      </c>
      <c r="G26" t="s">
        <v>351</v>
      </c>
      <c r="H26" s="135" t="s">
        <v>1239</v>
      </c>
      <c r="I26">
        <v>10</v>
      </c>
      <c r="J26" t="s">
        <v>1180</v>
      </c>
      <c r="K26">
        <v>10181</v>
      </c>
      <c r="L26" t="s">
        <v>1181</v>
      </c>
      <c r="M26">
        <v>10181175</v>
      </c>
      <c r="N26" t="s">
        <v>1182</v>
      </c>
      <c r="O26">
        <v>10181175811</v>
      </c>
      <c r="P26" t="s">
        <v>1240</v>
      </c>
      <c r="Q26" s="135" t="s">
        <v>1241</v>
      </c>
      <c r="R26" t="s">
        <v>1242</v>
      </c>
      <c r="S26" s="135" t="s">
        <v>1239</v>
      </c>
      <c r="T26" t="s">
        <v>1243</v>
      </c>
      <c r="U26" t="s">
        <v>1187</v>
      </c>
      <c r="V26" t="s">
        <v>1188</v>
      </c>
      <c r="W26">
        <v>450</v>
      </c>
      <c r="X26" t="s">
        <v>1189</v>
      </c>
      <c r="Y26">
        <v>12</v>
      </c>
      <c r="Z26">
        <v>5400</v>
      </c>
      <c r="AA26" t="s">
        <v>28</v>
      </c>
      <c r="AB26" t="s">
        <v>1190</v>
      </c>
      <c r="AC26">
        <v>450</v>
      </c>
      <c r="AD26" t="s">
        <v>1191</v>
      </c>
      <c r="AE26" t="s">
        <v>1192</v>
      </c>
      <c r="AF26" t="s">
        <v>1193</v>
      </c>
      <c r="AG26" t="s">
        <v>1194</v>
      </c>
      <c r="AH26" t="s">
        <v>1195</v>
      </c>
      <c r="AI26" t="s">
        <v>1196</v>
      </c>
      <c r="AJ26" t="s">
        <v>1197</v>
      </c>
      <c r="AK26" t="s">
        <v>1198</v>
      </c>
      <c r="AL26" t="s">
        <v>1268</v>
      </c>
      <c r="AM26" t="s">
        <v>1200</v>
      </c>
      <c r="AN26" t="s">
        <v>1201</v>
      </c>
      <c r="AO26" t="s">
        <v>1269</v>
      </c>
      <c r="AP26" t="s">
        <v>1202</v>
      </c>
      <c r="AQ26" t="s">
        <v>1203</v>
      </c>
      <c r="AR26" t="s">
        <v>1201</v>
      </c>
      <c r="AS26" t="s">
        <v>1203</v>
      </c>
      <c r="AU26" t="s">
        <v>1204</v>
      </c>
      <c r="AW26" t="b">
        <v>0</v>
      </c>
      <c r="AY26" t="b">
        <v>0</v>
      </c>
      <c r="BA26" t="s">
        <v>1246</v>
      </c>
      <c r="BB26" t="s">
        <v>1206</v>
      </c>
      <c r="BC26" t="s">
        <v>1206</v>
      </c>
      <c r="BD26" t="s">
        <v>1207</v>
      </c>
      <c r="BE26" t="s">
        <v>1208</v>
      </c>
      <c r="BF26" t="s">
        <v>1209</v>
      </c>
      <c r="BG26" t="s">
        <v>347</v>
      </c>
      <c r="BH26" t="s">
        <v>1247</v>
      </c>
      <c r="BI26" t="s">
        <v>1206</v>
      </c>
      <c r="BJ26" t="s">
        <v>1248</v>
      </c>
    </row>
    <row r="27" spans="1:62" x14ac:dyDescent="0.25">
      <c r="A27" t="s">
        <v>1177</v>
      </c>
      <c r="B27">
        <v>400154</v>
      </c>
      <c r="C27">
        <v>400154</v>
      </c>
      <c r="D27" s="112" t="s">
        <v>2450</v>
      </c>
      <c r="E27" t="s">
        <v>1119</v>
      </c>
      <c r="F27" t="s">
        <v>1178</v>
      </c>
      <c r="G27" t="s">
        <v>1088</v>
      </c>
      <c r="H27" s="135" t="s">
        <v>1252</v>
      </c>
      <c r="I27">
        <v>10</v>
      </c>
      <c r="J27" t="s">
        <v>1180</v>
      </c>
      <c r="K27">
        <v>10181</v>
      </c>
      <c r="L27" t="s">
        <v>1181</v>
      </c>
      <c r="M27">
        <v>10181175</v>
      </c>
      <c r="N27" t="s">
        <v>1182</v>
      </c>
      <c r="O27">
        <v>10181175811</v>
      </c>
      <c r="P27" t="s">
        <v>1240</v>
      </c>
      <c r="Q27" s="135" t="s">
        <v>1253</v>
      </c>
      <c r="R27" t="s">
        <v>1254</v>
      </c>
      <c r="S27" s="135" t="s">
        <v>1252</v>
      </c>
      <c r="T27" t="s">
        <v>1255</v>
      </c>
      <c r="U27" t="s">
        <v>1187</v>
      </c>
      <c r="V27" t="s">
        <v>1188</v>
      </c>
      <c r="W27">
        <v>425</v>
      </c>
      <c r="X27" t="s">
        <v>1189</v>
      </c>
      <c r="Y27">
        <v>12</v>
      </c>
      <c r="Z27">
        <v>5100</v>
      </c>
      <c r="AA27" t="s">
        <v>28</v>
      </c>
      <c r="AB27" t="s">
        <v>1190</v>
      </c>
      <c r="AC27">
        <v>425</v>
      </c>
      <c r="AD27" t="s">
        <v>1191</v>
      </c>
      <c r="AE27" t="s">
        <v>1192</v>
      </c>
      <c r="AF27" t="s">
        <v>1193</v>
      </c>
      <c r="AG27" t="s">
        <v>1194</v>
      </c>
      <c r="AH27" t="s">
        <v>1195</v>
      </c>
      <c r="AI27" t="s">
        <v>1196</v>
      </c>
      <c r="AJ27" t="s">
        <v>1197</v>
      </c>
      <c r="AK27" t="s">
        <v>1198</v>
      </c>
      <c r="AL27" t="s">
        <v>1213</v>
      </c>
      <c r="AM27" t="s">
        <v>1200</v>
      </c>
      <c r="AN27" t="s">
        <v>1201</v>
      </c>
      <c r="AO27" t="s">
        <v>1214</v>
      </c>
      <c r="AP27" t="s">
        <v>1202</v>
      </c>
      <c r="AQ27" t="s">
        <v>1203</v>
      </c>
      <c r="AR27" t="s">
        <v>1201</v>
      </c>
      <c r="AS27" t="s">
        <v>1203</v>
      </c>
      <c r="AU27" t="s">
        <v>1204</v>
      </c>
      <c r="AW27" t="b">
        <v>0</v>
      </c>
      <c r="AY27" t="b">
        <v>0</v>
      </c>
      <c r="BA27" t="s">
        <v>1246</v>
      </c>
      <c r="BJ27" t="s">
        <v>1248</v>
      </c>
    </row>
    <row r="28" spans="1:62" x14ac:dyDescent="0.25">
      <c r="A28" t="s">
        <v>1177</v>
      </c>
      <c r="B28">
        <v>400147</v>
      </c>
      <c r="C28">
        <v>400147</v>
      </c>
      <c r="D28" s="112" t="s">
        <v>2451</v>
      </c>
      <c r="E28" t="s">
        <v>1119</v>
      </c>
      <c r="F28" t="s">
        <v>1178</v>
      </c>
      <c r="G28" t="s">
        <v>1270</v>
      </c>
      <c r="H28" s="135" t="s">
        <v>1252</v>
      </c>
      <c r="I28">
        <v>10</v>
      </c>
      <c r="J28" t="s">
        <v>1180</v>
      </c>
      <c r="K28">
        <v>10181</v>
      </c>
      <c r="L28" t="s">
        <v>1181</v>
      </c>
      <c r="M28">
        <v>10181175</v>
      </c>
      <c r="N28" t="s">
        <v>1182</v>
      </c>
      <c r="O28">
        <v>10181175811</v>
      </c>
      <c r="P28" t="s">
        <v>1240</v>
      </c>
      <c r="Q28" s="135" t="s">
        <v>1253</v>
      </c>
      <c r="R28" t="s">
        <v>1254</v>
      </c>
      <c r="S28" s="135" t="s">
        <v>1252</v>
      </c>
      <c r="T28" t="s">
        <v>1255</v>
      </c>
      <c r="U28" t="s">
        <v>1187</v>
      </c>
      <c r="V28" t="s">
        <v>1188</v>
      </c>
      <c r="W28">
        <v>425</v>
      </c>
      <c r="X28" t="s">
        <v>1189</v>
      </c>
      <c r="Y28">
        <v>12</v>
      </c>
      <c r="Z28">
        <v>5100</v>
      </c>
      <c r="AA28" t="s">
        <v>28</v>
      </c>
      <c r="AB28" t="s">
        <v>1190</v>
      </c>
      <c r="AC28">
        <v>425</v>
      </c>
      <c r="AD28" t="s">
        <v>1191</v>
      </c>
      <c r="AE28" t="s">
        <v>1192</v>
      </c>
      <c r="AF28" t="s">
        <v>1193</v>
      </c>
      <c r="AG28" t="s">
        <v>1194</v>
      </c>
      <c r="AH28" t="s">
        <v>1195</v>
      </c>
      <c r="AI28" t="s">
        <v>1196</v>
      </c>
      <c r="AJ28" t="s">
        <v>1197</v>
      </c>
      <c r="AK28" t="s">
        <v>1198</v>
      </c>
      <c r="AL28" t="s">
        <v>1213</v>
      </c>
      <c r="AM28" t="s">
        <v>1200</v>
      </c>
      <c r="AN28" t="s">
        <v>1201</v>
      </c>
      <c r="AO28" t="s">
        <v>1214</v>
      </c>
      <c r="AP28" t="s">
        <v>1202</v>
      </c>
      <c r="AQ28" t="s">
        <v>1203</v>
      </c>
      <c r="AR28" t="s">
        <v>1201</v>
      </c>
      <c r="AS28" t="s">
        <v>1203</v>
      </c>
      <c r="AU28" t="s">
        <v>1204</v>
      </c>
      <c r="AW28" t="b">
        <v>0</v>
      </c>
      <c r="AY28" t="b">
        <v>0</v>
      </c>
      <c r="BA28" t="s">
        <v>1246</v>
      </c>
      <c r="BJ28" t="s">
        <v>1248</v>
      </c>
    </row>
    <row r="29" spans="1:62" x14ac:dyDescent="0.25">
      <c r="A29" t="s">
        <v>1177</v>
      </c>
      <c r="B29">
        <v>400149</v>
      </c>
      <c r="C29" t="s">
        <v>1258</v>
      </c>
      <c r="D29" s="112" t="s">
        <v>2452</v>
      </c>
      <c r="E29" t="s">
        <v>1119</v>
      </c>
      <c r="F29" t="s">
        <v>1178</v>
      </c>
      <c r="G29" t="s">
        <v>1271</v>
      </c>
      <c r="H29" s="135" t="s">
        <v>1252</v>
      </c>
      <c r="I29">
        <v>10</v>
      </c>
      <c r="J29" t="s">
        <v>1180</v>
      </c>
      <c r="K29">
        <v>10181</v>
      </c>
      <c r="L29" t="s">
        <v>1181</v>
      </c>
      <c r="M29">
        <v>10181175</v>
      </c>
      <c r="N29" t="s">
        <v>1182</v>
      </c>
      <c r="O29">
        <v>10181175811</v>
      </c>
      <c r="P29" t="s">
        <v>1240</v>
      </c>
      <c r="Q29" s="135" t="s">
        <v>1253</v>
      </c>
      <c r="R29" t="s">
        <v>1254</v>
      </c>
      <c r="S29" s="135" t="s">
        <v>1252</v>
      </c>
      <c r="T29" t="s">
        <v>1255</v>
      </c>
      <c r="U29" t="s">
        <v>1187</v>
      </c>
      <c r="V29" t="s">
        <v>1188</v>
      </c>
      <c r="W29">
        <v>425</v>
      </c>
      <c r="X29" t="s">
        <v>1189</v>
      </c>
      <c r="Y29">
        <v>12</v>
      </c>
      <c r="Z29">
        <v>5100</v>
      </c>
      <c r="AA29" t="s">
        <v>28</v>
      </c>
      <c r="AB29" t="s">
        <v>1190</v>
      </c>
      <c r="AC29">
        <v>425</v>
      </c>
      <c r="AD29" t="s">
        <v>1191</v>
      </c>
      <c r="AE29" t="s">
        <v>1192</v>
      </c>
      <c r="AF29" t="s">
        <v>1193</v>
      </c>
      <c r="AG29" t="s">
        <v>1194</v>
      </c>
      <c r="AH29" t="s">
        <v>1195</v>
      </c>
      <c r="AI29" t="s">
        <v>1196</v>
      </c>
      <c r="AJ29" t="s">
        <v>1197</v>
      </c>
      <c r="AK29" t="s">
        <v>1272</v>
      </c>
      <c r="AL29" t="s">
        <v>1256</v>
      </c>
      <c r="AM29" t="s">
        <v>1200</v>
      </c>
      <c r="AN29" t="s">
        <v>1201</v>
      </c>
      <c r="AO29" t="s">
        <v>1257</v>
      </c>
      <c r="AP29" t="s">
        <v>1202</v>
      </c>
      <c r="AQ29" t="s">
        <v>1203</v>
      </c>
      <c r="AR29" t="s">
        <v>1201</v>
      </c>
      <c r="AS29" t="s">
        <v>1203</v>
      </c>
      <c r="AU29" t="s">
        <v>1204</v>
      </c>
      <c r="AW29" t="b">
        <v>0</v>
      </c>
      <c r="AY29" t="b">
        <v>0</v>
      </c>
      <c r="BA29" t="s">
        <v>1246</v>
      </c>
      <c r="BJ29" t="s">
        <v>1248</v>
      </c>
    </row>
    <row r="30" spans="1:62" x14ac:dyDescent="0.25">
      <c r="A30" t="s">
        <v>1177</v>
      </c>
      <c r="B30">
        <v>400152</v>
      </c>
      <c r="C30" t="s">
        <v>1258</v>
      </c>
      <c r="D30" s="112" t="s">
        <v>2453</v>
      </c>
      <c r="E30" t="s">
        <v>1119</v>
      </c>
      <c r="F30" t="s">
        <v>1178</v>
      </c>
      <c r="G30" t="s">
        <v>1273</v>
      </c>
      <c r="H30" s="135" t="s">
        <v>1252</v>
      </c>
      <c r="I30">
        <v>10</v>
      </c>
      <c r="J30" t="s">
        <v>1180</v>
      </c>
      <c r="K30">
        <v>10181</v>
      </c>
      <c r="L30" t="s">
        <v>1181</v>
      </c>
      <c r="M30">
        <v>10181175</v>
      </c>
      <c r="N30" t="s">
        <v>1182</v>
      </c>
      <c r="O30">
        <v>10181175811</v>
      </c>
      <c r="P30" t="s">
        <v>1240</v>
      </c>
      <c r="Q30" s="135" t="s">
        <v>1253</v>
      </c>
      <c r="R30" t="s">
        <v>1254</v>
      </c>
      <c r="S30" s="135" t="s">
        <v>1252</v>
      </c>
      <c r="T30" t="s">
        <v>1255</v>
      </c>
      <c r="U30" t="s">
        <v>1187</v>
      </c>
      <c r="V30" t="s">
        <v>1188</v>
      </c>
      <c r="W30">
        <v>425</v>
      </c>
      <c r="X30" t="s">
        <v>1189</v>
      </c>
      <c r="Y30">
        <v>12</v>
      </c>
      <c r="Z30">
        <v>5100</v>
      </c>
      <c r="AA30" t="s">
        <v>28</v>
      </c>
      <c r="AB30" t="s">
        <v>1190</v>
      </c>
      <c r="AC30">
        <v>425</v>
      </c>
      <c r="AD30" t="s">
        <v>1191</v>
      </c>
      <c r="AE30" t="s">
        <v>1192</v>
      </c>
      <c r="AF30" t="s">
        <v>1193</v>
      </c>
      <c r="AG30" t="s">
        <v>1194</v>
      </c>
      <c r="AH30" t="s">
        <v>1195</v>
      </c>
      <c r="AI30" t="s">
        <v>1196</v>
      </c>
      <c r="AJ30" t="s">
        <v>1197</v>
      </c>
      <c r="AK30" t="s">
        <v>1272</v>
      </c>
      <c r="AL30" t="s">
        <v>1244</v>
      </c>
      <c r="AM30" t="s">
        <v>1200</v>
      </c>
      <c r="AN30" t="s">
        <v>1201</v>
      </c>
      <c r="AO30" t="s">
        <v>1245</v>
      </c>
      <c r="AP30" t="s">
        <v>1202</v>
      </c>
      <c r="AQ30" t="s">
        <v>1203</v>
      </c>
      <c r="AR30" t="s">
        <v>1201</v>
      </c>
      <c r="AS30" t="s">
        <v>1203</v>
      </c>
      <c r="AU30" t="s">
        <v>1204</v>
      </c>
      <c r="AW30" t="b">
        <v>0</v>
      </c>
      <c r="AY30" t="b">
        <v>0</v>
      </c>
      <c r="BA30" t="s">
        <v>1246</v>
      </c>
      <c r="BJ30" t="s">
        <v>1248</v>
      </c>
    </row>
    <row r="31" spans="1:62" x14ac:dyDescent="0.25">
      <c r="A31" t="s">
        <v>1177</v>
      </c>
      <c r="B31">
        <v>400153</v>
      </c>
      <c r="C31" t="s">
        <v>1258</v>
      </c>
      <c r="D31" s="112" t="s">
        <v>2454</v>
      </c>
      <c r="E31" t="s">
        <v>1119</v>
      </c>
      <c r="F31" t="s">
        <v>1178</v>
      </c>
      <c r="G31" t="s">
        <v>1274</v>
      </c>
      <c r="H31" s="135" t="s">
        <v>1252</v>
      </c>
      <c r="I31">
        <v>10</v>
      </c>
      <c r="J31" t="s">
        <v>1180</v>
      </c>
      <c r="K31">
        <v>10181</v>
      </c>
      <c r="L31" t="s">
        <v>1181</v>
      </c>
      <c r="M31">
        <v>10181175</v>
      </c>
      <c r="N31" t="s">
        <v>1182</v>
      </c>
      <c r="O31">
        <v>10181175811</v>
      </c>
      <c r="P31" t="s">
        <v>1240</v>
      </c>
      <c r="Q31" s="135" t="s">
        <v>1253</v>
      </c>
      <c r="R31" t="s">
        <v>1254</v>
      </c>
      <c r="S31" s="135" t="s">
        <v>1252</v>
      </c>
      <c r="T31" t="s">
        <v>1255</v>
      </c>
      <c r="U31" t="s">
        <v>1187</v>
      </c>
      <c r="V31" t="s">
        <v>1188</v>
      </c>
      <c r="W31">
        <v>425</v>
      </c>
      <c r="X31" t="s">
        <v>1189</v>
      </c>
      <c r="Y31">
        <v>12</v>
      </c>
      <c r="Z31">
        <v>5100</v>
      </c>
      <c r="AA31" t="s">
        <v>28</v>
      </c>
      <c r="AB31" t="s">
        <v>1190</v>
      </c>
      <c r="AC31">
        <v>425</v>
      </c>
      <c r="AD31" t="s">
        <v>1191</v>
      </c>
      <c r="AE31" t="s">
        <v>1192</v>
      </c>
      <c r="AF31" t="s">
        <v>1193</v>
      </c>
      <c r="AG31" t="s">
        <v>1194</v>
      </c>
      <c r="AH31" t="s">
        <v>1195</v>
      </c>
      <c r="AI31" t="s">
        <v>1196</v>
      </c>
      <c r="AJ31" t="s">
        <v>1197</v>
      </c>
      <c r="AK31" t="s">
        <v>1272</v>
      </c>
      <c r="AL31" t="s">
        <v>1262</v>
      </c>
      <c r="AM31" t="s">
        <v>1200</v>
      </c>
      <c r="AN31" t="s">
        <v>1201</v>
      </c>
      <c r="AO31" t="s">
        <v>1263</v>
      </c>
      <c r="AP31" t="s">
        <v>1202</v>
      </c>
      <c r="AQ31" t="s">
        <v>1203</v>
      </c>
      <c r="AR31" t="s">
        <v>1201</v>
      </c>
      <c r="AS31" t="s">
        <v>1203</v>
      </c>
      <c r="AU31" t="s">
        <v>1204</v>
      </c>
      <c r="AW31" t="b">
        <v>0</v>
      </c>
      <c r="AY31" t="b">
        <v>0</v>
      </c>
      <c r="BA31" t="s">
        <v>1246</v>
      </c>
      <c r="BJ31" t="s">
        <v>1248</v>
      </c>
    </row>
    <row r="32" spans="1:62" x14ac:dyDescent="0.25">
      <c r="A32" t="s">
        <v>1177</v>
      </c>
      <c r="B32">
        <v>400148</v>
      </c>
      <c r="C32" t="s">
        <v>1258</v>
      </c>
      <c r="D32" s="112" t="s">
        <v>2455</v>
      </c>
      <c r="E32" t="s">
        <v>1119</v>
      </c>
      <c r="F32" t="s">
        <v>1178</v>
      </c>
      <c r="G32" t="s">
        <v>1275</v>
      </c>
      <c r="H32" s="135" t="s">
        <v>1252</v>
      </c>
      <c r="I32">
        <v>10</v>
      </c>
      <c r="J32" t="s">
        <v>1180</v>
      </c>
      <c r="K32">
        <v>10181</v>
      </c>
      <c r="L32" t="s">
        <v>1181</v>
      </c>
      <c r="M32">
        <v>10181175</v>
      </c>
      <c r="N32" t="s">
        <v>1182</v>
      </c>
      <c r="O32">
        <v>10181175811</v>
      </c>
      <c r="P32" t="s">
        <v>1240</v>
      </c>
      <c r="Q32" s="135" t="s">
        <v>1253</v>
      </c>
      <c r="R32" t="s">
        <v>1254</v>
      </c>
      <c r="S32" s="135" t="s">
        <v>1252</v>
      </c>
      <c r="T32" t="s">
        <v>1255</v>
      </c>
      <c r="U32" t="s">
        <v>1187</v>
      </c>
      <c r="V32" t="s">
        <v>1188</v>
      </c>
      <c r="W32">
        <v>425</v>
      </c>
      <c r="X32" t="s">
        <v>1189</v>
      </c>
      <c r="Y32">
        <v>12</v>
      </c>
      <c r="Z32">
        <v>5100</v>
      </c>
      <c r="AA32" t="s">
        <v>28</v>
      </c>
      <c r="AB32" t="s">
        <v>1190</v>
      </c>
      <c r="AC32">
        <v>425</v>
      </c>
      <c r="AD32" t="s">
        <v>1191</v>
      </c>
      <c r="AE32" t="s">
        <v>1192</v>
      </c>
      <c r="AF32" t="s">
        <v>1193</v>
      </c>
      <c r="AG32" t="s">
        <v>1194</v>
      </c>
      <c r="AH32" t="s">
        <v>1195</v>
      </c>
      <c r="AI32" t="s">
        <v>1196</v>
      </c>
      <c r="AJ32" t="s">
        <v>1197</v>
      </c>
      <c r="AK32" t="s">
        <v>1272</v>
      </c>
      <c r="AL32" t="s">
        <v>1265</v>
      </c>
      <c r="AM32" t="s">
        <v>1200</v>
      </c>
      <c r="AN32" t="s">
        <v>1201</v>
      </c>
      <c r="AO32" t="s">
        <v>1266</v>
      </c>
      <c r="AP32" t="s">
        <v>1202</v>
      </c>
      <c r="AQ32" t="s">
        <v>1203</v>
      </c>
      <c r="AR32" t="s">
        <v>1201</v>
      </c>
      <c r="AS32" t="s">
        <v>1203</v>
      </c>
      <c r="AU32" t="s">
        <v>1204</v>
      </c>
      <c r="AW32" t="b">
        <v>0</v>
      </c>
      <c r="AY32" t="b">
        <v>0</v>
      </c>
      <c r="BA32" t="s">
        <v>1246</v>
      </c>
      <c r="BJ32" t="s">
        <v>1248</v>
      </c>
    </row>
    <row r="33" spans="1:62" x14ac:dyDescent="0.25">
      <c r="A33" t="s">
        <v>1177</v>
      </c>
      <c r="B33">
        <v>400151</v>
      </c>
      <c r="C33" t="s">
        <v>1258</v>
      </c>
      <c r="D33" s="112" t="s">
        <v>2456</v>
      </c>
      <c r="E33" t="s">
        <v>1119</v>
      </c>
      <c r="F33" t="s">
        <v>1178</v>
      </c>
      <c r="G33" t="s">
        <v>1276</v>
      </c>
      <c r="H33" s="135" t="s">
        <v>1252</v>
      </c>
      <c r="I33">
        <v>10</v>
      </c>
      <c r="J33" t="s">
        <v>1180</v>
      </c>
      <c r="K33">
        <v>10181</v>
      </c>
      <c r="L33" t="s">
        <v>1181</v>
      </c>
      <c r="M33">
        <v>10181175</v>
      </c>
      <c r="N33" t="s">
        <v>1182</v>
      </c>
      <c r="O33">
        <v>10181175811</v>
      </c>
      <c r="P33" t="s">
        <v>1240</v>
      </c>
      <c r="Q33" s="135" t="s">
        <v>1253</v>
      </c>
      <c r="R33" t="s">
        <v>1254</v>
      </c>
      <c r="S33" s="135" t="s">
        <v>1252</v>
      </c>
      <c r="T33" t="s">
        <v>1255</v>
      </c>
      <c r="U33" t="s">
        <v>1187</v>
      </c>
      <c r="V33" t="s">
        <v>1188</v>
      </c>
      <c r="W33">
        <v>425</v>
      </c>
      <c r="X33" t="s">
        <v>1189</v>
      </c>
      <c r="Y33">
        <v>12</v>
      </c>
      <c r="Z33">
        <v>5100</v>
      </c>
      <c r="AA33" t="s">
        <v>28</v>
      </c>
      <c r="AB33" t="s">
        <v>1190</v>
      </c>
      <c r="AC33">
        <v>425</v>
      </c>
      <c r="AD33" t="s">
        <v>1191</v>
      </c>
      <c r="AE33" t="s">
        <v>1192</v>
      </c>
      <c r="AF33" t="s">
        <v>1193</v>
      </c>
      <c r="AG33" t="s">
        <v>1194</v>
      </c>
      <c r="AH33" t="s">
        <v>1195</v>
      </c>
      <c r="AI33" t="s">
        <v>1196</v>
      </c>
      <c r="AJ33" t="s">
        <v>1197</v>
      </c>
      <c r="AK33" t="s">
        <v>1272</v>
      </c>
      <c r="AL33" t="s">
        <v>1268</v>
      </c>
      <c r="AM33" t="s">
        <v>1200</v>
      </c>
      <c r="AN33" t="s">
        <v>1201</v>
      </c>
      <c r="AO33" t="s">
        <v>1269</v>
      </c>
      <c r="AP33" t="s">
        <v>1202</v>
      </c>
      <c r="AQ33" t="s">
        <v>1203</v>
      </c>
      <c r="AR33" t="s">
        <v>1201</v>
      </c>
      <c r="AS33" t="s">
        <v>1203</v>
      </c>
      <c r="AU33" t="s">
        <v>1204</v>
      </c>
      <c r="AW33" t="b">
        <v>0</v>
      </c>
      <c r="AY33" t="b">
        <v>0</v>
      </c>
      <c r="BA33" t="s">
        <v>1246</v>
      </c>
      <c r="BJ33" t="s">
        <v>1248</v>
      </c>
    </row>
    <row r="34" spans="1:62" x14ac:dyDescent="0.25">
      <c r="A34" t="s">
        <v>1177</v>
      </c>
      <c r="B34">
        <v>150333</v>
      </c>
      <c r="C34">
        <v>150333</v>
      </c>
      <c r="D34" s="112" t="s">
        <v>2457</v>
      </c>
      <c r="E34" t="s">
        <v>1119</v>
      </c>
      <c r="F34" t="s">
        <v>1178</v>
      </c>
      <c r="G34" t="s">
        <v>1277</v>
      </c>
      <c r="H34" s="135" t="s">
        <v>1278</v>
      </c>
      <c r="I34">
        <v>12</v>
      </c>
      <c r="J34" t="s">
        <v>1279</v>
      </c>
      <c r="K34">
        <v>12101</v>
      </c>
      <c r="L34" t="s">
        <v>1280</v>
      </c>
      <c r="M34">
        <v>12101265</v>
      </c>
      <c r="N34" t="s">
        <v>1281</v>
      </c>
      <c r="O34">
        <v>12101265813</v>
      </c>
      <c r="P34" t="s">
        <v>1282</v>
      </c>
      <c r="Q34" s="135" t="s">
        <v>1283</v>
      </c>
      <c r="R34" t="s">
        <v>1284</v>
      </c>
      <c r="S34" s="135" t="s">
        <v>1278</v>
      </c>
      <c r="T34" t="s">
        <v>1285</v>
      </c>
      <c r="U34" t="s">
        <v>1286</v>
      </c>
      <c r="V34" t="s">
        <v>1287</v>
      </c>
      <c r="W34">
        <v>5.5</v>
      </c>
      <c r="X34" t="s">
        <v>1288</v>
      </c>
      <c r="Y34">
        <v>1</v>
      </c>
      <c r="Z34">
        <v>5.5</v>
      </c>
      <c r="AA34" t="s">
        <v>28</v>
      </c>
      <c r="AB34" t="s">
        <v>1190</v>
      </c>
      <c r="AC34">
        <v>5500</v>
      </c>
      <c r="AD34" t="s">
        <v>1289</v>
      </c>
      <c r="AE34" t="s">
        <v>1290</v>
      </c>
      <c r="AF34" t="s">
        <v>1193</v>
      </c>
      <c r="AG34" t="s">
        <v>1194</v>
      </c>
      <c r="AH34" t="s">
        <v>1195</v>
      </c>
      <c r="AI34" t="s">
        <v>1202</v>
      </c>
      <c r="AJ34" t="s">
        <v>1291</v>
      </c>
      <c r="AK34" t="s">
        <v>1292</v>
      </c>
      <c r="AL34" t="s">
        <v>1291</v>
      </c>
      <c r="AM34" t="s">
        <v>1293</v>
      </c>
      <c r="AN34" t="s">
        <v>1201</v>
      </c>
      <c r="AO34" t="s">
        <v>1292</v>
      </c>
      <c r="AP34" t="s">
        <v>1294</v>
      </c>
      <c r="AQ34" t="s">
        <v>1203</v>
      </c>
      <c r="AR34" t="s">
        <v>1201</v>
      </c>
      <c r="AS34" t="s">
        <v>1203</v>
      </c>
      <c r="AU34" t="s">
        <v>1204</v>
      </c>
      <c r="AW34" t="b">
        <v>0</v>
      </c>
      <c r="AY34" t="b">
        <v>0</v>
      </c>
      <c r="BA34" t="s">
        <v>1295</v>
      </c>
      <c r="BB34" t="s">
        <v>1206</v>
      </c>
      <c r="BC34" t="s">
        <v>1206</v>
      </c>
      <c r="BD34" t="s">
        <v>1207</v>
      </c>
      <c r="BE34" t="s">
        <v>1296</v>
      </c>
      <c r="BF34" t="s">
        <v>1297</v>
      </c>
      <c r="BG34" t="s">
        <v>1298</v>
      </c>
      <c r="BH34" t="s">
        <v>1206</v>
      </c>
      <c r="BI34" t="s">
        <v>1206</v>
      </c>
      <c r="BJ34" t="s">
        <v>1299</v>
      </c>
    </row>
    <row r="35" spans="1:62" x14ac:dyDescent="0.25">
      <c r="A35" t="s">
        <v>1177</v>
      </c>
      <c r="B35">
        <v>150334</v>
      </c>
      <c r="C35">
        <v>150334</v>
      </c>
      <c r="D35" s="112" t="s">
        <v>2458</v>
      </c>
      <c r="E35" t="s">
        <v>1119</v>
      </c>
      <c r="F35" t="s">
        <v>1178</v>
      </c>
      <c r="G35" t="s">
        <v>1300</v>
      </c>
      <c r="H35" s="135" t="s">
        <v>1301</v>
      </c>
      <c r="I35">
        <v>12</v>
      </c>
      <c r="J35" t="s">
        <v>1279</v>
      </c>
      <c r="K35">
        <v>12101</v>
      </c>
      <c r="L35" t="s">
        <v>1280</v>
      </c>
      <c r="M35">
        <v>12101265</v>
      </c>
      <c r="N35" t="s">
        <v>1281</v>
      </c>
      <c r="O35">
        <v>12101265813</v>
      </c>
      <c r="P35" t="s">
        <v>1282</v>
      </c>
      <c r="Q35" s="135" t="s">
        <v>1302</v>
      </c>
      <c r="R35" t="s">
        <v>1303</v>
      </c>
      <c r="S35" s="135" t="s">
        <v>1301</v>
      </c>
      <c r="T35" t="s">
        <v>1304</v>
      </c>
      <c r="U35" t="s">
        <v>1286</v>
      </c>
      <c r="V35" t="s">
        <v>1287</v>
      </c>
      <c r="W35">
        <v>24</v>
      </c>
      <c r="X35" t="s">
        <v>1288</v>
      </c>
      <c r="Y35">
        <v>1</v>
      </c>
      <c r="Z35">
        <v>24</v>
      </c>
      <c r="AA35" t="s">
        <v>28</v>
      </c>
      <c r="AB35" t="s">
        <v>1190</v>
      </c>
      <c r="AC35">
        <v>24000</v>
      </c>
      <c r="AD35" t="s">
        <v>1289</v>
      </c>
      <c r="AE35" t="s">
        <v>1290</v>
      </c>
      <c r="AF35" t="s">
        <v>1193</v>
      </c>
      <c r="AG35" t="s">
        <v>1194</v>
      </c>
      <c r="AH35" t="s">
        <v>1195</v>
      </c>
      <c r="AI35" t="s">
        <v>1202</v>
      </c>
      <c r="AJ35" t="s">
        <v>1291</v>
      </c>
      <c r="AK35" t="s">
        <v>1292</v>
      </c>
      <c r="AL35" t="s">
        <v>1291</v>
      </c>
      <c r="AM35" t="s">
        <v>1293</v>
      </c>
      <c r="AN35" t="s">
        <v>1201</v>
      </c>
      <c r="AO35" t="s">
        <v>1292</v>
      </c>
      <c r="AP35" t="s">
        <v>1294</v>
      </c>
      <c r="AQ35" t="s">
        <v>1203</v>
      </c>
      <c r="AR35" t="s">
        <v>1201</v>
      </c>
      <c r="AS35" t="s">
        <v>1203</v>
      </c>
      <c r="AU35" t="s">
        <v>1204</v>
      </c>
      <c r="AW35" t="b">
        <v>0</v>
      </c>
      <c r="AY35" t="b">
        <v>0</v>
      </c>
      <c r="BA35" t="s">
        <v>1295</v>
      </c>
      <c r="BB35" t="s">
        <v>1206</v>
      </c>
      <c r="BC35" t="s">
        <v>1206</v>
      </c>
      <c r="BD35" t="s">
        <v>1207</v>
      </c>
      <c r="BE35" t="s">
        <v>1296</v>
      </c>
      <c r="BF35" t="s">
        <v>1297</v>
      </c>
      <c r="BG35" t="s">
        <v>1298</v>
      </c>
      <c r="BH35" t="s">
        <v>1206</v>
      </c>
      <c r="BI35" t="s">
        <v>1206</v>
      </c>
      <c r="BJ35" t="s">
        <v>1299</v>
      </c>
    </row>
    <row r="36" spans="1:62" x14ac:dyDescent="0.25">
      <c r="A36" t="s">
        <v>1177</v>
      </c>
      <c r="B36">
        <v>150335</v>
      </c>
      <c r="C36">
        <v>150335</v>
      </c>
      <c r="D36" s="112" t="s">
        <v>2459</v>
      </c>
      <c r="E36" t="s">
        <v>1119</v>
      </c>
      <c r="F36" t="s">
        <v>1178</v>
      </c>
      <c r="G36" t="s">
        <v>1305</v>
      </c>
      <c r="H36" s="135" t="s">
        <v>1306</v>
      </c>
      <c r="I36">
        <v>12</v>
      </c>
      <c r="J36" t="s">
        <v>1279</v>
      </c>
      <c r="K36">
        <v>12101</v>
      </c>
      <c r="L36" t="s">
        <v>1280</v>
      </c>
      <c r="M36">
        <v>12101265</v>
      </c>
      <c r="N36" t="s">
        <v>1281</v>
      </c>
      <c r="O36">
        <v>12101265813</v>
      </c>
      <c r="P36" t="s">
        <v>1282</v>
      </c>
      <c r="Q36" s="135" t="s">
        <v>1307</v>
      </c>
      <c r="R36" t="s">
        <v>1308</v>
      </c>
      <c r="S36" s="135" t="s">
        <v>1306</v>
      </c>
      <c r="T36" t="s">
        <v>1309</v>
      </c>
      <c r="U36" t="s">
        <v>1310</v>
      </c>
      <c r="V36" t="s">
        <v>1311</v>
      </c>
      <c r="W36">
        <v>1</v>
      </c>
      <c r="X36" t="s">
        <v>1288</v>
      </c>
      <c r="Y36">
        <v>6</v>
      </c>
      <c r="Z36">
        <v>6</v>
      </c>
      <c r="AA36" t="s">
        <v>28</v>
      </c>
      <c r="AB36" t="s">
        <v>1190</v>
      </c>
      <c r="AC36">
        <v>1000</v>
      </c>
      <c r="AD36" t="s">
        <v>1191</v>
      </c>
      <c r="AE36" t="s">
        <v>1290</v>
      </c>
      <c r="AF36" t="s">
        <v>1193</v>
      </c>
      <c r="AG36" t="s">
        <v>1194</v>
      </c>
      <c r="AH36" t="s">
        <v>1195</v>
      </c>
      <c r="AI36" t="s">
        <v>1202</v>
      </c>
      <c r="AJ36" t="s">
        <v>1291</v>
      </c>
      <c r="AK36" t="s">
        <v>1292</v>
      </c>
      <c r="AL36" t="s">
        <v>1291</v>
      </c>
      <c r="AM36" t="s">
        <v>1293</v>
      </c>
      <c r="AN36" t="s">
        <v>1201</v>
      </c>
      <c r="AO36" t="s">
        <v>1292</v>
      </c>
      <c r="AP36" t="s">
        <v>1294</v>
      </c>
      <c r="AQ36" t="s">
        <v>1203</v>
      </c>
      <c r="AR36" t="s">
        <v>1201</v>
      </c>
      <c r="AS36" t="s">
        <v>1203</v>
      </c>
      <c r="AU36" t="s">
        <v>1204</v>
      </c>
      <c r="AW36" t="b">
        <v>0</v>
      </c>
      <c r="AY36" t="b">
        <v>0</v>
      </c>
      <c r="BA36" t="s">
        <v>1295</v>
      </c>
      <c r="BB36" t="s">
        <v>1206</v>
      </c>
      <c r="BC36" t="s">
        <v>1206</v>
      </c>
      <c r="BD36" t="s">
        <v>1207</v>
      </c>
      <c r="BE36" t="s">
        <v>1296</v>
      </c>
      <c r="BF36" t="s">
        <v>1297</v>
      </c>
      <c r="BG36" t="s">
        <v>1298</v>
      </c>
      <c r="BH36" t="s">
        <v>1206</v>
      </c>
      <c r="BI36" t="s">
        <v>1206</v>
      </c>
      <c r="BJ36" t="s">
        <v>1299</v>
      </c>
    </row>
    <row r="37" spans="1:62" x14ac:dyDescent="0.25">
      <c r="A37" t="s">
        <v>1177</v>
      </c>
      <c r="B37">
        <v>150975</v>
      </c>
      <c r="C37">
        <v>150975</v>
      </c>
      <c r="D37" s="112" t="s">
        <v>2460</v>
      </c>
      <c r="E37" t="s">
        <v>1119</v>
      </c>
      <c r="F37" t="s">
        <v>1178</v>
      </c>
      <c r="G37" t="s">
        <v>1312</v>
      </c>
      <c r="H37" s="135" t="s">
        <v>1313</v>
      </c>
      <c r="I37">
        <v>12</v>
      </c>
      <c r="J37" t="s">
        <v>1279</v>
      </c>
      <c r="K37">
        <v>12101</v>
      </c>
      <c r="L37" t="s">
        <v>1280</v>
      </c>
      <c r="M37">
        <v>12101265</v>
      </c>
      <c r="N37" t="s">
        <v>1281</v>
      </c>
      <c r="O37">
        <v>12101265813</v>
      </c>
      <c r="P37" t="s">
        <v>1282</v>
      </c>
      <c r="Q37" s="135" t="s">
        <v>1314</v>
      </c>
      <c r="R37" t="s">
        <v>1315</v>
      </c>
      <c r="S37" s="135" t="s">
        <v>1313</v>
      </c>
      <c r="T37" t="s">
        <v>1316</v>
      </c>
      <c r="U37" t="s">
        <v>1237</v>
      </c>
      <c r="V37" t="s">
        <v>1238</v>
      </c>
      <c r="W37">
        <v>130</v>
      </c>
      <c r="X37" t="s">
        <v>1189</v>
      </c>
      <c r="Y37">
        <v>48</v>
      </c>
      <c r="Z37">
        <v>6240</v>
      </c>
      <c r="AA37" t="s">
        <v>28</v>
      </c>
      <c r="AB37" t="s">
        <v>1190</v>
      </c>
      <c r="AC37">
        <v>130</v>
      </c>
      <c r="AD37" t="s">
        <v>1191</v>
      </c>
      <c r="AE37" t="s">
        <v>1192</v>
      </c>
      <c r="AF37" t="s">
        <v>1193</v>
      </c>
      <c r="AG37" t="s">
        <v>1194</v>
      </c>
      <c r="AH37" t="s">
        <v>1195</v>
      </c>
      <c r="AI37" t="s">
        <v>1202</v>
      </c>
      <c r="AJ37" t="s">
        <v>1291</v>
      </c>
      <c r="AK37" t="s">
        <v>1292</v>
      </c>
      <c r="AL37" t="s">
        <v>1291</v>
      </c>
      <c r="AM37" t="s">
        <v>1293</v>
      </c>
      <c r="AN37" t="s">
        <v>1201</v>
      </c>
      <c r="AO37" t="s">
        <v>1292</v>
      </c>
      <c r="AP37" t="s">
        <v>1294</v>
      </c>
      <c r="AQ37" t="s">
        <v>1203</v>
      </c>
      <c r="AR37" t="s">
        <v>1201</v>
      </c>
      <c r="AS37" t="s">
        <v>1203</v>
      </c>
      <c r="AU37" t="s">
        <v>1204</v>
      </c>
      <c r="AW37" t="b">
        <v>0</v>
      </c>
      <c r="AY37" t="b">
        <v>0</v>
      </c>
      <c r="BA37" t="s">
        <v>1295</v>
      </c>
      <c r="BB37" t="s">
        <v>1206</v>
      </c>
      <c r="BC37" t="s">
        <v>1206</v>
      </c>
      <c r="BD37" t="s">
        <v>1207</v>
      </c>
      <c r="BE37" t="s">
        <v>1296</v>
      </c>
      <c r="BF37" t="s">
        <v>1297</v>
      </c>
      <c r="BG37" t="s">
        <v>1298</v>
      </c>
      <c r="BH37" t="s">
        <v>1206</v>
      </c>
      <c r="BI37" t="s">
        <v>1206</v>
      </c>
      <c r="BJ37" t="s">
        <v>1299</v>
      </c>
    </row>
    <row r="38" spans="1:62" x14ac:dyDescent="0.25">
      <c r="A38" t="s">
        <v>1177</v>
      </c>
      <c r="B38">
        <v>150993</v>
      </c>
      <c r="C38" t="s">
        <v>1258</v>
      </c>
      <c r="D38" s="112" t="s">
        <v>2461</v>
      </c>
      <c r="E38" t="s">
        <v>1119</v>
      </c>
      <c r="F38" t="s">
        <v>1178</v>
      </c>
      <c r="G38" t="s">
        <v>1312</v>
      </c>
      <c r="H38" s="135" t="s">
        <v>1313</v>
      </c>
      <c r="I38">
        <v>12</v>
      </c>
      <c r="J38" t="s">
        <v>1279</v>
      </c>
      <c r="K38">
        <v>12101</v>
      </c>
      <c r="L38" t="s">
        <v>1280</v>
      </c>
      <c r="M38">
        <v>12101265</v>
      </c>
      <c r="N38" t="s">
        <v>1281</v>
      </c>
      <c r="O38">
        <v>12101265813</v>
      </c>
      <c r="P38" t="s">
        <v>1282</v>
      </c>
      <c r="Q38" s="135" t="s">
        <v>1314</v>
      </c>
      <c r="R38" t="s">
        <v>1315</v>
      </c>
      <c r="S38" s="135" t="s">
        <v>1313</v>
      </c>
      <c r="T38" t="s">
        <v>1316</v>
      </c>
      <c r="U38" t="s">
        <v>1237</v>
      </c>
      <c r="V38" t="s">
        <v>1238</v>
      </c>
      <c r="W38">
        <v>130</v>
      </c>
      <c r="X38" t="s">
        <v>1189</v>
      </c>
      <c r="Y38">
        <v>48</v>
      </c>
      <c r="Z38">
        <v>6240</v>
      </c>
      <c r="AA38" t="s">
        <v>28</v>
      </c>
      <c r="AB38" t="s">
        <v>1190</v>
      </c>
      <c r="AC38">
        <v>130</v>
      </c>
      <c r="AD38" t="s">
        <v>1191</v>
      </c>
      <c r="AE38" t="s">
        <v>1192</v>
      </c>
      <c r="AF38" t="s">
        <v>1193</v>
      </c>
      <c r="AG38" t="s">
        <v>1194</v>
      </c>
      <c r="AH38" t="s">
        <v>1195</v>
      </c>
      <c r="AI38" t="s">
        <v>1202</v>
      </c>
      <c r="AJ38" t="s">
        <v>1291</v>
      </c>
      <c r="AK38" t="s">
        <v>1292</v>
      </c>
      <c r="AL38" t="s">
        <v>1291</v>
      </c>
      <c r="AM38" t="s">
        <v>1293</v>
      </c>
      <c r="AN38" t="s">
        <v>1201</v>
      </c>
      <c r="AO38" t="s">
        <v>1292</v>
      </c>
      <c r="AP38" t="s">
        <v>1294</v>
      </c>
      <c r="AQ38" t="s">
        <v>1203</v>
      </c>
      <c r="AR38" t="s">
        <v>1201</v>
      </c>
      <c r="AS38" t="s">
        <v>1203</v>
      </c>
      <c r="AU38" t="s">
        <v>1204</v>
      </c>
      <c r="AW38" t="b">
        <v>0</v>
      </c>
      <c r="AY38" t="b">
        <v>0</v>
      </c>
      <c r="BA38" t="s">
        <v>1295</v>
      </c>
      <c r="BB38" t="s">
        <v>1206</v>
      </c>
      <c r="BC38" t="s">
        <v>1206</v>
      </c>
      <c r="BD38" t="s">
        <v>1207</v>
      </c>
      <c r="BE38" t="s">
        <v>1296</v>
      </c>
      <c r="BF38" t="s">
        <v>1297</v>
      </c>
      <c r="BG38" t="s">
        <v>1298</v>
      </c>
      <c r="BH38" t="s">
        <v>1206</v>
      </c>
      <c r="BI38" t="s">
        <v>1206</v>
      </c>
      <c r="BJ38" t="s">
        <v>1299</v>
      </c>
    </row>
    <row r="39" spans="1:62" x14ac:dyDescent="0.25">
      <c r="A39" t="s">
        <v>1177</v>
      </c>
      <c r="B39">
        <v>150373</v>
      </c>
      <c r="C39">
        <v>150373</v>
      </c>
      <c r="D39" s="112" t="s">
        <v>2462</v>
      </c>
      <c r="E39" t="s">
        <v>1119</v>
      </c>
      <c r="F39" t="s">
        <v>1178</v>
      </c>
      <c r="G39" t="s">
        <v>1312</v>
      </c>
      <c r="H39" s="135" t="s">
        <v>1313</v>
      </c>
      <c r="I39">
        <v>12</v>
      </c>
      <c r="J39" t="s">
        <v>1279</v>
      </c>
      <c r="K39">
        <v>12101</v>
      </c>
      <c r="L39" t="s">
        <v>1280</v>
      </c>
      <c r="M39">
        <v>12101265</v>
      </c>
      <c r="N39" t="s">
        <v>1281</v>
      </c>
      <c r="O39">
        <v>12101265813</v>
      </c>
      <c r="P39" t="s">
        <v>1282</v>
      </c>
      <c r="Q39" s="135" t="s">
        <v>1314</v>
      </c>
      <c r="R39" t="s">
        <v>1315</v>
      </c>
      <c r="S39" s="135" t="s">
        <v>1313</v>
      </c>
      <c r="T39" t="s">
        <v>1316</v>
      </c>
      <c r="U39" t="s">
        <v>1237</v>
      </c>
      <c r="V39" t="s">
        <v>1238</v>
      </c>
      <c r="W39">
        <v>130</v>
      </c>
      <c r="X39" t="s">
        <v>1189</v>
      </c>
      <c r="Y39">
        <v>48</v>
      </c>
      <c r="Z39">
        <v>6240</v>
      </c>
      <c r="AA39" t="s">
        <v>28</v>
      </c>
      <c r="AB39" t="s">
        <v>1190</v>
      </c>
      <c r="AC39">
        <v>130</v>
      </c>
      <c r="AD39" t="s">
        <v>1191</v>
      </c>
      <c r="AE39" t="s">
        <v>1192</v>
      </c>
      <c r="AF39" t="s">
        <v>1193</v>
      </c>
      <c r="AG39" t="s">
        <v>1194</v>
      </c>
      <c r="AH39" t="s">
        <v>1195</v>
      </c>
      <c r="AI39" t="s">
        <v>1202</v>
      </c>
      <c r="AJ39" t="s">
        <v>1291</v>
      </c>
      <c r="AK39" t="s">
        <v>1292</v>
      </c>
      <c r="AL39" t="s">
        <v>1291</v>
      </c>
      <c r="AM39" t="s">
        <v>1293</v>
      </c>
      <c r="AN39" t="s">
        <v>1201</v>
      </c>
      <c r="AO39" t="s">
        <v>1292</v>
      </c>
      <c r="AP39" t="s">
        <v>1294</v>
      </c>
      <c r="AQ39" t="s">
        <v>1203</v>
      </c>
      <c r="AR39" t="s">
        <v>1201</v>
      </c>
      <c r="AS39" t="s">
        <v>1203</v>
      </c>
      <c r="AU39" t="s">
        <v>1204</v>
      </c>
      <c r="AW39" t="b">
        <v>0</v>
      </c>
      <c r="AY39" t="b">
        <v>0</v>
      </c>
      <c r="BA39" t="s">
        <v>1295</v>
      </c>
      <c r="BB39" t="s">
        <v>1206</v>
      </c>
      <c r="BC39" t="s">
        <v>1206</v>
      </c>
      <c r="BD39" t="s">
        <v>1207</v>
      </c>
      <c r="BE39" t="s">
        <v>1296</v>
      </c>
      <c r="BF39" t="s">
        <v>1297</v>
      </c>
      <c r="BG39" t="s">
        <v>1298</v>
      </c>
      <c r="BH39" t="s">
        <v>1206</v>
      </c>
      <c r="BI39" t="s">
        <v>1206</v>
      </c>
      <c r="BJ39" t="s">
        <v>1299</v>
      </c>
    </row>
    <row r="40" spans="1:62" x14ac:dyDescent="0.25">
      <c r="A40" t="s">
        <v>1177</v>
      </c>
      <c r="B40">
        <v>150992</v>
      </c>
      <c r="C40">
        <v>150992</v>
      </c>
      <c r="D40" s="112" t="s">
        <v>2463</v>
      </c>
      <c r="E40" t="s">
        <v>1119</v>
      </c>
      <c r="F40" t="s">
        <v>1178</v>
      </c>
      <c r="G40" t="s">
        <v>1312</v>
      </c>
      <c r="H40" s="135" t="s">
        <v>1313</v>
      </c>
      <c r="I40">
        <v>12</v>
      </c>
      <c r="J40" t="s">
        <v>1279</v>
      </c>
      <c r="K40">
        <v>12101</v>
      </c>
      <c r="L40" t="s">
        <v>1280</v>
      </c>
      <c r="M40">
        <v>12101265</v>
      </c>
      <c r="N40" t="s">
        <v>1281</v>
      </c>
      <c r="O40">
        <v>12101265813</v>
      </c>
      <c r="P40" t="s">
        <v>1282</v>
      </c>
      <c r="Q40" s="135" t="s">
        <v>1314</v>
      </c>
      <c r="R40" t="s">
        <v>1315</v>
      </c>
      <c r="S40" s="135" t="s">
        <v>1313</v>
      </c>
      <c r="T40" t="s">
        <v>1316</v>
      </c>
      <c r="U40" t="s">
        <v>1237</v>
      </c>
      <c r="V40" t="s">
        <v>1238</v>
      </c>
      <c r="W40">
        <v>130</v>
      </c>
      <c r="X40" t="s">
        <v>1189</v>
      </c>
      <c r="Y40">
        <v>48</v>
      </c>
      <c r="Z40">
        <v>6240</v>
      </c>
      <c r="AA40" t="s">
        <v>28</v>
      </c>
      <c r="AB40" t="s">
        <v>1190</v>
      </c>
      <c r="AC40">
        <v>130</v>
      </c>
      <c r="AD40" t="s">
        <v>1191</v>
      </c>
      <c r="AE40" t="s">
        <v>1192</v>
      </c>
      <c r="AF40" t="s">
        <v>1193</v>
      </c>
      <c r="AG40" t="s">
        <v>1194</v>
      </c>
      <c r="AH40" t="s">
        <v>1195</v>
      </c>
      <c r="AI40" t="s">
        <v>1202</v>
      </c>
      <c r="AJ40" t="s">
        <v>1291</v>
      </c>
      <c r="AK40" t="s">
        <v>1292</v>
      </c>
      <c r="AL40" t="s">
        <v>1291</v>
      </c>
      <c r="AM40" t="s">
        <v>1293</v>
      </c>
      <c r="AN40" t="s">
        <v>1201</v>
      </c>
      <c r="AO40" t="s">
        <v>1292</v>
      </c>
      <c r="AP40" t="s">
        <v>1294</v>
      </c>
      <c r="AQ40" t="s">
        <v>1203</v>
      </c>
      <c r="AR40" t="s">
        <v>1201</v>
      </c>
      <c r="AS40" t="s">
        <v>1203</v>
      </c>
      <c r="AU40" t="s">
        <v>1204</v>
      </c>
      <c r="AW40" t="b">
        <v>0</v>
      </c>
      <c r="AY40" t="b">
        <v>0</v>
      </c>
      <c r="BA40" t="s">
        <v>1295</v>
      </c>
      <c r="BB40" t="s">
        <v>1206</v>
      </c>
      <c r="BC40" t="s">
        <v>1206</v>
      </c>
      <c r="BD40" t="s">
        <v>1207</v>
      </c>
      <c r="BE40" t="s">
        <v>1296</v>
      </c>
      <c r="BF40" t="s">
        <v>1297</v>
      </c>
      <c r="BG40" t="s">
        <v>1298</v>
      </c>
      <c r="BH40" t="s">
        <v>1206</v>
      </c>
      <c r="BI40" t="s">
        <v>1206</v>
      </c>
      <c r="BJ40" t="s">
        <v>1299</v>
      </c>
    </row>
    <row r="41" spans="1:62" x14ac:dyDescent="0.25">
      <c r="A41" t="s">
        <v>1177</v>
      </c>
      <c r="B41">
        <v>150330</v>
      </c>
      <c r="C41">
        <v>150330</v>
      </c>
      <c r="D41" s="112" t="s">
        <v>2464</v>
      </c>
      <c r="E41" t="s">
        <v>1119</v>
      </c>
      <c r="F41" t="s">
        <v>1178</v>
      </c>
      <c r="G41" t="s">
        <v>1312</v>
      </c>
      <c r="H41" s="135" t="s">
        <v>1313</v>
      </c>
      <c r="I41">
        <v>12</v>
      </c>
      <c r="J41" t="s">
        <v>1279</v>
      </c>
      <c r="K41">
        <v>12101</v>
      </c>
      <c r="L41" t="s">
        <v>1280</v>
      </c>
      <c r="M41">
        <v>12101265</v>
      </c>
      <c r="N41" t="s">
        <v>1281</v>
      </c>
      <c r="O41">
        <v>12101265813</v>
      </c>
      <c r="P41" t="s">
        <v>1282</v>
      </c>
      <c r="Q41" s="135" t="s">
        <v>1314</v>
      </c>
      <c r="R41" t="s">
        <v>1315</v>
      </c>
      <c r="S41" s="135" t="s">
        <v>1313</v>
      </c>
      <c r="T41" t="s">
        <v>1316</v>
      </c>
      <c r="U41" t="s">
        <v>1237</v>
      </c>
      <c r="V41" t="s">
        <v>1238</v>
      </c>
      <c r="W41">
        <v>130</v>
      </c>
      <c r="X41" t="s">
        <v>1189</v>
      </c>
      <c r="Y41">
        <v>48</v>
      </c>
      <c r="Z41">
        <v>6240</v>
      </c>
      <c r="AA41" t="s">
        <v>28</v>
      </c>
      <c r="AB41" t="s">
        <v>1190</v>
      </c>
      <c r="AC41">
        <v>130</v>
      </c>
      <c r="AD41" t="s">
        <v>1191</v>
      </c>
      <c r="AE41" t="s">
        <v>1192</v>
      </c>
      <c r="AF41" t="s">
        <v>1193</v>
      </c>
      <c r="AG41" t="s">
        <v>1194</v>
      </c>
      <c r="AH41" t="s">
        <v>1195</v>
      </c>
      <c r="AI41" t="s">
        <v>1202</v>
      </c>
      <c r="AJ41" t="s">
        <v>1291</v>
      </c>
      <c r="AK41" t="s">
        <v>1292</v>
      </c>
      <c r="AL41" t="s">
        <v>1291</v>
      </c>
      <c r="AM41" t="s">
        <v>1293</v>
      </c>
      <c r="AN41" t="s">
        <v>1201</v>
      </c>
      <c r="AO41" t="s">
        <v>1292</v>
      </c>
      <c r="AP41" t="s">
        <v>1294</v>
      </c>
      <c r="AQ41" t="s">
        <v>1203</v>
      </c>
      <c r="AR41" t="s">
        <v>1201</v>
      </c>
      <c r="AS41" t="s">
        <v>1203</v>
      </c>
      <c r="AU41" t="s">
        <v>1204</v>
      </c>
      <c r="AW41" t="b">
        <v>0</v>
      </c>
      <c r="AY41" t="b">
        <v>0</v>
      </c>
      <c r="BA41" t="s">
        <v>1295</v>
      </c>
      <c r="BB41" t="s">
        <v>1206</v>
      </c>
      <c r="BC41" t="s">
        <v>1206</v>
      </c>
      <c r="BD41" t="s">
        <v>1207</v>
      </c>
      <c r="BE41" t="s">
        <v>1296</v>
      </c>
      <c r="BF41" t="s">
        <v>1297</v>
      </c>
      <c r="BG41" t="s">
        <v>1298</v>
      </c>
      <c r="BH41" t="s">
        <v>1206</v>
      </c>
      <c r="BI41" t="s">
        <v>1206</v>
      </c>
      <c r="BJ41" t="s">
        <v>1299</v>
      </c>
    </row>
    <row r="42" spans="1:62" x14ac:dyDescent="0.25">
      <c r="A42" t="s">
        <v>1177</v>
      </c>
      <c r="B42">
        <v>150991</v>
      </c>
      <c r="C42">
        <v>150991</v>
      </c>
      <c r="D42" s="112" t="s">
        <v>2465</v>
      </c>
      <c r="E42" t="s">
        <v>1119</v>
      </c>
      <c r="F42" t="s">
        <v>1178</v>
      </c>
      <c r="G42" t="s">
        <v>1312</v>
      </c>
      <c r="H42" s="135" t="s">
        <v>1313</v>
      </c>
      <c r="I42">
        <v>12</v>
      </c>
      <c r="J42" t="s">
        <v>1279</v>
      </c>
      <c r="K42">
        <v>12101</v>
      </c>
      <c r="L42" t="s">
        <v>1280</v>
      </c>
      <c r="M42">
        <v>12101265</v>
      </c>
      <c r="N42" t="s">
        <v>1281</v>
      </c>
      <c r="O42">
        <v>12101265813</v>
      </c>
      <c r="P42" t="s">
        <v>1282</v>
      </c>
      <c r="Q42" s="135" t="s">
        <v>1314</v>
      </c>
      <c r="R42" t="s">
        <v>1315</v>
      </c>
      <c r="S42" s="135" t="s">
        <v>1313</v>
      </c>
      <c r="T42" t="s">
        <v>1316</v>
      </c>
      <c r="U42" t="s">
        <v>1237</v>
      </c>
      <c r="V42" t="s">
        <v>1238</v>
      </c>
      <c r="W42">
        <v>130</v>
      </c>
      <c r="X42" t="s">
        <v>1189</v>
      </c>
      <c r="Y42">
        <v>48</v>
      </c>
      <c r="Z42">
        <v>6240</v>
      </c>
      <c r="AA42" t="s">
        <v>28</v>
      </c>
      <c r="AB42" t="s">
        <v>1190</v>
      </c>
      <c r="AC42">
        <v>130</v>
      </c>
      <c r="AD42" t="s">
        <v>1191</v>
      </c>
      <c r="AE42" t="s">
        <v>1192</v>
      </c>
      <c r="AF42" t="s">
        <v>1193</v>
      </c>
      <c r="AG42" t="s">
        <v>1194</v>
      </c>
      <c r="AH42" t="s">
        <v>1195</v>
      </c>
      <c r="AI42" t="s">
        <v>1202</v>
      </c>
      <c r="AJ42" t="s">
        <v>1291</v>
      </c>
      <c r="AK42" t="s">
        <v>1292</v>
      </c>
      <c r="AL42" t="s">
        <v>1291</v>
      </c>
      <c r="AM42" t="s">
        <v>1293</v>
      </c>
      <c r="AN42" t="s">
        <v>1201</v>
      </c>
      <c r="AO42" t="s">
        <v>1292</v>
      </c>
      <c r="AP42" t="s">
        <v>1294</v>
      </c>
      <c r="AQ42" t="s">
        <v>1203</v>
      </c>
      <c r="AR42" t="s">
        <v>1201</v>
      </c>
      <c r="AS42" t="s">
        <v>1203</v>
      </c>
      <c r="AU42" t="s">
        <v>1204</v>
      </c>
      <c r="AW42" t="b">
        <v>0</v>
      </c>
      <c r="AY42" t="b">
        <v>0</v>
      </c>
      <c r="BA42" t="s">
        <v>1295</v>
      </c>
      <c r="BB42" t="s">
        <v>1206</v>
      </c>
      <c r="BC42" t="s">
        <v>1206</v>
      </c>
      <c r="BD42" t="s">
        <v>1207</v>
      </c>
      <c r="BE42" t="s">
        <v>1296</v>
      </c>
      <c r="BF42" t="s">
        <v>1297</v>
      </c>
      <c r="BG42" t="s">
        <v>1298</v>
      </c>
      <c r="BH42" t="s">
        <v>1206</v>
      </c>
      <c r="BI42" t="s">
        <v>1206</v>
      </c>
      <c r="BJ42" t="s">
        <v>1299</v>
      </c>
    </row>
    <row r="43" spans="1:62" x14ac:dyDescent="0.25">
      <c r="A43" t="s">
        <v>1177</v>
      </c>
      <c r="B43">
        <v>150976</v>
      </c>
      <c r="C43">
        <v>150976</v>
      </c>
      <c r="D43" s="112" t="s">
        <v>2466</v>
      </c>
      <c r="E43" t="s">
        <v>1119</v>
      </c>
      <c r="F43" t="s">
        <v>1178</v>
      </c>
      <c r="G43" t="s">
        <v>1317</v>
      </c>
      <c r="H43" s="135" t="s">
        <v>1313</v>
      </c>
      <c r="I43">
        <v>12</v>
      </c>
      <c r="J43" t="s">
        <v>1279</v>
      </c>
      <c r="K43">
        <v>12101</v>
      </c>
      <c r="L43" t="s">
        <v>1280</v>
      </c>
      <c r="M43">
        <v>12101265</v>
      </c>
      <c r="N43" t="s">
        <v>1281</v>
      </c>
      <c r="O43">
        <v>12101265813</v>
      </c>
      <c r="P43" t="s">
        <v>1282</v>
      </c>
      <c r="Q43" s="135" t="s">
        <v>1314</v>
      </c>
      <c r="R43" t="s">
        <v>1315</v>
      </c>
      <c r="S43" s="135" t="s">
        <v>1313</v>
      </c>
      <c r="T43" t="s">
        <v>1316</v>
      </c>
      <c r="U43" t="s">
        <v>1237</v>
      </c>
      <c r="V43" t="s">
        <v>1238</v>
      </c>
      <c r="W43">
        <v>130</v>
      </c>
      <c r="X43" t="s">
        <v>1189</v>
      </c>
      <c r="Y43">
        <v>48</v>
      </c>
      <c r="Z43">
        <v>6240</v>
      </c>
      <c r="AA43" t="s">
        <v>28</v>
      </c>
      <c r="AB43" t="s">
        <v>1190</v>
      </c>
      <c r="AC43">
        <v>130</v>
      </c>
      <c r="AD43" t="s">
        <v>1191</v>
      </c>
      <c r="AE43" t="s">
        <v>1192</v>
      </c>
      <c r="AF43" t="s">
        <v>1193</v>
      </c>
      <c r="AG43" t="s">
        <v>1194</v>
      </c>
      <c r="AH43" t="s">
        <v>1195</v>
      </c>
      <c r="AI43" t="s">
        <v>1202</v>
      </c>
      <c r="AJ43" t="s">
        <v>1291</v>
      </c>
      <c r="AK43" t="s">
        <v>1292</v>
      </c>
      <c r="AL43" t="s">
        <v>1291</v>
      </c>
      <c r="AM43" t="s">
        <v>1318</v>
      </c>
      <c r="AN43" t="s">
        <v>1201</v>
      </c>
      <c r="AO43" t="s">
        <v>1292</v>
      </c>
      <c r="AP43" t="s">
        <v>1319</v>
      </c>
      <c r="AQ43" t="s">
        <v>1203</v>
      </c>
      <c r="AR43" t="s">
        <v>1201</v>
      </c>
      <c r="AS43" t="s">
        <v>1203</v>
      </c>
      <c r="AU43" t="s">
        <v>1204</v>
      </c>
      <c r="AW43" t="b">
        <v>0</v>
      </c>
      <c r="AY43" t="b">
        <v>0</v>
      </c>
      <c r="BA43" t="s">
        <v>1295</v>
      </c>
      <c r="BB43" t="s">
        <v>1206</v>
      </c>
      <c r="BC43" t="s">
        <v>1206</v>
      </c>
      <c r="BD43" t="s">
        <v>1207</v>
      </c>
      <c r="BE43" t="s">
        <v>1296</v>
      </c>
      <c r="BF43" t="s">
        <v>1297</v>
      </c>
      <c r="BG43" t="s">
        <v>1298</v>
      </c>
      <c r="BH43" t="s">
        <v>1206</v>
      </c>
      <c r="BI43" t="s">
        <v>1206</v>
      </c>
      <c r="BJ43" t="s">
        <v>1299</v>
      </c>
    </row>
    <row r="44" spans="1:62" x14ac:dyDescent="0.25">
      <c r="A44" t="s">
        <v>1177</v>
      </c>
      <c r="B44">
        <v>150374</v>
      </c>
      <c r="C44">
        <v>150374</v>
      </c>
      <c r="D44" s="112" t="s">
        <v>2467</v>
      </c>
      <c r="E44" t="s">
        <v>1119</v>
      </c>
      <c r="F44" t="s">
        <v>1178</v>
      </c>
      <c r="G44" t="s">
        <v>1317</v>
      </c>
      <c r="H44" s="135" t="s">
        <v>1313</v>
      </c>
      <c r="I44">
        <v>12</v>
      </c>
      <c r="J44" t="s">
        <v>1279</v>
      </c>
      <c r="K44">
        <v>12101</v>
      </c>
      <c r="L44" t="s">
        <v>1280</v>
      </c>
      <c r="M44">
        <v>12101265</v>
      </c>
      <c r="N44" t="s">
        <v>1281</v>
      </c>
      <c r="O44">
        <v>12101265813</v>
      </c>
      <c r="P44" t="s">
        <v>1282</v>
      </c>
      <c r="Q44" s="135" t="s">
        <v>1314</v>
      </c>
      <c r="R44" t="s">
        <v>1315</v>
      </c>
      <c r="S44" s="135" t="s">
        <v>1313</v>
      </c>
      <c r="T44" t="s">
        <v>1316</v>
      </c>
      <c r="U44" t="s">
        <v>1237</v>
      </c>
      <c r="V44" t="s">
        <v>1238</v>
      </c>
      <c r="W44">
        <v>130</v>
      </c>
      <c r="X44" t="s">
        <v>1189</v>
      </c>
      <c r="Y44">
        <v>48</v>
      </c>
      <c r="Z44">
        <v>6240</v>
      </c>
      <c r="AA44" t="s">
        <v>28</v>
      </c>
      <c r="AB44" t="s">
        <v>1190</v>
      </c>
      <c r="AC44">
        <v>130</v>
      </c>
      <c r="AD44" t="s">
        <v>1191</v>
      </c>
      <c r="AE44" t="s">
        <v>1192</v>
      </c>
      <c r="AF44" t="s">
        <v>1193</v>
      </c>
      <c r="AG44" t="s">
        <v>1194</v>
      </c>
      <c r="AH44" t="s">
        <v>1195</v>
      </c>
      <c r="AI44" t="s">
        <v>1202</v>
      </c>
      <c r="AJ44" t="s">
        <v>1291</v>
      </c>
      <c r="AK44" t="s">
        <v>1292</v>
      </c>
      <c r="AL44" t="s">
        <v>1291</v>
      </c>
      <c r="AM44" t="s">
        <v>1318</v>
      </c>
      <c r="AN44" t="s">
        <v>1201</v>
      </c>
      <c r="AO44" t="s">
        <v>1292</v>
      </c>
      <c r="AP44" t="s">
        <v>1319</v>
      </c>
      <c r="AQ44" t="s">
        <v>1203</v>
      </c>
      <c r="AR44" t="s">
        <v>1201</v>
      </c>
      <c r="AS44" t="s">
        <v>1203</v>
      </c>
      <c r="AU44" t="s">
        <v>1204</v>
      </c>
      <c r="AW44" t="b">
        <v>0</v>
      </c>
      <c r="AY44" t="b">
        <v>0</v>
      </c>
      <c r="BA44" t="s">
        <v>1295</v>
      </c>
      <c r="BB44" t="s">
        <v>1206</v>
      </c>
      <c r="BC44" t="s">
        <v>1206</v>
      </c>
      <c r="BD44" t="s">
        <v>1207</v>
      </c>
      <c r="BE44" t="s">
        <v>1296</v>
      </c>
      <c r="BF44" t="s">
        <v>1297</v>
      </c>
      <c r="BG44" t="s">
        <v>1298</v>
      </c>
      <c r="BH44" t="s">
        <v>1206</v>
      </c>
      <c r="BI44" t="s">
        <v>1206</v>
      </c>
      <c r="BJ44" t="s">
        <v>1299</v>
      </c>
    </row>
    <row r="45" spans="1:62" x14ac:dyDescent="0.25">
      <c r="A45" t="s">
        <v>1177</v>
      </c>
      <c r="B45">
        <v>150342</v>
      </c>
      <c r="C45">
        <v>150342</v>
      </c>
      <c r="D45" s="112" t="s">
        <v>2468</v>
      </c>
      <c r="E45" t="s">
        <v>1119</v>
      </c>
      <c r="F45" t="s">
        <v>1178</v>
      </c>
      <c r="G45" t="s">
        <v>1317</v>
      </c>
      <c r="H45" s="135" t="s">
        <v>1313</v>
      </c>
      <c r="I45">
        <v>12</v>
      </c>
      <c r="J45" t="s">
        <v>1279</v>
      </c>
      <c r="K45">
        <v>12101</v>
      </c>
      <c r="L45" t="s">
        <v>1280</v>
      </c>
      <c r="M45">
        <v>12101265</v>
      </c>
      <c r="N45" t="s">
        <v>1281</v>
      </c>
      <c r="O45">
        <v>12101265813</v>
      </c>
      <c r="P45" t="s">
        <v>1282</v>
      </c>
      <c r="Q45" s="135" t="s">
        <v>1314</v>
      </c>
      <c r="R45" t="s">
        <v>1315</v>
      </c>
      <c r="S45" s="135" t="s">
        <v>1313</v>
      </c>
      <c r="T45" t="s">
        <v>1316</v>
      </c>
      <c r="U45" t="s">
        <v>1237</v>
      </c>
      <c r="V45" t="s">
        <v>1238</v>
      </c>
      <c r="W45">
        <v>130</v>
      </c>
      <c r="X45" t="s">
        <v>1189</v>
      </c>
      <c r="Y45">
        <v>48</v>
      </c>
      <c r="Z45">
        <v>6240</v>
      </c>
      <c r="AA45" t="s">
        <v>28</v>
      </c>
      <c r="AB45" t="s">
        <v>1190</v>
      </c>
      <c r="AC45">
        <v>130</v>
      </c>
      <c r="AD45" t="s">
        <v>1191</v>
      </c>
      <c r="AE45" t="s">
        <v>1192</v>
      </c>
      <c r="AF45" t="s">
        <v>1193</v>
      </c>
      <c r="AG45" t="s">
        <v>1194</v>
      </c>
      <c r="AH45" t="s">
        <v>1195</v>
      </c>
      <c r="AI45" t="s">
        <v>1202</v>
      </c>
      <c r="AJ45" t="s">
        <v>1291</v>
      </c>
      <c r="AK45" t="s">
        <v>1292</v>
      </c>
      <c r="AL45" t="s">
        <v>1291</v>
      </c>
      <c r="AM45" t="s">
        <v>1318</v>
      </c>
      <c r="AN45" t="s">
        <v>1201</v>
      </c>
      <c r="AO45" t="s">
        <v>1292</v>
      </c>
      <c r="AP45" t="s">
        <v>1319</v>
      </c>
      <c r="AQ45" t="s">
        <v>1203</v>
      </c>
      <c r="AR45" t="s">
        <v>1201</v>
      </c>
      <c r="AS45" t="s">
        <v>1203</v>
      </c>
      <c r="AU45" t="s">
        <v>1204</v>
      </c>
      <c r="AW45" t="b">
        <v>0</v>
      </c>
      <c r="AY45" t="b">
        <v>0</v>
      </c>
      <c r="BA45" t="s">
        <v>1295</v>
      </c>
      <c r="BB45" t="s">
        <v>1206</v>
      </c>
      <c r="BC45" t="s">
        <v>1206</v>
      </c>
      <c r="BD45" t="s">
        <v>1207</v>
      </c>
      <c r="BE45" t="s">
        <v>1296</v>
      </c>
      <c r="BF45" t="s">
        <v>1297</v>
      </c>
      <c r="BG45" t="s">
        <v>1298</v>
      </c>
      <c r="BH45" t="s">
        <v>1206</v>
      </c>
      <c r="BI45" t="s">
        <v>1206</v>
      </c>
      <c r="BJ45" t="s">
        <v>1299</v>
      </c>
    </row>
    <row r="46" spans="1:62" x14ac:dyDescent="0.25">
      <c r="A46" t="s">
        <v>1177</v>
      </c>
      <c r="B46">
        <v>150291</v>
      </c>
      <c r="C46">
        <v>150291</v>
      </c>
      <c r="D46" s="112" t="s">
        <v>2469</v>
      </c>
      <c r="E46" t="s">
        <v>1119</v>
      </c>
      <c r="F46" t="s">
        <v>1178</v>
      </c>
      <c r="G46" t="s">
        <v>1320</v>
      </c>
      <c r="H46" s="135" t="s">
        <v>1313</v>
      </c>
      <c r="I46">
        <v>12</v>
      </c>
      <c r="J46" t="s">
        <v>1279</v>
      </c>
      <c r="K46">
        <v>12101</v>
      </c>
      <c r="L46" t="s">
        <v>1280</v>
      </c>
      <c r="M46">
        <v>12101265</v>
      </c>
      <c r="N46" t="s">
        <v>1281</v>
      </c>
      <c r="O46">
        <v>12101265813</v>
      </c>
      <c r="P46" t="s">
        <v>1282</v>
      </c>
      <c r="Q46" s="135" t="s">
        <v>1314</v>
      </c>
      <c r="R46" t="s">
        <v>1315</v>
      </c>
      <c r="S46" s="135" t="s">
        <v>1313</v>
      </c>
      <c r="T46" t="s">
        <v>1316</v>
      </c>
      <c r="U46" t="s">
        <v>1237</v>
      </c>
      <c r="V46" t="s">
        <v>1238</v>
      </c>
      <c r="W46">
        <v>130</v>
      </c>
      <c r="X46" t="s">
        <v>1189</v>
      </c>
      <c r="Y46">
        <v>48</v>
      </c>
      <c r="Z46">
        <v>6240</v>
      </c>
      <c r="AA46" t="s">
        <v>28</v>
      </c>
      <c r="AB46" t="s">
        <v>1190</v>
      </c>
      <c r="AC46">
        <v>130</v>
      </c>
      <c r="AD46" t="s">
        <v>1191</v>
      </c>
      <c r="AE46" t="s">
        <v>1192</v>
      </c>
      <c r="AF46" t="s">
        <v>1193</v>
      </c>
      <c r="AG46" t="s">
        <v>1194</v>
      </c>
      <c r="AH46" t="s">
        <v>1195</v>
      </c>
      <c r="AI46" t="s">
        <v>1202</v>
      </c>
      <c r="AJ46" t="s">
        <v>1291</v>
      </c>
      <c r="AK46" t="s">
        <v>1292</v>
      </c>
      <c r="AL46" t="s">
        <v>1291</v>
      </c>
      <c r="AM46" t="s">
        <v>1321</v>
      </c>
      <c r="AN46" t="s">
        <v>1201</v>
      </c>
      <c r="AO46" t="s">
        <v>1292</v>
      </c>
      <c r="AP46" t="s">
        <v>1322</v>
      </c>
      <c r="AQ46" t="s">
        <v>1203</v>
      </c>
      <c r="AR46" t="s">
        <v>1201</v>
      </c>
      <c r="AS46" t="s">
        <v>1203</v>
      </c>
      <c r="AU46" t="s">
        <v>1204</v>
      </c>
      <c r="AW46" t="b">
        <v>0</v>
      </c>
      <c r="AY46" t="b">
        <v>0</v>
      </c>
      <c r="BA46" t="s">
        <v>1295</v>
      </c>
      <c r="BB46" t="s">
        <v>1206</v>
      </c>
      <c r="BC46" t="s">
        <v>1206</v>
      </c>
      <c r="BD46" t="s">
        <v>1207</v>
      </c>
      <c r="BE46" t="s">
        <v>1296</v>
      </c>
      <c r="BF46" t="s">
        <v>1297</v>
      </c>
      <c r="BG46" t="s">
        <v>1298</v>
      </c>
      <c r="BH46" t="s">
        <v>1206</v>
      </c>
      <c r="BI46" t="s">
        <v>1206</v>
      </c>
      <c r="BJ46" t="s">
        <v>1299</v>
      </c>
    </row>
    <row r="47" spans="1:62" x14ac:dyDescent="0.25">
      <c r="A47" t="s">
        <v>1177</v>
      </c>
      <c r="B47">
        <v>150292</v>
      </c>
      <c r="C47">
        <v>150292</v>
      </c>
      <c r="D47" s="112" t="s">
        <v>2470</v>
      </c>
      <c r="E47" t="s">
        <v>1119</v>
      </c>
      <c r="F47" t="s">
        <v>1178</v>
      </c>
      <c r="G47" t="s">
        <v>1323</v>
      </c>
      <c r="H47" s="135" t="s">
        <v>1313</v>
      </c>
      <c r="I47">
        <v>12</v>
      </c>
      <c r="J47" t="s">
        <v>1279</v>
      </c>
      <c r="K47">
        <v>12101</v>
      </c>
      <c r="L47" t="s">
        <v>1280</v>
      </c>
      <c r="M47">
        <v>12101265</v>
      </c>
      <c r="N47" t="s">
        <v>1281</v>
      </c>
      <c r="O47">
        <v>12101265813</v>
      </c>
      <c r="P47" t="s">
        <v>1282</v>
      </c>
      <c r="Q47" s="135" t="s">
        <v>1314</v>
      </c>
      <c r="R47" t="s">
        <v>1315</v>
      </c>
      <c r="S47" s="135" t="s">
        <v>1313</v>
      </c>
      <c r="T47" t="s">
        <v>1316</v>
      </c>
      <c r="U47" t="s">
        <v>1237</v>
      </c>
      <c r="V47" t="s">
        <v>1238</v>
      </c>
      <c r="W47">
        <v>130</v>
      </c>
      <c r="X47" t="s">
        <v>1189</v>
      </c>
      <c r="Y47">
        <v>48</v>
      </c>
      <c r="Z47">
        <v>6240</v>
      </c>
      <c r="AA47" t="s">
        <v>28</v>
      </c>
      <c r="AB47" t="s">
        <v>1190</v>
      </c>
      <c r="AC47">
        <v>130</v>
      </c>
      <c r="AD47" t="s">
        <v>1191</v>
      </c>
      <c r="AE47" t="s">
        <v>1192</v>
      </c>
      <c r="AF47" t="s">
        <v>1193</v>
      </c>
      <c r="AG47" t="s">
        <v>1194</v>
      </c>
      <c r="AH47" t="s">
        <v>1195</v>
      </c>
      <c r="AI47" t="s">
        <v>1202</v>
      </c>
      <c r="AJ47" t="s">
        <v>1291</v>
      </c>
      <c r="AK47" t="s">
        <v>1292</v>
      </c>
      <c r="AL47" t="s">
        <v>1291</v>
      </c>
      <c r="AM47" t="s">
        <v>1324</v>
      </c>
      <c r="AN47" t="s">
        <v>1201</v>
      </c>
      <c r="AO47" t="s">
        <v>1292</v>
      </c>
      <c r="AP47" t="s">
        <v>1325</v>
      </c>
      <c r="AQ47" t="s">
        <v>1203</v>
      </c>
      <c r="AR47" t="s">
        <v>1201</v>
      </c>
      <c r="AS47" t="s">
        <v>1203</v>
      </c>
      <c r="AU47" t="s">
        <v>1204</v>
      </c>
      <c r="AW47" t="b">
        <v>0</v>
      </c>
      <c r="AY47" t="b">
        <v>0</v>
      </c>
      <c r="BA47" t="s">
        <v>1295</v>
      </c>
      <c r="BB47" t="s">
        <v>1206</v>
      </c>
      <c r="BC47" t="s">
        <v>1206</v>
      </c>
      <c r="BD47" t="s">
        <v>1207</v>
      </c>
      <c r="BE47" t="s">
        <v>1296</v>
      </c>
      <c r="BF47" t="s">
        <v>1297</v>
      </c>
      <c r="BG47" t="s">
        <v>1298</v>
      </c>
      <c r="BH47" t="s">
        <v>1206</v>
      </c>
      <c r="BI47" t="s">
        <v>1206</v>
      </c>
      <c r="BJ47" t="s">
        <v>1299</v>
      </c>
    </row>
    <row r="48" spans="1:62" x14ac:dyDescent="0.25">
      <c r="A48" t="s">
        <v>1177</v>
      </c>
      <c r="B48">
        <v>150331</v>
      </c>
      <c r="C48">
        <v>150331</v>
      </c>
      <c r="D48" s="112" t="s">
        <v>2471</v>
      </c>
      <c r="E48" t="s">
        <v>1119</v>
      </c>
      <c r="F48" t="s">
        <v>1178</v>
      </c>
      <c r="G48" t="s">
        <v>1326</v>
      </c>
      <c r="H48" s="135" t="s">
        <v>1327</v>
      </c>
      <c r="I48">
        <v>12</v>
      </c>
      <c r="J48" t="s">
        <v>1279</v>
      </c>
      <c r="K48">
        <v>12101</v>
      </c>
      <c r="L48" t="s">
        <v>1280</v>
      </c>
      <c r="M48">
        <v>12101265</v>
      </c>
      <c r="N48" t="s">
        <v>1281</v>
      </c>
      <c r="O48">
        <v>12101265813</v>
      </c>
      <c r="P48" t="s">
        <v>1282</v>
      </c>
      <c r="Q48" s="135" t="s">
        <v>1328</v>
      </c>
      <c r="R48" t="s">
        <v>1329</v>
      </c>
      <c r="S48" s="135" t="s">
        <v>1327</v>
      </c>
      <c r="T48" t="s">
        <v>1330</v>
      </c>
      <c r="U48" t="s">
        <v>1237</v>
      </c>
      <c r="V48" t="s">
        <v>1238</v>
      </c>
      <c r="W48">
        <v>270</v>
      </c>
      <c r="X48" t="s">
        <v>1189</v>
      </c>
      <c r="Y48">
        <v>24</v>
      </c>
      <c r="Z48">
        <v>6480</v>
      </c>
      <c r="AA48" t="s">
        <v>28</v>
      </c>
      <c r="AB48" t="s">
        <v>1190</v>
      </c>
      <c r="AC48">
        <v>270</v>
      </c>
      <c r="AD48" t="s">
        <v>1191</v>
      </c>
      <c r="AE48" t="s">
        <v>1192</v>
      </c>
      <c r="AF48" t="s">
        <v>1193</v>
      </c>
      <c r="AG48" t="s">
        <v>1194</v>
      </c>
      <c r="AH48" t="s">
        <v>1195</v>
      </c>
      <c r="AI48" t="s">
        <v>1202</v>
      </c>
      <c r="AJ48" t="s">
        <v>1291</v>
      </c>
      <c r="AK48" t="s">
        <v>1292</v>
      </c>
      <c r="AL48" t="s">
        <v>1291</v>
      </c>
      <c r="AM48" t="s">
        <v>1293</v>
      </c>
      <c r="AN48" t="s">
        <v>1201</v>
      </c>
      <c r="AO48" t="s">
        <v>1292</v>
      </c>
      <c r="AP48" t="s">
        <v>1294</v>
      </c>
      <c r="AQ48" t="s">
        <v>1203</v>
      </c>
      <c r="AR48" t="s">
        <v>1201</v>
      </c>
      <c r="AS48" t="s">
        <v>1203</v>
      </c>
      <c r="AU48" t="s">
        <v>1204</v>
      </c>
      <c r="AW48" t="b">
        <v>0</v>
      </c>
      <c r="AY48" t="b">
        <v>0</v>
      </c>
      <c r="BA48" t="s">
        <v>1295</v>
      </c>
      <c r="BB48" t="s">
        <v>1206</v>
      </c>
      <c r="BC48" t="s">
        <v>1206</v>
      </c>
      <c r="BD48" t="s">
        <v>1207</v>
      </c>
      <c r="BE48" t="s">
        <v>1296</v>
      </c>
      <c r="BF48" t="s">
        <v>1297</v>
      </c>
      <c r="BG48" t="s">
        <v>1298</v>
      </c>
      <c r="BH48" t="s">
        <v>1206</v>
      </c>
      <c r="BI48" t="s">
        <v>1206</v>
      </c>
      <c r="BJ48" t="s">
        <v>1299</v>
      </c>
    </row>
    <row r="49" spans="1:62" x14ac:dyDescent="0.25">
      <c r="A49" t="s">
        <v>1177</v>
      </c>
      <c r="B49">
        <v>150343</v>
      </c>
      <c r="C49">
        <v>150343</v>
      </c>
      <c r="D49" s="112" t="s">
        <v>2472</v>
      </c>
      <c r="E49" t="s">
        <v>1119</v>
      </c>
      <c r="F49" t="s">
        <v>1178</v>
      </c>
      <c r="G49" t="s">
        <v>1331</v>
      </c>
      <c r="H49" s="135" t="s">
        <v>1327</v>
      </c>
      <c r="I49">
        <v>12</v>
      </c>
      <c r="J49" t="s">
        <v>1279</v>
      </c>
      <c r="K49">
        <v>12101</v>
      </c>
      <c r="L49" t="s">
        <v>1280</v>
      </c>
      <c r="M49">
        <v>12101265</v>
      </c>
      <c r="N49" t="s">
        <v>1281</v>
      </c>
      <c r="O49">
        <v>12101265813</v>
      </c>
      <c r="P49" t="s">
        <v>1282</v>
      </c>
      <c r="Q49" s="135" t="s">
        <v>1328</v>
      </c>
      <c r="R49" t="s">
        <v>1329</v>
      </c>
      <c r="S49" s="135" t="s">
        <v>1327</v>
      </c>
      <c r="T49" t="s">
        <v>1330</v>
      </c>
      <c r="U49" t="s">
        <v>1237</v>
      </c>
      <c r="V49" t="s">
        <v>1238</v>
      </c>
      <c r="W49">
        <v>270</v>
      </c>
      <c r="X49" t="s">
        <v>1189</v>
      </c>
      <c r="Y49">
        <v>24</v>
      </c>
      <c r="Z49">
        <v>6480</v>
      </c>
      <c r="AA49" t="s">
        <v>28</v>
      </c>
      <c r="AB49" t="s">
        <v>1190</v>
      </c>
      <c r="AC49">
        <v>270</v>
      </c>
      <c r="AD49" t="s">
        <v>1191</v>
      </c>
      <c r="AE49" t="s">
        <v>1192</v>
      </c>
      <c r="AF49" t="s">
        <v>1193</v>
      </c>
      <c r="AG49" t="s">
        <v>1194</v>
      </c>
      <c r="AH49" t="s">
        <v>1195</v>
      </c>
      <c r="AI49" t="s">
        <v>1202</v>
      </c>
      <c r="AJ49" t="s">
        <v>1291</v>
      </c>
      <c r="AK49" t="s">
        <v>1292</v>
      </c>
      <c r="AL49" t="s">
        <v>1291</v>
      </c>
      <c r="AM49" t="s">
        <v>1318</v>
      </c>
      <c r="AN49" t="s">
        <v>1201</v>
      </c>
      <c r="AO49" t="s">
        <v>1292</v>
      </c>
      <c r="AP49" t="s">
        <v>1319</v>
      </c>
      <c r="AQ49" t="s">
        <v>1203</v>
      </c>
      <c r="AR49" t="s">
        <v>1201</v>
      </c>
      <c r="AS49" t="s">
        <v>1203</v>
      </c>
      <c r="AU49" t="s">
        <v>1204</v>
      </c>
      <c r="AW49" t="b">
        <v>0</v>
      </c>
      <c r="AY49" t="b">
        <v>1</v>
      </c>
      <c r="BA49" t="s">
        <v>1295</v>
      </c>
      <c r="BB49" t="s">
        <v>1206</v>
      </c>
      <c r="BC49" t="s">
        <v>1206</v>
      </c>
      <c r="BD49" t="s">
        <v>1207</v>
      </c>
      <c r="BE49" t="s">
        <v>1296</v>
      </c>
      <c r="BF49" t="s">
        <v>1297</v>
      </c>
      <c r="BG49" t="s">
        <v>1298</v>
      </c>
      <c r="BH49" t="s">
        <v>1206</v>
      </c>
      <c r="BI49" t="s">
        <v>1206</v>
      </c>
      <c r="BJ49" t="s">
        <v>1299</v>
      </c>
    </row>
    <row r="50" spans="1:62" x14ac:dyDescent="0.25">
      <c r="A50" t="s">
        <v>1177</v>
      </c>
      <c r="B50">
        <v>150332</v>
      </c>
      <c r="C50">
        <v>150332</v>
      </c>
      <c r="D50" s="112" t="s">
        <v>2473</v>
      </c>
      <c r="E50" t="s">
        <v>1119</v>
      </c>
      <c r="F50" t="s">
        <v>1178</v>
      </c>
      <c r="G50" t="s">
        <v>1332</v>
      </c>
      <c r="H50" s="135" t="s">
        <v>1333</v>
      </c>
      <c r="I50">
        <v>12</v>
      </c>
      <c r="J50" t="s">
        <v>1279</v>
      </c>
      <c r="K50">
        <v>12101</v>
      </c>
      <c r="L50" t="s">
        <v>1280</v>
      </c>
      <c r="M50">
        <v>12101265</v>
      </c>
      <c r="N50" t="s">
        <v>1281</v>
      </c>
      <c r="O50">
        <v>12101265813</v>
      </c>
      <c r="P50" t="s">
        <v>1282</v>
      </c>
      <c r="Q50" s="135" t="s">
        <v>1334</v>
      </c>
      <c r="R50" t="s">
        <v>1335</v>
      </c>
      <c r="S50" s="135" t="s">
        <v>1333</v>
      </c>
      <c r="T50" t="s">
        <v>1336</v>
      </c>
      <c r="U50" t="s">
        <v>1237</v>
      </c>
      <c r="V50" t="s">
        <v>1238</v>
      </c>
      <c r="W50">
        <v>600</v>
      </c>
      <c r="X50" t="s">
        <v>1189</v>
      </c>
      <c r="Y50">
        <v>12</v>
      </c>
      <c r="Z50">
        <v>7200</v>
      </c>
      <c r="AA50" t="s">
        <v>28</v>
      </c>
      <c r="AB50" t="s">
        <v>1190</v>
      </c>
      <c r="AC50">
        <v>600</v>
      </c>
      <c r="AD50" t="s">
        <v>1191</v>
      </c>
      <c r="AE50" t="s">
        <v>1290</v>
      </c>
      <c r="AF50" t="s">
        <v>1193</v>
      </c>
      <c r="AG50" t="s">
        <v>1194</v>
      </c>
      <c r="AH50" t="s">
        <v>1195</v>
      </c>
      <c r="AI50" t="s">
        <v>1202</v>
      </c>
      <c r="AJ50" t="s">
        <v>1291</v>
      </c>
      <c r="AK50" t="s">
        <v>1292</v>
      </c>
      <c r="AL50" t="s">
        <v>1291</v>
      </c>
      <c r="AM50" t="s">
        <v>1293</v>
      </c>
      <c r="AN50" t="s">
        <v>1201</v>
      </c>
      <c r="AO50" t="s">
        <v>1292</v>
      </c>
      <c r="AP50" t="s">
        <v>1294</v>
      </c>
      <c r="AQ50" t="s">
        <v>1203</v>
      </c>
      <c r="AR50" t="s">
        <v>1201</v>
      </c>
      <c r="AS50" t="s">
        <v>1203</v>
      </c>
      <c r="AU50" t="s">
        <v>1204</v>
      </c>
      <c r="AW50" t="b">
        <v>0</v>
      </c>
      <c r="AY50" t="b">
        <v>0</v>
      </c>
      <c r="BA50" t="s">
        <v>1295</v>
      </c>
      <c r="BB50" t="s">
        <v>1206</v>
      </c>
      <c r="BC50" t="s">
        <v>1206</v>
      </c>
      <c r="BD50" t="s">
        <v>1207</v>
      </c>
      <c r="BE50" t="s">
        <v>1296</v>
      </c>
      <c r="BF50" t="s">
        <v>1297</v>
      </c>
      <c r="BG50" t="s">
        <v>1298</v>
      </c>
      <c r="BH50" t="s">
        <v>1206</v>
      </c>
      <c r="BI50" t="s">
        <v>1206</v>
      </c>
      <c r="BJ50" t="s">
        <v>1299</v>
      </c>
    </row>
    <row r="51" spans="1:62" x14ac:dyDescent="0.25">
      <c r="A51" t="s">
        <v>1177</v>
      </c>
      <c r="B51">
        <v>150344</v>
      </c>
      <c r="C51">
        <v>150344</v>
      </c>
      <c r="D51" s="112" t="s">
        <v>2474</v>
      </c>
      <c r="E51" t="s">
        <v>1119</v>
      </c>
      <c r="F51" t="s">
        <v>1178</v>
      </c>
      <c r="G51" t="s">
        <v>1337</v>
      </c>
      <c r="H51" s="135" t="s">
        <v>1338</v>
      </c>
      <c r="I51">
        <v>12</v>
      </c>
      <c r="J51" t="s">
        <v>1279</v>
      </c>
      <c r="K51">
        <v>12101</v>
      </c>
      <c r="L51" t="s">
        <v>1280</v>
      </c>
      <c r="M51">
        <v>12101265</v>
      </c>
      <c r="N51" t="s">
        <v>1281</v>
      </c>
      <c r="O51">
        <v>12101265813</v>
      </c>
      <c r="P51" t="s">
        <v>1282</v>
      </c>
      <c r="Q51" s="135" t="s">
        <v>1339</v>
      </c>
      <c r="R51" t="s">
        <v>1340</v>
      </c>
      <c r="S51" s="135" t="s">
        <v>1338</v>
      </c>
      <c r="T51" t="s">
        <v>1341</v>
      </c>
      <c r="U51" t="s">
        <v>1310</v>
      </c>
      <c r="V51" t="s">
        <v>1311</v>
      </c>
      <c r="W51">
        <v>950</v>
      </c>
      <c r="X51" t="s">
        <v>1342</v>
      </c>
      <c r="Y51">
        <v>6</v>
      </c>
      <c r="Z51">
        <v>5700</v>
      </c>
      <c r="AA51" t="s">
        <v>28</v>
      </c>
      <c r="AB51" t="s">
        <v>1190</v>
      </c>
      <c r="AC51">
        <v>950</v>
      </c>
      <c r="AD51" t="s">
        <v>1191</v>
      </c>
      <c r="AE51" t="s">
        <v>1290</v>
      </c>
      <c r="AF51" t="s">
        <v>1193</v>
      </c>
      <c r="AG51" t="s">
        <v>1194</v>
      </c>
      <c r="AH51" t="s">
        <v>1195</v>
      </c>
      <c r="AI51" t="s">
        <v>1202</v>
      </c>
      <c r="AJ51" t="s">
        <v>1291</v>
      </c>
      <c r="AK51" t="s">
        <v>1292</v>
      </c>
      <c r="AL51" t="s">
        <v>1291</v>
      </c>
      <c r="AM51" t="s">
        <v>1318</v>
      </c>
      <c r="AN51" t="s">
        <v>1201</v>
      </c>
      <c r="AO51" t="s">
        <v>1292</v>
      </c>
      <c r="AP51" t="s">
        <v>1319</v>
      </c>
      <c r="AQ51" t="s">
        <v>1203</v>
      </c>
      <c r="AR51" t="s">
        <v>1201</v>
      </c>
      <c r="AS51" t="s">
        <v>1203</v>
      </c>
      <c r="AU51" t="s">
        <v>1204</v>
      </c>
      <c r="AW51" t="b">
        <v>0</v>
      </c>
      <c r="AY51" t="b">
        <v>1</v>
      </c>
      <c r="BA51" t="s">
        <v>1295</v>
      </c>
      <c r="BB51" t="s">
        <v>1206</v>
      </c>
      <c r="BC51" t="s">
        <v>1206</v>
      </c>
      <c r="BD51" t="s">
        <v>1207</v>
      </c>
      <c r="BE51" t="s">
        <v>1296</v>
      </c>
      <c r="BF51" t="s">
        <v>1297</v>
      </c>
      <c r="BG51" t="s">
        <v>1298</v>
      </c>
      <c r="BH51" t="s">
        <v>1206</v>
      </c>
      <c r="BI51" t="s">
        <v>1206</v>
      </c>
      <c r="BJ51" t="s">
        <v>1299</v>
      </c>
    </row>
    <row r="52" spans="1:62" x14ac:dyDescent="0.25">
      <c r="A52" t="s">
        <v>1177</v>
      </c>
      <c r="B52">
        <v>150329</v>
      </c>
      <c r="C52">
        <v>150329</v>
      </c>
      <c r="D52" s="112" t="s">
        <v>2475</v>
      </c>
      <c r="E52" t="s">
        <v>1119</v>
      </c>
      <c r="F52" t="s">
        <v>1178</v>
      </c>
      <c r="G52" t="s">
        <v>1343</v>
      </c>
      <c r="H52" s="135" t="s">
        <v>1344</v>
      </c>
      <c r="I52">
        <v>12</v>
      </c>
      <c r="J52" t="s">
        <v>1279</v>
      </c>
      <c r="K52">
        <v>12101</v>
      </c>
      <c r="L52" t="s">
        <v>1280</v>
      </c>
      <c r="M52">
        <v>12101265</v>
      </c>
      <c r="N52" t="s">
        <v>1281</v>
      </c>
      <c r="O52">
        <v>12101265813</v>
      </c>
      <c r="P52" t="s">
        <v>1282</v>
      </c>
      <c r="Q52" s="135" t="s">
        <v>1345</v>
      </c>
      <c r="R52" t="s">
        <v>1346</v>
      </c>
      <c r="S52" s="135" t="s">
        <v>1344</v>
      </c>
      <c r="T52" t="s">
        <v>1347</v>
      </c>
      <c r="U52" t="s">
        <v>1187</v>
      </c>
      <c r="V52" t="s">
        <v>1188</v>
      </c>
      <c r="W52">
        <v>335</v>
      </c>
      <c r="X52" t="s">
        <v>1189</v>
      </c>
      <c r="Y52">
        <v>24</v>
      </c>
      <c r="Z52">
        <v>8040</v>
      </c>
      <c r="AA52" t="s">
        <v>28</v>
      </c>
      <c r="AB52" t="s">
        <v>1190</v>
      </c>
      <c r="AC52">
        <v>335</v>
      </c>
      <c r="AD52" t="s">
        <v>1191</v>
      </c>
      <c r="AE52" t="s">
        <v>1192</v>
      </c>
      <c r="AF52" t="s">
        <v>1193</v>
      </c>
      <c r="AG52" t="s">
        <v>1194</v>
      </c>
      <c r="AH52" t="s">
        <v>1195</v>
      </c>
      <c r="AI52" t="s">
        <v>1202</v>
      </c>
      <c r="AJ52" t="s">
        <v>1291</v>
      </c>
      <c r="AK52" t="s">
        <v>1292</v>
      </c>
      <c r="AL52" t="s">
        <v>1291</v>
      </c>
      <c r="AM52" t="s">
        <v>1293</v>
      </c>
      <c r="AN52" t="s">
        <v>1201</v>
      </c>
      <c r="AO52" t="s">
        <v>1292</v>
      </c>
      <c r="AP52" t="s">
        <v>1294</v>
      </c>
      <c r="AQ52" t="s">
        <v>1203</v>
      </c>
      <c r="AR52" t="s">
        <v>1201</v>
      </c>
      <c r="AS52" t="s">
        <v>1203</v>
      </c>
      <c r="AU52" t="s">
        <v>1204</v>
      </c>
      <c r="AW52" t="b">
        <v>0</v>
      </c>
      <c r="AY52" t="b">
        <v>0</v>
      </c>
      <c r="BA52" t="s">
        <v>1295</v>
      </c>
      <c r="BB52" t="s">
        <v>1206</v>
      </c>
      <c r="BC52" t="s">
        <v>1206</v>
      </c>
      <c r="BD52" t="s">
        <v>1207</v>
      </c>
      <c r="BE52" t="s">
        <v>1296</v>
      </c>
      <c r="BF52" t="s">
        <v>1297</v>
      </c>
      <c r="BG52" t="s">
        <v>1298</v>
      </c>
      <c r="BH52" t="s">
        <v>1206</v>
      </c>
      <c r="BI52" t="s">
        <v>1206</v>
      </c>
      <c r="BJ52" t="s">
        <v>1299</v>
      </c>
    </row>
    <row r="53" spans="1:62" x14ac:dyDescent="0.25">
      <c r="A53" t="s">
        <v>1177</v>
      </c>
      <c r="B53">
        <v>150341</v>
      </c>
      <c r="C53">
        <v>150341</v>
      </c>
      <c r="D53" s="112" t="s">
        <v>2476</v>
      </c>
      <c r="E53" t="s">
        <v>1119</v>
      </c>
      <c r="F53" t="s">
        <v>1178</v>
      </c>
      <c r="G53" t="s">
        <v>1348</v>
      </c>
      <c r="H53" s="135" t="s">
        <v>1344</v>
      </c>
      <c r="I53">
        <v>12</v>
      </c>
      <c r="J53" t="s">
        <v>1279</v>
      </c>
      <c r="K53">
        <v>12101</v>
      </c>
      <c r="L53" t="s">
        <v>1280</v>
      </c>
      <c r="M53">
        <v>12101265</v>
      </c>
      <c r="N53" t="s">
        <v>1281</v>
      </c>
      <c r="O53">
        <v>12101265813</v>
      </c>
      <c r="P53" t="s">
        <v>1282</v>
      </c>
      <c r="Q53" s="135" t="s">
        <v>1345</v>
      </c>
      <c r="R53" t="s">
        <v>1346</v>
      </c>
      <c r="S53" s="135" t="s">
        <v>1344</v>
      </c>
      <c r="T53" t="s">
        <v>1347</v>
      </c>
      <c r="U53" t="s">
        <v>1187</v>
      </c>
      <c r="V53" t="s">
        <v>1188</v>
      </c>
      <c r="W53">
        <v>335</v>
      </c>
      <c r="X53" t="s">
        <v>1189</v>
      </c>
      <c r="Y53">
        <v>24</v>
      </c>
      <c r="Z53">
        <v>8040</v>
      </c>
      <c r="AA53" t="s">
        <v>28</v>
      </c>
      <c r="AB53" t="s">
        <v>1190</v>
      </c>
      <c r="AC53">
        <v>335</v>
      </c>
      <c r="AD53" t="s">
        <v>1191</v>
      </c>
      <c r="AE53" t="s">
        <v>1192</v>
      </c>
      <c r="AF53" t="s">
        <v>1193</v>
      </c>
      <c r="AG53" t="s">
        <v>1194</v>
      </c>
      <c r="AH53" t="s">
        <v>1195</v>
      </c>
      <c r="AI53" t="s">
        <v>1202</v>
      </c>
      <c r="AJ53" t="s">
        <v>1291</v>
      </c>
      <c r="AK53" t="s">
        <v>1292</v>
      </c>
      <c r="AL53" t="s">
        <v>1291</v>
      </c>
      <c r="AM53" t="s">
        <v>1318</v>
      </c>
      <c r="AN53" t="s">
        <v>1201</v>
      </c>
      <c r="AO53" t="s">
        <v>1292</v>
      </c>
      <c r="AP53" t="s">
        <v>1319</v>
      </c>
      <c r="AQ53" t="s">
        <v>1203</v>
      </c>
      <c r="AR53" t="s">
        <v>1201</v>
      </c>
      <c r="AS53" t="s">
        <v>1203</v>
      </c>
      <c r="AU53" t="s">
        <v>1204</v>
      </c>
      <c r="AW53" t="b">
        <v>0</v>
      </c>
      <c r="AY53" t="b">
        <v>0</v>
      </c>
      <c r="BA53" t="s">
        <v>1295</v>
      </c>
      <c r="BB53" t="s">
        <v>1206</v>
      </c>
      <c r="BC53" t="s">
        <v>1206</v>
      </c>
      <c r="BD53" t="s">
        <v>1207</v>
      </c>
      <c r="BE53" t="s">
        <v>1296</v>
      </c>
      <c r="BF53" t="s">
        <v>1297</v>
      </c>
      <c r="BG53" t="s">
        <v>1298</v>
      </c>
      <c r="BH53" t="s">
        <v>1206</v>
      </c>
      <c r="BI53" t="s">
        <v>1206</v>
      </c>
      <c r="BJ53" t="s">
        <v>1299</v>
      </c>
    </row>
    <row r="54" spans="1:62" x14ac:dyDescent="0.25">
      <c r="A54" t="s">
        <v>1177</v>
      </c>
      <c r="B54">
        <v>150347</v>
      </c>
      <c r="C54">
        <v>150347</v>
      </c>
      <c r="D54" s="112" t="s">
        <v>2477</v>
      </c>
      <c r="E54" t="s">
        <v>1119</v>
      </c>
      <c r="F54" t="s">
        <v>1178</v>
      </c>
      <c r="G54" t="s">
        <v>1349</v>
      </c>
      <c r="H54" s="135" t="s">
        <v>1344</v>
      </c>
      <c r="I54">
        <v>12</v>
      </c>
      <c r="J54" t="s">
        <v>1279</v>
      </c>
      <c r="K54">
        <v>12101</v>
      </c>
      <c r="L54" t="s">
        <v>1280</v>
      </c>
      <c r="M54">
        <v>12101265</v>
      </c>
      <c r="N54" t="s">
        <v>1281</v>
      </c>
      <c r="O54">
        <v>12101265813</v>
      </c>
      <c r="P54" t="s">
        <v>1282</v>
      </c>
      <c r="Q54" s="135" t="s">
        <v>1345</v>
      </c>
      <c r="R54" t="s">
        <v>1346</v>
      </c>
      <c r="S54" s="135" t="s">
        <v>1344</v>
      </c>
      <c r="T54" t="s">
        <v>1347</v>
      </c>
      <c r="U54" t="s">
        <v>1187</v>
      </c>
      <c r="V54" t="s">
        <v>1188</v>
      </c>
      <c r="W54">
        <v>335</v>
      </c>
      <c r="X54" t="s">
        <v>1189</v>
      </c>
      <c r="Y54">
        <v>24</v>
      </c>
      <c r="Z54">
        <v>8040</v>
      </c>
      <c r="AA54" t="s">
        <v>28</v>
      </c>
      <c r="AB54" t="s">
        <v>1190</v>
      </c>
      <c r="AC54">
        <v>335</v>
      </c>
      <c r="AD54" t="s">
        <v>1191</v>
      </c>
      <c r="AE54" t="s">
        <v>1192</v>
      </c>
      <c r="AF54" t="s">
        <v>1193</v>
      </c>
      <c r="AG54" t="s">
        <v>1194</v>
      </c>
      <c r="AH54" t="s">
        <v>1195</v>
      </c>
      <c r="AI54" t="s">
        <v>1202</v>
      </c>
      <c r="AJ54" t="s">
        <v>1291</v>
      </c>
      <c r="AK54" t="s">
        <v>1292</v>
      </c>
      <c r="AL54" t="s">
        <v>1291</v>
      </c>
      <c r="AM54" t="s">
        <v>1321</v>
      </c>
      <c r="AN54" t="s">
        <v>1201</v>
      </c>
      <c r="AO54" t="s">
        <v>1292</v>
      </c>
      <c r="AP54" t="s">
        <v>1322</v>
      </c>
      <c r="AQ54" t="s">
        <v>1203</v>
      </c>
      <c r="AR54" t="s">
        <v>1201</v>
      </c>
      <c r="AS54" t="s">
        <v>1203</v>
      </c>
      <c r="AU54" t="s">
        <v>1204</v>
      </c>
      <c r="AW54" t="b">
        <v>0</v>
      </c>
      <c r="AY54" t="b">
        <v>0</v>
      </c>
      <c r="BA54" t="s">
        <v>1295</v>
      </c>
      <c r="BB54" t="s">
        <v>1206</v>
      </c>
      <c r="BC54" t="s">
        <v>1206</v>
      </c>
      <c r="BD54" t="s">
        <v>1207</v>
      </c>
      <c r="BE54" t="s">
        <v>1296</v>
      </c>
      <c r="BF54" t="s">
        <v>1297</v>
      </c>
      <c r="BG54" t="s">
        <v>1298</v>
      </c>
      <c r="BH54" t="s">
        <v>1206</v>
      </c>
      <c r="BI54" t="s">
        <v>1206</v>
      </c>
      <c r="BJ54" t="s">
        <v>1299</v>
      </c>
    </row>
    <row r="55" spans="1:62" x14ac:dyDescent="0.25">
      <c r="A55" t="s">
        <v>1177</v>
      </c>
      <c r="B55">
        <v>150336</v>
      </c>
      <c r="C55">
        <v>150336</v>
      </c>
      <c r="D55" s="112" t="s">
        <v>2478</v>
      </c>
      <c r="E55" t="s">
        <v>1119</v>
      </c>
      <c r="F55" t="s">
        <v>1178</v>
      </c>
      <c r="G55" t="s">
        <v>1350</v>
      </c>
      <c r="H55" s="135" t="s">
        <v>1344</v>
      </c>
      <c r="I55">
        <v>12</v>
      </c>
      <c r="J55" t="s">
        <v>1279</v>
      </c>
      <c r="K55">
        <v>12101</v>
      </c>
      <c r="L55" t="s">
        <v>1280</v>
      </c>
      <c r="M55">
        <v>12101265</v>
      </c>
      <c r="N55" t="s">
        <v>1281</v>
      </c>
      <c r="O55">
        <v>12101265813</v>
      </c>
      <c r="P55" t="s">
        <v>1282</v>
      </c>
      <c r="Q55" s="135" t="s">
        <v>1345</v>
      </c>
      <c r="R55" t="s">
        <v>1346</v>
      </c>
      <c r="S55" s="135" t="s">
        <v>1344</v>
      </c>
      <c r="T55" t="s">
        <v>1347</v>
      </c>
      <c r="U55" t="s">
        <v>1187</v>
      </c>
      <c r="V55" t="s">
        <v>1188</v>
      </c>
      <c r="W55">
        <v>335</v>
      </c>
      <c r="X55" t="s">
        <v>1189</v>
      </c>
      <c r="Y55">
        <v>24</v>
      </c>
      <c r="Z55">
        <v>8040</v>
      </c>
      <c r="AA55" t="s">
        <v>28</v>
      </c>
      <c r="AB55" t="s">
        <v>1190</v>
      </c>
      <c r="AC55">
        <v>335</v>
      </c>
      <c r="AD55" t="s">
        <v>1191</v>
      </c>
      <c r="AE55" t="s">
        <v>1192</v>
      </c>
      <c r="AF55" t="s">
        <v>1193</v>
      </c>
      <c r="AG55" t="s">
        <v>1194</v>
      </c>
      <c r="AH55" t="s">
        <v>1195</v>
      </c>
      <c r="AI55" t="s">
        <v>1202</v>
      </c>
      <c r="AJ55" t="s">
        <v>1291</v>
      </c>
      <c r="AK55" t="s">
        <v>1292</v>
      </c>
      <c r="AL55" t="s">
        <v>1291</v>
      </c>
      <c r="AM55" t="s">
        <v>1324</v>
      </c>
      <c r="AN55" t="s">
        <v>1201</v>
      </c>
      <c r="AO55" t="s">
        <v>1292</v>
      </c>
      <c r="AP55" t="s">
        <v>1325</v>
      </c>
      <c r="AQ55" t="s">
        <v>1203</v>
      </c>
      <c r="AR55" t="s">
        <v>1201</v>
      </c>
      <c r="AS55" t="s">
        <v>1203</v>
      </c>
      <c r="AU55" t="s">
        <v>1204</v>
      </c>
      <c r="AW55" t="b">
        <v>0</v>
      </c>
      <c r="AY55" t="b">
        <v>0</v>
      </c>
      <c r="BA55" t="s">
        <v>1295</v>
      </c>
      <c r="BB55" t="s">
        <v>1206</v>
      </c>
      <c r="BC55" t="s">
        <v>1206</v>
      </c>
      <c r="BD55" t="s">
        <v>1207</v>
      </c>
      <c r="BE55" t="s">
        <v>1296</v>
      </c>
      <c r="BF55" t="s">
        <v>1297</v>
      </c>
      <c r="BG55" t="s">
        <v>1298</v>
      </c>
      <c r="BH55" t="s">
        <v>1206</v>
      </c>
      <c r="BI55" t="s">
        <v>1206</v>
      </c>
      <c r="BJ55" t="s">
        <v>1299</v>
      </c>
    </row>
    <row r="56" spans="1:62" x14ac:dyDescent="0.25">
      <c r="A56" t="s">
        <v>1177</v>
      </c>
      <c r="B56">
        <v>150325</v>
      </c>
      <c r="C56">
        <v>150325</v>
      </c>
      <c r="D56" s="112" t="s">
        <v>2479</v>
      </c>
      <c r="E56" t="s">
        <v>1119</v>
      </c>
      <c r="F56" t="s">
        <v>1178</v>
      </c>
      <c r="G56" t="s">
        <v>1351</v>
      </c>
      <c r="H56" s="135" t="s">
        <v>1352</v>
      </c>
      <c r="I56">
        <v>12</v>
      </c>
      <c r="J56" t="s">
        <v>1279</v>
      </c>
      <c r="K56">
        <v>12101</v>
      </c>
      <c r="L56" t="s">
        <v>1280</v>
      </c>
      <c r="M56">
        <v>12101265</v>
      </c>
      <c r="N56" t="s">
        <v>1281</v>
      </c>
      <c r="O56">
        <v>12101265813</v>
      </c>
      <c r="P56" t="s">
        <v>1282</v>
      </c>
      <c r="Q56" s="135" t="s">
        <v>1353</v>
      </c>
      <c r="R56" t="s">
        <v>1354</v>
      </c>
      <c r="S56" s="135" t="s">
        <v>1352</v>
      </c>
      <c r="T56" t="s">
        <v>1355</v>
      </c>
      <c r="U56" t="s">
        <v>1310</v>
      </c>
      <c r="V56" t="s">
        <v>1311</v>
      </c>
      <c r="W56">
        <v>380</v>
      </c>
      <c r="X56" t="s">
        <v>1342</v>
      </c>
      <c r="Y56">
        <v>12</v>
      </c>
      <c r="Z56">
        <v>4560</v>
      </c>
      <c r="AA56" t="s">
        <v>28</v>
      </c>
      <c r="AB56" t="s">
        <v>1190</v>
      </c>
      <c r="AC56">
        <v>380</v>
      </c>
      <c r="AD56" t="s">
        <v>1191</v>
      </c>
      <c r="AE56" t="s">
        <v>1192</v>
      </c>
      <c r="AF56" t="s">
        <v>1193</v>
      </c>
      <c r="AG56" t="s">
        <v>1194</v>
      </c>
      <c r="AH56" t="s">
        <v>1195</v>
      </c>
      <c r="AI56" t="s">
        <v>1202</v>
      </c>
      <c r="AJ56" t="s">
        <v>1291</v>
      </c>
      <c r="AK56" t="s">
        <v>1292</v>
      </c>
      <c r="AL56" t="s">
        <v>1291</v>
      </c>
      <c r="AM56" t="s">
        <v>1293</v>
      </c>
      <c r="AN56" t="s">
        <v>1201</v>
      </c>
      <c r="AO56" t="s">
        <v>1292</v>
      </c>
      <c r="AP56" t="s">
        <v>1294</v>
      </c>
      <c r="AQ56" t="s">
        <v>1203</v>
      </c>
      <c r="AR56" t="s">
        <v>1201</v>
      </c>
      <c r="AS56" t="s">
        <v>1203</v>
      </c>
      <c r="AU56" t="s">
        <v>1204</v>
      </c>
      <c r="AW56" t="b">
        <v>0</v>
      </c>
      <c r="AY56" t="b">
        <v>0</v>
      </c>
      <c r="BA56" t="s">
        <v>1295</v>
      </c>
      <c r="BB56" t="s">
        <v>1206</v>
      </c>
      <c r="BC56" t="s">
        <v>1206</v>
      </c>
      <c r="BD56" t="s">
        <v>1207</v>
      </c>
      <c r="BE56" t="s">
        <v>1296</v>
      </c>
      <c r="BF56" t="s">
        <v>1297</v>
      </c>
      <c r="BG56" t="s">
        <v>1298</v>
      </c>
      <c r="BH56" t="s">
        <v>1206</v>
      </c>
      <c r="BI56" t="s">
        <v>1206</v>
      </c>
      <c r="BJ56" t="s">
        <v>1299</v>
      </c>
    </row>
    <row r="57" spans="1:62" x14ac:dyDescent="0.25">
      <c r="A57" t="s">
        <v>1177</v>
      </c>
      <c r="B57">
        <v>150308</v>
      </c>
      <c r="C57">
        <v>150308</v>
      </c>
      <c r="D57" s="112" t="s">
        <v>2480</v>
      </c>
      <c r="E57" t="s">
        <v>1119</v>
      </c>
      <c r="F57" t="s">
        <v>1178</v>
      </c>
      <c r="G57" t="s">
        <v>1356</v>
      </c>
      <c r="H57" s="135" t="s">
        <v>1357</v>
      </c>
      <c r="I57">
        <v>12</v>
      </c>
      <c r="J57" t="s">
        <v>1279</v>
      </c>
      <c r="K57">
        <v>12101</v>
      </c>
      <c r="L57" t="s">
        <v>1280</v>
      </c>
      <c r="M57">
        <v>12101265</v>
      </c>
      <c r="N57" t="s">
        <v>1281</v>
      </c>
      <c r="O57">
        <v>12101265813</v>
      </c>
      <c r="P57" t="s">
        <v>1282</v>
      </c>
      <c r="Q57" s="135" t="s">
        <v>1358</v>
      </c>
      <c r="R57" t="s">
        <v>1359</v>
      </c>
      <c r="S57" s="135" t="s">
        <v>1357</v>
      </c>
      <c r="T57" t="s">
        <v>1360</v>
      </c>
      <c r="U57" t="s">
        <v>1310</v>
      </c>
      <c r="V57" t="s">
        <v>1311</v>
      </c>
      <c r="W57">
        <v>65</v>
      </c>
      <c r="X57" t="s">
        <v>1342</v>
      </c>
      <c r="Y57">
        <v>48</v>
      </c>
      <c r="Z57">
        <v>3120</v>
      </c>
      <c r="AA57" t="s">
        <v>28</v>
      </c>
      <c r="AB57" t="s">
        <v>1190</v>
      </c>
      <c r="AC57">
        <v>65</v>
      </c>
      <c r="AD57" t="s">
        <v>1191</v>
      </c>
      <c r="AE57" t="s">
        <v>1192</v>
      </c>
      <c r="AF57" t="s">
        <v>1193</v>
      </c>
      <c r="AG57" t="s">
        <v>1194</v>
      </c>
      <c r="AH57" t="s">
        <v>1195</v>
      </c>
      <c r="AI57" t="s">
        <v>1202</v>
      </c>
      <c r="AJ57" t="s">
        <v>1291</v>
      </c>
      <c r="AK57" t="s">
        <v>1292</v>
      </c>
      <c r="AL57" t="s">
        <v>1291</v>
      </c>
      <c r="AM57" t="s">
        <v>1293</v>
      </c>
      <c r="AN57" t="s">
        <v>1201</v>
      </c>
      <c r="AO57" t="s">
        <v>1292</v>
      </c>
      <c r="AP57" t="s">
        <v>1294</v>
      </c>
      <c r="AQ57" t="s">
        <v>1203</v>
      </c>
      <c r="AR57" t="s">
        <v>1201</v>
      </c>
      <c r="AS57" t="s">
        <v>1203</v>
      </c>
      <c r="AU57" t="s">
        <v>1204</v>
      </c>
      <c r="AW57" t="b">
        <v>0</v>
      </c>
      <c r="AY57" t="b">
        <v>0</v>
      </c>
      <c r="BA57" t="s">
        <v>1295</v>
      </c>
      <c r="BB57" t="s">
        <v>1206</v>
      </c>
      <c r="BC57" t="s">
        <v>1206</v>
      </c>
      <c r="BD57" t="s">
        <v>1207</v>
      </c>
      <c r="BE57" t="s">
        <v>1296</v>
      </c>
      <c r="BF57" t="s">
        <v>1297</v>
      </c>
      <c r="BG57" t="s">
        <v>1298</v>
      </c>
      <c r="BH57" t="s">
        <v>1206</v>
      </c>
      <c r="BI57" t="s">
        <v>1206</v>
      </c>
      <c r="BJ57" t="s">
        <v>1299</v>
      </c>
    </row>
    <row r="58" spans="1:62" x14ac:dyDescent="0.25">
      <c r="A58" t="s">
        <v>1177</v>
      </c>
      <c r="B58">
        <v>150346</v>
      </c>
      <c r="C58">
        <v>150346</v>
      </c>
      <c r="D58" s="112" t="s">
        <v>2481</v>
      </c>
      <c r="E58" t="s">
        <v>1119</v>
      </c>
      <c r="F58" t="s">
        <v>1178</v>
      </c>
      <c r="G58" t="s">
        <v>1361</v>
      </c>
      <c r="H58" s="135" t="s">
        <v>1352</v>
      </c>
      <c r="I58">
        <v>12</v>
      </c>
      <c r="J58" t="s">
        <v>1279</v>
      </c>
      <c r="K58">
        <v>12101</v>
      </c>
      <c r="L58" t="s">
        <v>1280</v>
      </c>
      <c r="M58">
        <v>12101265</v>
      </c>
      <c r="N58" t="s">
        <v>1281</v>
      </c>
      <c r="O58">
        <v>12101265813</v>
      </c>
      <c r="P58" t="s">
        <v>1282</v>
      </c>
      <c r="Q58" s="135" t="s">
        <v>1353</v>
      </c>
      <c r="R58" t="s">
        <v>1354</v>
      </c>
      <c r="S58" s="135" t="s">
        <v>1352</v>
      </c>
      <c r="T58" t="s">
        <v>1355</v>
      </c>
      <c r="U58" t="s">
        <v>1310</v>
      </c>
      <c r="V58" t="s">
        <v>1311</v>
      </c>
      <c r="W58">
        <v>380</v>
      </c>
      <c r="X58" t="s">
        <v>1342</v>
      </c>
      <c r="Y58">
        <v>12</v>
      </c>
      <c r="Z58">
        <v>4560</v>
      </c>
      <c r="AA58" t="s">
        <v>28</v>
      </c>
      <c r="AB58" t="s">
        <v>1190</v>
      </c>
      <c r="AC58">
        <v>380</v>
      </c>
      <c r="AD58" t="s">
        <v>1191</v>
      </c>
      <c r="AE58" t="s">
        <v>1192</v>
      </c>
      <c r="AF58" t="s">
        <v>1193</v>
      </c>
      <c r="AG58" t="s">
        <v>1194</v>
      </c>
      <c r="AH58" t="s">
        <v>1195</v>
      </c>
      <c r="AI58" t="s">
        <v>1202</v>
      </c>
      <c r="AJ58" t="s">
        <v>1291</v>
      </c>
      <c r="AK58" t="s">
        <v>1292</v>
      </c>
      <c r="AL58" t="s">
        <v>1291</v>
      </c>
      <c r="AM58" t="s">
        <v>1318</v>
      </c>
      <c r="AN58" t="s">
        <v>1201</v>
      </c>
      <c r="AO58" t="s">
        <v>1292</v>
      </c>
      <c r="AP58" t="s">
        <v>1319</v>
      </c>
      <c r="AQ58" t="s">
        <v>1203</v>
      </c>
      <c r="AR58" t="s">
        <v>1201</v>
      </c>
      <c r="AS58" t="s">
        <v>1203</v>
      </c>
      <c r="AU58" t="s">
        <v>1204</v>
      </c>
      <c r="AW58" t="b">
        <v>0</v>
      </c>
      <c r="AY58" t="b">
        <v>0</v>
      </c>
      <c r="BA58" t="s">
        <v>1295</v>
      </c>
      <c r="BB58" t="s">
        <v>1206</v>
      </c>
      <c r="BC58" t="s">
        <v>1206</v>
      </c>
      <c r="BD58" t="s">
        <v>1207</v>
      </c>
      <c r="BE58" t="s">
        <v>1296</v>
      </c>
      <c r="BF58" t="s">
        <v>1297</v>
      </c>
      <c r="BG58" t="s">
        <v>1298</v>
      </c>
      <c r="BH58" t="s">
        <v>1206</v>
      </c>
      <c r="BI58" t="s">
        <v>1206</v>
      </c>
      <c r="BJ58" t="s">
        <v>1299</v>
      </c>
    </row>
    <row r="59" spans="1:62" x14ac:dyDescent="0.25">
      <c r="A59" t="s">
        <v>1177</v>
      </c>
      <c r="B59">
        <v>150309</v>
      </c>
      <c r="C59">
        <v>150309</v>
      </c>
      <c r="D59" s="112" t="s">
        <v>2482</v>
      </c>
      <c r="E59" t="s">
        <v>1119</v>
      </c>
      <c r="F59" t="s">
        <v>1178</v>
      </c>
      <c r="G59" t="s">
        <v>1362</v>
      </c>
      <c r="H59" s="135" t="s">
        <v>1357</v>
      </c>
      <c r="I59">
        <v>12</v>
      </c>
      <c r="J59" t="s">
        <v>1279</v>
      </c>
      <c r="K59">
        <v>12101</v>
      </c>
      <c r="L59" t="s">
        <v>1280</v>
      </c>
      <c r="M59">
        <v>12101265</v>
      </c>
      <c r="N59" t="s">
        <v>1281</v>
      </c>
      <c r="O59">
        <v>12101265813</v>
      </c>
      <c r="P59" t="s">
        <v>1282</v>
      </c>
      <c r="Q59" s="135" t="s">
        <v>1358</v>
      </c>
      <c r="R59" t="s">
        <v>1359</v>
      </c>
      <c r="S59" s="135" t="s">
        <v>1357</v>
      </c>
      <c r="T59" t="s">
        <v>1360</v>
      </c>
      <c r="U59" t="s">
        <v>1310</v>
      </c>
      <c r="V59" t="s">
        <v>1311</v>
      </c>
      <c r="W59">
        <v>65</v>
      </c>
      <c r="X59" t="s">
        <v>1342</v>
      </c>
      <c r="Y59">
        <v>48</v>
      </c>
      <c r="Z59">
        <v>3120</v>
      </c>
      <c r="AA59" t="s">
        <v>28</v>
      </c>
      <c r="AB59" t="s">
        <v>1190</v>
      </c>
      <c r="AC59">
        <v>65</v>
      </c>
      <c r="AD59" t="s">
        <v>1191</v>
      </c>
      <c r="AE59" t="s">
        <v>1192</v>
      </c>
      <c r="AF59" t="s">
        <v>1193</v>
      </c>
      <c r="AG59" t="s">
        <v>1194</v>
      </c>
      <c r="AH59" t="s">
        <v>1195</v>
      </c>
      <c r="AI59" t="s">
        <v>1202</v>
      </c>
      <c r="AJ59" t="s">
        <v>1291</v>
      </c>
      <c r="AK59" t="s">
        <v>1292</v>
      </c>
      <c r="AL59" t="s">
        <v>1291</v>
      </c>
      <c r="AM59" t="s">
        <v>1318</v>
      </c>
      <c r="AN59" t="s">
        <v>1201</v>
      </c>
      <c r="AO59" t="s">
        <v>1292</v>
      </c>
      <c r="AP59" t="s">
        <v>1319</v>
      </c>
      <c r="AQ59" t="s">
        <v>1203</v>
      </c>
      <c r="AR59" t="s">
        <v>1201</v>
      </c>
      <c r="AS59" t="s">
        <v>1203</v>
      </c>
      <c r="AU59" t="s">
        <v>1204</v>
      </c>
      <c r="AW59" t="b">
        <v>0</v>
      </c>
      <c r="AY59" t="b">
        <v>0</v>
      </c>
      <c r="BA59" t="s">
        <v>1295</v>
      </c>
      <c r="BB59" t="s">
        <v>1206</v>
      </c>
      <c r="BC59" t="s">
        <v>1206</v>
      </c>
      <c r="BD59" t="s">
        <v>1207</v>
      </c>
      <c r="BE59" t="s">
        <v>1296</v>
      </c>
      <c r="BF59" t="s">
        <v>1297</v>
      </c>
      <c r="BG59" t="s">
        <v>1298</v>
      </c>
      <c r="BH59" t="s">
        <v>1206</v>
      </c>
      <c r="BI59" t="s">
        <v>1206</v>
      </c>
      <c r="BJ59" t="s">
        <v>1299</v>
      </c>
    </row>
    <row r="60" spans="1:62" x14ac:dyDescent="0.25">
      <c r="A60" t="s">
        <v>1177</v>
      </c>
      <c r="B60">
        <v>150339</v>
      </c>
      <c r="C60">
        <v>150339</v>
      </c>
      <c r="D60" s="112" t="s">
        <v>2483</v>
      </c>
      <c r="E60" t="s">
        <v>1119</v>
      </c>
      <c r="F60" t="s">
        <v>1178</v>
      </c>
      <c r="G60" t="s">
        <v>1363</v>
      </c>
      <c r="H60" s="135" t="s">
        <v>1364</v>
      </c>
      <c r="I60">
        <v>12</v>
      </c>
      <c r="J60" t="s">
        <v>1279</v>
      </c>
      <c r="K60">
        <v>12101</v>
      </c>
      <c r="L60" t="s">
        <v>1280</v>
      </c>
      <c r="M60">
        <v>12101265</v>
      </c>
      <c r="N60" t="s">
        <v>1281</v>
      </c>
      <c r="O60">
        <v>12101265813</v>
      </c>
      <c r="P60" t="s">
        <v>1282</v>
      </c>
      <c r="Q60" s="135" t="s">
        <v>1365</v>
      </c>
      <c r="R60" t="s">
        <v>1366</v>
      </c>
      <c r="S60" s="135" t="s">
        <v>1364</v>
      </c>
      <c r="T60" t="s">
        <v>1367</v>
      </c>
      <c r="U60" t="s">
        <v>1230</v>
      </c>
      <c r="V60" t="s">
        <v>1231</v>
      </c>
      <c r="W60">
        <v>8</v>
      </c>
      <c r="X60" t="s">
        <v>1342</v>
      </c>
      <c r="Y60">
        <v>21</v>
      </c>
      <c r="Z60">
        <v>168</v>
      </c>
      <c r="AA60" t="s">
        <v>28</v>
      </c>
      <c r="AB60" t="s">
        <v>1190</v>
      </c>
      <c r="AC60">
        <v>8</v>
      </c>
      <c r="AD60" t="s">
        <v>1232</v>
      </c>
      <c r="AE60" t="s">
        <v>1192</v>
      </c>
      <c r="AF60" t="s">
        <v>1193</v>
      </c>
      <c r="AG60" t="s">
        <v>1194</v>
      </c>
      <c r="AH60" t="s">
        <v>1195</v>
      </c>
      <c r="AI60" t="s">
        <v>1202</v>
      </c>
      <c r="AJ60" t="s">
        <v>1291</v>
      </c>
      <c r="AK60" t="s">
        <v>1292</v>
      </c>
      <c r="AL60" t="s">
        <v>1291</v>
      </c>
      <c r="AM60" t="s">
        <v>1318</v>
      </c>
      <c r="AN60" t="s">
        <v>1201</v>
      </c>
      <c r="AO60" t="s">
        <v>1292</v>
      </c>
      <c r="AP60" t="s">
        <v>1319</v>
      </c>
      <c r="AQ60" t="s">
        <v>1203</v>
      </c>
      <c r="AR60" t="s">
        <v>1201</v>
      </c>
      <c r="AS60" t="s">
        <v>1203</v>
      </c>
      <c r="AU60" t="s">
        <v>1204</v>
      </c>
      <c r="AW60" t="b">
        <v>0</v>
      </c>
      <c r="AY60" t="b">
        <v>1</v>
      </c>
      <c r="BA60" t="s">
        <v>1295</v>
      </c>
      <c r="BB60" t="s">
        <v>1206</v>
      </c>
      <c r="BC60" t="s">
        <v>1206</v>
      </c>
      <c r="BD60" t="s">
        <v>1207</v>
      </c>
      <c r="BE60" t="s">
        <v>1296</v>
      </c>
      <c r="BF60" t="s">
        <v>1297</v>
      </c>
      <c r="BG60" t="s">
        <v>1298</v>
      </c>
      <c r="BH60" t="s">
        <v>1206</v>
      </c>
      <c r="BI60" t="s">
        <v>1206</v>
      </c>
      <c r="BJ60" t="s">
        <v>1299</v>
      </c>
    </row>
    <row r="61" spans="1:62" x14ac:dyDescent="0.25">
      <c r="A61" t="s">
        <v>1177</v>
      </c>
      <c r="B61">
        <v>150326</v>
      </c>
      <c r="C61">
        <v>150326</v>
      </c>
      <c r="D61" s="112" t="s">
        <v>2484</v>
      </c>
      <c r="E61" t="s">
        <v>1119</v>
      </c>
      <c r="F61" t="s">
        <v>1178</v>
      </c>
      <c r="G61" t="s">
        <v>1368</v>
      </c>
      <c r="H61" s="135" t="s">
        <v>1364</v>
      </c>
      <c r="I61">
        <v>12</v>
      </c>
      <c r="J61" t="s">
        <v>1279</v>
      </c>
      <c r="K61">
        <v>12101</v>
      </c>
      <c r="L61" t="s">
        <v>1280</v>
      </c>
      <c r="M61">
        <v>12101265</v>
      </c>
      <c r="N61" t="s">
        <v>1281</v>
      </c>
      <c r="O61">
        <v>12101265813</v>
      </c>
      <c r="P61" t="s">
        <v>1282</v>
      </c>
      <c r="Q61" s="135" t="s">
        <v>1365</v>
      </c>
      <c r="R61" t="s">
        <v>1366</v>
      </c>
      <c r="S61" s="135" t="s">
        <v>1364</v>
      </c>
      <c r="T61" t="s">
        <v>1367</v>
      </c>
      <c r="U61" t="s">
        <v>1230</v>
      </c>
      <c r="V61" t="s">
        <v>1231</v>
      </c>
      <c r="W61">
        <v>8</v>
      </c>
      <c r="X61" t="s">
        <v>1342</v>
      </c>
      <c r="Y61">
        <v>21</v>
      </c>
      <c r="Z61">
        <v>168</v>
      </c>
      <c r="AA61" t="s">
        <v>28</v>
      </c>
      <c r="AB61" t="s">
        <v>1190</v>
      </c>
      <c r="AC61">
        <v>8</v>
      </c>
      <c r="AD61" t="s">
        <v>1232</v>
      </c>
      <c r="AE61" t="s">
        <v>1192</v>
      </c>
      <c r="AF61" t="s">
        <v>1193</v>
      </c>
      <c r="AG61" t="s">
        <v>1194</v>
      </c>
      <c r="AH61" t="s">
        <v>1195</v>
      </c>
      <c r="AI61" t="s">
        <v>1202</v>
      </c>
      <c r="AJ61" t="s">
        <v>1291</v>
      </c>
      <c r="AK61" t="s">
        <v>1292</v>
      </c>
      <c r="AL61" t="s">
        <v>1291</v>
      </c>
      <c r="AM61" t="s">
        <v>1293</v>
      </c>
      <c r="AN61" t="s">
        <v>1201</v>
      </c>
      <c r="AO61" t="s">
        <v>1292</v>
      </c>
      <c r="AP61" t="s">
        <v>1294</v>
      </c>
      <c r="AQ61" t="s">
        <v>1203</v>
      </c>
      <c r="AR61" t="s">
        <v>1201</v>
      </c>
      <c r="AS61" t="s">
        <v>1203</v>
      </c>
      <c r="AU61" t="s">
        <v>1204</v>
      </c>
      <c r="AW61" t="b">
        <v>0</v>
      </c>
      <c r="AY61" t="b">
        <v>0</v>
      </c>
      <c r="BA61" t="s">
        <v>1295</v>
      </c>
      <c r="BB61" t="s">
        <v>1206</v>
      </c>
      <c r="BC61" t="s">
        <v>1206</v>
      </c>
      <c r="BD61" t="s">
        <v>1207</v>
      </c>
      <c r="BE61" t="s">
        <v>1296</v>
      </c>
      <c r="BF61" t="s">
        <v>1297</v>
      </c>
      <c r="BG61" t="s">
        <v>1298</v>
      </c>
      <c r="BH61" t="s">
        <v>1206</v>
      </c>
      <c r="BI61" t="s">
        <v>1206</v>
      </c>
      <c r="BJ61" t="s">
        <v>1299</v>
      </c>
    </row>
    <row r="62" spans="1:62" x14ac:dyDescent="0.25">
      <c r="A62" t="s">
        <v>1177</v>
      </c>
      <c r="B62">
        <v>150340</v>
      </c>
      <c r="C62">
        <v>150340</v>
      </c>
      <c r="D62" s="112" t="s">
        <v>2485</v>
      </c>
      <c r="E62" t="s">
        <v>1119</v>
      </c>
      <c r="F62" t="s">
        <v>1178</v>
      </c>
      <c r="G62" t="s">
        <v>1369</v>
      </c>
      <c r="H62" s="135" t="s">
        <v>1370</v>
      </c>
      <c r="I62">
        <v>12</v>
      </c>
      <c r="J62" t="s">
        <v>1279</v>
      </c>
      <c r="K62">
        <v>12101</v>
      </c>
      <c r="L62" t="s">
        <v>1280</v>
      </c>
      <c r="M62">
        <v>12101265</v>
      </c>
      <c r="N62" t="s">
        <v>1281</v>
      </c>
      <c r="O62">
        <v>12101265813</v>
      </c>
      <c r="P62" t="s">
        <v>1282</v>
      </c>
      <c r="Q62" s="135" t="s">
        <v>1371</v>
      </c>
      <c r="R62" t="s">
        <v>1372</v>
      </c>
      <c r="S62" s="135" t="s">
        <v>1370</v>
      </c>
      <c r="T62" t="s">
        <v>1373</v>
      </c>
      <c r="U62" t="s">
        <v>1230</v>
      </c>
      <c r="V62" t="s">
        <v>1231</v>
      </c>
      <c r="W62">
        <v>15</v>
      </c>
      <c r="X62" t="s">
        <v>1342</v>
      </c>
      <c r="Y62">
        <v>30</v>
      </c>
      <c r="Z62">
        <v>450</v>
      </c>
      <c r="AA62" t="s">
        <v>28</v>
      </c>
      <c r="AB62" t="s">
        <v>1190</v>
      </c>
      <c r="AC62">
        <v>15</v>
      </c>
      <c r="AD62" t="s">
        <v>1232</v>
      </c>
      <c r="AE62" t="s">
        <v>1192</v>
      </c>
      <c r="AF62" t="s">
        <v>1193</v>
      </c>
      <c r="AG62" t="s">
        <v>1194</v>
      </c>
      <c r="AH62" t="s">
        <v>1195</v>
      </c>
      <c r="AI62" t="s">
        <v>1202</v>
      </c>
      <c r="AJ62" t="s">
        <v>1291</v>
      </c>
      <c r="AK62" t="s">
        <v>1292</v>
      </c>
      <c r="AL62" t="s">
        <v>1291</v>
      </c>
      <c r="AM62" t="s">
        <v>1318</v>
      </c>
      <c r="AN62" t="s">
        <v>1201</v>
      </c>
      <c r="AO62" t="s">
        <v>1292</v>
      </c>
      <c r="AP62" t="s">
        <v>1319</v>
      </c>
      <c r="AQ62" t="s">
        <v>1203</v>
      </c>
      <c r="AR62" t="s">
        <v>1201</v>
      </c>
      <c r="AS62" t="s">
        <v>1203</v>
      </c>
      <c r="AU62" t="s">
        <v>1204</v>
      </c>
      <c r="AW62" t="b">
        <v>0</v>
      </c>
      <c r="AY62" t="b">
        <v>1</v>
      </c>
      <c r="BA62" t="s">
        <v>1295</v>
      </c>
      <c r="BB62" t="s">
        <v>1206</v>
      </c>
      <c r="BC62" t="s">
        <v>1206</v>
      </c>
      <c r="BD62" t="s">
        <v>1207</v>
      </c>
      <c r="BE62" t="s">
        <v>1296</v>
      </c>
      <c r="BF62" t="s">
        <v>1297</v>
      </c>
      <c r="BG62" t="s">
        <v>1298</v>
      </c>
      <c r="BH62" t="s">
        <v>1206</v>
      </c>
      <c r="BI62" t="s">
        <v>1206</v>
      </c>
      <c r="BJ62" t="s">
        <v>1299</v>
      </c>
    </row>
    <row r="63" spans="1:62" x14ac:dyDescent="0.25">
      <c r="A63" t="s">
        <v>1177</v>
      </c>
      <c r="B63">
        <v>150328</v>
      </c>
      <c r="C63">
        <v>150328</v>
      </c>
      <c r="D63" s="112" t="s">
        <v>2486</v>
      </c>
      <c r="E63" t="s">
        <v>1119</v>
      </c>
      <c r="F63" t="s">
        <v>1178</v>
      </c>
      <c r="G63" t="s">
        <v>1374</v>
      </c>
      <c r="H63" s="135" t="s">
        <v>1370</v>
      </c>
      <c r="I63">
        <v>12</v>
      </c>
      <c r="J63" t="s">
        <v>1279</v>
      </c>
      <c r="K63">
        <v>12101</v>
      </c>
      <c r="L63" t="s">
        <v>1280</v>
      </c>
      <c r="M63">
        <v>12101265</v>
      </c>
      <c r="N63" t="s">
        <v>1281</v>
      </c>
      <c r="O63">
        <v>12101265813</v>
      </c>
      <c r="P63" t="s">
        <v>1282</v>
      </c>
      <c r="Q63" s="135" t="s">
        <v>1371</v>
      </c>
      <c r="R63" t="s">
        <v>1372</v>
      </c>
      <c r="S63" s="135" t="s">
        <v>1370</v>
      </c>
      <c r="T63" t="s">
        <v>1373</v>
      </c>
      <c r="U63" t="s">
        <v>1230</v>
      </c>
      <c r="V63" t="s">
        <v>1231</v>
      </c>
      <c r="W63">
        <v>15</v>
      </c>
      <c r="X63" t="s">
        <v>1342</v>
      </c>
      <c r="Y63">
        <v>30</v>
      </c>
      <c r="Z63">
        <v>450</v>
      </c>
      <c r="AA63" t="s">
        <v>28</v>
      </c>
      <c r="AB63" t="s">
        <v>1190</v>
      </c>
      <c r="AC63">
        <v>15</v>
      </c>
      <c r="AD63" t="s">
        <v>1232</v>
      </c>
      <c r="AE63" t="s">
        <v>1192</v>
      </c>
      <c r="AF63" t="s">
        <v>1193</v>
      </c>
      <c r="AG63" t="s">
        <v>1194</v>
      </c>
      <c r="AH63" t="s">
        <v>1195</v>
      </c>
      <c r="AI63" t="s">
        <v>1202</v>
      </c>
      <c r="AJ63" t="s">
        <v>1291</v>
      </c>
      <c r="AK63" t="s">
        <v>1292</v>
      </c>
      <c r="AL63" t="s">
        <v>1291</v>
      </c>
      <c r="AM63" t="s">
        <v>1293</v>
      </c>
      <c r="AN63" t="s">
        <v>1201</v>
      </c>
      <c r="AO63" t="s">
        <v>1292</v>
      </c>
      <c r="AP63" t="s">
        <v>1294</v>
      </c>
      <c r="AQ63" t="s">
        <v>1203</v>
      </c>
      <c r="AR63" t="s">
        <v>1201</v>
      </c>
      <c r="AS63" t="s">
        <v>1203</v>
      </c>
      <c r="AU63" t="s">
        <v>1204</v>
      </c>
      <c r="AW63" t="b">
        <v>0</v>
      </c>
      <c r="AY63" t="b">
        <v>1</v>
      </c>
      <c r="BA63" t="s">
        <v>1295</v>
      </c>
      <c r="BB63" t="s">
        <v>1206</v>
      </c>
      <c r="BC63" t="s">
        <v>1206</v>
      </c>
      <c r="BD63" t="s">
        <v>1207</v>
      </c>
      <c r="BE63" t="s">
        <v>1296</v>
      </c>
      <c r="BF63" t="s">
        <v>1297</v>
      </c>
      <c r="BG63" t="s">
        <v>1298</v>
      </c>
      <c r="BH63" t="s">
        <v>1206</v>
      </c>
      <c r="BI63" t="s">
        <v>1206</v>
      </c>
      <c r="BJ63" t="s">
        <v>1299</v>
      </c>
    </row>
    <row r="64" spans="1:62" x14ac:dyDescent="0.25">
      <c r="A64" t="s">
        <v>1177</v>
      </c>
      <c r="B64">
        <v>150338</v>
      </c>
      <c r="C64">
        <v>150338</v>
      </c>
      <c r="D64" s="112" t="s">
        <v>2487</v>
      </c>
      <c r="E64" t="s">
        <v>1119</v>
      </c>
      <c r="F64" t="s">
        <v>1178</v>
      </c>
      <c r="G64" t="s">
        <v>1375</v>
      </c>
      <c r="H64" s="135" t="s">
        <v>1376</v>
      </c>
      <c r="I64">
        <v>12</v>
      </c>
      <c r="J64" t="s">
        <v>1279</v>
      </c>
      <c r="K64">
        <v>12101</v>
      </c>
      <c r="L64" t="s">
        <v>1280</v>
      </c>
      <c r="M64">
        <v>12101265</v>
      </c>
      <c r="N64" t="s">
        <v>1281</v>
      </c>
      <c r="O64">
        <v>12101265813</v>
      </c>
      <c r="P64" t="s">
        <v>1282</v>
      </c>
      <c r="Q64" s="135" t="s">
        <v>1365</v>
      </c>
      <c r="R64" t="s">
        <v>1366</v>
      </c>
      <c r="S64" s="135" t="s">
        <v>1376</v>
      </c>
      <c r="T64" t="s">
        <v>1377</v>
      </c>
      <c r="U64" t="s">
        <v>1230</v>
      </c>
      <c r="V64" t="s">
        <v>1231</v>
      </c>
      <c r="W64">
        <v>8</v>
      </c>
      <c r="X64" t="s">
        <v>1342</v>
      </c>
      <c r="Y64">
        <v>14</v>
      </c>
      <c r="Z64">
        <v>112</v>
      </c>
      <c r="AA64" t="s">
        <v>28</v>
      </c>
      <c r="AB64" t="s">
        <v>1190</v>
      </c>
      <c r="AC64">
        <v>8</v>
      </c>
      <c r="AD64" t="s">
        <v>1232</v>
      </c>
      <c r="AE64" t="s">
        <v>1192</v>
      </c>
      <c r="AF64" t="s">
        <v>1193</v>
      </c>
      <c r="AG64" t="s">
        <v>1194</v>
      </c>
      <c r="AH64" t="s">
        <v>1195</v>
      </c>
      <c r="AI64" t="s">
        <v>1202</v>
      </c>
      <c r="AJ64" t="s">
        <v>1291</v>
      </c>
      <c r="AK64" t="s">
        <v>1292</v>
      </c>
      <c r="AL64" t="s">
        <v>1291</v>
      </c>
      <c r="AM64" t="s">
        <v>1318</v>
      </c>
      <c r="AN64" t="s">
        <v>1201</v>
      </c>
      <c r="AO64" t="s">
        <v>1292</v>
      </c>
      <c r="AP64" t="s">
        <v>1319</v>
      </c>
      <c r="AQ64" t="s">
        <v>1203</v>
      </c>
      <c r="AR64" t="s">
        <v>1201</v>
      </c>
      <c r="AS64" t="s">
        <v>1203</v>
      </c>
      <c r="AU64" t="s">
        <v>1204</v>
      </c>
      <c r="AW64" t="b">
        <v>0</v>
      </c>
      <c r="AY64" t="b">
        <v>1</v>
      </c>
      <c r="BA64" t="s">
        <v>1295</v>
      </c>
      <c r="BB64" t="s">
        <v>1206</v>
      </c>
      <c r="BC64" t="s">
        <v>1206</v>
      </c>
      <c r="BD64" t="s">
        <v>1207</v>
      </c>
      <c r="BE64" t="s">
        <v>1296</v>
      </c>
      <c r="BF64" t="s">
        <v>1297</v>
      </c>
      <c r="BG64" t="s">
        <v>1298</v>
      </c>
      <c r="BH64" t="s">
        <v>1206</v>
      </c>
      <c r="BI64" t="s">
        <v>1206</v>
      </c>
      <c r="BJ64" t="s">
        <v>1299</v>
      </c>
    </row>
    <row r="65" spans="1:62" x14ac:dyDescent="0.25">
      <c r="A65" t="s">
        <v>1177</v>
      </c>
      <c r="B65">
        <v>150327</v>
      </c>
      <c r="C65">
        <v>150327</v>
      </c>
      <c r="D65" s="112" t="s">
        <v>2488</v>
      </c>
      <c r="E65" t="s">
        <v>1119</v>
      </c>
      <c r="F65" t="s">
        <v>1178</v>
      </c>
      <c r="G65" t="s">
        <v>1378</v>
      </c>
      <c r="H65" s="135" t="s">
        <v>1376</v>
      </c>
      <c r="I65">
        <v>12</v>
      </c>
      <c r="J65" t="s">
        <v>1279</v>
      </c>
      <c r="K65">
        <v>12101</v>
      </c>
      <c r="L65" t="s">
        <v>1280</v>
      </c>
      <c r="M65">
        <v>12101265</v>
      </c>
      <c r="N65" t="s">
        <v>1281</v>
      </c>
      <c r="O65">
        <v>12101265813</v>
      </c>
      <c r="P65" t="s">
        <v>1282</v>
      </c>
      <c r="Q65" s="135" t="s">
        <v>1365</v>
      </c>
      <c r="R65" t="s">
        <v>1366</v>
      </c>
      <c r="S65" s="135" t="s">
        <v>1376</v>
      </c>
      <c r="T65" t="s">
        <v>1377</v>
      </c>
      <c r="U65" t="s">
        <v>1230</v>
      </c>
      <c r="V65" t="s">
        <v>1231</v>
      </c>
      <c r="W65">
        <v>8</v>
      </c>
      <c r="X65" t="s">
        <v>1342</v>
      </c>
      <c r="Y65">
        <v>14</v>
      </c>
      <c r="Z65">
        <v>112</v>
      </c>
      <c r="AA65" t="s">
        <v>28</v>
      </c>
      <c r="AB65" t="s">
        <v>1190</v>
      </c>
      <c r="AC65">
        <v>8</v>
      </c>
      <c r="AD65" t="s">
        <v>1232</v>
      </c>
      <c r="AE65" t="s">
        <v>1192</v>
      </c>
      <c r="AF65" t="s">
        <v>1193</v>
      </c>
      <c r="AG65" t="s">
        <v>1194</v>
      </c>
      <c r="AH65" t="s">
        <v>1195</v>
      </c>
      <c r="AI65" t="s">
        <v>1202</v>
      </c>
      <c r="AJ65" t="s">
        <v>1291</v>
      </c>
      <c r="AK65" t="s">
        <v>1292</v>
      </c>
      <c r="AL65" t="s">
        <v>1291</v>
      </c>
      <c r="AM65" t="s">
        <v>1293</v>
      </c>
      <c r="AN65" t="s">
        <v>1201</v>
      </c>
      <c r="AO65" t="s">
        <v>1292</v>
      </c>
      <c r="AP65" t="s">
        <v>1294</v>
      </c>
      <c r="AQ65" t="s">
        <v>1203</v>
      </c>
      <c r="AR65" t="s">
        <v>1201</v>
      </c>
      <c r="AS65" t="s">
        <v>1203</v>
      </c>
      <c r="AU65" t="s">
        <v>1204</v>
      </c>
      <c r="AW65" t="b">
        <v>0</v>
      </c>
      <c r="AY65" t="b">
        <v>1</v>
      </c>
      <c r="BA65" t="s">
        <v>1295</v>
      </c>
      <c r="BB65" t="s">
        <v>1206</v>
      </c>
      <c r="BC65" t="s">
        <v>1206</v>
      </c>
      <c r="BD65" t="s">
        <v>1207</v>
      </c>
      <c r="BE65" t="s">
        <v>1296</v>
      </c>
      <c r="BF65" t="s">
        <v>1297</v>
      </c>
      <c r="BG65" t="s">
        <v>1298</v>
      </c>
      <c r="BH65" t="s">
        <v>1206</v>
      </c>
      <c r="BI65" t="s">
        <v>1206</v>
      </c>
      <c r="BJ65" t="s">
        <v>1299</v>
      </c>
    </row>
    <row r="66" spans="1:62" x14ac:dyDescent="0.25">
      <c r="A66" t="s">
        <v>1177</v>
      </c>
      <c r="B66">
        <v>150988</v>
      </c>
      <c r="C66">
        <v>150988</v>
      </c>
      <c r="D66" s="112" t="s">
        <v>2489</v>
      </c>
      <c r="E66" t="s">
        <v>1119</v>
      </c>
      <c r="F66" t="s">
        <v>1178</v>
      </c>
      <c r="G66" t="s">
        <v>1378</v>
      </c>
      <c r="H66" s="135" t="s">
        <v>1376</v>
      </c>
      <c r="I66">
        <v>12</v>
      </c>
      <c r="J66" t="s">
        <v>1279</v>
      </c>
      <c r="K66">
        <v>12101</v>
      </c>
      <c r="L66" t="s">
        <v>1280</v>
      </c>
      <c r="M66">
        <v>12101265</v>
      </c>
      <c r="N66" t="s">
        <v>1281</v>
      </c>
      <c r="O66">
        <v>12101265813</v>
      </c>
      <c r="P66" t="s">
        <v>1282</v>
      </c>
      <c r="Q66" s="135" t="s">
        <v>1365</v>
      </c>
      <c r="R66" t="s">
        <v>1366</v>
      </c>
      <c r="S66" s="135" t="s">
        <v>1376</v>
      </c>
      <c r="T66" t="s">
        <v>1377</v>
      </c>
      <c r="U66" t="s">
        <v>1230</v>
      </c>
      <c r="V66" t="s">
        <v>1231</v>
      </c>
      <c r="W66">
        <v>8</v>
      </c>
      <c r="X66" t="s">
        <v>1342</v>
      </c>
      <c r="Y66">
        <v>14</v>
      </c>
      <c r="Z66">
        <v>112</v>
      </c>
      <c r="AA66" t="s">
        <v>28</v>
      </c>
      <c r="AB66" t="s">
        <v>1190</v>
      </c>
      <c r="AC66">
        <v>8</v>
      </c>
      <c r="AD66" t="s">
        <v>1232</v>
      </c>
      <c r="AE66" t="s">
        <v>1192</v>
      </c>
      <c r="AF66" t="s">
        <v>1193</v>
      </c>
      <c r="AG66" t="s">
        <v>1194</v>
      </c>
      <c r="AH66" t="s">
        <v>1195</v>
      </c>
      <c r="AI66" t="s">
        <v>1202</v>
      </c>
      <c r="AJ66" t="s">
        <v>1291</v>
      </c>
      <c r="AK66" t="s">
        <v>1292</v>
      </c>
      <c r="AL66" t="s">
        <v>1291</v>
      </c>
      <c r="AM66" t="s">
        <v>1293</v>
      </c>
      <c r="AN66" t="s">
        <v>1201</v>
      </c>
      <c r="AO66" t="s">
        <v>1292</v>
      </c>
      <c r="AP66" t="s">
        <v>1294</v>
      </c>
      <c r="AQ66" t="s">
        <v>1203</v>
      </c>
      <c r="AR66" t="s">
        <v>1201</v>
      </c>
      <c r="AS66" t="s">
        <v>1203</v>
      </c>
      <c r="AU66" t="s">
        <v>1204</v>
      </c>
      <c r="AW66" t="b">
        <v>0</v>
      </c>
      <c r="AY66" t="b">
        <v>1</v>
      </c>
      <c r="BA66" t="s">
        <v>1295</v>
      </c>
      <c r="BB66" t="s">
        <v>1206</v>
      </c>
      <c r="BC66" t="s">
        <v>1206</v>
      </c>
      <c r="BD66" t="s">
        <v>1207</v>
      </c>
      <c r="BE66" t="s">
        <v>1296</v>
      </c>
      <c r="BF66" t="s">
        <v>1297</v>
      </c>
      <c r="BG66" t="s">
        <v>1298</v>
      </c>
      <c r="BH66" t="s">
        <v>1206</v>
      </c>
      <c r="BI66" t="s">
        <v>1206</v>
      </c>
      <c r="BJ66" t="s">
        <v>1299</v>
      </c>
    </row>
    <row r="67" spans="1:62" x14ac:dyDescent="0.25">
      <c r="A67" t="s">
        <v>1177</v>
      </c>
      <c r="B67">
        <v>150357</v>
      </c>
      <c r="C67">
        <v>150357</v>
      </c>
      <c r="D67" s="112" t="s">
        <v>2490</v>
      </c>
      <c r="E67" t="s">
        <v>1119</v>
      </c>
      <c r="F67" t="s">
        <v>1178</v>
      </c>
      <c r="G67" t="s">
        <v>1379</v>
      </c>
      <c r="H67" s="135" t="s">
        <v>1344</v>
      </c>
      <c r="I67">
        <v>12</v>
      </c>
      <c r="J67" t="s">
        <v>1279</v>
      </c>
      <c r="K67">
        <v>12101</v>
      </c>
      <c r="L67" t="s">
        <v>1280</v>
      </c>
      <c r="M67">
        <v>12101265</v>
      </c>
      <c r="N67" t="s">
        <v>1281</v>
      </c>
      <c r="O67">
        <v>12101265813</v>
      </c>
      <c r="P67" t="s">
        <v>1282</v>
      </c>
      <c r="Q67" s="135" t="s">
        <v>1345</v>
      </c>
      <c r="R67" t="s">
        <v>1346</v>
      </c>
      <c r="S67" s="135" t="s">
        <v>1344</v>
      </c>
      <c r="T67" t="s">
        <v>1347</v>
      </c>
      <c r="U67" t="s">
        <v>1187</v>
      </c>
      <c r="V67" t="s">
        <v>1188</v>
      </c>
      <c r="W67">
        <v>335</v>
      </c>
      <c r="X67" t="s">
        <v>1189</v>
      </c>
      <c r="Y67">
        <v>24</v>
      </c>
      <c r="Z67">
        <v>8040</v>
      </c>
      <c r="AA67" t="s">
        <v>28</v>
      </c>
      <c r="AB67" t="s">
        <v>1190</v>
      </c>
      <c r="AC67">
        <v>335</v>
      </c>
      <c r="AD67" t="s">
        <v>1191</v>
      </c>
      <c r="AE67" t="s">
        <v>1192</v>
      </c>
      <c r="AF67" t="s">
        <v>1193</v>
      </c>
      <c r="AG67" t="s">
        <v>1194</v>
      </c>
      <c r="AH67" t="s">
        <v>1195</v>
      </c>
      <c r="AI67" t="s">
        <v>1202</v>
      </c>
      <c r="AJ67" t="s">
        <v>1291</v>
      </c>
      <c r="AK67" t="s">
        <v>1292</v>
      </c>
      <c r="AL67" t="s">
        <v>1291</v>
      </c>
      <c r="AM67" t="s">
        <v>1380</v>
      </c>
      <c r="AN67" t="s">
        <v>1201</v>
      </c>
      <c r="AO67" t="s">
        <v>1292</v>
      </c>
      <c r="AP67" t="s">
        <v>1381</v>
      </c>
      <c r="AQ67" t="s">
        <v>1203</v>
      </c>
      <c r="AR67" t="s">
        <v>1201</v>
      </c>
      <c r="AS67" t="s">
        <v>1203</v>
      </c>
      <c r="AU67" t="s">
        <v>1204</v>
      </c>
      <c r="AW67" t="b">
        <v>0</v>
      </c>
      <c r="AY67" t="b">
        <v>0</v>
      </c>
      <c r="BA67" t="s">
        <v>1295</v>
      </c>
      <c r="BB67" t="s">
        <v>1206</v>
      </c>
      <c r="BC67" t="s">
        <v>1206</v>
      </c>
      <c r="BD67" t="s">
        <v>1207</v>
      </c>
      <c r="BE67" t="s">
        <v>1296</v>
      </c>
      <c r="BF67" t="s">
        <v>1297</v>
      </c>
      <c r="BG67" t="s">
        <v>1298</v>
      </c>
      <c r="BH67" t="s">
        <v>1206</v>
      </c>
      <c r="BI67" t="s">
        <v>1206</v>
      </c>
      <c r="BJ67" t="s">
        <v>1299</v>
      </c>
    </row>
    <row r="68" spans="1:62" x14ac:dyDescent="0.25">
      <c r="A68" t="s">
        <v>1177</v>
      </c>
      <c r="B68">
        <v>150310</v>
      </c>
      <c r="C68">
        <v>150310</v>
      </c>
      <c r="D68" s="112" t="s">
        <v>2491</v>
      </c>
      <c r="E68" t="s">
        <v>1119</v>
      </c>
      <c r="F68" t="s">
        <v>1178</v>
      </c>
      <c r="G68" t="s">
        <v>1382</v>
      </c>
      <c r="H68" s="135" t="s">
        <v>1357</v>
      </c>
      <c r="I68">
        <v>12</v>
      </c>
      <c r="J68" t="s">
        <v>1279</v>
      </c>
      <c r="K68">
        <v>12101</v>
      </c>
      <c r="L68" t="s">
        <v>1280</v>
      </c>
      <c r="M68">
        <v>12101265</v>
      </c>
      <c r="N68" t="s">
        <v>1281</v>
      </c>
      <c r="O68">
        <v>12101265813</v>
      </c>
      <c r="P68" t="s">
        <v>1282</v>
      </c>
      <c r="Q68" s="135" t="s">
        <v>1358</v>
      </c>
      <c r="R68" t="s">
        <v>1359</v>
      </c>
      <c r="S68" s="135" t="s">
        <v>1357</v>
      </c>
      <c r="T68" t="s">
        <v>1360</v>
      </c>
      <c r="U68" t="s">
        <v>1310</v>
      </c>
      <c r="V68" t="s">
        <v>1311</v>
      </c>
      <c r="W68">
        <v>65</v>
      </c>
      <c r="X68" t="s">
        <v>1342</v>
      </c>
      <c r="Y68">
        <v>48</v>
      </c>
      <c r="Z68">
        <v>3120</v>
      </c>
      <c r="AA68" t="s">
        <v>28</v>
      </c>
      <c r="AB68" t="s">
        <v>1190</v>
      </c>
      <c r="AC68">
        <v>65</v>
      </c>
      <c r="AD68" t="s">
        <v>1191</v>
      </c>
      <c r="AE68" t="s">
        <v>1192</v>
      </c>
      <c r="AF68" t="s">
        <v>1193</v>
      </c>
      <c r="AG68" t="s">
        <v>1194</v>
      </c>
      <c r="AH68" t="s">
        <v>1195</v>
      </c>
      <c r="AI68" t="s">
        <v>1202</v>
      </c>
      <c r="AJ68" t="s">
        <v>1291</v>
      </c>
      <c r="AK68" t="s">
        <v>1292</v>
      </c>
      <c r="AL68" t="s">
        <v>1291</v>
      </c>
      <c r="AM68" t="s">
        <v>1383</v>
      </c>
      <c r="AN68" t="s">
        <v>1201</v>
      </c>
      <c r="AO68" t="s">
        <v>1292</v>
      </c>
      <c r="AP68" t="s">
        <v>1384</v>
      </c>
      <c r="AQ68" t="s">
        <v>1203</v>
      </c>
      <c r="AR68" t="s">
        <v>1201</v>
      </c>
      <c r="AS68" t="s">
        <v>1203</v>
      </c>
      <c r="AU68" t="s">
        <v>1204</v>
      </c>
      <c r="AW68" t="b">
        <v>0</v>
      </c>
      <c r="AY68" t="b">
        <v>1</v>
      </c>
      <c r="BA68" t="s">
        <v>1295</v>
      </c>
      <c r="BB68" t="s">
        <v>1206</v>
      </c>
      <c r="BC68" t="s">
        <v>1206</v>
      </c>
      <c r="BD68" t="s">
        <v>1207</v>
      </c>
      <c r="BE68" t="s">
        <v>1296</v>
      </c>
      <c r="BF68" t="s">
        <v>1297</v>
      </c>
      <c r="BG68" t="s">
        <v>1298</v>
      </c>
      <c r="BH68" t="s">
        <v>1206</v>
      </c>
      <c r="BI68" t="s">
        <v>1206</v>
      </c>
      <c r="BJ68" t="s">
        <v>1299</v>
      </c>
    </row>
    <row r="69" spans="1:62" x14ac:dyDescent="0.25">
      <c r="A69" t="s">
        <v>1177</v>
      </c>
      <c r="B69">
        <v>150312</v>
      </c>
      <c r="C69">
        <v>150312</v>
      </c>
      <c r="D69" s="112" t="s">
        <v>2492</v>
      </c>
      <c r="E69" t="s">
        <v>1119</v>
      </c>
      <c r="F69" t="s">
        <v>1178</v>
      </c>
      <c r="G69" t="s">
        <v>1385</v>
      </c>
      <c r="H69" s="135" t="s">
        <v>1313</v>
      </c>
      <c r="I69">
        <v>12</v>
      </c>
      <c r="J69" t="s">
        <v>1279</v>
      </c>
      <c r="K69">
        <v>12101</v>
      </c>
      <c r="L69" t="s">
        <v>1280</v>
      </c>
      <c r="M69">
        <v>12101265</v>
      </c>
      <c r="N69" t="s">
        <v>1281</v>
      </c>
      <c r="O69">
        <v>12101265813</v>
      </c>
      <c r="P69" t="s">
        <v>1282</v>
      </c>
      <c r="Q69" s="135" t="s">
        <v>1314</v>
      </c>
      <c r="R69" t="s">
        <v>1315</v>
      </c>
      <c r="S69" s="135" t="s">
        <v>1313</v>
      </c>
      <c r="T69" t="s">
        <v>1316</v>
      </c>
      <c r="U69" t="s">
        <v>1237</v>
      </c>
      <c r="V69" t="s">
        <v>1238</v>
      </c>
      <c r="W69">
        <v>130</v>
      </c>
      <c r="X69" t="s">
        <v>1189</v>
      </c>
      <c r="Y69">
        <v>48</v>
      </c>
      <c r="Z69">
        <v>6240</v>
      </c>
      <c r="AA69" t="s">
        <v>28</v>
      </c>
      <c r="AB69" t="s">
        <v>1190</v>
      </c>
      <c r="AC69">
        <v>130</v>
      </c>
      <c r="AD69" t="s">
        <v>1191</v>
      </c>
      <c r="AE69" t="s">
        <v>1192</v>
      </c>
      <c r="AF69" t="s">
        <v>1193</v>
      </c>
      <c r="AG69" t="s">
        <v>1194</v>
      </c>
      <c r="AH69" t="s">
        <v>1195</v>
      </c>
      <c r="AI69" t="s">
        <v>1202</v>
      </c>
      <c r="AJ69" t="s">
        <v>1291</v>
      </c>
      <c r="AK69" t="s">
        <v>1292</v>
      </c>
      <c r="AL69" t="s">
        <v>1291</v>
      </c>
      <c r="AM69" t="s">
        <v>1383</v>
      </c>
      <c r="AN69" t="s">
        <v>1201</v>
      </c>
      <c r="AO69" t="s">
        <v>1292</v>
      </c>
      <c r="AP69" t="s">
        <v>1384</v>
      </c>
      <c r="AQ69" t="s">
        <v>1203</v>
      </c>
      <c r="AR69" t="s">
        <v>1201</v>
      </c>
      <c r="AS69" t="s">
        <v>1203</v>
      </c>
      <c r="AU69" t="s">
        <v>1204</v>
      </c>
      <c r="AW69" t="b">
        <v>0</v>
      </c>
      <c r="AY69" t="b">
        <v>1</v>
      </c>
      <c r="BA69" t="s">
        <v>1295</v>
      </c>
      <c r="BB69" t="s">
        <v>1206</v>
      </c>
      <c r="BC69" t="s">
        <v>1206</v>
      </c>
      <c r="BD69" t="s">
        <v>1207</v>
      </c>
      <c r="BE69" t="s">
        <v>1296</v>
      </c>
      <c r="BF69" t="s">
        <v>1297</v>
      </c>
      <c r="BG69" t="s">
        <v>1298</v>
      </c>
      <c r="BH69" t="s">
        <v>1206</v>
      </c>
      <c r="BI69" t="s">
        <v>1206</v>
      </c>
      <c r="BJ69" t="s">
        <v>1299</v>
      </c>
    </row>
    <row r="70" spans="1:62" x14ac:dyDescent="0.25">
      <c r="A70" t="s">
        <v>1177</v>
      </c>
      <c r="B70">
        <v>150370</v>
      </c>
      <c r="C70">
        <v>150370</v>
      </c>
      <c r="D70" s="112" t="s">
        <v>2493</v>
      </c>
      <c r="E70" t="s">
        <v>1119</v>
      </c>
      <c r="F70" t="s">
        <v>1178</v>
      </c>
      <c r="G70" t="s">
        <v>1386</v>
      </c>
      <c r="H70" s="135" t="s">
        <v>1327</v>
      </c>
      <c r="I70">
        <v>12</v>
      </c>
      <c r="J70" t="s">
        <v>1279</v>
      </c>
      <c r="K70">
        <v>12101</v>
      </c>
      <c r="L70" t="s">
        <v>1280</v>
      </c>
      <c r="M70">
        <v>12101265</v>
      </c>
      <c r="N70" t="s">
        <v>1281</v>
      </c>
      <c r="O70">
        <v>12101265813</v>
      </c>
      <c r="P70" t="s">
        <v>1282</v>
      </c>
      <c r="Q70" s="135" t="s">
        <v>1328</v>
      </c>
      <c r="R70" t="s">
        <v>1329</v>
      </c>
      <c r="S70" s="135" t="s">
        <v>1327</v>
      </c>
      <c r="T70" t="s">
        <v>1330</v>
      </c>
      <c r="U70" t="s">
        <v>1237</v>
      </c>
      <c r="V70" t="s">
        <v>1238</v>
      </c>
      <c r="W70">
        <v>270</v>
      </c>
      <c r="X70" t="s">
        <v>1189</v>
      </c>
      <c r="Y70">
        <v>24</v>
      </c>
      <c r="Z70">
        <v>6480</v>
      </c>
      <c r="AA70" t="s">
        <v>28</v>
      </c>
      <c r="AB70" t="s">
        <v>1190</v>
      </c>
      <c r="AC70">
        <v>270</v>
      </c>
      <c r="AD70" t="s">
        <v>1191</v>
      </c>
      <c r="AE70" t="s">
        <v>1192</v>
      </c>
      <c r="AF70" t="s">
        <v>1193</v>
      </c>
      <c r="AG70" t="s">
        <v>1194</v>
      </c>
      <c r="AH70" t="s">
        <v>1195</v>
      </c>
      <c r="AI70" t="s">
        <v>1202</v>
      </c>
      <c r="AJ70" t="s">
        <v>1291</v>
      </c>
      <c r="AK70" t="s">
        <v>1292</v>
      </c>
      <c r="AL70" t="s">
        <v>1291</v>
      </c>
      <c r="AM70" t="s">
        <v>1383</v>
      </c>
      <c r="AN70" t="s">
        <v>1201</v>
      </c>
      <c r="AO70" t="s">
        <v>1292</v>
      </c>
      <c r="AP70" t="s">
        <v>1384</v>
      </c>
      <c r="AQ70" t="s">
        <v>1203</v>
      </c>
      <c r="AR70" t="s">
        <v>1201</v>
      </c>
      <c r="AS70" t="s">
        <v>1203</v>
      </c>
      <c r="AU70" t="s">
        <v>1204</v>
      </c>
      <c r="AW70" t="b">
        <v>0</v>
      </c>
      <c r="AY70" t="b">
        <v>1</v>
      </c>
      <c r="BA70" t="s">
        <v>1295</v>
      </c>
      <c r="BB70" t="s">
        <v>1206</v>
      </c>
      <c r="BC70" t="s">
        <v>1206</v>
      </c>
      <c r="BD70" t="s">
        <v>1207</v>
      </c>
      <c r="BE70" t="s">
        <v>1296</v>
      </c>
      <c r="BF70" t="s">
        <v>1297</v>
      </c>
      <c r="BG70" t="s">
        <v>1298</v>
      </c>
      <c r="BH70" t="s">
        <v>1206</v>
      </c>
      <c r="BI70" t="s">
        <v>1206</v>
      </c>
      <c r="BJ70" t="s">
        <v>1299</v>
      </c>
    </row>
    <row r="71" spans="1:62" x14ac:dyDescent="0.25">
      <c r="A71" t="s">
        <v>1177</v>
      </c>
      <c r="B71">
        <v>150377</v>
      </c>
      <c r="C71">
        <v>150377</v>
      </c>
      <c r="D71" s="112" t="s">
        <v>2494</v>
      </c>
      <c r="E71" t="s">
        <v>1119</v>
      </c>
      <c r="F71" t="s">
        <v>1178</v>
      </c>
      <c r="G71" t="s">
        <v>1387</v>
      </c>
      <c r="H71" s="135" t="s">
        <v>1376</v>
      </c>
      <c r="I71">
        <v>12</v>
      </c>
      <c r="J71" t="s">
        <v>1279</v>
      </c>
      <c r="K71">
        <v>12101</v>
      </c>
      <c r="L71" t="s">
        <v>1280</v>
      </c>
      <c r="M71">
        <v>12101265</v>
      </c>
      <c r="N71" t="s">
        <v>1281</v>
      </c>
      <c r="O71">
        <v>12101265813</v>
      </c>
      <c r="P71" t="s">
        <v>1282</v>
      </c>
      <c r="Q71" s="135" t="s">
        <v>1365</v>
      </c>
      <c r="R71" t="s">
        <v>1366</v>
      </c>
      <c r="S71" s="135" t="s">
        <v>1376</v>
      </c>
      <c r="T71" t="s">
        <v>1377</v>
      </c>
      <c r="U71" t="s">
        <v>1230</v>
      </c>
      <c r="V71" t="s">
        <v>1231</v>
      </c>
      <c r="W71">
        <v>8</v>
      </c>
      <c r="X71" t="s">
        <v>1342</v>
      </c>
      <c r="Y71">
        <v>14</v>
      </c>
      <c r="Z71">
        <v>112</v>
      </c>
      <c r="AA71" t="s">
        <v>28</v>
      </c>
      <c r="AB71" t="s">
        <v>1190</v>
      </c>
      <c r="AC71">
        <v>8</v>
      </c>
      <c r="AD71" t="s">
        <v>1232</v>
      </c>
      <c r="AE71" t="s">
        <v>1192</v>
      </c>
      <c r="AF71" t="s">
        <v>1193</v>
      </c>
      <c r="AG71" t="s">
        <v>1194</v>
      </c>
      <c r="AH71" t="s">
        <v>1195</v>
      </c>
      <c r="AI71" t="s">
        <v>1202</v>
      </c>
      <c r="AJ71" t="s">
        <v>1291</v>
      </c>
      <c r="AK71" t="s">
        <v>1292</v>
      </c>
      <c r="AL71" t="s">
        <v>1291</v>
      </c>
      <c r="AM71" t="s">
        <v>1293</v>
      </c>
      <c r="AN71" t="s">
        <v>1201</v>
      </c>
      <c r="AO71" t="s">
        <v>1292</v>
      </c>
      <c r="AP71" t="s">
        <v>1294</v>
      </c>
      <c r="AQ71" t="s">
        <v>1203</v>
      </c>
      <c r="AR71" t="s">
        <v>1201</v>
      </c>
      <c r="AS71" t="s">
        <v>1203</v>
      </c>
      <c r="AU71" t="s">
        <v>1204</v>
      </c>
      <c r="AW71" t="b">
        <v>0</v>
      </c>
      <c r="AY71" t="b">
        <v>1</v>
      </c>
      <c r="BA71" t="s">
        <v>1295</v>
      </c>
      <c r="BB71" t="s">
        <v>1206</v>
      </c>
      <c r="BC71" t="s">
        <v>1206</v>
      </c>
      <c r="BD71" t="s">
        <v>1207</v>
      </c>
      <c r="BE71" t="s">
        <v>1296</v>
      </c>
      <c r="BF71" t="s">
        <v>1297</v>
      </c>
      <c r="BG71" t="s">
        <v>1298</v>
      </c>
      <c r="BH71" t="s">
        <v>1206</v>
      </c>
      <c r="BI71" t="s">
        <v>1206</v>
      </c>
      <c r="BJ71" t="s">
        <v>1299</v>
      </c>
    </row>
    <row r="72" spans="1:62" x14ac:dyDescent="0.25">
      <c r="A72" t="s">
        <v>1177</v>
      </c>
      <c r="B72">
        <v>150378</v>
      </c>
      <c r="C72">
        <v>150378</v>
      </c>
      <c r="D72" s="112" t="s">
        <v>2495</v>
      </c>
      <c r="E72" t="s">
        <v>1119</v>
      </c>
      <c r="F72" t="s">
        <v>1178</v>
      </c>
      <c r="G72" t="s">
        <v>1388</v>
      </c>
      <c r="H72" s="135" t="s">
        <v>1376</v>
      </c>
      <c r="I72">
        <v>12</v>
      </c>
      <c r="J72" t="s">
        <v>1279</v>
      </c>
      <c r="K72">
        <v>12101</v>
      </c>
      <c r="L72" t="s">
        <v>1280</v>
      </c>
      <c r="M72">
        <v>12101265</v>
      </c>
      <c r="N72" t="s">
        <v>1281</v>
      </c>
      <c r="O72">
        <v>12101265813</v>
      </c>
      <c r="P72" t="s">
        <v>1282</v>
      </c>
      <c r="Q72" s="135" t="s">
        <v>1365</v>
      </c>
      <c r="R72" t="s">
        <v>1366</v>
      </c>
      <c r="S72" s="135" t="s">
        <v>1376</v>
      </c>
      <c r="T72" t="s">
        <v>1377</v>
      </c>
      <c r="U72" t="s">
        <v>1230</v>
      </c>
      <c r="V72" t="s">
        <v>1231</v>
      </c>
      <c r="W72">
        <v>8</v>
      </c>
      <c r="X72" t="s">
        <v>1342</v>
      </c>
      <c r="Y72">
        <v>14</v>
      </c>
      <c r="Z72">
        <v>112</v>
      </c>
      <c r="AA72" t="s">
        <v>28</v>
      </c>
      <c r="AB72" t="s">
        <v>1190</v>
      </c>
      <c r="AC72">
        <v>8</v>
      </c>
      <c r="AD72" t="s">
        <v>1232</v>
      </c>
      <c r="AE72" t="s">
        <v>1192</v>
      </c>
      <c r="AF72" t="s">
        <v>1193</v>
      </c>
      <c r="AG72" t="s">
        <v>1194</v>
      </c>
      <c r="AH72" t="s">
        <v>1195</v>
      </c>
      <c r="AI72" t="s">
        <v>1202</v>
      </c>
      <c r="AJ72" t="s">
        <v>1291</v>
      </c>
      <c r="AK72" t="s">
        <v>1292</v>
      </c>
      <c r="AL72" t="s">
        <v>1291</v>
      </c>
      <c r="AM72" t="s">
        <v>1293</v>
      </c>
      <c r="AN72" t="s">
        <v>1201</v>
      </c>
      <c r="AO72" t="s">
        <v>1292</v>
      </c>
      <c r="AP72" t="s">
        <v>1294</v>
      </c>
      <c r="AQ72" t="s">
        <v>1203</v>
      </c>
      <c r="AR72" t="s">
        <v>1201</v>
      </c>
      <c r="AS72" t="s">
        <v>1203</v>
      </c>
      <c r="AU72" t="s">
        <v>1204</v>
      </c>
      <c r="AW72" t="b">
        <v>0</v>
      </c>
      <c r="AY72" t="b">
        <v>1</v>
      </c>
      <c r="BA72" t="s">
        <v>1295</v>
      </c>
      <c r="BB72" t="s">
        <v>1206</v>
      </c>
      <c r="BC72" t="s">
        <v>1206</v>
      </c>
      <c r="BD72" t="s">
        <v>1207</v>
      </c>
      <c r="BE72" t="s">
        <v>1296</v>
      </c>
      <c r="BF72" t="s">
        <v>1297</v>
      </c>
      <c r="BG72" t="s">
        <v>1298</v>
      </c>
      <c r="BH72" t="s">
        <v>1206</v>
      </c>
      <c r="BI72" t="s">
        <v>1206</v>
      </c>
      <c r="BJ72" t="s">
        <v>1299</v>
      </c>
    </row>
    <row r="73" spans="1:62" x14ac:dyDescent="0.25">
      <c r="A73" t="s">
        <v>1177</v>
      </c>
      <c r="B73">
        <v>150379</v>
      </c>
      <c r="C73">
        <v>150379</v>
      </c>
      <c r="D73" s="112" t="s">
        <v>2496</v>
      </c>
      <c r="E73" t="s">
        <v>1119</v>
      </c>
      <c r="F73" t="s">
        <v>1178</v>
      </c>
      <c r="G73" t="s">
        <v>1389</v>
      </c>
      <c r="H73" s="135" t="s">
        <v>1376</v>
      </c>
      <c r="I73">
        <v>12</v>
      </c>
      <c r="J73" t="s">
        <v>1279</v>
      </c>
      <c r="K73">
        <v>12101</v>
      </c>
      <c r="L73" t="s">
        <v>1280</v>
      </c>
      <c r="M73">
        <v>12101265</v>
      </c>
      <c r="N73" t="s">
        <v>1281</v>
      </c>
      <c r="O73">
        <v>12101265813</v>
      </c>
      <c r="P73" t="s">
        <v>1282</v>
      </c>
      <c r="Q73" s="135" t="s">
        <v>1365</v>
      </c>
      <c r="R73" t="s">
        <v>1366</v>
      </c>
      <c r="S73" s="135" t="s">
        <v>1376</v>
      </c>
      <c r="T73" t="s">
        <v>1377</v>
      </c>
      <c r="U73" t="s">
        <v>1230</v>
      </c>
      <c r="V73" t="s">
        <v>1231</v>
      </c>
      <c r="W73">
        <v>8</v>
      </c>
      <c r="X73" t="s">
        <v>1342</v>
      </c>
      <c r="Y73">
        <v>14</v>
      </c>
      <c r="Z73">
        <v>112</v>
      </c>
      <c r="AA73" t="s">
        <v>28</v>
      </c>
      <c r="AB73" t="s">
        <v>1190</v>
      </c>
      <c r="AC73">
        <v>8</v>
      </c>
      <c r="AD73" t="s">
        <v>1232</v>
      </c>
      <c r="AE73" t="s">
        <v>1192</v>
      </c>
      <c r="AF73" t="s">
        <v>1193</v>
      </c>
      <c r="AG73" t="s">
        <v>1194</v>
      </c>
      <c r="AH73" t="s">
        <v>1195</v>
      </c>
      <c r="AI73" t="s">
        <v>1202</v>
      </c>
      <c r="AJ73" t="s">
        <v>1291</v>
      </c>
      <c r="AK73" t="s">
        <v>1292</v>
      </c>
      <c r="AL73" t="s">
        <v>1291</v>
      </c>
      <c r="AM73" t="s">
        <v>1293</v>
      </c>
      <c r="AN73" t="s">
        <v>1201</v>
      </c>
      <c r="AO73" t="s">
        <v>1292</v>
      </c>
      <c r="AP73" t="s">
        <v>1294</v>
      </c>
      <c r="AQ73" t="s">
        <v>1203</v>
      </c>
      <c r="AR73" t="s">
        <v>1201</v>
      </c>
      <c r="AS73" t="s">
        <v>1203</v>
      </c>
      <c r="AU73" t="s">
        <v>1204</v>
      </c>
      <c r="AW73" t="b">
        <v>0</v>
      </c>
      <c r="AY73" t="b">
        <v>1</v>
      </c>
      <c r="BA73" t="s">
        <v>1295</v>
      </c>
      <c r="BB73" t="s">
        <v>1206</v>
      </c>
      <c r="BC73" t="s">
        <v>1206</v>
      </c>
      <c r="BD73" t="s">
        <v>1207</v>
      </c>
      <c r="BE73" t="s">
        <v>1296</v>
      </c>
      <c r="BF73" t="s">
        <v>1297</v>
      </c>
      <c r="BG73" t="s">
        <v>1298</v>
      </c>
      <c r="BH73" t="s">
        <v>1206</v>
      </c>
      <c r="BI73" t="s">
        <v>1206</v>
      </c>
      <c r="BJ73" t="s">
        <v>1299</v>
      </c>
    </row>
    <row r="74" spans="1:62" x14ac:dyDescent="0.25">
      <c r="A74" t="s">
        <v>1177</v>
      </c>
      <c r="B74">
        <v>150380</v>
      </c>
      <c r="C74">
        <v>150380</v>
      </c>
      <c r="D74" s="112" t="s">
        <v>2497</v>
      </c>
      <c r="E74" t="s">
        <v>1119</v>
      </c>
      <c r="F74" t="s">
        <v>1178</v>
      </c>
      <c r="G74" t="s">
        <v>1390</v>
      </c>
      <c r="H74" s="135" t="s">
        <v>1376</v>
      </c>
      <c r="I74">
        <v>12</v>
      </c>
      <c r="J74" t="s">
        <v>1279</v>
      </c>
      <c r="K74">
        <v>12101</v>
      </c>
      <c r="L74" t="s">
        <v>1280</v>
      </c>
      <c r="M74">
        <v>12101265</v>
      </c>
      <c r="N74" t="s">
        <v>1281</v>
      </c>
      <c r="O74">
        <v>12101265813</v>
      </c>
      <c r="P74" t="s">
        <v>1282</v>
      </c>
      <c r="Q74" s="135" t="s">
        <v>1365</v>
      </c>
      <c r="R74" t="s">
        <v>1366</v>
      </c>
      <c r="S74" s="135" t="s">
        <v>1376</v>
      </c>
      <c r="T74" t="s">
        <v>1377</v>
      </c>
      <c r="U74" t="s">
        <v>1230</v>
      </c>
      <c r="V74" t="s">
        <v>1231</v>
      </c>
      <c r="W74">
        <v>8</v>
      </c>
      <c r="X74" t="s">
        <v>1342</v>
      </c>
      <c r="Y74">
        <v>14</v>
      </c>
      <c r="Z74">
        <v>112</v>
      </c>
      <c r="AA74" t="s">
        <v>28</v>
      </c>
      <c r="AB74" t="s">
        <v>1190</v>
      </c>
      <c r="AC74">
        <v>8</v>
      </c>
      <c r="AD74" t="s">
        <v>1232</v>
      </c>
      <c r="AE74" t="s">
        <v>1192</v>
      </c>
      <c r="AF74" t="s">
        <v>1193</v>
      </c>
      <c r="AG74" t="s">
        <v>1194</v>
      </c>
      <c r="AH74" t="s">
        <v>1195</v>
      </c>
      <c r="AI74" t="s">
        <v>1202</v>
      </c>
      <c r="AJ74" t="s">
        <v>1291</v>
      </c>
      <c r="AK74" t="s">
        <v>1292</v>
      </c>
      <c r="AL74" t="s">
        <v>1291</v>
      </c>
      <c r="AM74" t="s">
        <v>1318</v>
      </c>
      <c r="AN74" t="s">
        <v>1201</v>
      </c>
      <c r="AO74" t="s">
        <v>1292</v>
      </c>
      <c r="AP74" t="s">
        <v>1319</v>
      </c>
      <c r="AQ74" t="s">
        <v>1203</v>
      </c>
      <c r="AR74" t="s">
        <v>1201</v>
      </c>
      <c r="AS74" t="s">
        <v>1203</v>
      </c>
      <c r="AU74" t="s">
        <v>1204</v>
      </c>
      <c r="AW74" t="b">
        <v>0</v>
      </c>
      <c r="AY74" t="b">
        <v>1</v>
      </c>
      <c r="BA74" t="s">
        <v>1295</v>
      </c>
      <c r="BB74" t="s">
        <v>1206</v>
      </c>
      <c r="BC74" t="s">
        <v>1206</v>
      </c>
      <c r="BD74" t="s">
        <v>1207</v>
      </c>
      <c r="BE74" t="s">
        <v>1296</v>
      </c>
      <c r="BF74" t="s">
        <v>1297</v>
      </c>
      <c r="BG74" t="s">
        <v>1298</v>
      </c>
      <c r="BH74" t="s">
        <v>1206</v>
      </c>
      <c r="BI74" t="s">
        <v>1206</v>
      </c>
      <c r="BJ74" t="s">
        <v>1299</v>
      </c>
    </row>
    <row r="75" spans="1:62" x14ac:dyDescent="0.25">
      <c r="A75" t="s">
        <v>1177</v>
      </c>
      <c r="B75">
        <v>150381</v>
      </c>
      <c r="C75">
        <v>150381</v>
      </c>
      <c r="D75" s="112" t="s">
        <v>2498</v>
      </c>
      <c r="E75" t="s">
        <v>1119</v>
      </c>
      <c r="F75" t="s">
        <v>1178</v>
      </c>
      <c r="G75" t="s">
        <v>1391</v>
      </c>
      <c r="H75" s="135" t="s">
        <v>1376</v>
      </c>
      <c r="I75">
        <v>12</v>
      </c>
      <c r="J75" t="s">
        <v>1279</v>
      </c>
      <c r="K75">
        <v>12101</v>
      </c>
      <c r="L75" t="s">
        <v>1280</v>
      </c>
      <c r="M75">
        <v>12101265</v>
      </c>
      <c r="N75" t="s">
        <v>1281</v>
      </c>
      <c r="O75">
        <v>12101265813</v>
      </c>
      <c r="P75" t="s">
        <v>1282</v>
      </c>
      <c r="Q75" s="135" t="s">
        <v>1365</v>
      </c>
      <c r="R75" t="s">
        <v>1366</v>
      </c>
      <c r="S75" s="135" t="s">
        <v>1376</v>
      </c>
      <c r="T75" t="s">
        <v>1377</v>
      </c>
      <c r="U75" t="s">
        <v>1230</v>
      </c>
      <c r="V75" t="s">
        <v>1231</v>
      </c>
      <c r="W75">
        <v>8</v>
      </c>
      <c r="X75" t="s">
        <v>1342</v>
      </c>
      <c r="Y75">
        <v>14</v>
      </c>
      <c r="Z75">
        <v>112</v>
      </c>
      <c r="AA75" t="s">
        <v>28</v>
      </c>
      <c r="AB75" t="s">
        <v>1190</v>
      </c>
      <c r="AC75">
        <v>8</v>
      </c>
      <c r="AD75" t="s">
        <v>1232</v>
      </c>
      <c r="AE75" t="s">
        <v>1192</v>
      </c>
      <c r="AF75" t="s">
        <v>1193</v>
      </c>
      <c r="AG75" t="s">
        <v>1194</v>
      </c>
      <c r="AH75" t="s">
        <v>1195</v>
      </c>
      <c r="AI75" t="s">
        <v>1202</v>
      </c>
      <c r="AJ75" t="s">
        <v>1291</v>
      </c>
      <c r="AK75" t="s">
        <v>1292</v>
      </c>
      <c r="AL75" t="s">
        <v>1291</v>
      </c>
      <c r="AM75" t="s">
        <v>1318</v>
      </c>
      <c r="AN75" t="s">
        <v>1201</v>
      </c>
      <c r="AO75" t="s">
        <v>1292</v>
      </c>
      <c r="AP75" t="s">
        <v>1319</v>
      </c>
      <c r="AQ75" t="s">
        <v>1203</v>
      </c>
      <c r="AR75" t="s">
        <v>1201</v>
      </c>
      <c r="AS75" t="s">
        <v>1203</v>
      </c>
      <c r="AU75" t="s">
        <v>1204</v>
      </c>
      <c r="AW75" t="b">
        <v>0</v>
      </c>
      <c r="AY75" t="b">
        <v>1</v>
      </c>
      <c r="BA75" t="s">
        <v>1295</v>
      </c>
      <c r="BB75" t="s">
        <v>1206</v>
      </c>
      <c r="BC75" t="s">
        <v>1206</v>
      </c>
      <c r="BD75" t="s">
        <v>1207</v>
      </c>
      <c r="BE75" t="s">
        <v>1296</v>
      </c>
      <c r="BF75" t="s">
        <v>1297</v>
      </c>
      <c r="BG75" t="s">
        <v>1298</v>
      </c>
      <c r="BH75" t="s">
        <v>1206</v>
      </c>
      <c r="BI75" t="s">
        <v>1206</v>
      </c>
      <c r="BJ75" t="s">
        <v>1299</v>
      </c>
    </row>
    <row r="76" spans="1:62" x14ac:dyDescent="0.25">
      <c r="A76" t="s">
        <v>1177</v>
      </c>
      <c r="B76">
        <v>150382</v>
      </c>
      <c r="C76">
        <v>150382</v>
      </c>
      <c r="D76" s="112" t="s">
        <v>2499</v>
      </c>
      <c r="E76" t="s">
        <v>1119</v>
      </c>
      <c r="F76" t="s">
        <v>1178</v>
      </c>
      <c r="G76" t="s">
        <v>1392</v>
      </c>
      <c r="H76" s="135" t="s">
        <v>1376</v>
      </c>
      <c r="I76">
        <v>12</v>
      </c>
      <c r="J76" t="s">
        <v>1279</v>
      </c>
      <c r="K76">
        <v>12101</v>
      </c>
      <c r="L76" t="s">
        <v>1280</v>
      </c>
      <c r="M76">
        <v>12101265</v>
      </c>
      <c r="N76" t="s">
        <v>1281</v>
      </c>
      <c r="O76">
        <v>12101265813</v>
      </c>
      <c r="P76" t="s">
        <v>1282</v>
      </c>
      <c r="Q76" s="135" t="s">
        <v>1365</v>
      </c>
      <c r="R76" t="s">
        <v>1366</v>
      </c>
      <c r="S76" s="135" t="s">
        <v>1376</v>
      </c>
      <c r="T76" t="s">
        <v>1377</v>
      </c>
      <c r="U76" t="s">
        <v>1230</v>
      </c>
      <c r="V76" t="s">
        <v>1231</v>
      </c>
      <c r="W76">
        <v>8</v>
      </c>
      <c r="X76" t="s">
        <v>1342</v>
      </c>
      <c r="Y76">
        <v>14</v>
      </c>
      <c r="Z76">
        <v>112</v>
      </c>
      <c r="AA76" t="s">
        <v>28</v>
      </c>
      <c r="AB76" t="s">
        <v>1190</v>
      </c>
      <c r="AC76">
        <v>8</v>
      </c>
      <c r="AD76" t="s">
        <v>1232</v>
      </c>
      <c r="AE76" t="s">
        <v>1192</v>
      </c>
      <c r="AF76" t="s">
        <v>1193</v>
      </c>
      <c r="AG76" t="s">
        <v>1194</v>
      </c>
      <c r="AH76" t="s">
        <v>1195</v>
      </c>
      <c r="AI76" t="s">
        <v>1202</v>
      </c>
      <c r="AJ76" t="s">
        <v>1291</v>
      </c>
      <c r="AK76" t="s">
        <v>1292</v>
      </c>
      <c r="AL76" t="s">
        <v>1291</v>
      </c>
      <c r="AM76" t="s">
        <v>1318</v>
      </c>
      <c r="AN76" t="s">
        <v>1201</v>
      </c>
      <c r="AO76" t="s">
        <v>1292</v>
      </c>
      <c r="AP76" t="s">
        <v>1319</v>
      </c>
      <c r="AQ76" t="s">
        <v>1203</v>
      </c>
      <c r="AR76" t="s">
        <v>1201</v>
      </c>
      <c r="AS76" t="s">
        <v>1203</v>
      </c>
      <c r="AU76" t="s">
        <v>1204</v>
      </c>
      <c r="AW76" t="b">
        <v>0</v>
      </c>
      <c r="AY76" t="b">
        <v>1</v>
      </c>
      <c r="BA76" t="s">
        <v>1295</v>
      </c>
      <c r="BB76" t="s">
        <v>1206</v>
      </c>
      <c r="BC76" t="s">
        <v>1206</v>
      </c>
      <c r="BD76" t="s">
        <v>1207</v>
      </c>
      <c r="BE76" t="s">
        <v>1296</v>
      </c>
      <c r="BF76" t="s">
        <v>1297</v>
      </c>
      <c r="BG76" t="s">
        <v>1298</v>
      </c>
      <c r="BH76" t="s">
        <v>1206</v>
      </c>
      <c r="BI76" t="s">
        <v>1206</v>
      </c>
      <c r="BJ76" t="s">
        <v>1299</v>
      </c>
    </row>
    <row r="77" spans="1:62" x14ac:dyDescent="0.25">
      <c r="A77" t="s">
        <v>1177</v>
      </c>
      <c r="B77">
        <v>150383</v>
      </c>
      <c r="C77" t="s">
        <v>1258</v>
      </c>
      <c r="D77" s="112" t="s">
        <v>2500</v>
      </c>
      <c r="E77" t="s">
        <v>1119</v>
      </c>
      <c r="F77" t="s">
        <v>1178</v>
      </c>
      <c r="G77" t="s">
        <v>1393</v>
      </c>
      <c r="H77" s="135" t="s">
        <v>1394</v>
      </c>
      <c r="I77">
        <v>12</v>
      </c>
      <c r="J77" t="s">
        <v>1279</v>
      </c>
      <c r="K77">
        <v>12101</v>
      </c>
      <c r="L77" t="s">
        <v>1280</v>
      </c>
      <c r="M77">
        <v>12101265</v>
      </c>
      <c r="N77" t="s">
        <v>1281</v>
      </c>
      <c r="O77">
        <v>12101265813</v>
      </c>
      <c r="P77" t="s">
        <v>1282</v>
      </c>
      <c r="Q77" s="135" t="s">
        <v>1365</v>
      </c>
      <c r="R77" t="s">
        <v>1366</v>
      </c>
      <c r="S77" s="135" t="s">
        <v>1394</v>
      </c>
      <c r="T77" t="s">
        <v>1395</v>
      </c>
      <c r="U77" t="s">
        <v>1230</v>
      </c>
      <c r="V77" t="s">
        <v>1231</v>
      </c>
      <c r="W77">
        <v>8</v>
      </c>
      <c r="X77" t="s">
        <v>1342</v>
      </c>
      <c r="Y77">
        <v>462</v>
      </c>
      <c r="Z77">
        <v>3696</v>
      </c>
      <c r="AA77" t="s">
        <v>28</v>
      </c>
      <c r="AB77" t="s">
        <v>1190</v>
      </c>
      <c r="AC77">
        <v>8</v>
      </c>
      <c r="AD77" t="s">
        <v>1232</v>
      </c>
      <c r="AE77" t="s">
        <v>1192</v>
      </c>
      <c r="AF77" t="s">
        <v>1193</v>
      </c>
      <c r="AG77" t="s">
        <v>1194</v>
      </c>
      <c r="AH77" t="s">
        <v>1195</v>
      </c>
      <c r="AI77" t="s">
        <v>1202</v>
      </c>
      <c r="AJ77" t="s">
        <v>1291</v>
      </c>
      <c r="AK77" t="s">
        <v>1292</v>
      </c>
      <c r="AL77" t="s">
        <v>1291</v>
      </c>
      <c r="AM77" t="s">
        <v>1293</v>
      </c>
      <c r="AN77" t="s">
        <v>1201</v>
      </c>
      <c r="AO77" t="s">
        <v>1292</v>
      </c>
      <c r="AP77" t="s">
        <v>1294</v>
      </c>
      <c r="AQ77" t="s">
        <v>1203</v>
      </c>
      <c r="AR77" t="s">
        <v>1201</v>
      </c>
      <c r="AS77" t="s">
        <v>1203</v>
      </c>
      <c r="AU77" t="s">
        <v>1204</v>
      </c>
      <c r="AW77" t="b">
        <v>0</v>
      </c>
      <c r="AY77" t="b">
        <v>1</v>
      </c>
      <c r="BA77" t="s">
        <v>1295</v>
      </c>
      <c r="BB77" t="s">
        <v>1206</v>
      </c>
      <c r="BC77" t="s">
        <v>1206</v>
      </c>
      <c r="BD77" t="s">
        <v>1207</v>
      </c>
      <c r="BE77" t="s">
        <v>1296</v>
      </c>
      <c r="BF77" t="s">
        <v>1297</v>
      </c>
      <c r="BG77" t="s">
        <v>1298</v>
      </c>
      <c r="BH77" t="s">
        <v>1206</v>
      </c>
      <c r="BI77" t="s">
        <v>1206</v>
      </c>
      <c r="BJ77" t="s">
        <v>1299</v>
      </c>
    </row>
    <row r="78" spans="1:62" x14ac:dyDescent="0.25">
      <c r="A78" t="s">
        <v>1177</v>
      </c>
      <c r="B78">
        <v>150384</v>
      </c>
      <c r="C78" t="s">
        <v>1258</v>
      </c>
      <c r="D78" s="112" t="s">
        <v>2501</v>
      </c>
      <c r="E78" t="s">
        <v>1119</v>
      </c>
      <c r="F78" t="s">
        <v>1178</v>
      </c>
      <c r="G78" t="s">
        <v>1396</v>
      </c>
      <c r="H78" s="135" t="s">
        <v>1397</v>
      </c>
      <c r="I78">
        <v>12</v>
      </c>
      <c r="J78" t="s">
        <v>1279</v>
      </c>
      <c r="K78">
        <v>12101</v>
      </c>
      <c r="L78" t="s">
        <v>1280</v>
      </c>
      <c r="M78">
        <v>12101265</v>
      </c>
      <c r="N78" t="s">
        <v>1281</v>
      </c>
      <c r="O78">
        <v>12101265813</v>
      </c>
      <c r="P78" t="s">
        <v>1282</v>
      </c>
      <c r="Q78" s="135" t="s">
        <v>1365</v>
      </c>
      <c r="R78" t="s">
        <v>1366</v>
      </c>
      <c r="S78" s="135" t="s">
        <v>1397</v>
      </c>
      <c r="T78" t="s">
        <v>1398</v>
      </c>
      <c r="U78" t="s">
        <v>1230</v>
      </c>
      <c r="V78" t="s">
        <v>1231</v>
      </c>
      <c r="W78">
        <v>8</v>
      </c>
      <c r="X78" t="s">
        <v>1342</v>
      </c>
      <c r="Y78">
        <v>525</v>
      </c>
      <c r="Z78">
        <v>4200</v>
      </c>
      <c r="AA78" t="s">
        <v>28</v>
      </c>
      <c r="AB78" t="s">
        <v>1190</v>
      </c>
      <c r="AC78">
        <v>8</v>
      </c>
      <c r="AD78" t="s">
        <v>1232</v>
      </c>
      <c r="AE78" t="s">
        <v>1192</v>
      </c>
      <c r="AF78" t="s">
        <v>1193</v>
      </c>
      <c r="AG78" t="s">
        <v>1194</v>
      </c>
      <c r="AH78" t="s">
        <v>1195</v>
      </c>
      <c r="AI78" t="s">
        <v>1202</v>
      </c>
      <c r="AJ78" t="s">
        <v>1291</v>
      </c>
      <c r="AK78" t="s">
        <v>1292</v>
      </c>
      <c r="AL78" t="s">
        <v>1291</v>
      </c>
      <c r="AM78" t="s">
        <v>1293</v>
      </c>
      <c r="AN78" t="s">
        <v>1201</v>
      </c>
      <c r="AO78" t="s">
        <v>1292</v>
      </c>
      <c r="AP78" t="s">
        <v>1294</v>
      </c>
      <c r="AQ78" t="s">
        <v>1203</v>
      </c>
      <c r="AR78" t="s">
        <v>1201</v>
      </c>
      <c r="AS78" t="s">
        <v>1203</v>
      </c>
      <c r="AU78" t="s">
        <v>1204</v>
      </c>
      <c r="AW78" t="b">
        <v>0</v>
      </c>
      <c r="AY78" t="b">
        <v>1</v>
      </c>
      <c r="BA78" t="s">
        <v>1295</v>
      </c>
      <c r="BB78" t="s">
        <v>1206</v>
      </c>
      <c r="BC78" t="s">
        <v>1206</v>
      </c>
      <c r="BD78" t="s">
        <v>1207</v>
      </c>
      <c r="BE78" t="s">
        <v>1296</v>
      </c>
      <c r="BF78" t="s">
        <v>1297</v>
      </c>
      <c r="BG78" t="s">
        <v>1298</v>
      </c>
      <c r="BH78" t="s">
        <v>1206</v>
      </c>
      <c r="BI78" t="s">
        <v>1206</v>
      </c>
      <c r="BJ78" t="s">
        <v>1299</v>
      </c>
    </row>
    <row r="79" spans="1:62" x14ac:dyDescent="0.25">
      <c r="A79" t="s">
        <v>1177</v>
      </c>
      <c r="B79">
        <v>150385</v>
      </c>
      <c r="C79">
        <v>150385</v>
      </c>
      <c r="D79" s="112" t="s">
        <v>2502</v>
      </c>
      <c r="E79" t="s">
        <v>1119</v>
      </c>
      <c r="F79" t="s">
        <v>1178</v>
      </c>
      <c r="G79" t="s">
        <v>1399</v>
      </c>
      <c r="H79" s="135" t="s">
        <v>1364</v>
      </c>
      <c r="I79">
        <v>12</v>
      </c>
      <c r="J79" t="s">
        <v>1279</v>
      </c>
      <c r="K79">
        <v>12101</v>
      </c>
      <c r="L79" t="s">
        <v>1280</v>
      </c>
      <c r="M79">
        <v>12101265</v>
      </c>
      <c r="N79" t="s">
        <v>1281</v>
      </c>
      <c r="O79">
        <v>12101265813</v>
      </c>
      <c r="P79" t="s">
        <v>1282</v>
      </c>
      <c r="Q79" s="135" t="s">
        <v>1365</v>
      </c>
      <c r="R79" t="s">
        <v>1366</v>
      </c>
      <c r="S79" s="135" t="s">
        <v>1364</v>
      </c>
      <c r="T79" t="s">
        <v>1367</v>
      </c>
      <c r="U79" t="s">
        <v>1230</v>
      </c>
      <c r="V79" t="s">
        <v>1231</v>
      </c>
      <c r="W79">
        <v>8</v>
      </c>
      <c r="X79" t="s">
        <v>1342</v>
      </c>
      <c r="Y79">
        <v>21</v>
      </c>
      <c r="Z79">
        <v>168</v>
      </c>
      <c r="AA79" t="s">
        <v>28</v>
      </c>
      <c r="AB79" t="s">
        <v>1190</v>
      </c>
      <c r="AC79">
        <v>8</v>
      </c>
      <c r="AD79" t="s">
        <v>1232</v>
      </c>
      <c r="AE79" t="s">
        <v>1192</v>
      </c>
      <c r="AF79" t="s">
        <v>1193</v>
      </c>
      <c r="AG79" t="s">
        <v>1194</v>
      </c>
      <c r="AH79" t="s">
        <v>1195</v>
      </c>
      <c r="AI79" t="s">
        <v>1202</v>
      </c>
      <c r="AJ79" t="s">
        <v>1291</v>
      </c>
      <c r="AK79" t="s">
        <v>1292</v>
      </c>
      <c r="AL79" t="s">
        <v>1291</v>
      </c>
      <c r="AM79" t="s">
        <v>1318</v>
      </c>
      <c r="AN79" t="s">
        <v>1201</v>
      </c>
      <c r="AO79" t="s">
        <v>1292</v>
      </c>
      <c r="AP79" t="s">
        <v>1319</v>
      </c>
      <c r="AQ79" t="s">
        <v>1203</v>
      </c>
      <c r="AR79" t="s">
        <v>1201</v>
      </c>
      <c r="AS79" t="s">
        <v>1203</v>
      </c>
      <c r="AU79" t="s">
        <v>1204</v>
      </c>
      <c r="AW79" t="b">
        <v>0</v>
      </c>
      <c r="AY79" t="b">
        <v>1</v>
      </c>
      <c r="BA79" t="s">
        <v>1295</v>
      </c>
      <c r="BB79" t="s">
        <v>1206</v>
      </c>
      <c r="BC79" t="s">
        <v>1206</v>
      </c>
      <c r="BD79" t="s">
        <v>1207</v>
      </c>
      <c r="BE79" t="s">
        <v>1296</v>
      </c>
      <c r="BF79" t="s">
        <v>1297</v>
      </c>
      <c r="BG79" t="s">
        <v>1298</v>
      </c>
      <c r="BH79" t="s">
        <v>1206</v>
      </c>
      <c r="BI79" t="s">
        <v>1206</v>
      </c>
      <c r="BJ79" t="s">
        <v>1299</v>
      </c>
    </row>
    <row r="80" spans="1:62" x14ac:dyDescent="0.25">
      <c r="A80" t="s">
        <v>1177</v>
      </c>
      <c r="B80">
        <v>150386</v>
      </c>
      <c r="C80">
        <v>150386</v>
      </c>
      <c r="D80" s="112" t="s">
        <v>2503</v>
      </c>
      <c r="E80" t="s">
        <v>1119</v>
      </c>
      <c r="F80" t="s">
        <v>1178</v>
      </c>
      <c r="G80" t="s">
        <v>1400</v>
      </c>
      <c r="H80" s="135" t="s">
        <v>1364</v>
      </c>
      <c r="I80">
        <v>12</v>
      </c>
      <c r="J80" t="s">
        <v>1279</v>
      </c>
      <c r="K80">
        <v>12101</v>
      </c>
      <c r="L80" t="s">
        <v>1280</v>
      </c>
      <c r="M80">
        <v>12101265</v>
      </c>
      <c r="N80" t="s">
        <v>1281</v>
      </c>
      <c r="O80">
        <v>12101265813</v>
      </c>
      <c r="P80" t="s">
        <v>1282</v>
      </c>
      <c r="Q80" s="135" t="s">
        <v>1365</v>
      </c>
      <c r="R80" t="s">
        <v>1366</v>
      </c>
      <c r="S80" s="135" t="s">
        <v>1364</v>
      </c>
      <c r="T80" t="s">
        <v>1367</v>
      </c>
      <c r="U80" t="s">
        <v>1230</v>
      </c>
      <c r="V80" t="s">
        <v>1231</v>
      </c>
      <c r="W80">
        <v>8</v>
      </c>
      <c r="X80" t="s">
        <v>1342</v>
      </c>
      <c r="Y80">
        <v>21</v>
      </c>
      <c r="Z80">
        <v>168</v>
      </c>
      <c r="AA80" t="s">
        <v>28</v>
      </c>
      <c r="AB80" t="s">
        <v>1190</v>
      </c>
      <c r="AC80">
        <v>8</v>
      </c>
      <c r="AD80" t="s">
        <v>1232</v>
      </c>
      <c r="AE80" t="s">
        <v>1192</v>
      </c>
      <c r="AF80" t="s">
        <v>1193</v>
      </c>
      <c r="AG80" t="s">
        <v>1194</v>
      </c>
      <c r="AH80" t="s">
        <v>1195</v>
      </c>
      <c r="AI80" t="s">
        <v>1202</v>
      </c>
      <c r="AJ80" t="s">
        <v>1291</v>
      </c>
      <c r="AK80" t="s">
        <v>1292</v>
      </c>
      <c r="AL80" t="s">
        <v>1291</v>
      </c>
      <c r="AM80" t="s">
        <v>1318</v>
      </c>
      <c r="AN80" t="s">
        <v>1201</v>
      </c>
      <c r="AO80" t="s">
        <v>1292</v>
      </c>
      <c r="AP80" t="s">
        <v>1319</v>
      </c>
      <c r="AQ80" t="s">
        <v>1203</v>
      </c>
      <c r="AR80" t="s">
        <v>1201</v>
      </c>
      <c r="AS80" t="s">
        <v>1203</v>
      </c>
      <c r="AU80" t="s">
        <v>1204</v>
      </c>
      <c r="AW80" t="b">
        <v>0</v>
      </c>
      <c r="AY80" t="b">
        <v>1</v>
      </c>
      <c r="BA80" t="s">
        <v>1295</v>
      </c>
      <c r="BB80" t="s">
        <v>1206</v>
      </c>
      <c r="BC80" t="s">
        <v>1206</v>
      </c>
      <c r="BD80" t="s">
        <v>1207</v>
      </c>
      <c r="BE80" t="s">
        <v>1296</v>
      </c>
      <c r="BF80" t="s">
        <v>1297</v>
      </c>
      <c r="BG80" t="s">
        <v>1298</v>
      </c>
      <c r="BH80" t="s">
        <v>1206</v>
      </c>
      <c r="BI80" t="s">
        <v>1206</v>
      </c>
      <c r="BJ80" t="s">
        <v>1299</v>
      </c>
    </row>
    <row r="81" spans="1:62" x14ac:dyDescent="0.25">
      <c r="A81" t="s">
        <v>1177</v>
      </c>
      <c r="B81">
        <v>150996</v>
      </c>
      <c r="C81">
        <v>150996</v>
      </c>
      <c r="D81" s="112" t="s">
        <v>2504</v>
      </c>
      <c r="E81" t="s">
        <v>1119</v>
      </c>
      <c r="F81" t="s">
        <v>1178</v>
      </c>
      <c r="G81" t="s">
        <v>1401</v>
      </c>
      <c r="H81" s="135" t="s">
        <v>1306</v>
      </c>
      <c r="I81">
        <v>12</v>
      </c>
      <c r="J81" t="s">
        <v>1279</v>
      </c>
      <c r="K81">
        <v>12101</v>
      </c>
      <c r="L81" t="s">
        <v>1280</v>
      </c>
      <c r="M81">
        <v>12101265</v>
      </c>
      <c r="N81" t="s">
        <v>1281</v>
      </c>
      <c r="O81">
        <v>12101265813</v>
      </c>
      <c r="P81" t="s">
        <v>1282</v>
      </c>
      <c r="Q81" s="135" t="s">
        <v>1307</v>
      </c>
      <c r="R81" t="s">
        <v>1308</v>
      </c>
      <c r="S81" s="135" t="s">
        <v>1306</v>
      </c>
      <c r="T81" t="s">
        <v>1309</v>
      </c>
      <c r="U81" t="s">
        <v>1310</v>
      </c>
      <c r="V81" t="s">
        <v>1311</v>
      </c>
      <c r="W81">
        <v>1</v>
      </c>
      <c r="X81" t="s">
        <v>1288</v>
      </c>
      <c r="Y81">
        <v>6</v>
      </c>
      <c r="Z81">
        <v>6</v>
      </c>
      <c r="AA81" t="s">
        <v>28</v>
      </c>
      <c r="AB81" t="s">
        <v>1190</v>
      </c>
      <c r="AC81">
        <v>1000</v>
      </c>
      <c r="AD81" t="s">
        <v>1191</v>
      </c>
      <c r="AE81" t="s">
        <v>1290</v>
      </c>
      <c r="AF81" t="s">
        <v>1193</v>
      </c>
      <c r="AG81" t="s">
        <v>1194</v>
      </c>
      <c r="AH81" t="s">
        <v>1195</v>
      </c>
      <c r="AI81" t="s">
        <v>1202</v>
      </c>
      <c r="AJ81" t="s">
        <v>1291</v>
      </c>
      <c r="AK81" t="s">
        <v>1292</v>
      </c>
      <c r="AL81" t="s">
        <v>1291</v>
      </c>
      <c r="AM81" t="s">
        <v>1293</v>
      </c>
      <c r="AN81" t="s">
        <v>1201</v>
      </c>
      <c r="AO81" t="s">
        <v>1292</v>
      </c>
      <c r="AP81" t="s">
        <v>1294</v>
      </c>
      <c r="AQ81" t="s">
        <v>1203</v>
      </c>
      <c r="AR81" t="s">
        <v>1201</v>
      </c>
      <c r="AS81" t="s">
        <v>1203</v>
      </c>
      <c r="AU81" t="s">
        <v>1204</v>
      </c>
      <c r="AW81" t="b">
        <v>0</v>
      </c>
      <c r="AY81" t="b">
        <v>0</v>
      </c>
      <c r="BA81" t="s">
        <v>1295</v>
      </c>
      <c r="BB81" t="s">
        <v>1206</v>
      </c>
      <c r="BC81" t="s">
        <v>1206</v>
      </c>
      <c r="BD81" t="s">
        <v>1207</v>
      </c>
      <c r="BE81" t="s">
        <v>1296</v>
      </c>
      <c r="BF81" t="s">
        <v>1297</v>
      </c>
      <c r="BG81" t="s">
        <v>1298</v>
      </c>
      <c r="BH81" t="s">
        <v>1206</v>
      </c>
      <c r="BI81" t="s">
        <v>1206</v>
      </c>
      <c r="BJ81" t="s">
        <v>1299</v>
      </c>
    </row>
    <row r="82" spans="1:62" x14ac:dyDescent="0.25">
      <c r="A82" t="s">
        <v>1177</v>
      </c>
      <c r="B82">
        <v>150392</v>
      </c>
      <c r="C82">
        <v>150392</v>
      </c>
      <c r="D82" s="112" t="s">
        <v>2505</v>
      </c>
      <c r="E82" t="s">
        <v>1119</v>
      </c>
      <c r="F82" t="s">
        <v>1178</v>
      </c>
      <c r="G82" t="s">
        <v>1401</v>
      </c>
      <c r="H82" s="135" t="s">
        <v>1306</v>
      </c>
      <c r="I82">
        <v>12</v>
      </c>
      <c r="J82" t="s">
        <v>1279</v>
      </c>
      <c r="K82">
        <v>12101</v>
      </c>
      <c r="L82" t="s">
        <v>1280</v>
      </c>
      <c r="M82">
        <v>12101265</v>
      </c>
      <c r="N82" t="s">
        <v>1281</v>
      </c>
      <c r="O82">
        <v>12101265813</v>
      </c>
      <c r="P82" t="s">
        <v>1282</v>
      </c>
      <c r="Q82" s="135" t="s">
        <v>1307</v>
      </c>
      <c r="R82" t="s">
        <v>1308</v>
      </c>
      <c r="S82" s="135" t="s">
        <v>1306</v>
      </c>
      <c r="T82" t="s">
        <v>1309</v>
      </c>
      <c r="U82" t="s">
        <v>1310</v>
      </c>
      <c r="V82" t="s">
        <v>1311</v>
      </c>
      <c r="W82">
        <v>1</v>
      </c>
      <c r="X82" t="s">
        <v>1288</v>
      </c>
      <c r="Y82">
        <v>6</v>
      </c>
      <c r="Z82">
        <v>6</v>
      </c>
      <c r="AA82" t="s">
        <v>28</v>
      </c>
      <c r="AB82" t="s">
        <v>1190</v>
      </c>
      <c r="AC82">
        <v>1000</v>
      </c>
      <c r="AD82" t="s">
        <v>1191</v>
      </c>
      <c r="AE82" t="s">
        <v>1290</v>
      </c>
      <c r="AF82" t="s">
        <v>1193</v>
      </c>
      <c r="AG82" t="s">
        <v>1194</v>
      </c>
      <c r="AH82" t="s">
        <v>1195</v>
      </c>
      <c r="AI82" t="s">
        <v>1202</v>
      </c>
      <c r="AJ82" t="s">
        <v>1291</v>
      </c>
      <c r="AK82" t="s">
        <v>1292</v>
      </c>
      <c r="AL82" t="s">
        <v>1291</v>
      </c>
      <c r="AM82" t="s">
        <v>1293</v>
      </c>
      <c r="AN82" t="s">
        <v>1201</v>
      </c>
      <c r="AO82" t="s">
        <v>1292</v>
      </c>
      <c r="AP82" t="s">
        <v>1294</v>
      </c>
      <c r="AQ82" t="s">
        <v>1203</v>
      </c>
      <c r="AR82" t="s">
        <v>1201</v>
      </c>
      <c r="AS82" t="s">
        <v>1203</v>
      </c>
      <c r="AU82" t="s">
        <v>1204</v>
      </c>
      <c r="AW82" t="b">
        <v>0</v>
      </c>
      <c r="AY82" t="b">
        <v>0</v>
      </c>
      <c r="BA82" t="s">
        <v>1295</v>
      </c>
      <c r="BB82" t="s">
        <v>1206</v>
      </c>
      <c r="BC82" t="s">
        <v>1206</v>
      </c>
      <c r="BD82" t="s">
        <v>1207</v>
      </c>
      <c r="BE82" t="s">
        <v>1296</v>
      </c>
      <c r="BF82" t="s">
        <v>1297</v>
      </c>
      <c r="BG82" t="s">
        <v>1298</v>
      </c>
      <c r="BH82" t="s">
        <v>1206</v>
      </c>
      <c r="BI82" t="s">
        <v>1206</v>
      </c>
      <c r="BJ82" t="s">
        <v>1299</v>
      </c>
    </row>
    <row r="83" spans="1:62" x14ac:dyDescent="0.25">
      <c r="A83" t="s">
        <v>1177</v>
      </c>
      <c r="B83">
        <v>150395</v>
      </c>
      <c r="C83">
        <v>150395</v>
      </c>
      <c r="D83" s="112" t="s">
        <v>2506</v>
      </c>
      <c r="E83" t="s">
        <v>1119</v>
      </c>
      <c r="F83" t="s">
        <v>1178</v>
      </c>
      <c r="G83" t="s">
        <v>1402</v>
      </c>
      <c r="H83" s="135" t="s">
        <v>1403</v>
      </c>
      <c r="I83">
        <v>12</v>
      </c>
      <c r="J83" t="s">
        <v>1279</v>
      </c>
      <c r="K83">
        <v>12101</v>
      </c>
      <c r="L83" t="s">
        <v>1280</v>
      </c>
      <c r="M83">
        <v>12101265</v>
      </c>
      <c r="N83" t="s">
        <v>1281</v>
      </c>
      <c r="O83">
        <v>12101265813</v>
      </c>
      <c r="P83" t="s">
        <v>1282</v>
      </c>
      <c r="Q83" s="135" t="s">
        <v>1404</v>
      </c>
      <c r="R83" t="s">
        <v>1405</v>
      </c>
      <c r="S83" s="135" t="s">
        <v>1403</v>
      </c>
      <c r="T83" t="s">
        <v>1406</v>
      </c>
      <c r="U83" t="s">
        <v>1230</v>
      </c>
      <c r="V83" t="s">
        <v>1231</v>
      </c>
      <c r="W83">
        <v>7</v>
      </c>
      <c r="X83" t="s">
        <v>1342</v>
      </c>
      <c r="Y83">
        <v>21</v>
      </c>
      <c r="Z83">
        <v>147</v>
      </c>
      <c r="AA83" t="s">
        <v>28</v>
      </c>
      <c r="AB83" t="s">
        <v>1190</v>
      </c>
      <c r="AC83">
        <v>7</v>
      </c>
      <c r="AD83" t="s">
        <v>1232</v>
      </c>
      <c r="AE83" t="s">
        <v>1192</v>
      </c>
      <c r="AF83" t="s">
        <v>1193</v>
      </c>
      <c r="AG83" t="s">
        <v>1194</v>
      </c>
      <c r="AH83" t="s">
        <v>1195</v>
      </c>
      <c r="AI83" t="s">
        <v>1202</v>
      </c>
      <c r="AJ83" t="s">
        <v>1291</v>
      </c>
      <c r="AK83" t="s">
        <v>1292</v>
      </c>
      <c r="AL83" t="s">
        <v>1291</v>
      </c>
      <c r="AM83" t="s">
        <v>1293</v>
      </c>
      <c r="AN83" t="s">
        <v>1201</v>
      </c>
      <c r="AO83" t="s">
        <v>1292</v>
      </c>
      <c r="AP83" t="s">
        <v>1294</v>
      </c>
      <c r="AQ83" t="s">
        <v>1203</v>
      </c>
      <c r="AR83" t="s">
        <v>1201</v>
      </c>
      <c r="AS83" t="s">
        <v>1203</v>
      </c>
      <c r="AU83" t="s">
        <v>1204</v>
      </c>
      <c r="AW83" t="b">
        <v>0</v>
      </c>
      <c r="AY83" t="b">
        <v>1</v>
      </c>
      <c r="BA83" t="s">
        <v>1295</v>
      </c>
      <c r="BB83" t="s">
        <v>1206</v>
      </c>
      <c r="BC83" t="s">
        <v>1206</v>
      </c>
      <c r="BD83" t="s">
        <v>1207</v>
      </c>
      <c r="BE83" t="s">
        <v>1296</v>
      </c>
      <c r="BF83" t="s">
        <v>1297</v>
      </c>
      <c r="BG83" t="s">
        <v>1298</v>
      </c>
      <c r="BH83" t="s">
        <v>1206</v>
      </c>
      <c r="BI83" t="s">
        <v>1206</v>
      </c>
      <c r="BJ83" t="s">
        <v>1299</v>
      </c>
    </row>
    <row r="84" spans="1:62" x14ac:dyDescent="0.25">
      <c r="A84" t="s">
        <v>1177</v>
      </c>
      <c r="B84">
        <v>150399</v>
      </c>
      <c r="C84">
        <v>150399</v>
      </c>
      <c r="D84" s="112" t="s">
        <v>2507</v>
      </c>
      <c r="E84" t="s">
        <v>1119</v>
      </c>
      <c r="F84" t="s">
        <v>1178</v>
      </c>
      <c r="G84" t="s">
        <v>1407</v>
      </c>
      <c r="H84" s="135" t="s">
        <v>1408</v>
      </c>
      <c r="I84">
        <v>12</v>
      </c>
      <c r="J84" t="s">
        <v>1279</v>
      </c>
      <c r="K84">
        <v>12101</v>
      </c>
      <c r="L84" t="s">
        <v>1280</v>
      </c>
      <c r="M84">
        <v>12101265</v>
      </c>
      <c r="N84" t="s">
        <v>1281</v>
      </c>
      <c r="O84">
        <v>12101265813</v>
      </c>
      <c r="P84" t="s">
        <v>1282</v>
      </c>
      <c r="Q84" s="135" t="s">
        <v>1404</v>
      </c>
      <c r="R84" t="s">
        <v>1405</v>
      </c>
      <c r="S84" s="135" t="s">
        <v>1408</v>
      </c>
      <c r="T84" t="s">
        <v>1409</v>
      </c>
      <c r="U84" t="s">
        <v>1230</v>
      </c>
      <c r="V84" t="s">
        <v>1231</v>
      </c>
      <c r="W84">
        <v>7</v>
      </c>
      <c r="X84" t="s">
        <v>1342</v>
      </c>
      <c r="Y84">
        <v>504</v>
      </c>
      <c r="Z84">
        <v>3528</v>
      </c>
      <c r="AA84" t="s">
        <v>28</v>
      </c>
      <c r="AB84" t="s">
        <v>1190</v>
      </c>
      <c r="AC84">
        <v>7</v>
      </c>
      <c r="AD84" t="s">
        <v>1232</v>
      </c>
      <c r="AE84" t="s">
        <v>1192</v>
      </c>
      <c r="AF84" t="s">
        <v>1193</v>
      </c>
      <c r="AG84" t="s">
        <v>1194</v>
      </c>
      <c r="AH84" t="s">
        <v>1195</v>
      </c>
      <c r="AI84" t="s">
        <v>1202</v>
      </c>
      <c r="AJ84" t="s">
        <v>1291</v>
      </c>
      <c r="AK84" t="s">
        <v>1292</v>
      </c>
      <c r="AL84" t="s">
        <v>1291</v>
      </c>
      <c r="AM84" t="s">
        <v>1293</v>
      </c>
      <c r="AN84" t="s">
        <v>1201</v>
      </c>
      <c r="AO84" t="s">
        <v>1292</v>
      </c>
      <c r="AP84" t="s">
        <v>1294</v>
      </c>
      <c r="AQ84" t="s">
        <v>1203</v>
      </c>
      <c r="AR84" t="s">
        <v>1201</v>
      </c>
      <c r="AS84" t="s">
        <v>1203</v>
      </c>
      <c r="AU84" t="s">
        <v>1204</v>
      </c>
      <c r="AW84" t="b">
        <v>0</v>
      </c>
      <c r="AY84" t="b">
        <v>1</v>
      </c>
      <c r="BA84" t="s">
        <v>1295</v>
      </c>
      <c r="BB84" t="s">
        <v>1206</v>
      </c>
      <c r="BC84" t="s">
        <v>1206</v>
      </c>
      <c r="BD84" t="s">
        <v>1207</v>
      </c>
      <c r="BE84" t="s">
        <v>1296</v>
      </c>
      <c r="BF84" t="s">
        <v>1297</v>
      </c>
      <c r="BG84" t="s">
        <v>1298</v>
      </c>
      <c r="BH84" t="s">
        <v>1206</v>
      </c>
      <c r="BI84" t="s">
        <v>1206</v>
      </c>
      <c r="BJ84" t="s">
        <v>1299</v>
      </c>
    </row>
    <row r="85" spans="1:62" x14ac:dyDescent="0.25">
      <c r="A85" t="s">
        <v>1177</v>
      </c>
      <c r="B85">
        <v>815265</v>
      </c>
      <c r="C85" t="s">
        <v>1258</v>
      </c>
      <c r="D85" s="112" t="s">
        <v>2508</v>
      </c>
      <c r="E85" t="s">
        <v>1119</v>
      </c>
      <c r="F85" t="s">
        <v>1178</v>
      </c>
      <c r="G85" t="s">
        <v>1410</v>
      </c>
      <c r="H85" s="135" t="s">
        <v>1411</v>
      </c>
      <c r="I85">
        <v>12</v>
      </c>
      <c r="J85" t="s">
        <v>1279</v>
      </c>
      <c r="K85">
        <v>12101</v>
      </c>
      <c r="L85" t="s">
        <v>1280</v>
      </c>
      <c r="M85">
        <v>12101265</v>
      </c>
      <c r="N85" t="s">
        <v>1281</v>
      </c>
      <c r="O85">
        <v>12101265813</v>
      </c>
      <c r="P85" t="s">
        <v>1282</v>
      </c>
      <c r="Q85" s="135" t="s">
        <v>1345</v>
      </c>
      <c r="R85" t="s">
        <v>1346</v>
      </c>
      <c r="S85" s="135" t="s">
        <v>1411</v>
      </c>
      <c r="T85" t="s">
        <v>1412</v>
      </c>
      <c r="U85" t="s">
        <v>1187</v>
      </c>
      <c r="V85" t="s">
        <v>1188</v>
      </c>
      <c r="W85">
        <v>335</v>
      </c>
      <c r="X85" t="s">
        <v>1189</v>
      </c>
      <c r="Y85">
        <v>12</v>
      </c>
      <c r="Z85">
        <v>4020</v>
      </c>
      <c r="AA85" t="s">
        <v>28</v>
      </c>
      <c r="AB85" t="s">
        <v>1190</v>
      </c>
      <c r="AC85">
        <v>335</v>
      </c>
      <c r="AD85" t="s">
        <v>1191</v>
      </c>
      <c r="AE85" t="s">
        <v>1192</v>
      </c>
      <c r="AF85" t="s">
        <v>1193</v>
      </c>
      <c r="AG85" t="s">
        <v>1194</v>
      </c>
      <c r="AH85" t="s">
        <v>1195</v>
      </c>
      <c r="AI85" t="s">
        <v>1202</v>
      </c>
      <c r="AJ85" t="s">
        <v>1291</v>
      </c>
      <c r="AK85" t="s">
        <v>1292</v>
      </c>
      <c r="AL85" t="s">
        <v>1291</v>
      </c>
      <c r="AM85" t="s">
        <v>1318</v>
      </c>
      <c r="AN85" t="s">
        <v>1201</v>
      </c>
      <c r="AO85" t="s">
        <v>1292</v>
      </c>
      <c r="AP85" t="s">
        <v>1319</v>
      </c>
      <c r="AQ85" t="s">
        <v>1203</v>
      </c>
      <c r="AR85" t="s">
        <v>1201</v>
      </c>
      <c r="AS85" t="s">
        <v>1203</v>
      </c>
      <c r="AU85" t="s">
        <v>1204</v>
      </c>
      <c r="AW85" t="b">
        <v>0</v>
      </c>
      <c r="AY85" t="b">
        <v>1</v>
      </c>
      <c r="BA85" t="s">
        <v>1295</v>
      </c>
      <c r="BB85" t="s">
        <v>1206</v>
      </c>
      <c r="BC85" t="s">
        <v>1206</v>
      </c>
      <c r="BD85" t="s">
        <v>1207</v>
      </c>
      <c r="BE85" t="s">
        <v>1296</v>
      </c>
      <c r="BF85" t="s">
        <v>1297</v>
      </c>
      <c r="BG85" t="s">
        <v>1298</v>
      </c>
      <c r="BH85" t="s">
        <v>1206</v>
      </c>
      <c r="BI85" t="s">
        <v>1206</v>
      </c>
      <c r="BJ85" t="s">
        <v>1299</v>
      </c>
    </row>
    <row r="86" spans="1:62" x14ac:dyDescent="0.25">
      <c r="A86" t="s">
        <v>1177</v>
      </c>
      <c r="B86">
        <v>815317</v>
      </c>
      <c r="C86" t="s">
        <v>1258</v>
      </c>
      <c r="D86" s="112" t="s">
        <v>2509</v>
      </c>
      <c r="E86" t="s">
        <v>1119</v>
      </c>
      <c r="F86" t="s">
        <v>1178</v>
      </c>
      <c r="G86" t="s">
        <v>1413</v>
      </c>
      <c r="H86" s="135" t="s">
        <v>1344</v>
      </c>
      <c r="I86">
        <v>12</v>
      </c>
      <c r="J86" t="s">
        <v>1279</v>
      </c>
      <c r="K86">
        <v>12101</v>
      </c>
      <c r="L86" t="s">
        <v>1280</v>
      </c>
      <c r="M86">
        <v>12101265</v>
      </c>
      <c r="N86" t="s">
        <v>1281</v>
      </c>
      <c r="O86">
        <v>12101265813</v>
      </c>
      <c r="P86" t="s">
        <v>1282</v>
      </c>
      <c r="Q86" s="135" t="s">
        <v>1345</v>
      </c>
      <c r="R86" t="s">
        <v>1346</v>
      </c>
      <c r="S86" s="135" t="s">
        <v>1344</v>
      </c>
      <c r="T86" t="s">
        <v>1347</v>
      </c>
      <c r="U86" t="s">
        <v>1187</v>
      </c>
      <c r="V86" t="s">
        <v>1188</v>
      </c>
      <c r="W86">
        <v>335</v>
      </c>
      <c r="X86" t="s">
        <v>1189</v>
      </c>
      <c r="Y86">
        <v>24</v>
      </c>
      <c r="Z86">
        <v>8040</v>
      </c>
      <c r="AA86" t="s">
        <v>28</v>
      </c>
      <c r="AB86" t="s">
        <v>1190</v>
      </c>
      <c r="AC86">
        <v>335</v>
      </c>
      <c r="AD86" t="s">
        <v>1191</v>
      </c>
      <c r="AE86" t="s">
        <v>1192</v>
      </c>
      <c r="AF86" t="s">
        <v>1193</v>
      </c>
      <c r="AG86" t="s">
        <v>1194</v>
      </c>
      <c r="AH86" t="s">
        <v>1195</v>
      </c>
      <c r="AI86" t="s">
        <v>1202</v>
      </c>
      <c r="AJ86" t="s">
        <v>1291</v>
      </c>
      <c r="AK86" t="s">
        <v>1292</v>
      </c>
      <c r="AL86" t="s">
        <v>1291</v>
      </c>
      <c r="AM86" t="s">
        <v>1321</v>
      </c>
      <c r="AN86" t="s">
        <v>1201</v>
      </c>
      <c r="AO86" t="s">
        <v>1292</v>
      </c>
      <c r="AP86" t="s">
        <v>1322</v>
      </c>
      <c r="AQ86" t="s">
        <v>1203</v>
      </c>
      <c r="AR86" t="s">
        <v>1201</v>
      </c>
      <c r="AS86" t="s">
        <v>1203</v>
      </c>
      <c r="AU86" t="s">
        <v>1204</v>
      </c>
      <c r="AW86" t="b">
        <v>0</v>
      </c>
      <c r="AY86" t="b">
        <v>0</v>
      </c>
      <c r="BA86" t="s">
        <v>1295</v>
      </c>
      <c r="BB86" t="s">
        <v>1206</v>
      </c>
      <c r="BC86" t="s">
        <v>1206</v>
      </c>
      <c r="BD86" t="s">
        <v>1207</v>
      </c>
      <c r="BE86" t="s">
        <v>1296</v>
      </c>
      <c r="BF86" t="s">
        <v>1297</v>
      </c>
      <c r="BG86" t="s">
        <v>1298</v>
      </c>
      <c r="BH86" t="s">
        <v>1206</v>
      </c>
      <c r="BI86" t="s">
        <v>1206</v>
      </c>
      <c r="BJ86" t="s">
        <v>1299</v>
      </c>
    </row>
    <row r="87" spans="1:62" x14ac:dyDescent="0.25">
      <c r="A87" t="s">
        <v>1177</v>
      </c>
      <c r="B87">
        <v>815318</v>
      </c>
      <c r="C87" t="s">
        <v>1258</v>
      </c>
      <c r="D87" s="112" t="s">
        <v>2510</v>
      </c>
      <c r="E87" t="s">
        <v>1119</v>
      </c>
      <c r="F87" t="s">
        <v>1178</v>
      </c>
      <c r="G87" t="s">
        <v>1414</v>
      </c>
      <c r="H87" s="135" t="s">
        <v>1344</v>
      </c>
      <c r="I87">
        <v>12</v>
      </c>
      <c r="J87" t="s">
        <v>1279</v>
      </c>
      <c r="K87">
        <v>12101</v>
      </c>
      <c r="L87" t="s">
        <v>1280</v>
      </c>
      <c r="M87">
        <v>12101265</v>
      </c>
      <c r="N87" t="s">
        <v>1281</v>
      </c>
      <c r="O87">
        <v>12101265813</v>
      </c>
      <c r="P87" t="s">
        <v>1282</v>
      </c>
      <c r="Q87" s="135" t="s">
        <v>1345</v>
      </c>
      <c r="R87" t="s">
        <v>1346</v>
      </c>
      <c r="S87" s="135" t="s">
        <v>1344</v>
      </c>
      <c r="T87" t="s">
        <v>1347</v>
      </c>
      <c r="U87" t="s">
        <v>1187</v>
      </c>
      <c r="V87" t="s">
        <v>1188</v>
      </c>
      <c r="W87">
        <v>335</v>
      </c>
      <c r="X87" t="s">
        <v>1189</v>
      </c>
      <c r="Y87">
        <v>24</v>
      </c>
      <c r="Z87">
        <v>8040</v>
      </c>
      <c r="AA87" t="s">
        <v>28</v>
      </c>
      <c r="AB87" t="s">
        <v>1190</v>
      </c>
      <c r="AC87">
        <v>335</v>
      </c>
      <c r="AD87" t="s">
        <v>1191</v>
      </c>
      <c r="AE87" t="s">
        <v>1192</v>
      </c>
      <c r="AF87" t="s">
        <v>1193</v>
      </c>
      <c r="AG87" t="s">
        <v>1194</v>
      </c>
      <c r="AH87" t="s">
        <v>1195</v>
      </c>
      <c r="AI87" t="s">
        <v>1202</v>
      </c>
      <c r="AJ87" t="s">
        <v>1291</v>
      </c>
      <c r="AK87" t="s">
        <v>1292</v>
      </c>
      <c r="AL87" t="s">
        <v>1291</v>
      </c>
      <c r="AM87" t="s">
        <v>1380</v>
      </c>
      <c r="AN87" t="s">
        <v>1201</v>
      </c>
      <c r="AO87" t="s">
        <v>1292</v>
      </c>
      <c r="AP87" t="s">
        <v>1381</v>
      </c>
      <c r="AQ87" t="s">
        <v>1203</v>
      </c>
      <c r="AR87" t="s">
        <v>1201</v>
      </c>
      <c r="AS87" t="s">
        <v>1203</v>
      </c>
      <c r="AU87" t="s">
        <v>1204</v>
      </c>
      <c r="AW87" t="b">
        <v>0</v>
      </c>
      <c r="AY87" t="b">
        <v>0</v>
      </c>
      <c r="BA87" t="s">
        <v>1295</v>
      </c>
      <c r="BB87" t="s">
        <v>1206</v>
      </c>
      <c r="BC87" t="s">
        <v>1206</v>
      </c>
      <c r="BD87" t="s">
        <v>1207</v>
      </c>
      <c r="BE87" t="s">
        <v>1296</v>
      </c>
      <c r="BF87" t="s">
        <v>1297</v>
      </c>
      <c r="BG87" t="s">
        <v>1298</v>
      </c>
      <c r="BH87" t="s">
        <v>1206</v>
      </c>
      <c r="BI87" t="s">
        <v>1206</v>
      </c>
      <c r="BJ87" t="s">
        <v>1299</v>
      </c>
    </row>
    <row r="88" spans="1:62" x14ac:dyDescent="0.25">
      <c r="A88" t="s">
        <v>1177</v>
      </c>
      <c r="B88">
        <v>815251</v>
      </c>
      <c r="C88" t="s">
        <v>1258</v>
      </c>
      <c r="D88" s="112" t="s">
        <v>2511</v>
      </c>
      <c r="E88" t="s">
        <v>1119</v>
      </c>
      <c r="F88" t="s">
        <v>1178</v>
      </c>
      <c r="G88" t="s">
        <v>1415</v>
      </c>
      <c r="H88" s="135" t="s">
        <v>1344</v>
      </c>
      <c r="I88">
        <v>12</v>
      </c>
      <c r="J88" t="s">
        <v>1279</v>
      </c>
      <c r="K88">
        <v>12101</v>
      </c>
      <c r="L88" t="s">
        <v>1280</v>
      </c>
      <c r="M88">
        <v>12101265</v>
      </c>
      <c r="N88" t="s">
        <v>1281</v>
      </c>
      <c r="O88">
        <v>12101265813</v>
      </c>
      <c r="P88" t="s">
        <v>1282</v>
      </c>
      <c r="Q88" s="135" t="s">
        <v>1345</v>
      </c>
      <c r="R88" t="s">
        <v>1346</v>
      </c>
      <c r="S88" s="135" t="s">
        <v>1344</v>
      </c>
      <c r="T88" t="s">
        <v>1347</v>
      </c>
      <c r="U88" t="s">
        <v>1187</v>
      </c>
      <c r="V88" t="s">
        <v>1188</v>
      </c>
      <c r="W88">
        <v>335</v>
      </c>
      <c r="X88" t="s">
        <v>1189</v>
      </c>
      <c r="Y88">
        <v>24</v>
      </c>
      <c r="Z88">
        <v>8040</v>
      </c>
      <c r="AA88" t="s">
        <v>28</v>
      </c>
      <c r="AB88" t="s">
        <v>1190</v>
      </c>
      <c r="AC88">
        <v>335</v>
      </c>
      <c r="AD88" t="s">
        <v>1191</v>
      </c>
      <c r="AE88" t="s">
        <v>1192</v>
      </c>
      <c r="AF88" t="s">
        <v>1193</v>
      </c>
      <c r="AG88" t="s">
        <v>1194</v>
      </c>
      <c r="AH88" t="s">
        <v>1195</v>
      </c>
      <c r="AI88" t="s">
        <v>1202</v>
      </c>
      <c r="AJ88" t="s">
        <v>1291</v>
      </c>
      <c r="AK88" t="s">
        <v>1292</v>
      </c>
      <c r="AL88" t="s">
        <v>1291</v>
      </c>
      <c r="AM88" t="s">
        <v>1416</v>
      </c>
      <c r="AN88" t="s">
        <v>1201</v>
      </c>
      <c r="AO88" t="s">
        <v>1292</v>
      </c>
      <c r="AP88" t="s">
        <v>1417</v>
      </c>
      <c r="AQ88" t="s">
        <v>1203</v>
      </c>
      <c r="AR88" t="s">
        <v>1201</v>
      </c>
      <c r="AS88" t="s">
        <v>1203</v>
      </c>
      <c r="AU88" t="s">
        <v>1204</v>
      </c>
      <c r="AW88" t="b">
        <v>0</v>
      </c>
      <c r="AY88" t="b">
        <v>0</v>
      </c>
      <c r="BA88" t="s">
        <v>1295</v>
      </c>
      <c r="BB88" t="s">
        <v>1206</v>
      </c>
      <c r="BC88" t="s">
        <v>1206</v>
      </c>
      <c r="BD88" t="s">
        <v>1207</v>
      </c>
      <c r="BE88" t="s">
        <v>1296</v>
      </c>
      <c r="BF88" t="s">
        <v>1297</v>
      </c>
      <c r="BG88" t="s">
        <v>1298</v>
      </c>
      <c r="BH88" t="s">
        <v>1206</v>
      </c>
      <c r="BI88" t="s">
        <v>1206</v>
      </c>
      <c r="BJ88" t="s">
        <v>1299</v>
      </c>
    </row>
    <row r="89" spans="1:62" x14ac:dyDescent="0.25">
      <c r="A89" t="s">
        <v>1177</v>
      </c>
      <c r="B89">
        <v>815260</v>
      </c>
      <c r="C89" t="s">
        <v>1258</v>
      </c>
      <c r="D89" s="112" t="s">
        <v>2512</v>
      </c>
      <c r="E89" t="s">
        <v>1119</v>
      </c>
      <c r="F89" t="s">
        <v>1178</v>
      </c>
      <c r="G89" t="s">
        <v>1418</v>
      </c>
      <c r="H89" s="135" t="s">
        <v>1411</v>
      </c>
      <c r="I89">
        <v>12</v>
      </c>
      <c r="J89" t="s">
        <v>1279</v>
      </c>
      <c r="K89">
        <v>12101</v>
      </c>
      <c r="L89" t="s">
        <v>1280</v>
      </c>
      <c r="M89">
        <v>12101265</v>
      </c>
      <c r="N89" t="s">
        <v>1281</v>
      </c>
      <c r="O89">
        <v>12101265813</v>
      </c>
      <c r="P89" t="s">
        <v>1282</v>
      </c>
      <c r="Q89" s="135" t="s">
        <v>1345</v>
      </c>
      <c r="R89" t="s">
        <v>1346</v>
      </c>
      <c r="S89" s="135" t="s">
        <v>1411</v>
      </c>
      <c r="T89" t="s">
        <v>1412</v>
      </c>
      <c r="U89" t="s">
        <v>1187</v>
      </c>
      <c r="V89" t="s">
        <v>1188</v>
      </c>
      <c r="W89">
        <v>335</v>
      </c>
      <c r="X89" t="s">
        <v>1189</v>
      </c>
      <c r="Y89">
        <v>12</v>
      </c>
      <c r="Z89">
        <v>4020</v>
      </c>
      <c r="AA89" t="s">
        <v>28</v>
      </c>
      <c r="AB89" t="s">
        <v>1190</v>
      </c>
      <c r="AC89">
        <v>335</v>
      </c>
      <c r="AD89" t="s">
        <v>1191</v>
      </c>
      <c r="AE89" t="s">
        <v>1192</v>
      </c>
      <c r="AF89" t="s">
        <v>1193</v>
      </c>
      <c r="AG89" t="s">
        <v>1194</v>
      </c>
      <c r="AH89" t="s">
        <v>1195</v>
      </c>
      <c r="AI89" t="s">
        <v>1202</v>
      </c>
      <c r="AJ89" t="s">
        <v>1291</v>
      </c>
      <c r="AK89" t="s">
        <v>1292</v>
      </c>
      <c r="AL89" t="s">
        <v>1291</v>
      </c>
      <c r="AM89" t="s">
        <v>1318</v>
      </c>
      <c r="AN89" t="s">
        <v>1201</v>
      </c>
      <c r="AO89" t="s">
        <v>1292</v>
      </c>
      <c r="AP89" t="s">
        <v>1319</v>
      </c>
      <c r="AQ89" t="s">
        <v>1203</v>
      </c>
      <c r="AR89" t="s">
        <v>1201</v>
      </c>
      <c r="AS89" t="s">
        <v>1203</v>
      </c>
      <c r="AU89" t="s">
        <v>1204</v>
      </c>
      <c r="AW89" t="b">
        <v>0</v>
      </c>
      <c r="AY89" t="b">
        <v>1</v>
      </c>
      <c r="BA89" t="s">
        <v>1295</v>
      </c>
      <c r="BB89" t="s">
        <v>1206</v>
      </c>
      <c r="BC89" t="s">
        <v>1206</v>
      </c>
      <c r="BD89" t="s">
        <v>1207</v>
      </c>
      <c r="BE89" t="s">
        <v>1296</v>
      </c>
      <c r="BF89" t="s">
        <v>1297</v>
      </c>
      <c r="BG89" t="s">
        <v>1298</v>
      </c>
      <c r="BH89" t="s">
        <v>1206</v>
      </c>
      <c r="BI89" t="s">
        <v>1206</v>
      </c>
      <c r="BJ89" t="s">
        <v>1299</v>
      </c>
    </row>
    <row r="90" spans="1:62" x14ac:dyDescent="0.25">
      <c r="A90" t="s">
        <v>1177</v>
      </c>
      <c r="B90">
        <v>815293</v>
      </c>
      <c r="C90" t="s">
        <v>1258</v>
      </c>
      <c r="D90" s="112" t="s">
        <v>2513</v>
      </c>
      <c r="E90" t="s">
        <v>1119</v>
      </c>
      <c r="F90" t="s">
        <v>1178</v>
      </c>
      <c r="G90" t="s">
        <v>1419</v>
      </c>
      <c r="H90" s="135" t="s">
        <v>1411</v>
      </c>
      <c r="I90">
        <v>12</v>
      </c>
      <c r="J90" t="s">
        <v>1279</v>
      </c>
      <c r="K90">
        <v>12101</v>
      </c>
      <c r="L90" t="s">
        <v>1280</v>
      </c>
      <c r="M90">
        <v>12101265</v>
      </c>
      <c r="N90" t="s">
        <v>1281</v>
      </c>
      <c r="O90">
        <v>12101265813</v>
      </c>
      <c r="P90" t="s">
        <v>1282</v>
      </c>
      <c r="Q90" s="135" t="s">
        <v>1345</v>
      </c>
      <c r="R90" t="s">
        <v>1346</v>
      </c>
      <c r="S90" s="135" t="s">
        <v>1411</v>
      </c>
      <c r="T90" t="s">
        <v>1412</v>
      </c>
      <c r="U90" t="s">
        <v>1187</v>
      </c>
      <c r="V90" t="s">
        <v>1188</v>
      </c>
      <c r="W90">
        <v>335</v>
      </c>
      <c r="X90" t="s">
        <v>1189</v>
      </c>
      <c r="Y90">
        <v>12</v>
      </c>
      <c r="Z90">
        <v>4020</v>
      </c>
      <c r="AA90" t="s">
        <v>28</v>
      </c>
      <c r="AB90" t="s">
        <v>1190</v>
      </c>
      <c r="AC90">
        <v>335</v>
      </c>
      <c r="AD90" t="s">
        <v>1191</v>
      </c>
      <c r="AE90" t="s">
        <v>1192</v>
      </c>
      <c r="AF90" t="s">
        <v>1193</v>
      </c>
      <c r="AG90" t="s">
        <v>1194</v>
      </c>
      <c r="AH90" t="s">
        <v>1195</v>
      </c>
      <c r="AI90" t="s">
        <v>1202</v>
      </c>
      <c r="AJ90" t="s">
        <v>1291</v>
      </c>
      <c r="AK90" t="s">
        <v>1292</v>
      </c>
      <c r="AL90" t="s">
        <v>1291</v>
      </c>
      <c r="AM90" t="s">
        <v>1318</v>
      </c>
      <c r="AN90" t="s">
        <v>1201</v>
      </c>
      <c r="AO90" t="s">
        <v>1292</v>
      </c>
      <c r="AP90" t="s">
        <v>1319</v>
      </c>
      <c r="AQ90" t="s">
        <v>1203</v>
      </c>
      <c r="AR90" t="s">
        <v>1201</v>
      </c>
      <c r="AS90" t="s">
        <v>1203</v>
      </c>
      <c r="AU90" t="s">
        <v>1204</v>
      </c>
      <c r="AW90" t="b">
        <v>0</v>
      </c>
      <c r="AY90" t="b">
        <v>1</v>
      </c>
      <c r="BA90" t="s">
        <v>1295</v>
      </c>
      <c r="BB90" t="s">
        <v>1206</v>
      </c>
      <c r="BC90" t="s">
        <v>1206</v>
      </c>
      <c r="BD90" t="s">
        <v>1207</v>
      </c>
      <c r="BE90" t="s">
        <v>1296</v>
      </c>
      <c r="BF90" t="s">
        <v>1297</v>
      </c>
      <c r="BG90" t="s">
        <v>1298</v>
      </c>
      <c r="BH90" t="s">
        <v>1206</v>
      </c>
      <c r="BI90" t="s">
        <v>1206</v>
      </c>
      <c r="BJ90" t="s">
        <v>1299</v>
      </c>
    </row>
    <row r="91" spans="1:62" x14ac:dyDescent="0.25">
      <c r="A91" t="s">
        <v>1177</v>
      </c>
      <c r="B91">
        <v>815234</v>
      </c>
      <c r="C91" t="s">
        <v>1258</v>
      </c>
      <c r="D91" s="112" t="s">
        <v>2514</v>
      </c>
      <c r="E91" t="s">
        <v>1119</v>
      </c>
      <c r="F91" t="s">
        <v>1178</v>
      </c>
      <c r="G91" t="s">
        <v>1420</v>
      </c>
      <c r="H91" s="135" t="s">
        <v>1344</v>
      </c>
      <c r="I91">
        <v>12</v>
      </c>
      <c r="J91" t="s">
        <v>1279</v>
      </c>
      <c r="K91">
        <v>12101</v>
      </c>
      <c r="L91" t="s">
        <v>1280</v>
      </c>
      <c r="M91">
        <v>12101265</v>
      </c>
      <c r="N91" t="s">
        <v>1281</v>
      </c>
      <c r="O91">
        <v>12101265813</v>
      </c>
      <c r="P91" t="s">
        <v>1282</v>
      </c>
      <c r="Q91" s="135" t="s">
        <v>1345</v>
      </c>
      <c r="R91" t="s">
        <v>1346</v>
      </c>
      <c r="S91" s="135" t="s">
        <v>1344</v>
      </c>
      <c r="T91" t="s">
        <v>1347</v>
      </c>
      <c r="U91" t="s">
        <v>1187</v>
      </c>
      <c r="V91" t="s">
        <v>1188</v>
      </c>
      <c r="W91">
        <v>335</v>
      </c>
      <c r="X91" t="s">
        <v>1189</v>
      </c>
      <c r="Y91">
        <v>24</v>
      </c>
      <c r="Z91">
        <v>8040</v>
      </c>
      <c r="AA91" t="s">
        <v>28</v>
      </c>
      <c r="AB91" t="s">
        <v>1190</v>
      </c>
      <c r="AC91">
        <v>335</v>
      </c>
      <c r="AD91" t="s">
        <v>1191</v>
      </c>
      <c r="AE91" t="s">
        <v>1192</v>
      </c>
      <c r="AF91" t="s">
        <v>1193</v>
      </c>
      <c r="AG91" t="s">
        <v>1194</v>
      </c>
      <c r="AH91" t="s">
        <v>1195</v>
      </c>
      <c r="AI91" t="s">
        <v>1202</v>
      </c>
      <c r="AJ91" t="s">
        <v>1291</v>
      </c>
      <c r="AK91" t="s">
        <v>1292</v>
      </c>
      <c r="AL91" t="s">
        <v>1291</v>
      </c>
      <c r="AM91" t="s">
        <v>1318</v>
      </c>
      <c r="AN91" t="s">
        <v>1201</v>
      </c>
      <c r="AO91" t="s">
        <v>1292</v>
      </c>
      <c r="AP91" t="s">
        <v>1319</v>
      </c>
      <c r="AQ91" t="s">
        <v>1203</v>
      </c>
      <c r="AR91" t="s">
        <v>1201</v>
      </c>
      <c r="AS91" t="s">
        <v>1203</v>
      </c>
      <c r="AU91" t="s">
        <v>1204</v>
      </c>
      <c r="AW91" t="b">
        <v>0</v>
      </c>
      <c r="AY91" t="b">
        <v>1</v>
      </c>
      <c r="BA91" t="s">
        <v>1295</v>
      </c>
      <c r="BB91" t="s">
        <v>1206</v>
      </c>
      <c r="BC91" t="s">
        <v>1206</v>
      </c>
      <c r="BD91" t="s">
        <v>1207</v>
      </c>
      <c r="BE91" t="s">
        <v>1296</v>
      </c>
      <c r="BF91" t="s">
        <v>1297</v>
      </c>
      <c r="BG91" t="s">
        <v>1298</v>
      </c>
      <c r="BH91" t="s">
        <v>1206</v>
      </c>
      <c r="BI91" t="s">
        <v>1206</v>
      </c>
      <c r="BJ91" t="s">
        <v>1299</v>
      </c>
    </row>
    <row r="92" spans="1:62" x14ac:dyDescent="0.25">
      <c r="A92" t="s">
        <v>1177</v>
      </c>
      <c r="B92">
        <v>815252</v>
      </c>
      <c r="C92" t="s">
        <v>1258</v>
      </c>
      <c r="D92" s="112" t="s">
        <v>2515</v>
      </c>
      <c r="E92" t="s">
        <v>1119</v>
      </c>
      <c r="F92" t="s">
        <v>1178</v>
      </c>
      <c r="G92" t="s">
        <v>1421</v>
      </c>
      <c r="H92" s="135" t="s">
        <v>1344</v>
      </c>
      <c r="I92">
        <v>12</v>
      </c>
      <c r="J92" t="s">
        <v>1279</v>
      </c>
      <c r="K92">
        <v>12101</v>
      </c>
      <c r="L92" t="s">
        <v>1280</v>
      </c>
      <c r="M92">
        <v>12101265</v>
      </c>
      <c r="N92" t="s">
        <v>1281</v>
      </c>
      <c r="O92">
        <v>12101265813</v>
      </c>
      <c r="P92" t="s">
        <v>1282</v>
      </c>
      <c r="Q92" s="135" t="s">
        <v>1345</v>
      </c>
      <c r="R92" t="s">
        <v>1346</v>
      </c>
      <c r="S92" s="135" t="s">
        <v>1344</v>
      </c>
      <c r="T92" t="s">
        <v>1347</v>
      </c>
      <c r="U92" t="s">
        <v>1187</v>
      </c>
      <c r="V92" t="s">
        <v>1188</v>
      </c>
      <c r="W92">
        <v>335</v>
      </c>
      <c r="X92" t="s">
        <v>1189</v>
      </c>
      <c r="Y92">
        <v>24</v>
      </c>
      <c r="Z92">
        <v>8040</v>
      </c>
      <c r="AA92" t="s">
        <v>28</v>
      </c>
      <c r="AB92" t="s">
        <v>1190</v>
      </c>
      <c r="AC92">
        <v>335</v>
      </c>
      <c r="AD92" t="s">
        <v>1191</v>
      </c>
      <c r="AE92" t="s">
        <v>1192</v>
      </c>
      <c r="AF92" t="s">
        <v>1193</v>
      </c>
      <c r="AG92" t="s">
        <v>1194</v>
      </c>
      <c r="AH92" t="s">
        <v>1195</v>
      </c>
      <c r="AI92" t="s">
        <v>1202</v>
      </c>
      <c r="AJ92" t="s">
        <v>1291</v>
      </c>
      <c r="AK92" t="s">
        <v>1292</v>
      </c>
      <c r="AL92" t="s">
        <v>1291</v>
      </c>
      <c r="AM92" t="s">
        <v>1318</v>
      </c>
      <c r="AN92" t="s">
        <v>1201</v>
      </c>
      <c r="AO92" t="s">
        <v>1292</v>
      </c>
      <c r="AP92" t="s">
        <v>1319</v>
      </c>
      <c r="AQ92" t="s">
        <v>1203</v>
      </c>
      <c r="AR92" t="s">
        <v>1201</v>
      </c>
      <c r="AS92" t="s">
        <v>1203</v>
      </c>
      <c r="AU92" t="s">
        <v>1204</v>
      </c>
      <c r="AW92" t="b">
        <v>0</v>
      </c>
      <c r="AY92" t="b">
        <v>1</v>
      </c>
      <c r="BA92" t="s">
        <v>1295</v>
      </c>
      <c r="BB92" t="s">
        <v>1206</v>
      </c>
      <c r="BC92" t="s">
        <v>1206</v>
      </c>
      <c r="BD92" t="s">
        <v>1207</v>
      </c>
      <c r="BE92" t="s">
        <v>1296</v>
      </c>
      <c r="BF92" t="s">
        <v>1297</v>
      </c>
      <c r="BG92" t="s">
        <v>1298</v>
      </c>
      <c r="BH92" t="s">
        <v>1206</v>
      </c>
      <c r="BI92" t="s">
        <v>1206</v>
      </c>
      <c r="BJ92" t="s">
        <v>1299</v>
      </c>
    </row>
    <row r="93" spans="1:62" x14ac:dyDescent="0.25">
      <c r="A93" t="s">
        <v>1177</v>
      </c>
      <c r="B93">
        <v>815296</v>
      </c>
      <c r="C93" t="s">
        <v>1258</v>
      </c>
      <c r="D93" s="112" t="s">
        <v>2516</v>
      </c>
      <c r="E93" t="s">
        <v>1119</v>
      </c>
      <c r="F93" t="s">
        <v>1178</v>
      </c>
      <c r="G93" t="s">
        <v>1422</v>
      </c>
      <c r="H93" s="135" t="s">
        <v>1411</v>
      </c>
      <c r="I93">
        <v>12</v>
      </c>
      <c r="J93" t="s">
        <v>1279</v>
      </c>
      <c r="K93">
        <v>12101</v>
      </c>
      <c r="L93" t="s">
        <v>1280</v>
      </c>
      <c r="M93">
        <v>12101265</v>
      </c>
      <c r="N93" t="s">
        <v>1281</v>
      </c>
      <c r="O93">
        <v>12101265813</v>
      </c>
      <c r="P93" t="s">
        <v>1282</v>
      </c>
      <c r="Q93" s="135" t="s">
        <v>1345</v>
      </c>
      <c r="R93" t="s">
        <v>1346</v>
      </c>
      <c r="S93" s="135" t="s">
        <v>1411</v>
      </c>
      <c r="T93" t="s">
        <v>1412</v>
      </c>
      <c r="U93" t="s">
        <v>1187</v>
      </c>
      <c r="V93" t="s">
        <v>1188</v>
      </c>
      <c r="W93">
        <v>335</v>
      </c>
      <c r="X93" t="s">
        <v>1189</v>
      </c>
      <c r="Y93">
        <v>12</v>
      </c>
      <c r="Z93">
        <v>4020</v>
      </c>
      <c r="AA93" t="s">
        <v>28</v>
      </c>
      <c r="AB93" t="s">
        <v>1190</v>
      </c>
      <c r="AC93">
        <v>335</v>
      </c>
      <c r="AD93" t="s">
        <v>1191</v>
      </c>
      <c r="AE93" t="s">
        <v>1192</v>
      </c>
      <c r="AF93" t="s">
        <v>1193</v>
      </c>
      <c r="AG93" t="s">
        <v>1194</v>
      </c>
      <c r="AH93" t="s">
        <v>1195</v>
      </c>
      <c r="AI93" t="s">
        <v>1202</v>
      </c>
      <c r="AJ93" t="s">
        <v>1291</v>
      </c>
      <c r="AK93" t="s">
        <v>1292</v>
      </c>
      <c r="AL93" t="s">
        <v>1291</v>
      </c>
      <c r="AM93" t="s">
        <v>1318</v>
      </c>
      <c r="AN93" t="s">
        <v>1201</v>
      </c>
      <c r="AO93" t="s">
        <v>1292</v>
      </c>
      <c r="AP93" t="s">
        <v>1319</v>
      </c>
      <c r="AQ93" t="s">
        <v>1203</v>
      </c>
      <c r="AR93" t="s">
        <v>1201</v>
      </c>
      <c r="AS93" t="s">
        <v>1203</v>
      </c>
      <c r="AU93" t="s">
        <v>1204</v>
      </c>
      <c r="AW93" t="b">
        <v>0</v>
      </c>
      <c r="AY93" t="b">
        <v>1</v>
      </c>
      <c r="BA93" t="s">
        <v>1295</v>
      </c>
      <c r="BB93" t="s">
        <v>1206</v>
      </c>
      <c r="BC93" t="s">
        <v>1206</v>
      </c>
      <c r="BD93" t="s">
        <v>1207</v>
      </c>
      <c r="BE93" t="s">
        <v>1296</v>
      </c>
      <c r="BF93" t="s">
        <v>1297</v>
      </c>
      <c r="BG93" t="s">
        <v>1298</v>
      </c>
      <c r="BH93" t="s">
        <v>1206</v>
      </c>
      <c r="BI93" t="s">
        <v>1206</v>
      </c>
      <c r="BJ93" t="s">
        <v>1299</v>
      </c>
    </row>
    <row r="94" spans="1:62" x14ac:dyDescent="0.25">
      <c r="A94" t="s">
        <v>1177</v>
      </c>
      <c r="B94">
        <v>815298</v>
      </c>
      <c r="C94" t="s">
        <v>1258</v>
      </c>
      <c r="D94" s="112" t="s">
        <v>2517</v>
      </c>
      <c r="E94" t="s">
        <v>1119</v>
      </c>
      <c r="F94" t="s">
        <v>1178</v>
      </c>
      <c r="G94" t="s">
        <v>1423</v>
      </c>
      <c r="H94" s="135" t="s">
        <v>1411</v>
      </c>
      <c r="I94">
        <v>12</v>
      </c>
      <c r="J94" t="s">
        <v>1279</v>
      </c>
      <c r="K94">
        <v>12101</v>
      </c>
      <c r="L94" t="s">
        <v>1280</v>
      </c>
      <c r="M94">
        <v>12101265</v>
      </c>
      <c r="N94" t="s">
        <v>1281</v>
      </c>
      <c r="O94">
        <v>12101265813</v>
      </c>
      <c r="P94" t="s">
        <v>1282</v>
      </c>
      <c r="Q94" s="135" t="s">
        <v>1345</v>
      </c>
      <c r="R94" t="s">
        <v>1346</v>
      </c>
      <c r="S94" s="135" t="s">
        <v>1411</v>
      </c>
      <c r="T94" t="s">
        <v>1412</v>
      </c>
      <c r="U94" t="s">
        <v>1187</v>
      </c>
      <c r="V94" t="s">
        <v>1188</v>
      </c>
      <c r="W94">
        <v>335</v>
      </c>
      <c r="X94" t="s">
        <v>1189</v>
      </c>
      <c r="Y94">
        <v>12</v>
      </c>
      <c r="Z94">
        <v>4020</v>
      </c>
      <c r="AA94" t="s">
        <v>28</v>
      </c>
      <c r="AB94" t="s">
        <v>1190</v>
      </c>
      <c r="AC94">
        <v>335</v>
      </c>
      <c r="AD94" t="s">
        <v>1191</v>
      </c>
      <c r="AE94" t="s">
        <v>1192</v>
      </c>
      <c r="AF94" t="s">
        <v>1193</v>
      </c>
      <c r="AG94" t="s">
        <v>1194</v>
      </c>
      <c r="AH94" t="s">
        <v>1195</v>
      </c>
      <c r="AI94" t="s">
        <v>1202</v>
      </c>
      <c r="AJ94" t="s">
        <v>1291</v>
      </c>
      <c r="AK94" t="s">
        <v>1292</v>
      </c>
      <c r="AL94" t="s">
        <v>1291</v>
      </c>
      <c r="AM94" t="s">
        <v>1324</v>
      </c>
      <c r="AN94" t="s">
        <v>1201</v>
      </c>
      <c r="AO94" t="s">
        <v>1292</v>
      </c>
      <c r="AP94" t="s">
        <v>1325</v>
      </c>
      <c r="AQ94" t="s">
        <v>1203</v>
      </c>
      <c r="AR94" t="s">
        <v>1201</v>
      </c>
      <c r="AS94" t="s">
        <v>1203</v>
      </c>
      <c r="AU94" t="s">
        <v>1204</v>
      </c>
      <c r="AW94" t="b">
        <v>0</v>
      </c>
      <c r="AY94" t="b">
        <v>0</v>
      </c>
      <c r="BA94" t="s">
        <v>1295</v>
      </c>
      <c r="BB94" t="s">
        <v>1206</v>
      </c>
      <c r="BC94" t="s">
        <v>1206</v>
      </c>
      <c r="BD94" t="s">
        <v>1207</v>
      </c>
      <c r="BE94" t="s">
        <v>1296</v>
      </c>
      <c r="BF94" t="s">
        <v>1297</v>
      </c>
      <c r="BG94" t="s">
        <v>1298</v>
      </c>
      <c r="BH94" t="s">
        <v>1206</v>
      </c>
      <c r="BI94" t="s">
        <v>1206</v>
      </c>
      <c r="BJ94" t="s">
        <v>1299</v>
      </c>
    </row>
    <row r="95" spans="1:62" x14ac:dyDescent="0.25">
      <c r="A95" t="s">
        <v>1177</v>
      </c>
      <c r="B95">
        <v>815291</v>
      </c>
      <c r="C95" t="s">
        <v>1258</v>
      </c>
      <c r="D95" s="112" t="s">
        <v>2518</v>
      </c>
      <c r="E95" t="s">
        <v>1119</v>
      </c>
      <c r="F95" t="s">
        <v>1178</v>
      </c>
      <c r="G95" t="s">
        <v>1424</v>
      </c>
      <c r="H95" s="135" t="s">
        <v>1411</v>
      </c>
      <c r="I95">
        <v>12</v>
      </c>
      <c r="J95" t="s">
        <v>1279</v>
      </c>
      <c r="K95">
        <v>12101</v>
      </c>
      <c r="L95" t="s">
        <v>1280</v>
      </c>
      <c r="M95">
        <v>12101265</v>
      </c>
      <c r="N95" t="s">
        <v>1281</v>
      </c>
      <c r="O95">
        <v>12101265813</v>
      </c>
      <c r="P95" t="s">
        <v>1282</v>
      </c>
      <c r="Q95" s="135" t="s">
        <v>1345</v>
      </c>
      <c r="R95" t="s">
        <v>1346</v>
      </c>
      <c r="S95" s="135" t="s">
        <v>1411</v>
      </c>
      <c r="T95" t="s">
        <v>1412</v>
      </c>
      <c r="U95" t="s">
        <v>1187</v>
      </c>
      <c r="V95" t="s">
        <v>1188</v>
      </c>
      <c r="W95">
        <v>335</v>
      </c>
      <c r="X95" t="s">
        <v>1189</v>
      </c>
      <c r="Y95">
        <v>12</v>
      </c>
      <c r="Z95">
        <v>4020</v>
      </c>
      <c r="AA95" t="s">
        <v>28</v>
      </c>
      <c r="AB95" t="s">
        <v>1190</v>
      </c>
      <c r="AC95">
        <v>335</v>
      </c>
      <c r="AD95" t="s">
        <v>1191</v>
      </c>
      <c r="AE95" t="s">
        <v>1192</v>
      </c>
      <c r="AF95" t="s">
        <v>1193</v>
      </c>
      <c r="AG95" t="s">
        <v>1194</v>
      </c>
      <c r="AH95" t="s">
        <v>1195</v>
      </c>
      <c r="AI95" t="s">
        <v>1202</v>
      </c>
      <c r="AJ95" t="s">
        <v>1291</v>
      </c>
      <c r="AK95" t="s">
        <v>1292</v>
      </c>
      <c r="AL95" t="s">
        <v>1291</v>
      </c>
      <c r="AM95" t="s">
        <v>1324</v>
      </c>
      <c r="AN95" t="s">
        <v>1201</v>
      </c>
      <c r="AO95" t="s">
        <v>1292</v>
      </c>
      <c r="AP95" t="s">
        <v>1325</v>
      </c>
      <c r="AQ95" t="s">
        <v>1203</v>
      </c>
      <c r="AR95" t="s">
        <v>1201</v>
      </c>
      <c r="AS95" t="s">
        <v>1203</v>
      </c>
      <c r="AU95" t="s">
        <v>1204</v>
      </c>
      <c r="AW95" t="b">
        <v>0</v>
      </c>
      <c r="AY95" t="b">
        <v>0</v>
      </c>
      <c r="BA95" t="s">
        <v>1295</v>
      </c>
      <c r="BB95" t="s">
        <v>1206</v>
      </c>
      <c r="BC95" t="s">
        <v>1206</v>
      </c>
      <c r="BD95" t="s">
        <v>1207</v>
      </c>
      <c r="BE95" t="s">
        <v>1296</v>
      </c>
      <c r="BF95" t="s">
        <v>1297</v>
      </c>
      <c r="BG95" t="s">
        <v>1298</v>
      </c>
      <c r="BH95" t="s">
        <v>1206</v>
      </c>
      <c r="BI95" t="s">
        <v>1206</v>
      </c>
      <c r="BJ95" t="s">
        <v>1299</v>
      </c>
    </row>
    <row r="96" spans="1:62" x14ac:dyDescent="0.25">
      <c r="A96" t="s">
        <v>1177</v>
      </c>
      <c r="B96">
        <v>815294</v>
      </c>
      <c r="C96" t="s">
        <v>1258</v>
      </c>
      <c r="D96" s="112" t="s">
        <v>2519</v>
      </c>
      <c r="E96" t="s">
        <v>1119</v>
      </c>
      <c r="F96" t="s">
        <v>1178</v>
      </c>
      <c r="G96" t="s">
        <v>1425</v>
      </c>
      <c r="H96" s="135" t="s">
        <v>1411</v>
      </c>
      <c r="I96">
        <v>12</v>
      </c>
      <c r="J96" t="s">
        <v>1279</v>
      </c>
      <c r="K96">
        <v>12101</v>
      </c>
      <c r="L96" t="s">
        <v>1280</v>
      </c>
      <c r="M96">
        <v>12101265</v>
      </c>
      <c r="N96" t="s">
        <v>1281</v>
      </c>
      <c r="O96">
        <v>12101265813</v>
      </c>
      <c r="P96" t="s">
        <v>1282</v>
      </c>
      <c r="Q96" s="135" t="s">
        <v>1345</v>
      </c>
      <c r="R96" t="s">
        <v>1346</v>
      </c>
      <c r="S96" s="135" t="s">
        <v>1411</v>
      </c>
      <c r="T96" t="s">
        <v>1412</v>
      </c>
      <c r="U96" t="s">
        <v>1187</v>
      </c>
      <c r="V96" t="s">
        <v>1188</v>
      </c>
      <c r="W96">
        <v>335</v>
      </c>
      <c r="X96" t="s">
        <v>1189</v>
      </c>
      <c r="Y96">
        <v>12</v>
      </c>
      <c r="Z96">
        <v>4020</v>
      </c>
      <c r="AA96" t="s">
        <v>28</v>
      </c>
      <c r="AB96" t="s">
        <v>1190</v>
      </c>
      <c r="AC96">
        <v>335</v>
      </c>
      <c r="AD96" t="s">
        <v>1191</v>
      </c>
      <c r="AE96" t="s">
        <v>1192</v>
      </c>
      <c r="AF96" t="s">
        <v>1193</v>
      </c>
      <c r="AG96" t="s">
        <v>1194</v>
      </c>
      <c r="AH96" t="s">
        <v>1195</v>
      </c>
      <c r="AI96" t="s">
        <v>1202</v>
      </c>
      <c r="AJ96" t="s">
        <v>1291</v>
      </c>
      <c r="AK96" t="s">
        <v>1292</v>
      </c>
      <c r="AL96" t="s">
        <v>1291</v>
      </c>
      <c r="AM96" t="s">
        <v>1321</v>
      </c>
      <c r="AN96" t="s">
        <v>1201</v>
      </c>
      <c r="AO96" t="s">
        <v>1292</v>
      </c>
      <c r="AP96" t="s">
        <v>1322</v>
      </c>
      <c r="AQ96" t="s">
        <v>1203</v>
      </c>
      <c r="AR96" t="s">
        <v>1201</v>
      </c>
      <c r="AS96" t="s">
        <v>1203</v>
      </c>
      <c r="AU96" t="s">
        <v>1204</v>
      </c>
      <c r="AW96" t="b">
        <v>0</v>
      </c>
      <c r="AY96" t="b">
        <v>0</v>
      </c>
      <c r="BA96" t="s">
        <v>1295</v>
      </c>
      <c r="BB96" t="s">
        <v>1206</v>
      </c>
      <c r="BC96" t="s">
        <v>1206</v>
      </c>
      <c r="BD96" t="s">
        <v>1207</v>
      </c>
      <c r="BE96" t="s">
        <v>1296</v>
      </c>
      <c r="BF96" t="s">
        <v>1297</v>
      </c>
      <c r="BG96" t="s">
        <v>1298</v>
      </c>
      <c r="BH96" t="s">
        <v>1206</v>
      </c>
      <c r="BI96" t="s">
        <v>1206</v>
      </c>
      <c r="BJ96" t="s">
        <v>1299</v>
      </c>
    </row>
    <row r="97" spans="1:62" x14ac:dyDescent="0.25">
      <c r="A97" t="s">
        <v>1177</v>
      </c>
      <c r="B97">
        <v>815255</v>
      </c>
      <c r="C97" t="s">
        <v>1258</v>
      </c>
      <c r="D97" s="112" t="s">
        <v>2520</v>
      </c>
      <c r="E97" t="s">
        <v>1119</v>
      </c>
      <c r="F97" t="s">
        <v>1178</v>
      </c>
      <c r="G97" t="s">
        <v>1426</v>
      </c>
      <c r="H97" s="135" t="s">
        <v>1344</v>
      </c>
      <c r="I97">
        <v>12</v>
      </c>
      <c r="J97" t="s">
        <v>1279</v>
      </c>
      <c r="K97">
        <v>12101</v>
      </c>
      <c r="L97" t="s">
        <v>1280</v>
      </c>
      <c r="M97">
        <v>12101265</v>
      </c>
      <c r="N97" t="s">
        <v>1281</v>
      </c>
      <c r="O97">
        <v>12101265813</v>
      </c>
      <c r="P97" t="s">
        <v>1282</v>
      </c>
      <c r="Q97" s="135" t="s">
        <v>1345</v>
      </c>
      <c r="R97" t="s">
        <v>1346</v>
      </c>
      <c r="S97" s="135" t="s">
        <v>1344</v>
      </c>
      <c r="T97" t="s">
        <v>1347</v>
      </c>
      <c r="U97" t="s">
        <v>1187</v>
      </c>
      <c r="V97" t="s">
        <v>1188</v>
      </c>
      <c r="W97">
        <v>335</v>
      </c>
      <c r="X97" t="s">
        <v>1189</v>
      </c>
      <c r="Y97">
        <v>24</v>
      </c>
      <c r="Z97">
        <v>8040</v>
      </c>
      <c r="AA97" t="s">
        <v>28</v>
      </c>
      <c r="AB97" t="s">
        <v>1190</v>
      </c>
      <c r="AC97">
        <v>335</v>
      </c>
      <c r="AD97" t="s">
        <v>1191</v>
      </c>
      <c r="AE97" t="s">
        <v>1192</v>
      </c>
      <c r="AF97" t="s">
        <v>1193</v>
      </c>
      <c r="AG97" t="s">
        <v>1194</v>
      </c>
      <c r="AH97" t="s">
        <v>1195</v>
      </c>
      <c r="AI97" t="s">
        <v>1202</v>
      </c>
      <c r="AJ97" t="s">
        <v>1291</v>
      </c>
      <c r="AK97" t="s">
        <v>1292</v>
      </c>
      <c r="AL97" t="s">
        <v>1291</v>
      </c>
      <c r="AM97" t="s">
        <v>1321</v>
      </c>
      <c r="AN97" t="s">
        <v>1201</v>
      </c>
      <c r="AO97" t="s">
        <v>1292</v>
      </c>
      <c r="AP97" t="s">
        <v>1322</v>
      </c>
      <c r="AQ97" t="s">
        <v>1203</v>
      </c>
      <c r="AR97" t="s">
        <v>1201</v>
      </c>
      <c r="AS97" t="s">
        <v>1203</v>
      </c>
      <c r="AU97" t="s">
        <v>1204</v>
      </c>
      <c r="AW97" t="b">
        <v>0</v>
      </c>
      <c r="AY97" t="b">
        <v>0</v>
      </c>
      <c r="BA97" t="s">
        <v>1295</v>
      </c>
      <c r="BB97" t="s">
        <v>1206</v>
      </c>
      <c r="BC97" t="s">
        <v>1206</v>
      </c>
      <c r="BD97" t="s">
        <v>1207</v>
      </c>
      <c r="BE97" t="s">
        <v>1296</v>
      </c>
      <c r="BF97" t="s">
        <v>1297</v>
      </c>
      <c r="BG97" t="s">
        <v>1298</v>
      </c>
      <c r="BH97" t="s">
        <v>1206</v>
      </c>
      <c r="BI97" t="s">
        <v>1206</v>
      </c>
      <c r="BJ97" t="s">
        <v>1299</v>
      </c>
    </row>
    <row r="98" spans="1:62" x14ac:dyDescent="0.25">
      <c r="A98" t="s">
        <v>1177</v>
      </c>
      <c r="B98">
        <v>815297</v>
      </c>
      <c r="C98" t="s">
        <v>1258</v>
      </c>
      <c r="D98" s="112" t="s">
        <v>2521</v>
      </c>
      <c r="E98" t="s">
        <v>1119</v>
      </c>
      <c r="F98" t="s">
        <v>1178</v>
      </c>
      <c r="G98" t="s">
        <v>1427</v>
      </c>
      <c r="H98" s="135" t="s">
        <v>1411</v>
      </c>
      <c r="I98">
        <v>12</v>
      </c>
      <c r="J98" t="s">
        <v>1279</v>
      </c>
      <c r="K98">
        <v>12101</v>
      </c>
      <c r="L98" t="s">
        <v>1280</v>
      </c>
      <c r="M98">
        <v>12101265</v>
      </c>
      <c r="N98" t="s">
        <v>1281</v>
      </c>
      <c r="O98">
        <v>12101265813</v>
      </c>
      <c r="P98" t="s">
        <v>1282</v>
      </c>
      <c r="Q98" s="135" t="s">
        <v>1345</v>
      </c>
      <c r="R98" t="s">
        <v>1346</v>
      </c>
      <c r="S98" s="135" t="s">
        <v>1411</v>
      </c>
      <c r="T98" t="s">
        <v>1412</v>
      </c>
      <c r="U98" t="s">
        <v>1187</v>
      </c>
      <c r="V98" t="s">
        <v>1188</v>
      </c>
      <c r="W98">
        <v>335</v>
      </c>
      <c r="X98" t="s">
        <v>1189</v>
      </c>
      <c r="Y98">
        <v>12</v>
      </c>
      <c r="Z98">
        <v>4020</v>
      </c>
      <c r="AA98" t="s">
        <v>28</v>
      </c>
      <c r="AB98" t="s">
        <v>1190</v>
      </c>
      <c r="AC98">
        <v>335</v>
      </c>
      <c r="AD98" t="s">
        <v>1191</v>
      </c>
      <c r="AE98" t="s">
        <v>1192</v>
      </c>
      <c r="AF98" t="s">
        <v>1193</v>
      </c>
      <c r="AG98" t="s">
        <v>1194</v>
      </c>
      <c r="AH98" t="s">
        <v>1195</v>
      </c>
      <c r="AI98" t="s">
        <v>1202</v>
      </c>
      <c r="AJ98" t="s">
        <v>1291</v>
      </c>
      <c r="AK98" t="s">
        <v>1292</v>
      </c>
      <c r="AL98" t="s">
        <v>1291</v>
      </c>
      <c r="AM98" t="s">
        <v>1321</v>
      </c>
      <c r="AN98" t="s">
        <v>1201</v>
      </c>
      <c r="AO98" t="s">
        <v>1292</v>
      </c>
      <c r="AP98" t="s">
        <v>1322</v>
      </c>
      <c r="AQ98" t="s">
        <v>1203</v>
      </c>
      <c r="AR98" t="s">
        <v>1201</v>
      </c>
      <c r="AS98" t="s">
        <v>1203</v>
      </c>
      <c r="AU98" t="s">
        <v>1204</v>
      </c>
      <c r="AW98" t="b">
        <v>0</v>
      </c>
      <c r="AY98" t="b">
        <v>0</v>
      </c>
      <c r="BA98" t="s">
        <v>1295</v>
      </c>
      <c r="BB98" t="s">
        <v>1206</v>
      </c>
      <c r="BC98" t="s">
        <v>1206</v>
      </c>
      <c r="BD98" t="s">
        <v>1207</v>
      </c>
      <c r="BE98" t="s">
        <v>1296</v>
      </c>
      <c r="BF98" t="s">
        <v>1297</v>
      </c>
      <c r="BG98" t="s">
        <v>1298</v>
      </c>
      <c r="BH98" t="s">
        <v>1206</v>
      </c>
      <c r="BI98" t="s">
        <v>1206</v>
      </c>
      <c r="BJ98" t="s">
        <v>1299</v>
      </c>
    </row>
    <row r="99" spans="1:62" x14ac:dyDescent="0.25">
      <c r="A99" t="s">
        <v>1177</v>
      </c>
      <c r="B99">
        <v>815259</v>
      </c>
      <c r="C99" t="s">
        <v>1258</v>
      </c>
      <c r="D99" s="112" t="s">
        <v>2522</v>
      </c>
      <c r="E99" t="s">
        <v>1119</v>
      </c>
      <c r="F99" t="s">
        <v>1178</v>
      </c>
      <c r="G99" t="s">
        <v>1428</v>
      </c>
      <c r="H99" s="135" t="s">
        <v>1411</v>
      </c>
      <c r="I99">
        <v>12</v>
      </c>
      <c r="J99" t="s">
        <v>1279</v>
      </c>
      <c r="K99">
        <v>12101</v>
      </c>
      <c r="L99" t="s">
        <v>1280</v>
      </c>
      <c r="M99">
        <v>12101265</v>
      </c>
      <c r="N99" t="s">
        <v>1281</v>
      </c>
      <c r="O99">
        <v>12101265813</v>
      </c>
      <c r="P99" t="s">
        <v>1282</v>
      </c>
      <c r="Q99" s="135" t="s">
        <v>1345</v>
      </c>
      <c r="R99" t="s">
        <v>1346</v>
      </c>
      <c r="S99" s="135" t="s">
        <v>1411</v>
      </c>
      <c r="T99" t="s">
        <v>1412</v>
      </c>
      <c r="U99" t="s">
        <v>1187</v>
      </c>
      <c r="V99" t="s">
        <v>1188</v>
      </c>
      <c r="W99">
        <v>335</v>
      </c>
      <c r="X99" t="s">
        <v>1189</v>
      </c>
      <c r="Y99">
        <v>12</v>
      </c>
      <c r="Z99">
        <v>4020</v>
      </c>
      <c r="AA99" t="s">
        <v>28</v>
      </c>
      <c r="AB99" t="s">
        <v>1190</v>
      </c>
      <c r="AC99">
        <v>335</v>
      </c>
      <c r="AD99" t="s">
        <v>1191</v>
      </c>
      <c r="AE99" t="s">
        <v>1192</v>
      </c>
      <c r="AF99" t="s">
        <v>1193</v>
      </c>
      <c r="AG99" t="s">
        <v>1194</v>
      </c>
      <c r="AH99" t="s">
        <v>1195</v>
      </c>
      <c r="AI99" t="s">
        <v>1202</v>
      </c>
      <c r="AJ99" t="s">
        <v>1291</v>
      </c>
      <c r="AK99" t="s">
        <v>1292</v>
      </c>
      <c r="AL99" t="s">
        <v>1291</v>
      </c>
      <c r="AM99" t="s">
        <v>1416</v>
      </c>
      <c r="AN99" t="s">
        <v>1201</v>
      </c>
      <c r="AO99" t="s">
        <v>1292</v>
      </c>
      <c r="AP99" t="s">
        <v>1417</v>
      </c>
      <c r="AQ99" t="s">
        <v>1203</v>
      </c>
      <c r="AR99" t="s">
        <v>1201</v>
      </c>
      <c r="AS99" t="s">
        <v>1203</v>
      </c>
      <c r="AU99" t="s">
        <v>1204</v>
      </c>
      <c r="AW99" t="b">
        <v>0</v>
      </c>
      <c r="AY99" t="b">
        <v>0</v>
      </c>
      <c r="BA99" t="s">
        <v>1295</v>
      </c>
      <c r="BB99" t="s">
        <v>1206</v>
      </c>
      <c r="BC99" t="s">
        <v>1206</v>
      </c>
      <c r="BD99" t="s">
        <v>1207</v>
      </c>
      <c r="BE99" t="s">
        <v>1296</v>
      </c>
      <c r="BF99" t="s">
        <v>1297</v>
      </c>
      <c r="BG99" t="s">
        <v>1298</v>
      </c>
      <c r="BH99" t="s">
        <v>1206</v>
      </c>
      <c r="BI99" t="s">
        <v>1206</v>
      </c>
      <c r="BJ99" t="s">
        <v>1299</v>
      </c>
    </row>
    <row r="100" spans="1:62" x14ac:dyDescent="0.25">
      <c r="A100" t="s">
        <v>1177</v>
      </c>
      <c r="B100">
        <v>815235</v>
      </c>
      <c r="C100" t="s">
        <v>1258</v>
      </c>
      <c r="D100" s="112" t="s">
        <v>2523</v>
      </c>
      <c r="E100" t="s">
        <v>1119</v>
      </c>
      <c r="F100" t="s">
        <v>1178</v>
      </c>
      <c r="G100" t="s">
        <v>1429</v>
      </c>
      <c r="H100" s="135" t="s">
        <v>1344</v>
      </c>
      <c r="I100">
        <v>12</v>
      </c>
      <c r="J100" t="s">
        <v>1279</v>
      </c>
      <c r="K100">
        <v>12101</v>
      </c>
      <c r="L100" t="s">
        <v>1280</v>
      </c>
      <c r="M100">
        <v>12101265</v>
      </c>
      <c r="N100" t="s">
        <v>1281</v>
      </c>
      <c r="O100">
        <v>12101265813</v>
      </c>
      <c r="P100" t="s">
        <v>1282</v>
      </c>
      <c r="Q100" s="135" t="s">
        <v>1345</v>
      </c>
      <c r="R100" t="s">
        <v>1346</v>
      </c>
      <c r="S100" s="135" t="s">
        <v>1344</v>
      </c>
      <c r="T100" t="s">
        <v>1347</v>
      </c>
      <c r="U100" t="s">
        <v>1187</v>
      </c>
      <c r="V100" t="s">
        <v>1188</v>
      </c>
      <c r="W100">
        <v>335</v>
      </c>
      <c r="X100" t="s">
        <v>1189</v>
      </c>
      <c r="Y100">
        <v>24</v>
      </c>
      <c r="Z100">
        <v>8040</v>
      </c>
      <c r="AA100" t="s">
        <v>28</v>
      </c>
      <c r="AB100" t="s">
        <v>1190</v>
      </c>
      <c r="AC100">
        <v>335</v>
      </c>
      <c r="AD100" t="s">
        <v>1191</v>
      </c>
      <c r="AE100" t="s">
        <v>1192</v>
      </c>
      <c r="AF100" t="s">
        <v>1193</v>
      </c>
      <c r="AG100" t="s">
        <v>1194</v>
      </c>
      <c r="AH100" t="s">
        <v>1195</v>
      </c>
      <c r="AI100" t="s">
        <v>1202</v>
      </c>
      <c r="AJ100" t="s">
        <v>1291</v>
      </c>
      <c r="AK100" t="s">
        <v>1292</v>
      </c>
      <c r="AL100" t="s">
        <v>1291</v>
      </c>
      <c r="AM100" t="s">
        <v>1416</v>
      </c>
      <c r="AN100" t="s">
        <v>1201</v>
      </c>
      <c r="AO100" t="s">
        <v>1292</v>
      </c>
      <c r="AP100" t="s">
        <v>1417</v>
      </c>
      <c r="AQ100" t="s">
        <v>1203</v>
      </c>
      <c r="AR100" t="s">
        <v>1201</v>
      </c>
      <c r="AS100" t="s">
        <v>1203</v>
      </c>
      <c r="AU100" t="s">
        <v>1204</v>
      </c>
      <c r="AW100" t="b">
        <v>0</v>
      </c>
      <c r="AY100" t="b">
        <v>0</v>
      </c>
      <c r="BA100" t="s">
        <v>1295</v>
      </c>
      <c r="BB100" t="s">
        <v>1206</v>
      </c>
      <c r="BC100" t="s">
        <v>1206</v>
      </c>
      <c r="BD100" t="s">
        <v>1207</v>
      </c>
      <c r="BE100" t="s">
        <v>1296</v>
      </c>
      <c r="BF100" t="s">
        <v>1297</v>
      </c>
      <c r="BG100" t="s">
        <v>1298</v>
      </c>
      <c r="BH100" t="s">
        <v>1206</v>
      </c>
      <c r="BI100" t="s">
        <v>1206</v>
      </c>
      <c r="BJ100" t="s">
        <v>1299</v>
      </c>
    </row>
    <row r="101" spans="1:62" x14ac:dyDescent="0.25">
      <c r="A101" t="s">
        <v>1177</v>
      </c>
      <c r="B101">
        <v>815292</v>
      </c>
      <c r="C101" t="s">
        <v>1258</v>
      </c>
      <c r="D101" s="112" t="s">
        <v>2524</v>
      </c>
      <c r="E101" t="s">
        <v>1119</v>
      </c>
      <c r="F101" t="s">
        <v>1178</v>
      </c>
      <c r="G101" t="s">
        <v>1430</v>
      </c>
      <c r="H101" s="135" t="s">
        <v>1411</v>
      </c>
      <c r="I101">
        <v>12</v>
      </c>
      <c r="J101" t="s">
        <v>1279</v>
      </c>
      <c r="K101">
        <v>12101</v>
      </c>
      <c r="L101" t="s">
        <v>1280</v>
      </c>
      <c r="M101">
        <v>12101265</v>
      </c>
      <c r="N101" t="s">
        <v>1281</v>
      </c>
      <c r="O101">
        <v>12101265813</v>
      </c>
      <c r="P101" t="s">
        <v>1282</v>
      </c>
      <c r="Q101" s="135" t="s">
        <v>1345</v>
      </c>
      <c r="R101" t="s">
        <v>1346</v>
      </c>
      <c r="S101" s="135" t="s">
        <v>1411</v>
      </c>
      <c r="T101" t="s">
        <v>1412</v>
      </c>
      <c r="U101" t="s">
        <v>1187</v>
      </c>
      <c r="V101" t="s">
        <v>1188</v>
      </c>
      <c r="W101">
        <v>335</v>
      </c>
      <c r="X101" t="s">
        <v>1189</v>
      </c>
      <c r="Y101">
        <v>12</v>
      </c>
      <c r="Z101">
        <v>4020</v>
      </c>
      <c r="AA101" t="s">
        <v>28</v>
      </c>
      <c r="AB101" t="s">
        <v>1190</v>
      </c>
      <c r="AC101">
        <v>335</v>
      </c>
      <c r="AD101" t="s">
        <v>1191</v>
      </c>
      <c r="AE101" t="s">
        <v>1192</v>
      </c>
      <c r="AF101" t="s">
        <v>1193</v>
      </c>
      <c r="AG101" t="s">
        <v>1194</v>
      </c>
      <c r="AH101" t="s">
        <v>1195</v>
      </c>
      <c r="AI101" t="s">
        <v>1202</v>
      </c>
      <c r="AJ101" t="s">
        <v>1291</v>
      </c>
      <c r="AK101" t="s">
        <v>1292</v>
      </c>
      <c r="AL101" t="s">
        <v>1291</v>
      </c>
      <c r="AM101" t="s">
        <v>1416</v>
      </c>
      <c r="AN101" t="s">
        <v>1201</v>
      </c>
      <c r="AO101" t="s">
        <v>1292</v>
      </c>
      <c r="AP101" t="s">
        <v>1417</v>
      </c>
      <c r="AQ101" t="s">
        <v>1203</v>
      </c>
      <c r="AR101" t="s">
        <v>1201</v>
      </c>
      <c r="AS101" t="s">
        <v>1203</v>
      </c>
      <c r="AU101" t="s">
        <v>1204</v>
      </c>
      <c r="AW101" t="b">
        <v>0</v>
      </c>
      <c r="AY101" t="b">
        <v>0</v>
      </c>
      <c r="BA101" t="s">
        <v>1295</v>
      </c>
      <c r="BB101" t="s">
        <v>1206</v>
      </c>
      <c r="BC101" t="s">
        <v>1206</v>
      </c>
      <c r="BD101" t="s">
        <v>1207</v>
      </c>
      <c r="BE101" t="s">
        <v>1296</v>
      </c>
      <c r="BF101" t="s">
        <v>1297</v>
      </c>
      <c r="BG101" t="s">
        <v>1298</v>
      </c>
      <c r="BH101" t="s">
        <v>1206</v>
      </c>
      <c r="BI101" t="s">
        <v>1206</v>
      </c>
      <c r="BJ101" t="s">
        <v>1299</v>
      </c>
    </row>
    <row r="102" spans="1:62" x14ac:dyDescent="0.25">
      <c r="A102" t="s">
        <v>1177</v>
      </c>
      <c r="B102">
        <v>815233</v>
      </c>
      <c r="C102" t="s">
        <v>1258</v>
      </c>
      <c r="D102" s="112" t="s">
        <v>2525</v>
      </c>
      <c r="E102" t="s">
        <v>1119</v>
      </c>
      <c r="F102" t="s">
        <v>1178</v>
      </c>
      <c r="G102" t="s">
        <v>1431</v>
      </c>
      <c r="H102" s="135" t="s">
        <v>1432</v>
      </c>
      <c r="I102">
        <v>12</v>
      </c>
      <c r="J102" t="s">
        <v>1279</v>
      </c>
      <c r="K102">
        <v>12101</v>
      </c>
      <c r="L102" t="s">
        <v>1280</v>
      </c>
      <c r="M102">
        <v>12101265</v>
      </c>
      <c r="N102" t="s">
        <v>1281</v>
      </c>
      <c r="O102">
        <v>12101265813</v>
      </c>
      <c r="P102" t="s">
        <v>1282</v>
      </c>
      <c r="Q102" s="135" t="s">
        <v>1433</v>
      </c>
      <c r="R102" t="s">
        <v>1434</v>
      </c>
      <c r="S102" s="135" t="s">
        <v>1432</v>
      </c>
      <c r="T102" t="s">
        <v>1435</v>
      </c>
      <c r="U102" t="s">
        <v>1237</v>
      </c>
      <c r="V102" t="s">
        <v>1238</v>
      </c>
      <c r="W102">
        <v>135</v>
      </c>
      <c r="X102" t="s">
        <v>1189</v>
      </c>
      <c r="Y102">
        <v>48</v>
      </c>
      <c r="Z102">
        <v>6480</v>
      </c>
      <c r="AA102" t="s">
        <v>28</v>
      </c>
      <c r="AB102" t="s">
        <v>1190</v>
      </c>
      <c r="AC102">
        <v>135</v>
      </c>
      <c r="AD102" t="s">
        <v>1191</v>
      </c>
      <c r="AE102" t="s">
        <v>1192</v>
      </c>
      <c r="AF102" t="s">
        <v>1193</v>
      </c>
      <c r="AG102" t="s">
        <v>1194</v>
      </c>
      <c r="AH102" t="s">
        <v>1195</v>
      </c>
      <c r="AI102" t="s">
        <v>1202</v>
      </c>
      <c r="AJ102" t="s">
        <v>1291</v>
      </c>
      <c r="AK102" t="s">
        <v>1292</v>
      </c>
      <c r="AL102" t="s">
        <v>1291</v>
      </c>
      <c r="AM102" t="s">
        <v>1416</v>
      </c>
      <c r="AN102" t="s">
        <v>1201</v>
      </c>
      <c r="AO102" t="s">
        <v>1292</v>
      </c>
      <c r="AP102" t="s">
        <v>1417</v>
      </c>
      <c r="AQ102" t="s">
        <v>1203</v>
      </c>
      <c r="AR102" t="s">
        <v>1201</v>
      </c>
      <c r="AS102" t="s">
        <v>1203</v>
      </c>
      <c r="AU102" t="s">
        <v>1204</v>
      </c>
      <c r="AW102" t="b">
        <v>0</v>
      </c>
      <c r="AY102" t="b">
        <v>0</v>
      </c>
      <c r="BA102" t="s">
        <v>1295</v>
      </c>
      <c r="BB102" t="s">
        <v>1206</v>
      </c>
      <c r="BC102" t="s">
        <v>1206</v>
      </c>
      <c r="BD102" t="s">
        <v>1207</v>
      </c>
      <c r="BE102" t="s">
        <v>1296</v>
      </c>
      <c r="BF102" t="s">
        <v>1297</v>
      </c>
      <c r="BG102" t="s">
        <v>1298</v>
      </c>
      <c r="BH102" t="s">
        <v>1206</v>
      </c>
      <c r="BI102" t="s">
        <v>1206</v>
      </c>
      <c r="BJ102" t="s">
        <v>1299</v>
      </c>
    </row>
    <row r="103" spans="1:62" x14ac:dyDescent="0.25">
      <c r="A103" t="s">
        <v>1177</v>
      </c>
      <c r="B103">
        <v>815295</v>
      </c>
      <c r="C103" t="s">
        <v>1258</v>
      </c>
      <c r="D103" s="112" t="s">
        <v>2526</v>
      </c>
      <c r="E103" t="s">
        <v>1119</v>
      </c>
      <c r="F103" t="s">
        <v>1178</v>
      </c>
      <c r="G103" t="s">
        <v>1436</v>
      </c>
      <c r="H103" s="135" t="s">
        <v>1411</v>
      </c>
      <c r="I103">
        <v>12</v>
      </c>
      <c r="J103" t="s">
        <v>1279</v>
      </c>
      <c r="K103">
        <v>12101</v>
      </c>
      <c r="L103" t="s">
        <v>1280</v>
      </c>
      <c r="M103">
        <v>12101265</v>
      </c>
      <c r="N103" t="s">
        <v>1281</v>
      </c>
      <c r="O103">
        <v>12101265813</v>
      </c>
      <c r="P103" t="s">
        <v>1282</v>
      </c>
      <c r="Q103" s="135" t="s">
        <v>1345</v>
      </c>
      <c r="R103" t="s">
        <v>1346</v>
      </c>
      <c r="S103" s="135" t="s">
        <v>1411</v>
      </c>
      <c r="T103" t="s">
        <v>1412</v>
      </c>
      <c r="U103" t="s">
        <v>1187</v>
      </c>
      <c r="V103" t="s">
        <v>1188</v>
      </c>
      <c r="W103">
        <v>335</v>
      </c>
      <c r="X103" t="s">
        <v>1189</v>
      </c>
      <c r="Y103">
        <v>12</v>
      </c>
      <c r="Z103">
        <v>4020</v>
      </c>
      <c r="AA103" t="s">
        <v>28</v>
      </c>
      <c r="AB103" t="s">
        <v>1190</v>
      </c>
      <c r="AC103">
        <v>335</v>
      </c>
      <c r="AD103" t="s">
        <v>1191</v>
      </c>
      <c r="AE103" t="s">
        <v>1192</v>
      </c>
      <c r="AF103" t="s">
        <v>1193</v>
      </c>
      <c r="AG103" t="s">
        <v>1194</v>
      </c>
      <c r="AH103" t="s">
        <v>1195</v>
      </c>
      <c r="AI103" t="s">
        <v>1202</v>
      </c>
      <c r="AJ103" t="s">
        <v>1291</v>
      </c>
      <c r="AK103" t="s">
        <v>1292</v>
      </c>
      <c r="AL103" t="s">
        <v>1291</v>
      </c>
      <c r="AM103" t="s">
        <v>1416</v>
      </c>
      <c r="AN103" t="s">
        <v>1201</v>
      </c>
      <c r="AO103" t="s">
        <v>1292</v>
      </c>
      <c r="AP103" t="s">
        <v>1417</v>
      </c>
      <c r="AQ103" t="s">
        <v>1203</v>
      </c>
      <c r="AR103" t="s">
        <v>1201</v>
      </c>
      <c r="AS103" t="s">
        <v>1203</v>
      </c>
      <c r="AU103" t="s">
        <v>1204</v>
      </c>
      <c r="AW103" t="b">
        <v>0</v>
      </c>
      <c r="AY103" t="b">
        <v>0</v>
      </c>
      <c r="BA103" t="s">
        <v>1295</v>
      </c>
      <c r="BB103" t="s">
        <v>1206</v>
      </c>
      <c r="BC103" t="s">
        <v>1206</v>
      </c>
      <c r="BD103" t="s">
        <v>1207</v>
      </c>
      <c r="BE103" t="s">
        <v>1296</v>
      </c>
      <c r="BF103" t="s">
        <v>1297</v>
      </c>
      <c r="BG103" t="s">
        <v>1298</v>
      </c>
      <c r="BH103" t="s">
        <v>1206</v>
      </c>
      <c r="BI103" t="s">
        <v>1206</v>
      </c>
      <c r="BJ103" t="s">
        <v>1299</v>
      </c>
    </row>
    <row r="104" spans="1:62" x14ac:dyDescent="0.25">
      <c r="A104" t="s">
        <v>1177</v>
      </c>
      <c r="B104">
        <v>815286</v>
      </c>
      <c r="C104" t="s">
        <v>1258</v>
      </c>
      <c r="D104" s="112" t="s">
        <v>2527</v>
      </c>
      <c r="E104" t="s">
        <v>1119</v>
      </c>
      <c r="F104" t="s">
        <v>1178</v>
      </c>
      <c r="G104" t="s">
        <v>1437</v>
      </c>
      <c r="H104" s="135" t="s">
        <v>1313</v>
      </c>
      <c r="I104">
        <v>12</v>
      </c>
      <c r="J104" t="s">
        <v>1279</v>
      </c>
      <c r="K104">
        <v>12101</v>
      </c>
      <c r="L104" t="s">
        <v>1280</v>
      </c>
      <c r="M104">
        <v>12101265</v>
      </c>
      <c r="N104" t="s">
        <v>1281</v>
      </c>
      <c r="O104">
        <v>12101265813</v>
      </c>
      <c r="P104" t="s">
        <v>1282</v>
      </c>
      <c r="Q104" s="135" t="s">
        <v>1314</v>
      </c>
      <c r="R104" t="s">
        <v>1315</v>
      </c>
      <c r="S104" s="135" t="s">
        <v>1313</v>
      </c>
      <c r="T104" t="s">
        <v>1316</v>
      </c>
      <c r="U104" t="s">
        <v>1237</v>
      </c>
      <c r="V104" t="s">
        <v>1238</v>
      </c>
      <c r="W104">
        <v>130</v>
      </c>
      <c r="X104" t="s">
        <v>1189</v>
      </c>
      <c r="Y104">
        <v>48</v>
      </c>
      <c r="Z104">
        <v>6240</v>
      </c>
      <c r="AA104" t="s">
        <v>28</v>
      </c>
      <c r="AB104" t="s">
        <v>1190</v>
      </c>
      <c r="AC104">
        <v>130</v>
      </c>
      <c r="AD104" t="s">
        <v>1191</v>
      </c>
      <c r="AE104" t="s">
        <v>1192</v>
      </c>
      <c r="AF104" t="s">
        <v>1193</v>
      </c>
      <c r="AG104" t="s">
        <v>1194</v>
      </c>
      <c r="AH104" t="s">
        <v>1195</v>
      </c>
      <c r="AI104" t="s">
        <v>1202</v>
      </c>
      <c r="AJ104" t="s">
        <v>1291</v>
      </c>
      <c r="AK104" t="s">
        <v>1292</v>
      </c>
      <c r="AL104" t="s">
        <v>1291</v>
      </c>
      <c r="AM104" t="s">
        <v>1416</v>
      </c>
      <c r="AN104" t="s">
        <v>1201</v>
      </c>
      <c r="AO104" t="s">
        <v>1292</v>
      </c>
      <c r="AP104" t="s">
        <v>1417</v>
      </c>
      <c r="AQ104" t="s">
        <v>1203</v>
      </c>
      <c r="AR104" t="s">
        <v>1201</v>
      </c>
      <c r="AS104" t="s">
        <v>1203</v>
      </c>
      <c r="AU104" t="s">
        <v>1204</v>
      </c>
      <c r="AW104" t="b">
        <v>0</v>
      </c>
      <c r="AY104" t="b">
        <v>0</v>
      </c>
      <c r="BA104" t="s">
        <v>1295</v>
      </c>
      <c r="BB104" t="s">
        <v>1206</v>
      </c>
      <c r="BC104" t="s">
        <v>1206</v>
      </c>
      <c r="BD104" t="s">
        <v>1207</v>
      </c>
      <c r="BE104" t="s">
        <v>1296</v>
      </c>
      <c r="BF104" t="s">
        <v>1297</v>
      </c>
      <c r="BG104" t="s">
        <v>1298</v>
      </c>
      <c r="BH104" t="s">
        <v>1206</v>
      </c>
      <c r="BI104" t="s">
        <v>1206</v>
      </c>
      <c r="BJ104" t="s">
        <v>1299</v>
      </c>
    </row>
    <row r="105" spans="1:62" x14ac:dyDescent="0.25">
      <c r="A105" t="s">
        <v>1177</v>
      </c>
      <c r="B105">
        <v>150956</v>
      </c>
      <c r="C105">
        <v>150956</v>
      </c>
      <c r="D105" s="112" t="s">
        <v>2528</v>
      </c>
      <c r="E105" t="s">
        <v>1119</v>
      </c>
      <c r="F105" t="s">
        <v>1178</v>
      </c>
      <c r="G105" t="s">
        <v>1438</v>
      </c>
      <c r="H105" s="135" t="s">
        <v>1439</v>
      </c>
      <c r="I105">
        <v>12</v>
      </c>
      <c r="J105" t="s">
        <v>1279</v>
      </c>
      <c r="K105">
        <v>12101</v>
      </c>
      <c r="L105" t="s">
        <v>1280</v>
      </c>
      <c r="M105">
        <v>12101265</v>
      </c>
      <c r="N105" t="s">
        <v>1281</v>
      </c>
      <c r="O105">
        <v>12101265813</v>
      </c>
      <c r="P105" t="s">
        <v>1282</v>
      </c>
      <c r="Q105" s="135" t="s">
        <v>1440</v>
      </c>
      <c r="R105" t="s">
        <v>1441</v>
      </c>
      <c r="S105" s="135" t="s">
        <v>1439</v>
      </c>
      <c r="T105" t="s">
        <v>1442</v>
      </c>
      <c r="U105" t="s">
        <v>1443</v>
      </c>
      <c r="V105" t="s">
        <v>1444</v>
      </c>
      <c r="W105">
        <v>2.544</v>
      </c>
      <c r="X105" t="s">
        <v>1445</v>
      </c>
      <c r="Y105">
        <v>1</v>
      </c>
      <c r="Z105">
        <v>2.544</v>
      </c>
      <c r="AA105" t="s">
        <v>28</v>
      </c>
      <c r="AB105" t="s">
        <v>1190</v>
      </c>
      <c r="AC105">
        <v>2544</v>
      </c>
      <c r="AD105" t="s">
        <v>1191</v>
      </c>
      <c r="AE105" t="s">
        <v>1290</v>
      </c>
      <c r="AF105" t="s">
        <v>1193</v>
      </c>
      <c r="AG105" t="s">
        <v>1194</v>
      </c>
      <c r="AH105" t="s">
        <v>1195</v>
      </c>
      <c r="AI105" t="s">
        <v>1202</v>
      </c>
      <c r="AJ105" t="s">
        <v>1291</v>
      </c>
      <c r="AK105" t="s">
        <v>1292</v>
      </c>
      <c r="AL105" t="s">
        <v>1291</v>
      </c>
      <c r="AM105" t="s">
        <v>1293</v>
      </c>
      <c r="AN105" t="s">
        <v>1201</v>
      </c>
      <c r="AO105" t="s">
        <v>1292</v>
      </c>
      <c r="AP105" t="s">
        <v>1294</v>
      </c>
      <c r="AQ105" t="s">
        <v>1203</v>
      </c>
      <c r="AR105" t="s">
        <v>1201</v>
      </c>
      <c r="AS105" t="s">
        <v>1203</v>
      </c>
      <c r="AU105" t="s">
        <v>1204</v>
      </c>
      <c r="AW105" t="b">
        <v>0</v>
      </c>
      <c r="AY105" t="b">
        <v>0</v>
      </c>
      <c r="BA105" t="s">
        <v>1295</v>
      </c>
      <c r="BB105" t="s">
        <v>1206</v>
      </c>
      <c r="BC105" t="s">
        <v>1206</v>
      </c>
      <c r="BD105" t="s">
        <v>1207</v>
      </c>
      <c r="BE105" t="s">
        <v>1296</v>
      </c>
      <c r="BF105" t="s">
        <v>1297</v>
      </c>
      <c r="BG105" t="s">
        <v>1298</v>
      </c>
      <c r="BH105" t="s">
        <v>1206</v>
      </c>
      <c r="BI105" t="s">
        <v>1206</v>
      </c>
      <c r="BJ105" t="s">
        <v>1299</v>
      </c>
    </row>
    <row r="106" spans="1:62" x14ac:dyDescent="0.25">
      <c r="A106" t="s">
        <v>1177</v>
      </c>
      <c r="B106">
        <v>150958</v>
      </c>
      <c r="C106">
        <v>150958</v>
      </c>
      <c r="D106" s="112" t="s">
        <v>2529</v>
      </c>
      <c r="E106" t="s">
        <v>1119</v>
      </c>
      <c r="F106" t="s">
        <v>1178</v>
      </c>
      <c r="G106" t="s">
        <v>1446</v>
      </c>
      <c r="H106" s="135" t="s">
        <v>1447</v>
      </c>
      <c r="I106">
        <v>12</v>
      </c>
      <c r="J106" t="s">
        <v>1279</v>
      </c>
      <c r="K106">
        <v>12101</v>
      </c>
      <c r="L106" t="s">
        <v>1280</v>
      </c>
      <c r="M106">
        <v>12101265</v>
      </c>
      <c r="N106" t="s">
        <v>1281</v>
      </c>
      <c r="O106">
        <v>12101265813</v>
      </c>
      <c r="P106" t="s">
        <v>1282</v>
      </c>
      <c r="Q106" s="135" t="s">
        <v>1448</v>
      </c>
      <c r="R106" t="s">
        <v>1449</v>
      </c>
      <c r="S106" s="135" t="s">
        <v>1447</v>
      </c>
      <c r="T106" t="s">
        <v>1450</v>
      </c>
      <c r="U106" t="s">
        <v>1443</v>
      </c>
      <c r="V106" t="s">
        <v>1444</v>
      </c>
      <c r="W106">
        <v>2.431</v>
      </c>
      <c r="X106" t="s">
        <v>1445</v>
      </c>
      <c r="Y106">
        <v>1</v>
      </c>
      <c r="Z106">
        <v>2.431</v>
      </c>
      <c r="AA106" t="s">
        <v>28</v>
      </c>
      <c r="AB106" t="s">
        <v>1190</v>
      </c>
      <c r="AC106">
        <v>2431</v>
      </c>
      <c r="AD106" t="s">
        <v>1191</v>
      </c>
      <c r="AE106" t="s">
        <v>1290</v>
      </c>
      <c r="AF106" t="s">
        <v>1193</v>
      </c>
      <c r="AG106" t="s">
        <v>1194</v>
      </c>
      <c r="AH106" t="s">
        <v>1195</v>
      </c>
      <c r="AI106" t="s">
        <v>1202</v>
      </c>
      <c r="AJ106" t="s">
        <v>1291</v>
      </c>
      <c r="AK106" t="s">
        <v>1292</v>
      </c>
      <c r="AL106" t="s">
        <v>1291</v>
      </c>
      <c r="AM106" t="s">
        <v>1293</v>
      </c>
      <c r="AN106" t="s">
        <v>1201</v>
      </c>
      <c r="AO106" t="s">
        <v>1292</v>
      </c>
      <c r="AP106" t="s">
        <v>1294</v>
      </c>
      <c r="AQ106" t="s">
        <v>1203</v>
      </c>
      <c r="AR106" t="s">
        <v>1201</v>
      </c>
      <c r="AS106" t="s">
        <v>1203</v>
      </c>
      <c r="AU106" t="s">
        <v>1204</v>
      </c>
      <c r="AW106" t="b">
        <v>0</v>
      </c>
      <c r="AY106" t="b">
        <v>0</v>
      </c>
      <c r="BA106" t="s">
        <v>1295</v>
      </c>
      <c r="BB106" t="s">
        <v>1206</v>
      </c>
      <c r="BC106" t="s">
        <v>1206</v>
      </c>
      <c r="BD106" t="s">
        <v>1207</v>
      </c>
      <c r="BE106" t="s">
        <v>1296</v>
      </c>
      <c r="BF106" t="s">
        <v>1297</v>
      </c>
      <c r="BG106" t="s">
        <v>1298</v>
      </c>
      <c r="BH106" t="s">
        <v>1206</v>
      </c>
      <c r="BI106" t="s">
        <v>1206</v>
      </c>
      <c r="BJ106" t="s">
        <v>1299</v>
      </c>
    </row>
    <row r="107" spans="1:62" x14ac:dyDescent="0.25">
      <c r="A107" t="s">
        <v>1177</v>
      </c>
      <c r="B107">
        <v>150955</v>
      </c>
      <c r="C107">
        <v>150955</v>
      </c>
      <c r="D107" s="112" t="s">
        <v>2530</v>
      </c>
      <c r="E107" t="s">
        <v>1119</v>
      </c>
      <c r="F107" t="s">
        <v>1178</v>
      </c>
      <c r="G107" t="s">
        <v>1451</v>
      </c>
      <c r="H107" s="135" t="s">
        <v>1439</v>
      </c>
      <c r="I107">
        <v>12</v>
      </c>
      <c r="J107" t="s">
        <v>1279</v>
      </c>
      <c r="K107">
        <v>12101</v>
      </c>
      <c r="L107" t="s">
        <v>1280</v>
      </c>
      <c r="M107">
        <v>12101265</v>
      </c>
      <c r="N107" t="s">
        <v>1281</v>
      </c>
      <c r="O107">
        <v>12101265813</v>
      </c>
      <c r="P107" t="s">
        <v>1282</v>
      </c>
      <c r="Q107" s="135" t="s">
        <v>1440</v>
      </c>
      <c r="R107" t="s">
        <v>1441</v>
      </c>
      <c r="S107" s="135" t="s">
        <v>1439</v>
      </c>
      <c r="T107" t="s">
        <v>1442</v>
      </c>
      <c r="U107" t="s">
        <v>1443</v>
      </c>
      <c r="V107" t="s">
        <v>1444</v>
      </c>
      <c r="W107">
        <v>2.544</v>
      </c>
      <c r="X107" t="s">
        <v>1445</v>
      </c>
      <c r="Y107">
        <v>1</v>
      </c>
      <c r="Z107">
        <v>2.544</v>
      </c>
      <c r="AA107" t="s">
        <v>28</v>
      </c>
      <c r="AB107" t="s">
        <v>1190</v>
      </c>
      <c r="AC107">
        <v>2544</v>
      </c>
      <c r="AD107" t="s">
        <v>1191</v>
      </c>
      <c r="AE107" t="s">
        <v>1290</v>
      </c>
      <c r="AF107" t="s">
        <v>1193</v>
      </c>
      <c r="AG107" t="s">
        <v>1194</v>
      </c>
      <c r="AH107" t="s">
        <v>1195</v>
      </c>
      <c r="AI107" t="s">
        <v>1202</v>
      </c>
      <c r="AJ107" t="s">
        <v>1291</v>
      </c>
      <c r="AK107" t="s">
        <v>1292</v>
      </c>
      <c r="AL107" t="s">
        <v>1291</v>
      </c>
      <c r="AM107" t="s">
        <v>1293</v>
      </c>
      <c r="AN107" t="s">
        <v>1201</v>
      </c>
      <c r="AO107" t="s">
        <v>1292</v>
      </c>
      <c r="AP107" t="s">
        <v>1294</v>
      </c>
      <c r="AQ107" t="s">
        <v>1203</v>
      </c>
      <c r="AR107" t="s">
        <v>1201</v>
      </c>
      <c r="AS107" t="s">
        <v>1203</v>
      </c>
      <c r="AU107" t="s">
        <v>1204</v>
      </c>
      <c r="AW107" t="b">
        <v>0</v>
      </c>
      <c r="AY107" t="b">
        <v>0</v>
      </c>
      <c r="BA107" t="s">
        <v>1295</v>
      </c>
      <c r="BB107" t="s">
        <v>1206</v>
      </c>
      <c r="BC107" t="s">
        <v>1206</v>
      </c>
      <c r="BD107" t="s">
        <v>1207</v>
      </c>
      <c r="BE107" t="s">
        <v>1296</v>
      </c>
      <c r="BF107" t="s">
        <v>1297</v>
      </c>
      <c r="BG107" t="s">
        <v>1298</v>
      </c>
      <c r="BH107" t="s">
        <v>1206</v>
      </c>
      <c r="BI107" t="s">
        <v>1206</v>
      </c>
      <c r="BJ107" t="s">
        <v>1299</v>
      </c>
    </row>
    <row r="108" spans="1:62" x14ac:dyDescent="0.25">
      <c r="A108" t="s">
        <v>1177</v>
      </c>
      <c r="B108">
        <v>150957</v>
      </c>
      <c r="C108">
        <v>150957</v>
      </c>
      <c r="D108" s="112" t="s">
        <v>2531</v>
      </c>
      <c r="E108" t="s">
        <v>1119</v>
      </c>
      <c r="F108" t="s">
        <v>1178</v>
      </c>
      <c r="G108" t="s">
        <v>1452</v>
      </c>
      <c r="H108" s="135" t="s">
        <v>1447</v>
      </c>
      <c r="I108">
        <v>12</v>
      </c>
      <c r="J108" t="s">
        <v>1279</v>
      </c>
      <c r="K108">
        <v>12101</v>
      </c>
      <c r="L108" t="s">
        <v>1280</v>
      </c>
      <c r="M108">
        <v>12101265</v>
      </c>
      <c r="N108" t="s">
        <v>1281</v>
      </c>
      <c r="O108">
        <v>12101265813</v>
      </c>
      <c r="P108" t="s">
        <v>1282</v>
      </c>
      <c r="Q108" s="135" t="s">
        <v>1448</v>
      </c>
      <c r="R108" t="s">
        <v>1449</v>
      </c>
      <c r="S108" s="135" t="s">
        <v>1447</v>
      </c>
      <c r="T108" t="s">
        <v>1450</v>
      </c>
      <c r="U108" t="s">
        <v>1443</v>
      </c>
      <c r="V108" t="s">
        <v>1444</v>
      </c>
      <c r="W108">
        <v>2.431</v>
      </c>
      <c r="X108" t="s">
        <v>1445</v>
      </c>
      <c r="Y108">
        <v>1</v>
      </c>
      <c r="Z108">
        <v>2.431</v>
      </c>
      <c r="AA108" t="s">
        <v>28</v>
      </c>
      <c r="AB108" t="s">
        <v>1190</v>
      </c>
      <c r="AC108">
        <v>2431</v>
      </c>
      <c r="AD108" t="s">
        <v>1191</v>
      </c>
      <c r="AE108" t="s">
        <v>1290</v>
      </c>
      <c r="AF108" t="s">
        <v>1193</v>
      </c>
      <c r="AG108" t="s">
        <v>1194</v>
      </c>
      <c r="AH108" t="s">
        <v>1195</v>
      </c>
      <c r="AI108" t="s">
        <v>1202</v>
      </c>
      <c r="AJ108" t="s">
        <v>1291</v>
      </c>
      <c r="AK108" t="s">
        <v>1292</v>
      </c>
      <c r="AL108" t="s">
        <v>1291</v>
      </c>
      <c r="AM108" t="s">
        <v>1293</v>
      </c>
      <c r="AN108" t="s">
        <v>1201</v>
      </c>
      <c r="AO108" t="s">
        <v>1292</v>
      </c>
      <c r="AP108" t="s">
        <v>1294</v>
      </c>
      <c r="AQ108" t="s">
        <v>1203</v>
      </c>
      <c r="AR108" t="s">
        <v>1201</v>
      </c>
      <c r="AS108" t="s">
        <v>1203</v>
      </c>
      <c r="AU108" t="s">
        <v>1204</v>
      </c>
      <c r="AW108" t="b">
        <v>0</v>
      </c>
      <c r="AY108" t="b">
        <v>0</v>
      </c>
      <c r="BA108" t="s">
        <v>1295</v>
      </c>
      <c r="BB108" t="s">
        <v>1206</v>
      </c>
      <c r="BC108" t="s">
        <v>1206</v>
      </c>
      <c r="BD108" t="s">
        <v>1207</v>
      </c>
      <c r="BE108" t="s">
        <v>1296</v>
      </c>
      <c r="BF108" t="s">
        <v>1297</v>
      </c>
      <c r="BG108" t="s">
        <v>1298</v>
      </c>
      <c r="BH108" t="s">
        <v>1206</v>
      </c>
      <c r="BI108" t="s">
        <v>1206</v>
      </c>
      <c r="BJ108" t="s">
        <v>1299</v>
      </c>
    </row>
    <row r="109" spans="1:62" x14ac:dyDescent="0.25">
      <c r="A109" t="s">
        <v>1177</v>
      </c>
      <c r="B109">
        <v>150967</v>
      </c>
      <c r="C109">
        <v>150967</v>
      </c>
      <c r="D109" s="112" t="s">
        <v>2532</v>
      </c>
      <c r="E109" t="s">
        <v>1119</v>
      </c>
      <c r="F109" t="s">
        <v>1178</v>
      </c>
      <c r="G109" t="s">
        <v>1453</v>
      </c>
      <c r="H109" s="135" t="s">
        <v>1376</v>
      </c>
      <c r="I109">
        <v>12</v>
      </c>
      <c r="J109" t="s">
        <v>1279</v>
      </c>
      <c r="K109">
        <v>12101</v>
      </c>
      <c r="L109" t="s">
        <v>1280</v>
      </c>
      <c r="M109">
        <v>12101265</v>
      </c>
      <c r="N109" t="s">
        <v>1281</v>
      </c>
      <c r="O109">
        <v>12101265813</v>
      </c>
      <c r="P109" t="s">
        <v>1282</v>
      </c>
      <c r="Q109" s="135" t="s">
        <v>1365</v>
      </c>
      <c r="R109" t="s">
        <v>1366</v>
      </c>
      <c r="S109" s="135" t="s">
        <v>1376</v>
      </c>
      <c r="T109" t="s">
        <v>1377</v>
      </c>
      <c r="U109" t="s">
        <v>1230</v>
      </c>
      <c r="V109" t="s">
        <v>1231</v>
      </c>
      <c r="W109">
        <v>8</v>
      </c>
      <c r="X109" t="s">
        <v>1342</v>
      </c>
      <c r="Y109">
        <v>14</v>
      </c>
      <c r="Z109">
        <v>112</v>
      </c>
      <c r="AA109" t="s">
        <v>28</v>
      </c>
      <c r="AB109" t="s">
        <v>1190</v>
      </c>
      <c r="AC109">
        <v>8</v>
      </c>
      <c r="AD109" t="s">
        <v>1232</v>
      </c>
      <c r="AE109" t="s">
        <v>1192</v>
      </c>
      <c r="AF109" t="s">
        <v>1193</v>
      </c>
      <c r="AG109" t="s">
        <v>1194</v>
      </c>
      <c r="AH109" t="s">
        <v>1195</v>
      </c>
      <c r="AI109" t="s">
        <v>1202</v>
      </c>
      <c r="AJ109" t="s">
        <v>1291</v>
      </c>
      <c r="AK109" t="s">
        <v>1292</v>
      </c>
      <c r="AL109" t="s">
        <v>1291</v>
      </c>
      <c r="AM109" t="s">
        <v>1293</v>
      </c>
      <c r="AN109" t="s">
        <v>1201</v>
      </c>
      <c r="AO109" t="s">
        <v>1292</v>
      </c>
      <c r="AP109" t="s">
        <v>1294</v>
      </c>
      <c r="AQ109" t="s">
        <v>1203</v>
      </c>
      <c r="AR109" t="s">
        <v>1201</v>
      </c>
      <c r="AS109" t="s">
        <v>1203</v>
      </c>
      <c r="AU109" t="s">
        <v>1204</v>
      </c>
      <c r="AW109" t="b">
        <v>0</v>
      </c>
      <c r="AY109" t="b">
        <v>1</v>
      </c>
      <c r="BA109" t="s">
        <v>1295</v>
      </c>
      <c r="BB109" t="s">
        <v>1206</v>
      </c>
      <c r="BC109" t="s">
        <v>1206</v>
      </c>
      <c r="BD109" t="s">
        <v>1207</v>
      </c>
      <c r="BE109" t="s">
        <v>1296</v>
      </c>
      <c r="BF109" t="s">
        <v>1297</v>
      </c>
      <c r="BG109" t="s">
        <v>1298</v>
      </c>
      <c r="BH109" t="s">
        <v>1206</v>
      </c>
      <c r="BI109" t="s">
        <v>1206</v>
      </c>
      <c r="BJ109" t="s">
        <v>1299</v>
      </c>
    </row>
    <row r="110" spans="1:62" x14ac:dyDescent="0.25">
      <c r="A110" t="s">
        <v>1177</v>
      </c>
      <c r="B110">
        <v>150972</v>
      </c>
      <c r="C110">
        <v>150972</v>
      </c>
      <c r="D110" s="112" t="s">
        <v>2533</v>
      </c>
      <c r="E110" t="s">
        <v>1119</v>
      </c>
      <c r="F110" t="s">
        <v>1178</v>
      </c>
      <c r="G110" t="s">
        <v>1454</v>
      </c>
      <c r="H110" s="135" t="s">
        <v>1370</v>
      </c>
      <c r="I110">
        <v>12</v>
      </c>
      <c r="J110" t="s">
        <v>1279</v>
      </c>
      <c r="K110">
        <v>12101</v>
      </c>
      <c r="L110" t="s">
        <v>1280</v>
      </c>
      <c r="M110">
        <v>12101265</v>
      </c>
      <c r="N110" t="s">
        <v>1281</v>
      </c>
      <c r="O110">
        <v>12101265813</v>
      </c>
      <c r="P110" t="s">
        <v>1282</v>
      </c>
      <c r="Q110" s="135" t="s">
        <v>1371</v>
      </c>
      <c r="R110" t="s">
        <v>1372</v>
      </c>
      <c r="S110" s="135" t="s">
        <v>1370</v>
      </c>
      <c r="T110" t="s">
        <v>1373</v>
      </c>
      <c r="U110" t="s">
        <v>1230</v>
      </c>
      <c r="V110" t="s">
        <v>1231</v>
      </c>
      <c r="W110">
        <v>15</v>
      </c>
      <c r="X110" t="s">
        <v>1342</v>
      </c>
      <c r="Y110">
        <v>30</v>
      </c>
      <c r="Z110">
        <v>450</v>
      </c>
      <c r="AA110" t="s">
        <v>28</v>
      </c>
      <c r="AB110" t="s">
        <v>1190</v>
      </c>
      <c r="AC110">
        <v>15</v>
      </c>
      <c r="AD110" t="s">
        <v>1232</v>
      </c>
      <c r="AE110" t="s">
        <v>1192</v>
      </c>
      <c r="AF110" t="s">
        <v>1193</v>
      </c>
      <c r="AG110" t="s">
        <v>1194</v>
      </c>
      <c r="AH110" t="s">
        <v>1195</v>
      </c>
      <c r="AI110" t="s">
        <v>1202</v>
      </c>
      <c r="AJ110" t="s">
        <v>1291</v>
      </c>
      <c r="AK110" t="s">
        <v>1292</v>
      </c>
      <c r="AL110" t="s">
        <v>1291</v>
      </c>
      <c r="AM110" t="s">
        <v>1293</v>
      </c>
      <c r="AN110" t="s">
        <v>1201</v>
      </c>
      <c r="AO110" t="s">
        <v>1292</v>
      </c>
      <c r="AP110" t="s">
        <v>1294</v>
      </c>
      <c r="AQ110" t="s">
        <v>1203</v>
      </c>
      <c r="AR110" t="s">
        <v>1201</v>
      </c>
      <c r="AS110" t="s">
        <v>1203</v>
      </c>
      <c r="AU110" t="s">
        <v>1204</v>
      </c>
      <c r="AW110" t="b">
        <v>0</v>
      </c>
      <c r="AY110" t="b">
        <v>1</v>
      </c>
      <c r="BA110" t="s">
        <v>1295</v>
      </c>
      <c r="BB110" t="s">
        <v>1206</v>
      </c>
      <c r="BC110" t="s">
        <v>1206</v>
      </c>
      <c r="BD110" t="s">
        <v>1207</v>
      </c>
      <c r="BE110" t="s">
        <v>1296</v>
      </c>
      <c r="BF110" t="s">
        <v>1297</v>
      </c>
      <c r="BG110" t="s">
        <v>1298</v>
      </c>
      <c r="BH110" t="s">
        <v>1206</v>
      </c>
      <c r="BI110" t="s">
        <v>1206</v>
      </c>
      <c r="BJ110" t="s">
        <v>1299</v>
      </c>
    </row>
    <row r="111" spans="1:62" x14ac:dyDescent="0.25">
      <c r="A111" t="s">
        <v>1177</v>
      </c>
      <c r="B111">
        <v>150968</v>
      </c>
      <c r="C111">
        <v>150968</v>
      </c>
      <c r="D111" s="112" t="s">
        <v>2534</v>
      </c>
      <c r="E111" t="s">
        <v>1119</v>
      </c>
      <c r="F111" t="s">
        <v>1178</v>
      </c>
      <c r="G111" t="s">
        <v>1455</v>
      </c>
      <c r="H111" s="135" t="s">
        <v>1376</v>
      </c>
      <c r="I111">
        <v>12</v>
      </c>
      <c r="J111" t="s">
        <v>1279</v>
      </c>
      <c r="K111">
        <v>12101</v>
      </c>
      <c r="L111" t="s">
        <v>1280</v>
      </c>
      <c r="M111">
        <v>12101265</v>
      </c>
      <c r="N111" t="s">
        <v>1281</v>
      </c>
      <c r="O111">
        <v>12101265813</v>
      </c>
      <c r="P111" t="s">
        <v>1282</v>
      </c>
      <c r="Q111" s="135" t="s">
        <v>1365</v>
      </c>
      <c r="R111" t="s">
        <v>1366</v>
      </c>
      <c r="S111" s="135" t="s">
        <v>1376</v>
      </c>
      <c r="T111" t="s">
        <v>1377</v>
      </c>
      <c r="U111" t="s">
        <v>1230</v>
      </c>
      <c r="V111" t="s">
        <v>1231</v>
      </c>
      <c r="W111">
        <v>8</v>
      </c>
      <c r="X111" t="s">
        <v>1342</v>
      </c>
      <c r="Y111">
        <v>14</v>
      </c>
      <c r="Z111">
        <v>112</v>
      </c>
      <c r="AA111" t="s">
        <v>28</v>
      </c>
      <c r="AB111" t="s">
        <v>1190</v>
      </c>
      <c r="AC111">
        <v>8</v>
      </c>
      <c r="AD111" t="s">
        <v>1232</v>
      </c>
      <c r="AE111" t="s">
        <v>1192</v>
      </c>
      <c r="AF111" t="s">
        <v>1193</v>
      </c>
      <c r="AG111" t="s">
        <v>1194</v>
      </c>
      <c r="AH111" t="s">
        <v>1195</v>
      </c>
      <c r="AI111" t="s">
        <v>1202</v>
      </c>
      <c r="AJ111" t="s">
        <v>1291</v>
      </c>
      <c r="AK111" t="s">
        <v>1292</v>
      </c>
      <c r="AL111" t="s">
        <v>1291</v>
      </c>
      <c r="AM111" t="s">
        <v>1318</v>
      </c>
      <c r="AN111" t="s">
        <v>1201</v>
      </c>
      <c r="AO111" t="s">
        <v>1292</v>
      </c>
      <c r="AP111" t="s">
        <v>1319</v>
      </c>
      <c r="AQ111" t="s">
        <v>1203</v>
      </c>
      <c r="AR111" t="s">
        <v>1201</v>
      </c>
      <c r="AS111" t="s">
        <v>1203</v>
      </c>
      <c r="AU111" t="s">
        <v>1204</v>
      </c>
      <c r="AW111" t="b">
        <v>0</v>
      </c>
      <c r="AY111" t="b">
        <v>1</v>
      </c>
      <c r="BA111" t="s">
        <v>1295</v>
      </c>
      <c r="BB111" t="s">
        <v>1206</v>
      </c>
      <c r="BC111" t="s">
        <v>1206</v>
      </c>
      <c r="BD111" t="s">
        <v>1207</v>
      </c>
      <c r="BE111" t="s">
        <v>1296</v>
      </c>
      <c r="BF111" t="s">
        <v>1297</v>
      </c>
      <c r="BG111" t="s">
        <v>1298</v>
      </c>
      <c r="BH111" t="s">
        <v>1206</v>
      </c>
      <c r="BI111" t="s">
        <v>1206</v>
      </c>
      <c r="BJ111" t="s">
        <v>1299</v>
      </c>
    </row>
    <row r="112" spans="1:62" x14ac:dyDescent="0.25">
      <c r="A112" t="s">
        <v>1177</v>
      </c>
      <c r="B112">
        <v>150973</v>
      </c>
      <c r="C112">
        <v>150973</v>
      </c>
      <c r="D112" s="112" t="s">
        <v>2535</v>
      </c>
      <c r="E112" t="s">
        <v>1119</v>
      </c>
      <c r="F112" t="s">
        <v>1178</v>
      </c>
      <c r="G112" t="s">
        <v>1456</v>
      </c>
      <c r="H112" s="135" t="s">
        <v>1370</v>
      </c>
      <c r="I112">
        <v>12</v>
      </c>
      <c r="J112" t="s">
        <v>1279</v>
      </c>
      <c r="K112">
        <v>12101</v>
      </c>
      <c r="L112" t="s">
        <v>1280</v>
      </c>
      <c r="M112">
        <v>12101265</v>
      </c>
      <c r="N112" t="s">
        <v>1281</v>
      </c>
      <c r="O112">
        <v>12101265813</v>
      </c>
      <c r="P112" t="s">
        <v>1282</v>
      </c>
      <c r="Q112" s="135" t="s">
        <v>1371</v>
      </c>
      <c r="R112" t="s">
        <v>1372</v>
      </c>
      <c r="S112" s="135" t="s">
        <v>1370</v>
      </c>
      <c r="T112" t="s">
        <v>1373</v>
      </c>
      <c r="U112" t="s">
        <v>1230</v>
      </c>
      <c r="V112" t="s">
        <v>1231</v>
      </c>
      <c r="W112">
        <v>15</v>
      </c>
      <c r="X112" t="s">
        <v>1342</v>
      </c>
      <c r="Y112">
        <v>30</v>
      </c>
      <c r="Z112">
        <v>450</v>
      </c>
      <c r="AA112" t="s">
        <v>28</v>
      </c>
      <c r="AB112" t="s">
        <v>1190</v>
      </c>
      <c r="AC112">
        <v>15</v>
      </c>
      <c r="AD112" t="s">
        <v>1232</v>
      </c>
      <c r="AE112" t="s">
        <v>1192</v>
      </c>
      <c r="AF112" t="s">
        <v>1193</v>
      </c>
      <c r="AG112" t="s">
        <v>1194</v>
      </c>
      <c r="AH112" t="s">
        <v>1195</v>
      </c>
      <c r="AI112" t="s">
        <v>1202</v>
      </c>
      <c r="AJ112" t="s">
        <v>1291</v>
      </c>
      <c r="AK112" t="s">
        <v>1292</v>
      </c>
      <c r="AL112" t="s">
        <v>1291</v>
      </c>
      <c r="AM112" t="s">
        <v>1293</v>
      </c>
      <c r="AN112" t="s">
        <v>1201</v>
      </c>
      <c r="AO112" t="s">
        <v>1292</v>
      </c>
      <c r="AP112" t="s">
        <v>1294</v>
      </c>
      <c r="AQ112" t="s">
        <v>1203</v>
      </c>
      <c r="AR112" t="s">
        <v>1201</v>
      </c>
      <c r="AS112" t="s">
        <v>1203</v>
      </c>
      <c r="AU112" t="s">
        <v>1204</v>
      </c>
      <c r="AW112" t="b">
        <v>0</v>
      </c>
      <c r="AY112" t="b">
        <v>1</v>
      </c>
      <c r="BA112" t="s">
        <v>1295</v>
      </c>
      <c r="BB112" t="s">
        <v>1206</v>
      </c>
      <c r="BC112" t="s">
        <v>1206</v>
      </c>
      <c r="BD112" t="s">
        <v>1207</v>
      </c>
      <c r="BE112" t="s">
        <v>1296</v>
      </c>
      <c r="BF112" t="s">
        <v>1297</v>
      </c>
      <c r="BG112" t="s">
        <v>1298</v>
      </c>
      <c r="BH112" t="s">
        <v>1206</v>
      </c>
      <c r="BI112" t="s">
        <v>1206</v>
      </c>
      <c r="BJ112" t="s">
        <v>1299</v>
      </c>
    </row>
    <row r="113" spans="1:62" x14ac:dyDescent="0.25">
      <c r="A113" t="s">
        <v>1177</v>
      </c>
      <c r="B113">
        <v>150221</v>
      </c>
      <c r="C113">
        <v>150221</v>
      </c>
      <c r="D113" s="112" t="s">
        <v>2536</v>
      </c>
      <c r="E113" t="s">
        <v>1119</v>
      </c>
      <c r="F113" t="s">
        <v>1178</v>
      </c>
      <c r="G113" t="s">
        <v>400</v>
      </c>
      <c r="H113" s="135" t="s">
        <v>1352</v>
      </c>
      <c r="I113">
        <v>12</v>
      </c>
      <c r="J113" t="s">
        <v>1279</v>
      </c>
      <c r="K113">
        <v>12101</v>
      </c>
      <c r="L113" t="s">
        <v>1280</v>
      </c>
      <c r="M113">
        <v>12101265</v>
      </c>
      <c r="N113" t="s">
        <v>1281</v>
      </c>
      <c r="O113">
        <v>12101265813</v>
      </c>
      <c r="P113" t="s">
        <v>1282</v>
      </c>
      <c r="Q113" s="135" t="s">
        <v>1353</v>
      </c>
      <c r="R113" t="s">
        <v>1354</v>
      </c>
      <c r="S113" s="135" t="s">
        <v>1352</v>
      </c>
      <c r="T113" t="s">
        <v>1355</v>
      </c>
      <c r="U113" t="s">
        <v>1310</v>
      </c>
      <c r="V113" t="s">
        <v>1311</v>
      </c>
      <c r="W113">
        <v>380</v>
      </c>
      <c r="X113" t="s">
        <v>1342</v>
      </c>
      <c r="Y113">
        <v>12</v>
      </c>
      <c r="Z113">
        <v>4560</v>
      </c>
      <c r="AA113" t="s">
        <v>28</v>
      </c>
      <c r="AB113" t="s">
        <v>1190</v>
      </c>
      <c r="AC113">
        <v>380</v>
      </c>
      <c r="AD113" t="s">
        <v>1191</v>
      </c>
      <c r="AE113" t="s">
        <v>1192</v>
      </c>
      <c r="AF113" t="s">
        <v>1193</v>
      </c>
      <c r="AG113" t="s">
        <v>1194</v>
      </c>
      <c r="AH113" t="s">
        <v>1195</v>
      </c>
      <c r="AI113" t="s">
        <v>1202</v>
      </c>
      <c r="AJ113" t="s">
        <v>1291</v>
      </c>
      <c r="AK113" t="s">
        <v>1292</v>
      </c>
      <c r="AL113" t="s">
        <v>1291</v>
      </c>
      <c r="AM113" t="s">
        <v>1293</v>
      </c>
      <c r="AN113" t="s">
        <v>1201</v>
      </c>
      <c r="AO113" t="s">
        <v>1292</v>
      </c>
      <c r="AP113" t="s">
        <v>1294</v>
      </c>
      <c r="AQ113" t="s">
        <v>1203</v>
      </c>
      <c r="AR113" t="s">
        <v>1201</v>
      </c>
      <c r="AS113" t="s">
        <v>1203</v>
      </c>
      <c r="AU113" t="s">
        <v>1204</v>
      </c>
      <c r="AW113" t="b">
        <v>0</v>
      </c>
      <c r="AY113" t="b">
        <v>0</v>
      </c>
      <c r="BA113" t="s">
        <v>1295</v>
      </c>
      <c r="BB113" t="s">
        <v>1206</v>
      </c>
      <c r="BC113" t="s">
        <v>1206</v>
      </c>
      <c r="BD113" t="s">
        <v>1207</v>
      </c>
      <c r="BE113" t="s">
        <v>1296</v>
      </c>
      <c r="BF113" t="s">
        <v>1297</v>
      </c>
      <c r="BG113" t="s">
        <v>1298</v>
      </c>
      <c r="BH113" t="s">
        <v>1206</v>
      </c>
      <c r="BI113" t="s">
        <v>1206</v>
      </c>
      <c r="BJ113" t="s">
        <v>1299</v>
      </c>
    </row>
    <row r="114" spans="1:62" x14ac:dyDescent="0.25">
      <c r="A114" t="s">
        <v>1177</v>
      </c>
      <c r="B114">
        <v>150250</v>
      </c>
      <c r="C114">
        <v>150250</v>
      </c>
      <c r="D114" s="112" t="s">
        <v>2537</v>
      </c>
      <c r="E114" t="s">
        <v>1119</v>
      </c>
      <c r="F114" t="s">
        <v>1178</v>
      </c>
      <c r="G114" t="s">
        <v>1457</v>
      </c>
      <c r="H114" s="135" t="s">
        <v>1352</v>
      </c>
      <c r="I114">
        <v>12</v>
      </c>
      <c r="J114" t="s">
        <v>1279</v>
      </c>
      <c r="K114">
        <v>12101</v>
      </c>
      <c r="L114" t="s">
        <v>1280</v>
      </c>
      <c r="M114">
        <v>12101265</v>
      </c>
      <c r="N114" t="s">
        <v>1281</v>
      </c>
      <c r="O114">
        <v>12101265813</v>
      </c>
      <c r="P114" t="s">
        <v>1282</v>
      </c>
      <c r="Q114" s="135" t="s">
        <v>1353</v>
      </c>
      <c r="R114" t="s">
        <v>1354</v>
      </c>
      <c r="S114" s="135" t="s">
        <v>1352</v>
      </c>
      <c r="T114" t="s">
        <v>1355</v>
      </c>
      <c r="U114" t="s">
        <v>1310</v>
      </c>
      <c r="V114" t="s">
        <v>1311</v>
      </c>
      <c r="W114">
        <v>380</v>
      </c>
      <c r="X114" t="s">
        <v>1342</v>
      </c>
      <c r="Y114">
        <v>12</v>
      </c>
      <c r="Z114">
        <v>4560</v>
      </c>
      <c r="AA114" t="s">
        <v>28</v>
      </c>
      <c r="AB114" t="s">
        <v>1190</v>
      </c>
      <c r="AC114">
        <v>380</v>
      </c>
      <c r="AD114" t="s">
        <v>1191</v>
      </c>
      <c r="AE114" t="s">
        <v>1192</v>
      </c>
      <c r="AF114" t="s">
        <v>1193</v>
      </c>
      <c r="AG114" t="s">
        <v>1194</v>
      </c>
      <c r="AH114" t="s">
        <v>1195</v>
      </c>
      <c r="AI114" t="s">
        <v>1202</v>
      </c>
      <c r="AJ114" t="s">
        <v>1291</v>
      </c>
      <c r="AK114" t="s">
        <v>1292</v>
      </c>
      <c r="AL114" t="s">
        <v>1291</v>
      </c>
      <c r="AM114" t="s">
        <v>1293</v>
      </c>
      <c r="AN114" t="s">
        <v>1201</v>
      </c>
      <c r="AO114" t="s">
        <v>1292</v>
      </c>
      <c r="AP114" t="s">
        <v>1294</v>
      </c>
      <c r="AQ114" t="s">
        <v>1203</v>
      </c>
      <c r="AR114" t="s">
        <v>1201</v>
      </c>
      <c r="AS114" t="s">
        <v>1203</v>
      </c>
      <c r="AU114" t="s">
        <v>1204</v>
      </c>
      <c r="AW114" t="b">
        <v>0</v>
      </c>
      <c r="AY114" t="b">
        <v>0</v>
      </c>
      <c r="BA114" t="s">
        <v>1295</v>
      </c>
      <c r="BB114" t="s">
        <v>1206</v>
      </c>
      <c r="BC114" t="s">
        <v>1206</v>
      </c>
      <c r="BD114" t="s">
        <v>1207</v>
      </c>
      <c r="BE114" t="s">
        <v>1296</v>
      </c>
      <c r="BF114" t="s">
        <v>1297</v>
      </c>
      <c r="BG114" t="s">
        <v>1298</v>
      </c>
      <c r="BH114" t="s">
        <v>1206</v>
      </c>
      <c r="BI114" t="s">
        <v>1206</v>
      </c>
      <c r="BJ114" t="s">
        <v>1299</v>
      </c>
    </row>
    <row r="115" spans="1:62" x14ac:dyDescent="0.25">
      <c r="A115" t="s">
        <v>1177</v>
      </c>
      <c r="B115">
        <v>150349</v>
      </c>
      <c r="C115">
        <v>150349</v>
      </c>
      <c r="D115" s="112" t="s">
        <v>2538</v>
      </c>
      <c r="E115" t="s">
        <v>1119</v>
      </c>
      <c r="F115" t="s">
        <v>1178</v>
      </c>
      <c r="G115" t="s">
        <v>397</v>
      </c>
      <c r="H115" s="135" t="s">
        <v>1327</v>
      </c>
      <c r="I115">
        <v>12</v>
      </c>
      <c r="J115" t="s">
        <v>1279</v>
      </c>
      <c r="K115">
        <v>12101</v>
      </c>
      <c r="L115" t="s">
        <v>1280</v>
      </c>
      <c r="M115">
        <v>12101265</v>
      </c>
      <c r="N115" t="s">
        <v>1281</v>
      </c>
      <c r="O115">
        <v>12101265813</v>
      </c>
      <c r="P115" t="s">
        <v>1282</v>
      </c>
      <c r="Q115" s="135" t="s">
        <v>1328</v>
      </c>
      <c r="R115" t="s">
        <v>1329</v>
      </c>
      <c r="S115" s="135" t="s">
        <v>1327</v>
      </c>
      <c r="T115" t="s">
        <v>1330</v>
      </c>
      <c r="U115" t="s">
        <v>1237</v>
      </c>
      <c r="V115" t="s">
        <v>1238</v>
      </c>
      <c r="W115">
        <v>270</v>
      </c>
      <c r="X115" t="s">
        <v>1189</v>
      </c>
      <c r="Y115">
        <v>24</v>
      </c>
      <c r="Z115">
        <v>6480</v>
      </c>
      <c r="AA115" t="s">
        <v>28</v>
      </c>
      <c r="AB115" t="s">
        <v>1190</v>
      </c>
      <c r="AC115">
        <v>270</v>
      </c>
      <c r="AD115" t="s">
        <v>1191</v>
      </c>
      <c r="AE115" t="s">
        <v>1192</v>
      </c>
      <c r="AF115" t="s">
        <v>1193</v>
      </c>
      <c r="AG115" t="s">
        <v>1194</v>
      </c>
      <c r="AH115" t="s">
        <v>1195</v>
      </c>
      <c r="AI115" t="s">
        <v>1202</v>
      </c>
      <c r="AJ115" t="s">
        <v>1291</v>
      </c>
      <c r="AK115" t="s">
        <v>1292</v>
      </c>
      <c r="AL115" t="s">
        <v>1291</v>
      </c>
      <c r="AM115" t="s">
        <v>1293</v>
      </c>
      <c r="AN115" t="s">
        <v>1201</v>
      </c>
      <c r="AO115" t="s">
        <v>1292</v>
      </c>
      <c r="AP115" t="s">
        <v>1294</v>
      </c>
      <c r="AQ115" t="s">
        <v>1203</v>
      </c>
      <c r="AR115" t="s">
        <v>1201</v>
      </c>
      <c r="AS115" t="s">
        <v>1203</v>
      </c>
      <c r="AU115" t="s">
        <v>1204</v>
      </c>
      <c r="AW115" t="b">
        <v>0</v>
      </c>
      <c r="AY115" t="b">
        <v>0</v>
      </c>
      <c r="BA115" t="s">
        <v>1295</v>
      </c>
      <c r="BB115" t="s">
        <v>1206</v>
      </c>
      <c r="BC115" t="s">
        <v>1206</v>
      </c>
      <c r="BD115" t="s">
        <v>1207</v>
      </c>
      <c r="BE115" t="s">
        <v>1296</v>
      </c>
      <c r="BF115" t="s">
        <v>1297</v>
      </c>
      <c r="BG115" t="s">
        <v>1298</v>
      </c>
      <c r="BH115" t="s">
        <v>1206</v>
      </c>
      <c r="BI115" t="s">
        <v>1206</v>
      </c>
      <c r="BJ115" t="s">
        <v>1299</v>
      </c>
    </row>
    <row r="116" spans="1:62" x14ac:dyDescent="0.25">
      <c r="A116" t="s">
        <v>1177</v>
      </c>
      <c r="B116">
        <v>150294</v>
      </c>
      <c r="C116">
        <v>150294</v>
      </c>
      <c r="D116" s="112" t="s">
        <v>2539</v>
      </c>
      <c r="E116" t="s">
        <v>1119</v>
      </c>
      <c r="F116" t="s">
        <v>1178</v>
      </c>
      <c r="G116" t="s">
        <v>390</v>
      </c>
      <c r="H116" s="135" t="s">
        <v>1313</v>
      </c>
      <c r="I116">
        <v>12</v>
      </c>
      <c r="J116" t="s">
        <v>1279</v>
      </c>
      <c r="K116">
        <v>12101</v>
      </c>
      <c r="L116" t="s">
        <v>1280</v>
      </c>
      <c r="M116">
        <v>12101265</v>
      </c>
      <c r="N116" t="s">
        <v>1281</v>
      </c>
      <c r="O116">
        <v>12101265813</v>
      </c>
      <c r="P116" t="s">
        <v>1282</v>
      </c>
      <c r="Q116" s="135" t="s">
        <v>1314</v>
      </c>
      <c r="R116" t="s">
        <v>1315</v>
      </c>
      <c r="S116" s="135" t="s">
        <v>1313</v>
      </c>
      <c r="T116" t="s">
        <v>1316</v>
      </c>
      <c r="U116" t="s">
        <v>1237</v>
      </c>
      <c r="V116" t="s">
        <v>1238</v>
      </c>
      <c r="W116">
        <v>130</v>
      </c>
      <c r="X116" t="s">
        <v>1189</v>
      </c>
      <c r="Y116">
        <v>48</v>
      </c>
      <c r="Z116">
        <v>6240</v>
      </c>
      <c r="AA116" t="s">
        <v>28</v>
      </c>
      <c r="AB116" t="s">
        <v>1190</v>
      </c>
      <c r="AC116">
        <v>130</v>
      </c>
      <c r="AD116" t="s">
        <v>1191</v>
      </c>
      <c r="AE116" t="s">
        <v>1192</v>
      </c>
      <c r="AF116" t="s">
        <v>1193</v>
      </c>
      <c r="AG116" t="s">
        <v>1194</v>
      </c>
      <c r="AH116" t="s">
        <v>1195</v>
      </c>
      <c r="AI116" t="s">
        <v>1202</v>
      </c>
      <c r="AJ116" t="s">
        <v>1291</v>
      </c>
      <c r="AK116" t="s">
        <v>1292</v>
      </c>
      <c r="AL116" t="s">
        <v>1291</v>
      </c>
      <c r="AM116" t="s">
        <v>1293</v>
      </c>
      <c r="AN116" t="s">
        <v>1201</v>
      </c>
      <c r="AO116" t="s">
        <v>1292</v>
      </c>
      <c r="AP116" t="s">
        <v>1294</v>
      </c>
      <c r="AQ116" t="s">
        <v>1203</v>
      </c>
      <c r="AR116" t="s">
        <v>1201</v>
      </c>
      <c r="AS116" t="s">
        <v>1203</v>
      </c>
      <c r="AU116" t="s">
        <v>1204</v>
      </c>
      <c r="AW116" t="b">
        <v>0</v>
      </c>
      <c r="AY116" t="b">
        <v>0</v>
      </c>
      <c r="BA116" t="s">
        <v>1295</v>
      </c>
      <c r="BB116" t="s">
        <v>1206</v>
      </c>
      <c r="BC116" t="s">
        <v>1206</v>
      </c>
      <c r="BD116" t="s">
        <v>1207</v>
      </c>
      <c r="BE116" t="s">
        <v>1296</v>
      </c>
      <c r="BF116" t="s">
        <v>1297</v>
      </c>
      <c r="BG116" t="s">
        <v>1298</v>
      </c>
      <c r="BH116" t="s">
        <v>1206</v>
      </c>
      <c r="BI116" t="s">
        <v>1206</v>
      </c>
      <c r="BJ116" t="s">
        <v>1299</v>
      </c>
    </row>
    <row r="117" spans="1:62" x14ac:dyDescent="0.25">
      <c r="A117" t="s">
        <v>1177</v>
      </c>
      <c r="B117">
        <v>150231</v>
      </c>
      <c r="C117">
        <v>150231</v>
      </c>
      <c r="D117" s="112" t="s">
        <v>2540</v>
      </c>
      <c r="E117" t="s">
        <v>1119</v>
      </c>
      <c r="F117" t="s">
        <v>1178</v>
      </c>
      <c r="G117" t="s">
        <v>408</v>
      </c>
      <c r="H117" s="135" t="s">
        <v>1306</v>
      </c>
      <c r="I117">
        <v>12</v>
      </c>
      <c r="J117" t="s">
        <v>1279</v>
      </c>
      <c r="K117">
        <v>12101</v>
      </c>
      <c r="L117" t="s">
        <v>1280</v>
      </c>
      <c r="M117">
        <v>12101265</v>
      </c>
      <c r="N117" t="s">
        <v>1281</v>
      </c>
      <c r="O117">
        <v>12101265813</v>
      </c>
      <c r="P117" t="s">
        <v>1282</v>
      </c>
      <c r="Q117" s="135" t="s">
        <v>1307</v>
      </c>
      <c r="R117" t="s">
        <v>1308</v>
      </c>
      <c r="S117" s="135" t="s">
        <v>1306</v>
      </c>
      <c r="T117" t="s">
        <v>1309</v>
      </c>
      <c r="U117" t="s">
        <v>1310</v>
      </c>
      <c r="V117" t="s">
        <v>1311</v>
      </c>
      <c r="W117">
        <v>1</v>
      </c>
      <c r="X117" t="s">
        <v>1288</v>
      </c>
      <c r="Y117">
        <v>6</v>
      </c>
      <c r="Z117">
        <v>6</v>
      </c>
      <c r="AA117" t="s">
        <v>28</v>
      </c>
      <c r="AB117" t="s">
        <v>1190</v>
      </c>
      <c r="AC117">
        <v>1000</v>
      </c>
      <c r="AD117" t="s">
        <v>1191</v>
      </c>
      <c r="AE117" t="s">
        <v>1290</v>
      </c>
      <c r="AF117" t="s">
        <v>1193</v>
      </c>
      <c r="AG117" t="s">
        <v>1194</v>
      </c>
      <c r="AH117" t="s">
        <v>1195</v>
      </c>
      <c r="AI117" t="s">
        <v>1202</v>
      </c>
      <c r="AJ117" t="s">
        <v>1291</v>
      </c>
      <c r="AK117" t="s">
        <v>1292</v>
      </c>
      <c r="AL117" t="s">
        <v>1291</v>
      </c>
      <c r="AM117" t="s">
        <v>1293</v>
      </c>
      <c r="AN117" t="s">
        <v>1201</v>
      </c>
      <c r="AO117" t="s">
        <v>1292</v>
      </c>
      <c r="AP117" t="s">
        <v>1294</v>
      </c>
      <c r="AQ117" t="s">
        <v>1203</v>
      </c>
      <c r="AR117" t="s">
        <v>1201</v>
      </c>
      <c r="AS117" t="s">
        <v>1203</v>
      </c>
      <c r="AU117" t="s">
        <v>1204</v>
      </c>
      <c r="AW117" t="b">
        <v>0</v>
      </c>
      <c r="AY117" t="b">
        <v>0</v>
      </c>
      <c r="BA117" t="s">
        <v>1295</v>
      </c>
      <c r="BB117" t="s">
        <v>1206</v>
      </c>
      <c r="BC117" t="s">
        <v>1206</v>
      </c>
      <c r="BD117" t="s">
        <v>1207</v>
      </c>
      <c r="BE117" t="s">
        <v>1296</v>
      </c>
      <c r="BF117" t="s">
        <v>1297</v>
      </c>
      <c r="BG117" t="s">
        <v>1298</v>
      </c>
      <c r="BH117" t="s">
        <v>1206</v>
      </c>
      <c r="BI117" t="s">
        <v>1206</v>
      </c>
      <c r="BJ117" t="s">
        <v>1299</v>
      </c>
    </row>
    <row r="118" spans="1:62" x14ac:dyDescent="0.25">
      <c r="A118" t="s">
        <v>1177</v>
      </c>
      <c r="B118">
        <v>150116</v>
      </c>
      <c r="C118">
        <v>150116</v>
      </c>
      <c r="D118" s="112" t="s">
        <v>2541</v>
      </c>
      <c r="E118" t="s">
        <v>1119</v>
      </c>
      <c r="F118" t="s">
        <v>1178</v>
      </c>
      <c r="G118" t="s">
        <v>1458</v>
      </c>
      <c r="H118" s="135" t="s">
        <v>1459</v>
      </c>
      <c r="I118">
        <v>12</v>
      </c>
      <c r="J118" t="s">
        <v>1279</v>
      </c>
      <c r="K118">
        <v>12101</v>
      </c>
      <c r="L118" t="s">
        <v>1280</v>
      </c>
      <c r="M118">
        <v>12101265</v>
      </c>
      <c r="N118" t="s">
        <v>1281</v>
      </c>
      <c r="O118">
        <v>12101265813</v>
      </c>
      <c r="P118" t="s">
        <v>1282</v>
      </c>
      <c r="Q118" s="135" t="s">
        <v>1365</v>
      </c>
      <c r="R118" t="s">
        <v>1366</v>
      </c>
      <c r="S118" s="135" t="s">
        <v>1459</v>
      </c>
      <c r="T118" t="s">
        <v>1460</v>
      </c>
      <c r="U118" t="s">
        <v>1230</v>
      </c>
      <c r="V118" t="s">
        <v>1231</v>
      </c>
      <c r="W118">
        <v>8</v>
      </c>
      <c r="X118" t="s">
        <v>1342</v>
      </c>
      <c r="Y118">
        <v>12</v>
      </c>
      <c r="Z118">
        <v>96</v>
      </c>
      <c r="AA118" t="s">
        <v>28</v>
      </c>
      <c r="AB118" t="s">
        <v>1190</v>
      </c>
      <c r="AC118">
        <v>8</v>
      </c>
      <c r="AD118" t="s">
        <v>1232</v>
      </c>
      <c r="AE118" t="s">
        <v>1192</v>
      </c>
      <c r="AF118" t="s">
        <v>1193</v>
      </c>
      <c r="AG118" t="s">
        <v>1194</v>
      </c>
      <c r="AH118" t="s">
        <v>1195</v>
      </c>
      <c r="AI118" t="s">
        <v>1202</v>
      </c>
      <c r="AJ118" t="s">
        <v>1291</v>
      </c>
      <c r="AK118" t="s">
        <v>1292</v>
      </c>
      <c r="AL118" t="s">
        <v>1291</v>
      </c>
      <c r="AM118" t="s">
        <v>1293</v>
      </c>
      <c r="AN118" t="s">
        <v>1201</v>
      </c>
      <c r="AO118" t="s">
        <v>1292</v>
      </c>
      <c r="AP118" t="s">
        <v>1294</v>
      </c>
      <c r="AQ118" t="s">
        <v>1203</v>
      </c>
      <c r="AR118" t="s">
        <v>1201</v>
      </c>
      <c r="AS118" t="s">
        <v>1203</v>
      </c>
      <c r="AU118" t="s">
        <v>1204</v>
      </c>
      <c r="AW118" t="b">
        <v>0</v>
      </c>
      <c r="AY118" t="b">
        <v>1</v>
      </c>
      <c r="BA118" t="s">
        <v>1295</v>
      </c>
      <c r="BB118" t="s">
        <v>1206</v>
      </c>
      <c r="BC118" t="s">
        <v>1206</v>
      </c>
      <c r="BD118" t="s">
        <v>1207</v>
      </c>
      <c r="BE118" t="s">
        <v>1296</v>
      </c>
      <c r="BF118" t="s">
        <v>1297</v>
      </c>
      <c r="BG118" t="s">
        <v>1298</v>
      </c>
      <c r="BH118" t="s">
        <v>1206</v>
      </c>
      <c r="BI118" t="s">
        <v>1206</v>
      </c>
      <c r="BJ118" t="s">
        <v>1299</v>
      </c>
    </row>
    <row r="119" spans="1:62" x14ac:dyDescent="0.25">
      <c r="A119" t="s">
        <v>1177</v>
      </c>
      <c r="B119">
        <v>150205</v>
      </c>
      <c r="C119">
        <v>150205</v>
      </c>
      <c r="D119" s="112" t="s">
        <v>2542</v>
      </c>
      <c r="E119" t="s">
        <v>1119</v>
      </c>
      <c r="F119" t="s">
        <v>1178</v>
      </c>
      <c r="G119" t="s">
        <v>1461</v>
      </c>
      <c r="H119" s="135" t="s">
        <v>1459</v>
      </c>
      <c r="I119">
        <v>12</v>
      </c>
      <c r="J119" t="s">
        <v>1279</v>
      </c>
      <c r="K119">
        <v>12101</v>
      </c>
      <c r="L119" t="s">
        <v>1280</v>
      </c>
      <c r="M119">
        <v>12101265</v>
      </c>
      <c r="N119" t="s">
        <v>1281</v>
      </c>
      <c r="O119">
        <v>12101265813</v>
      </c>
      <c r="P119" t="s">
        <v>1282</v>
      </c>
      <c r="Q119" s="135" t="s">
        <v>1365</v>
      </c>
      <c r="R119" t="s">
        <v>1366</v>
      </c>
      <c r="S119" s="135" t="s">
        <v>1459</v>
      </c>
      <c r="T119" t="s">
        <v>1460</v>
      </c>
      <c r="U119" t="s">
        <v>1230</v>
      </c>
      <c r="V119" t="s">
        <v>1231</v>
      </c>
      <c r="W119">
        <v>8</v>
      </c>
      <c r="X119" t="s">
        <v>1342</v>
      </c>
      <c r="Y119">
        <v>12</v>
      </c>
      <c r="Z119">
        <v>96</v>
      </c>
      <c r="AA119" t="s">
        <v>28</v>
      </c>
      <c r="AB119" t="s">
        <v>1190</v>
      </c>
      <c r="AC119">
        <v>8</v>
      </c>
      <c r="AD119" t="s">
        <v>1232</v>
      </c>
      <c r="AE119" t="s">
        <v>1192</v>
      </c>
      <c r="AF119" t="s">
        <v>1193</v>
      </c>
      <c r="AG119" t="s">
        <v>1194</v>
      </c>
      <c r="AH119" t="s">
        <v>1195</v>
      </c>
      <c r="AI119" t="s">
        <v>1202</v>
      </c>
      <c r="AJ119" t="s">
        <v>1291</v>
      </c>
      <c r="AK119" t="s">
        <v>1292</v>
      </c>
      <c r="AL119" t="s">
        <v>1291</v>
      </c>
      <c r="AM119" t="s">
        <v>1293</v>
      </c>
      <c r="AN119" t="s">
        <v>1201</v>
      </c>
      <c r="AO119" t="s">
        <v>1292</v>
      </c>
      <c r="AP119" t="s">
        <v>1294</v>
      </c>
      <c r="AQ119" t="s">
        <v>1203</v>
      </c>
      <c r="AR119" t="s">
        <v>1201</v>
      </c>
      <c r="AS119" t="s">
        <v>1203</v>
      </c>
      <c r="AU119" t="s">
        <v>1204</v>
      </c>
      <c r="AW119" t="b">
        <v>0</v>
      </c>
      <c r="AY119" t="b">
        <v>1</v>
      </c>
      <c r="BA119" t="s">
        <v>1295</v>
      </c>
      <c r="BB119" t="s">
        <v>1206</v>
      </c>
      <c r="BC119" t="s">
        <v>1206</v>
      </c>
      <c r="BD119" t="s">
        <v>1207</v>
      </c>
      <c r="BE119" t="s">
        <v>1296</v>
      </c>
      <c r="BF119" t="s">
        <v>1297</v>
      </c>
      <c r="BG119" t="s">
        <v>1298</v>
      </c>
      <c r="BH119" t="s">
        <v>1206</v>
      </c>
      <c r="BI119" t="s">
        <v>1206</v>
      </c>
      <c r="BJ119" t="s">
        <v>1299</v>
      </c>
    </row>
    <row r="120" spans="1:62" x14ac:dyDescent="0.25">
      <c r="A120" t="s">
        <v>1177</v>
      </c>
      <c r="B120">
        <v>150229</v>
      </c>
      <c r="C120">
        <v>150229</v>
      </c>
      <c r="D120" s="112" t="s">
        <v>2543</v>
      </c>
      <c r="E120" t="s">
        <v>1119</v>
      </c>
      <c r="F120" t="s">
        <v>1178</v>
      </c>
      <c r="G120" t="s">
        <v>1462</v>
      </c>
      <c r="H120" s="135" t="s">
        <v>1376</v>
      </c>
      <c r="I120">
        <v>12</v>
      </c>
      <c r="J120" t="s">
        <v>1279</v>
      </c>
      <c r="K120">
        <v>12101</v>
      </c>
      <c r="L120" t="s">
        <v>1280</v>
      </c>
      <c r="M120">
        <v>12101265</v>
      </c>
      <c r="N120" t="s">
        <v>1281</v>
      </c>
      <c r="O120">
        <v>12101265813</v>
      </c>
      <c r="P120" t="s">
        <v>1282</v>
      </c>
      <c r="Q120" s="135" t="s">
        <v>1365</v>
      </c>
      <c r="R120" t="s">
        <v>1366</v>
      </c>
      <c r="S120" s="135" t="s">
        <v>1376</v>
      </c>
      <c r="T120" t="s">
        <v>1377</v>
      </c>
      <c r="U120" t="s">
        <v>1230</v>
      </c>
      <c r="V120" t="s">
        <v>1231</v>
      </c>
      <c r="W120">
        <v>8</v>
      </c>
      <c r="X120" t="s">
        <v>1342</v>
      </c>
      <c r="Y120">
        <v>14</v>
      </c>
      <c r="Z120">
        <v>112</v>
      </c>
      <c r="AA120" t="s">
        <v>28</v>
      </c>
      <c r="AB120" t="s">
        <v>1190</v>
      </c>
      <c r="AC120">
        <v>8</v>
      </c>
      <c r="AD120" t="s">
        <v>1232</v>
      </c>
      <c r="AE120" t="s">
        <v>1192</v>
      </c>
      <c r="AF120" t="s">
        <v>1193</v>
      </c>
      <c r="AG120" t="s">
        <v>1194</v>
      </c>
      <c r="AH120" t="s">
        <v>1195</v>
      </c>
      <c r="AI120" t="s">
        <v>1202</v>
      </c>
      <c r="AJ120" t="s">
        <v>1291</v>
      </c>
      <c r="AK120" t="s">
        <v>1292</v>
      </c>
      <c r="AL120" t="s">
        <v>1291</v>
      </c>
      <c r="AM120" t="s">
        <v>1293</v>
      </c>
      <c r="AN120" t="s">
        <v>1201</v>
      </c>
      <c r="AO120" t="s">
        <v>1292</v>
      </c>
      <c r="AP120" t="s">
        <v>1294</v>
      </c>
      <c r="AQ120" t="s">
        <v>1203</v>
      </c>
      <c r="AR120" t="s">
        <v>1201</v>
      </c>
      <c r="AS120" t="s">
        <v>1203</v>
      </c>
      <c r="AU120" t="s">
        <v>1204</v>
      </c>
      <c r="AW120" t="b">
        <v>0</v>
      </c>
      <c r="AY120" t="b">
        <v>1</v>
      </c>
      <c r="BA120" t="s">
        <v>1295</v>
      </c>
      <c r="BB120" t="s">
        <v>1206</v>
      </c>
      <c r="BC120" t="s">
        <v>1206</v>
      </c>
      <c r="BD120" t="s">
        <v>1207</v>
      </c>
      <c r="BE120" t="s">
        <v>1296</v>
      </c>
      <c r="BF120" t="s">
        <v>1297</v>
      </c>
      <c r="BG120" t="s">
        <v>1298</v>
      </c>
      <c r="BH120" t="s">
        <v>1206</v>
      </c>
      <c r="BI120" t="s">
        <v>1206</v>
      </c>
      <c r="BJ120" t="s">
        <v>1299</v>
      </c>
    </row>
    <row r="121" spans="1:62" x14ac:dyDescent="0.25">
      <c r="A121" t="s">
        <v>1177</v>
      </c>
      <c r="B121">
        <v>150210</v>
      </c>
      <c r="C121">
        <v>150210</v>
      </c>
      <c r="D121" s="112" t="s">
        <v>2544</v>
      </c>
      <c r="E121" t="s">
        <v>1119</v>
      </c>
      <c r="F121" t="s">
        <v>1178</v>
      </c>
      <c r="G121" t="s">
        <v>387</v>
      </c>
      <c r="H121" s="135" t="s">
        <v>1370</v>
      </c>
      <c r="I121">
        <v>12</v>
      </c>
      <c r="J121" t="s">
        <v>1279</v>
      </c>
      <c r="K121">
        <v>12101</v>
      </c>
      <c r="L121" t="s">
        <v>1280</v>
      </c>
      <c r="M121">
        <v>12101265</v>
      </c>
      <c r="N121" t="s">
        <v>1281</v>
      </c>
      <c r="O121">
        <v>12101265813</v>
      </c>
      <c r="P121" t="s">
        <v>1282</v>
      </c>
      <c r="Q121" s="135" t="s">
        <v>1371</v>
      </c>
      <c r="R121" t="s">
        <v>1372</v>
      </c>
      <c r="S121" s="135" t="s">
        <v>1370</v>
      </c>
      <c r="T121" t="s">
        <v>1373</v>
      </c>
      <c r="U121" t="s">
        <v>1230</v>
      </c>
      <c r="V121" t="s">
        <v>1231</v>
      </c>
      <c r="W121">
        <v>15</v>
      </c>
      <c r="X121" t="s">
        <v>1342</v>
      </c>
      <c r="Y121">
        <v>30</v>
      </c>
      <c r="Z121">
        <v>450</v>
      </c>
      <c r="AA121" t="s">
        <v>28</v>
      </c>
      <c r="AB121" t="s">
        <v>1190</v>
      </c>
      <c r="AC121">
        <v>15</v>
      </c>
      <c r="AD121" t="s">
        <v>1232</v>
      </c>
      <c r="AE121" t="s">
        <v>1192</v>
      </c>
      <c r="AF121" t="s">
        <v>1193</v>
      </c>
      <c r="AG121" t="s">
        <v>1194</v>
      </c>
      <c r="AH121" t="s">
        <v>1195</v>
      </c>
      <c r="AI121" t="s">
        <v>1202</v>
      </c>
      <c r="AJ121" t="s">
        <v>1291</v>
      </c>
      <c r="AK121" t="s">
        <v>1292</v>
      </c>
      <c r="AL121" t="s">
        <v>1291</v>
      </c>
      <c r="AM121" t="s">
        <v>1293</v>
      </c>
      <c r="AN121" t="s">
        <v>1201</v>
      </c>
      <c r="AO121" t="s">
        <v>1292</v>
      </c>
      <c r="AP121" t="s">
        <v>1294</v>
      </c>
      <c r="AQ121" t="s">
        <v>1203</v>
      </c>
      <c r="AR121" t="s">
        <v>1201</v>
      </c>
      <c r="AS121" t="s">
        <v>1203</v>
      </c>
      <c r="AU121" t="s">
        <v>1204</v>
      </c>
      <c r="AW121" t="b">
        <v>0</v>
      </c>
      <c r="AY121" t="b">
        <v>1</v>
      </c>
      <c r="BA121" t="s">
        <v>1295</v>
      </c>
      <c r="BB121" t="s">
        <v>1206</v>
      </c>
      <c r="BC121" t="s">
        <v>1206</v>
      </c>
      <c r="BD121" t="s">
        <v>1207</v>
      </c>
      <c r="BE121" t="s">
        <v>1296</v>
      </c>
      <c r="BF121" t="s">
        <v>1297</v>
      </c>
      <c r="BG121" t="s">
        <v>1298</v>
      </c>
      <c r="BH121" t="s">
        <v>1206</v>
      </c>
      <c r="BI121" t="s">
        <v>1206</v>
      </c>
      <c r="BJ121" t="s">
        <v>1299</v>
      </c>
    </row>
    <row r="122" spans="1:62" x14ac:dyDescent="0.25">
      <c r="A122" t="s">
        <v>1177</v>
      </c>
      <c r="B122">
        <v>150230</v>
      </c>
      <c r="C122">
        <v>150230</v>
      </c>
      <c r="D122" s="112" t="s">
        <v>2545</v>
      </c>
      <c r="E122" t="s">
        <v>1119</v>
      </c>
      <c r="F122" t="s">
        <v>1178</v>
      </c>
      <c r="G122" t="s">
        <v>388</v>
      </c>
      <c r="H122" s="135" t="s">
        <v>1370</v>
      </c>
      <c r="I122">
        <v>12</v>
      </c>
      <c r="J122" t="s">
        <v>1279</v>
      </c>
      <c r="K122">
        <v>12101</v>
      </c>
      <c r="L122" t="s">
        <v>1280</v>
      </c>
      <c r="M122">
        <v>12101265</v>
      </c>
      <c r="N122" t="s">
        <v>1281</v>
      </c>
      <c r="O122">
        <v>12101265813</v>
      </c>
      <c r="P122" t="s">
        <v>1282</v>
      </c>
      <c r="Q122" s="135" t="s">
        <v>1371</v>
      </c>
      <c r="R122" t="s">
        <v>1372</v>
      </c>
      <c r="S122" s="135" t="s">
        <v>1370</v>
      </c>
      <c r="T122" t="s">
        <v>1373</v>
      </c>
      <c r="U122" t="s">
        <v>1230</v>
      </c>
      <c r="V122" t="s">
        <v>1231</v>
      </c>
      <c r="W122">
        <v>15</v>
      </c>
      <c r="X122" t="s">
        <v>1342</v>
      </c>
      <c r="Y122">
        <v>30</v>
      </c>
      <c r="Z122">
        <v>450</v>
      </c>
      <c r="AA122" t="s">
        <v>28</v>
      </c>
      <c r="AB122" t="s">
        <v>1190</v>
      </c>
      <c r="AC122">
        <v>15</v>
      </c>
      <c r="AD122" t="s">
        <v>1232</v>
      </c>
      <c r="AE122" t="s">
        <v>1192</v>
      </c>
      <c r="AF122" t="s">
        <v>1193</v>
      </c>
      <c r="AG122" t="s">
        <v>1194</v>
      </c>
      <c r="AH122" t="s">
        <v>1195</v>
      </c>
      <c r="AI122" t="s">
        <v>1202</v>
      </c>
      <c r="AJ122" t="s">
        <v>1291</v>
      </c>
      <c r="AK122" t="s">
        <v>1292</v>
      </c>
      <c r="AL122" t="s">
        <v>1291</v>
      </c>
      <c r="AM122" t="s">
        <v>1293</v>
      </c>
      <c r="AN122" t="s">
        <v>1201</v>
      </c>
      <c r="AO122" t="s">
        <v>1292</v>
      </c>
      <c r="AP122" t="s">
        <v>1294</v>
      </c>
      <c r="AQ122" t="s">
        <v>1203</v>
      </c>
      <c r="AR122" t="s">
        <v>1201</v>
      </c>
      <c r="AS122" t="s">
        <v>1203</v>
      </c>
      <c r="AU122" t="s">
        <v>1204</v>
      </c>
      <c r="AW122" t="b">
        <v>0</v>
      </c>
      <c r="AY122" t="b">
        <v>1</v>
      </c>
      <c r="BA122" t="s">
        <v>1295</v>
      </c>
      <c r="BB122" t="s">
        <v>1206</v>
      </c>
      <c r="BC122" t="s">
        <v>1206</v>
      </c>
      <c r="BD122" t="s">
        <v>1207</v>
      </c>
      <c r="BE122" t="s">
        <v>1296</v>
      </c>
      <c r="BF122" t="s">
        <v>1297</v>
      </c>
      <c r="BG122" t="s">
        <v>1298</v>
      </c>
      <c r="BH122" t="s">
        <v>1206</v>
      </c>
      <c r="BI122" t="s">
        <v>1206</v>
      </c>
      <c r="BJ122" t="s">
        <v>1299</v>
      </c>
    </row>
    <row r="123" spans="1:62" x14ac:dyDescent="0.25">
      <c r="A123" t="s">
        <v>1177</v>
      </c>
      <c r="B123">
        <v>150206</v>
      </c>
      <c r="C123">
        <v>150206</v>
      </c>
      <c r="D123" s="112" t="s">
        <v>2546</v>
      </c>
      <c r="E123" t="s">
        <v>1119</v>
      </c>
      <c r="F123" t="s">
        <v>1178</v>
      </c>
      <c r="G123" t="s">
        <v>386</v>
      </c>
      <c r="H123" s="135" t="s">
        <v>1463</v>
      </c>
      <c r="I123">
        <v>12</v>
      </c>
      <c r="J123" t="s">
        <v>1279</v>
      </c>
      <c r="K123">
        <v>12101</v>
      </c>
      <c r="L123" t="s">
        <v>1280</v>
      </c>
      <c r="M123">
        <v>12101265</v>
      </c>
      <c r="N123" t="s">
        <v>1281</v>
      </c>
      <c r="O123">
        <v>12101265813</v>
      </c>
      <c r="P123" t="s">
        <v>1282</v>
      </c>
      <c r="Q123" s="135" t="s">
        <v>1464</v>
      </c>
      <c r="R123" t="s">
        <v>1465</v>
      </c>
      <c r="S123" s="135" t="s">
        <v>1463</v>
      </c>
      <c r="T123" t="s">
        <v>1466</v>
      </c>
      <c r="U123" t="s">
        <v>1230</v>
      </c>
      <c r="V123" t="s">
        <v>1231</v>
      </c>
      <c r="W123">
        <v>18</v>
      </c>
      <c r="X123" t="s">
        <v>1342</v>
      </c>
      <c r="Y123">
        <v>30</v>
      </c>
      <c r="Z123">
        <v>540</v>
      </c>
      <c r="AA123" t="s">
        <v>28</v>
      </c>
      <c r="AB123" t="s">
        <v>1190</v>
      </c>
      <c r="AC123">
        <v>18</v>
      </c>
      <c r="AD123" t="s">
        <v>1232</v>
      </c>
      <c r="AE123" t="s">
        <v>1192</v>
      </c>
      <c r="AF123" t="s">
        <v>1193</v>
      </c>
      <c r="AG123" t="s">
        <v>1194</v>
      </c>
      <c r="AH123" t="s">
        <v>1195</v>
      </c>
      <c r="AI123" t="s">
        <v>1202</v>
      </c>
      <c r="AJ123" t="s">
        <v>1291</v>
      </c>
      <c r="AK123" t="s">
        <v>1292</v>
      </c>
      <c r="AL123" t="s">
        <v>1291</v>
      </c>
      <c r="AM123" t="s">
        <v>1293</v>
      </c>
      <c r="AN123" t="s">
        <v>1201</v>
      </c>
      <c r="AO123" t="s">
        <v>1292</v>
      </c>
      <c r="AP123" t="s">
        <v>1294</v>
      </c>
      <c r="AQ123" t="s">
        <v>1203</v>
      </c>
      <c r="AR123" t="s">
        <v>1201</v>
      </c>
      <c r="AS123" t="s">
        <v>1203</v>
      </c>
      <c r="AU123" t="s">
        <v>1204</v>
      </c>
      <c r="AW123" t="b">
        <v>0</v>
      </c>
      <c r="AY123" t="b">
        <v>1</v>
      </c>
      <c r="BA123" t="s">
        <v>1295</v>
      </c>
      <c r="BB123" t="s">
        <v>1206</v>
      </c>
      <c r="BC123" t="s">
        <v>1206</v>
      </c>
      <c r="BD123" t="s">
        <v>1207</v>
      </c>
      <c r="BE123" t="s">
        <v>1296</v>
      </c>
      <c r="BF123" t="s">
        <v>1297</v>
      </c>
      <c r="BG123" t="s">
        <v>1298</v>
      </c>
      <c r="BH123" t="s">
        <v>1206</v>
      </c>
      <c r="BI123" t="s">
        <v>1206</v>
      </c>
      <c r="BJ123" t="s">
        <v>1299</v>
      </c>
    </row>
    <row r="124" spans="1:62" x14ac:dyDescent="0.25">
      <c r="A124" t="s">
        <v>1177</v>
      </c>
      <c r="B124">
        <v>150075</v>
      </c>
      <c r="C124">
        <v>150075</v>
      </c>
      <c r="D124" s="112" t="s">
        <v>2547</v>
      </c>
      <c r="E124" t="s">
        <v>1119</v>
      </c>
      <c r="F124" t="s">
        <v>1178</v>
      </c>
      <c r="G124" t="s">
        <v>1467</v>
      </c>
      <c r="H124" s="135" t="s">
        <v>1468</v>
      </c>
      <c r="I124">
        <v>12</v>
      </c>
      <c r="J124" t="s">
        <v>1279</v>
      </c>
      <c r="K124">
        <v>12101</v>
      </c>
      <c r="L124" t="s">
        <v>1280</v>
      </c>
      <c r="M124">
        <v>12101265</v>
      </c>
      <c r="N124" t="s">
        <v>1281</v>
      </c>
      <c r="O124">
        <v>12101265813</v>
      </c>
      <c r="P124" t="s">
        <v>1282</v>
      </c>
      <c r="Q124" s="135" t="s">
        <v>1469</v>
      </c>
      <c r="R124" t="s">
        <v>1470</v>
      </c>
      <c r="S124" s="135" t="s">
        <v>1468</v>
      </c>
      <c r="T124" t="s">
        <v>1471</v>
      </c>
      <c r="U124" t="s">
        <v>1237</v>
      </c>
      <c r="V124" t="s">
        <v>1238</v>
      </c>
      <c r="W124">
        <v>275</v>
      </c>
      <c r="X124" t="s">
        <v>1189</v>
      </c>
      <c r="Y124">
        <v>24</v>
      </c>
      <c r="Z124">
        <v>6600</v>
      </c>
      <c r="AA124" t="s">
        <v>28</v>
      </c>
      <c r="AB124" t="s">
        <v>1190</v>
      </c>
      <c r="AC124">
        <v>275</v>
      </c>
      <c r="AD124" t="s">
        <v>1191</v>
      </c>
      <c r="AE124" t="s">
        <v>1192</v>
      </c>
      <c r="AF124" t="s">
        <v>1193</v>
      </c>
      <c r="AG124" t="s">
        <v>1194</v>
      </c>
      <c r="AH124" t="s">
        <v>1195</v>
      </c>
      <c r="AI124" t="s">
        <v>1202</v>
      </c>
      <c r="AJ124" t="s">
        <v>1291</v>
      </c>
      <c r="AK124" t="s">
        <v>1292</v>
      </c>
      <c r="AL124" t="s">
        <v>1291</v>
      </c>
      <c r="AM124" t="s">
        <v>1293</v>
      </c>
      <c r="AN124" t="s">
        <v>1201</v>
      </c>
      <c r="AO124" t="s">
        <v>1292</v>
      </c>
      <c r="AP124" t="s">
        <v>1294</v>
      </c>
      <c r="AQ124" t="s">
        <v>1203</v>
      </c>
      <c r="AR124" t="s">
        <v>1201</v>
      </c>
      <c r="AS124" t="s">
        <v>1203</v>
      </c>
      <c r="AU124" t="s">
        <v>1204</v>
      </c>
      <c r="AW124" t="b">
        <v>0</v>
      </c>
      <c r="AY124" t="b">
        <v>0</v>
      </c>
      <c r="BA124" t="s">
        <v>1295</v>
      </c>
      <c r="BB124" t="s">
        <v>1206</v>
      </c>
      <c r="BC124" t="s">
        <v>1206</v>
      </c>
      <c r="BD124" t="s">
        <v>1207</v>
      </c>
      <c r="BE124" t="s">
        <v>1296</v>
      </c>
      <c r="BF124" t="s">
        <v>1297</v>
      </c>
      <c r="BG124" t="s">
        <v>1298</v>
      </c>
      <c r="BH124" t="s">
        <v>1206</v>
      </c>
      <c r="BI124" t="s">
        <v>1206</v>
      </c>
      <c r="BJ124" t="s">
        <v>1299</v>
      </c>
    </row>
    <row r="125" spans="1:62" x14ac:dyDescent="0.25">
      <c r="A125" t="s">
        <v>1177</v>
      </c>
      <c r="B125">
        <v>150118</v>
      </c>
      <c r="C125">
        <v>150118</v>
      </c>
      <c r="D125" s="112" t="s">
        <v>2548</v>
      </c>
      <c r="E125" t="s">
        <v>1119</v>
      </c>
      <c r="F125" t="s">
        <v>1178</v>
      </c>
      <c r="G125" t="s">
        <v>1472</v>
      </c>
      <c r="H125" s="135" t="s">
        <v>1301</v>
      </c>
      <c r="I125">
        <v>12</v>
      </c>
      <c r="J125" t="s">
        <v>1279</v>
      </c>
      <c r="K125">
        <v>12101</v>
      </c>
      <c r="L125" t="s">
        <v>1280</v>
      </c>
      <c r="M125">
        <v>12101265</v>
      </c>
      <c r="N125" t="s">
        <v>1281</v>
      </c>
      <c r="O125">
        <v>12101265813</v>
      </c>
      <c r="P125" t="s">
        <v>1282</v>
      </c>
      <c r="Q125" s="135" t="s">
        <v>1302</v>
      </c>
      <c r="R125" t="s">
        <v>1303</v>
      </c>
      <c r="S125" s="135" t="s">
        <v>1301</v>
      </c>
      <c r="T125" t="s">
        <v>1304</v>
      </c>
      <c r="U125" t="s">
        <v>1286</v>
      </c>
      <c r="V125" t="s">
        <v>1287</v>
      </c>
      <c r="W125">
        <v>24</v>
      </c>
      <c r="X125" t="s">
        <v>1288</v>
      </c>
      <c r="Y125">
        <v>1</v>
      </c>
      <c r="Z125">
        <v>24</v>
      </c>
      <c r="AA125" t="s">
        <v>28</v>
      </c>
      <c r="AB125" t="s">
        <v>1190</v>
      </c>
      <c r="AC125">
        <v>24000</v>
      </c>
      <c r="AD125" t="s">
        <v>1289</v>
      </c>
      <c r="AE125" t="s">
        <v>1290</v>
      </c>
      <c r="AF125" t="s">
        <v>1193</v>
      </c>
      <c r="AG125" t="s">
        <v>1194</v>
      </c>
      <c r="AH125" t="s">
        <v>1195</v>
      </c>
      <c r="AI125" t="s">
        <v>1202</v>
      </c>
      <c r="AJ125" t="s">
        <v>1291</v>
      </c>
      <c r="AK125" t="s">
        <v>1292</v>
      </c>
      <c r="AL125" t="s">
        <v>1291</v>
      </c>
      <c r="AM125" t="s">
        <v>1293</v>
      </c>
      <c r="AN125" t="s">
        <v>1201</v>
      </c>
      <c r="AO125" t="s">
        <v>1292</v>
      </c>
      <c r="AP125" t="s">
        <v>1294</v>
      </c>
      <c r="AQ125" t="s">
        <v>1203</v>
      </c>
      <c r="AR125" t="s">
        <v>1201</v>
      </c>
      <c r="AS125" t="s">
        <v>1203</v>
      </c>
      <c r="AU125" t="s">
        <v>1204</v>
      </c>
      <c r="AW125" t="b">
        <v>0</v>
      </c>
      <c r="AY125" t="b">
        <v>0</v>
      </c>
      <c r="BA125" t="s">
        <v>1295</v>
      </c>
      <c r="BB125" t="s">
        <v>1206</v>
      </c>
      <c r="BC125" t="s">
        <v>1206</v>
      </c>
      <c r="BD125" t="s">
        <v>1207</v>
      </c>
      <c r="BE125" t="s">
        <v>1296</v>
      </c>
      <c r="BF125" t="s">
        <v>1297</v>
      </c>
      <c r="BG125" t="s">
        <v>1298</v>
      </c>
      <c r="BH125" t="s">
        <v>1206</v>
      </c>
      <c r="BI125" t="s">
        <v>1206</v>
      </c>
      <c r="BJ125" t="s">
        <v>1299</v>
      </c>
    </row>
    <row r="126" spans="1:62" x14ac:dyDescent="0.25">
      <c r="A126" t="s">
        <v>1177</v>
      </c>
      <c r="B126">
        <v>150163</v>
      </c>
      <c r="C126">
        <v>150163</v>
      </c>
      <c r="D126" s="112" t="s">
        <v>2549</v>
      </c>
      <c r="E126" t="s">
        <v>1119</v>
      </c>
      <c r="F126" t="s">
        <v>1178</v>
      </c>
      <c r="G126" t="s">
        <v>405</v>
      </c>
      <c r="H126" s="135" t="s">
        <v>1301</v>
      </c>
      <c r="I126">
        <v>12</v>
      </c>
      <c r="J126" t="s">
        <v>1279</v>
      </c>
      <c r="K126">
        <v>12101</v>
      </c>
      <c r="L126" t="s">
        <v>1280</v>
      </c>
      <c r="M126">
        <v>12101265</v>
      </c>
      <c r="N126" t="s">
        <v>1281</v>
      </c>
      <c r="O126">
        <v>12101265813</v>
      </c>
      <c r="P126" t="s">
        <v>1282</v>
      </c>
      <c r="Q126" s="135" t="s">
        <v>1302</v>
      </c>
      <c r="R126" t="s">
        <v>1303</v>
      </c>
      <c r="S126" s="135" t="s">
        <v>1301</v>
      </c>
      <c r="T126" t="s">
        <v>1304</v>
      </c>
      <c r="U126" t="s">
        <v>1286</v>
      </c>
      <c r="V126" t="s">
        <v>1287</v>
      </c>
      <c r="W126">
        <v>24</v>
      </c>
      <c r="X126" t="s">
        <v>1288</v>
      </c>
      <c r="Y126">
        <v>1</v>
      </c>
      <c r="Z126">
        <v>24</v>
      </c>
      <c r="AA126" t="s">
        <v>28</v>
      </c>
      <c r="AB126" t="s">
        <v>1190</v>
      </c>
      <c r="AC126">
        <v>24000</v>
      </c>
      <c r="AD126" t="s">
        <v>1289</v>
      </c>
      <c r="AE126" t="s">
        <v>1290</v>
      </c>
      <c r="AF126" t="s">
        <v>1193</v>
      </c>
      <c r="AG126" t="s">
        <v>1194</v>
      </c>
      <c r="AH126" t="s">
        <v>1195</v>
      </c>
      <c r="AI126" t="s">
        <v>1202</v>
      </c>
      <c r="AJ126" t="s">
        <v>1291</v>
      </c>
      <c r="AK126" t="s">
        <v>1292</v>
      </c>
      <c r="AL126" t="s">
        <v>1291</v>
      </c>
      <c r="AM126" t="s">
        <v>1293</v>
      </c>
      <c r="AN126" t="s">
        <v>1201</v>
      </c>
      <c r="AO126" t="s">
        <v>1292</v>
      </c>
      <c r="AP126" t="s">
        <v>1294</v>
      </c>
      <c r="AQ126" t="s">
        <v>1203</v>
      </c>
      <c r="AR126" t="s">
        <v>1201</v>
      </c>
      <c r="AS126" t="s">
        <v>1203</v>
      </c>
      <c r="AU126" t="s">
        <v>1204</v>
      </c>
      <c r="AW126" t="b">
        <v>0</v>
      </c>
      <c r="AY126" t="b">
        <v>0</v>
      </c>
      <c r="BA126" t="s">
        <v>1295</v>
      </c>
      <c r="BB126" t="s">
        <v>1206</v>
      </c>
      <c r="BC126" t="s">
        <v>1206</v>
      </c>
      <c r="BD126" t="s">
        <v>1207</v>
      </c>
      <c r="BE126" t="s">
        <v>1296</v>
      </c>
      <c r="BF126" t="s">
        <v>1297</v>
      </c>
      <c r="BG126" t="s">
        <v>1298</v>
      </c>
      <c r="BH126" t="s">
        <v>1206</v>
      </c>
      <c r="BI126" t="s">
        <v>1206</v>
      </c>
      <c r="BJ126" t="s">
        <v>1299</v>
      </c>
    </row>
    <row r="127" spans="1:62" x14ac:dyDescent="0.25">
      <c r="A127" t="s">
        <v>1177</v>
      </c>
      <c r="B127">
        <v>150052</v>
      </c>
      <c r="C127">
        <v>150052</v>
      </c>
      <c r="D127" s="112" t="s">
        <v>2550</v>
      </c>
      <c r="E127" t="s">
        <v>1119</v>
      </c>
      <c r="F127" t="s">
        <v>1178</v>
      </c>
      <c r="G127" t="s">
        <v>1473</v>
      </c>
      <c r="H127" s="135" t="s">
        <v>1301</v>
      </c>
      <c r="I127">
        <v>12</v>
      </c>
      <c r="J127" t="s">
        <v>1279</v>
      </c>
      <c r="K127">
        <v>12101</v>
      </c>
      <c r="L127" t="s">
        <v>1280</v>
      </c>
      <c r="M127">
        <v>12101265</v>
      </c>
      <c r="N127" t="s">
        <v>1281</v>
      </c>
      <c r="O127">
        <v>12101265813</v>
      </c>
      <c r="P127" t="s">
        <v>1282</v>
      </c>
      <c r="Q127" s="135" t="s">
        <v>1302</v>
      </c>
      <c r="R127" t="s">
        <v>1303</v>
      </c>
      <c r="S127" s="135" t="s">
        <v>1301</v>
      </c>
      <c r="T127" t="s">
        <v>1304</v>
      </c>
      <c r="U127" t="s">
        <v>1286</v>
      </c>
      <c r="V127" t="s">
        <v>1287</v>
      </c>
      <c r="W127">
        <v>24</v>
      </c>
      <c r="X127" t="s">
        <v>1288</v>
      </c>
      <c r="Y127">
        <v>1</v>
      </c>
      <c r="Z127">
        <v>24</v>
      </c>
      <c r="AA127" t="s">
        <v>28</v>
      </c>
      <c r="AB127" t="s">
        <v>1190</v>
      </c>
      <c r="AC127">
        <v>24000</v>
      </c>
      <c r="AD127" t="s">
        <v>1289</v>
      </c>
      <c r="AE127" t="s">
        <v>1290</v>
      </c>
      <c r="AF127" t="s">
        <v>1193</v>
      </c>
      <c r="AG127" t="s">
        <v>1194</v>
      </c>
      <c r="AH127" t="s">
        <v>1195</v>
      </c>
      <c r="AI127" t="s">
        <v>1202</v>
      </c>
      <c r="AJ127" t="s">
        <v>1291</v>
      </c>
      <c r="AK127" t="s">
        <v>1292</v>
      </c>
      <c r="AL127" t="s">
        <v>1291</v>
      </c>
      <c r="AM127" t="s">
        <v>1293</v>
      </c>
      <c r="AN127" t="s">
        <v>1201</v>
      </c>
      <c r="AO127" t="s">
        <v>1292</v>
      </c>
      <c r="AP127" t="s">
        <v>1294</v>
      </c>
      <c r="AQ127" t="s">
        <v>1203</v>
      </c>
      <c r="AR127" t="s">
        <v>1201</v>
      </c>
      <c r="AS127" t="s">
        <v>1203</v>
      </c>
      <c r="AU127" t="s">
        <v>1204</v>
      </c>
      <c r="AW127" t="b">
        <v>0</v>
      </c>
      <c r="AY127" t="b">
        <v>0</v>
      </c>
      <c r="BA127" t="s">
        <v>1295</v>
      </c>
      <c r="BB127" t="s">
        <v>1206</v>
      </c>
      <c r="BC127" t="s">
        <v>1206</v>
      </c>
      <c r="BD127" t="s">
        <v>1207</v>
      </c>
      <c r="BE127" t="s">
        <v>1296</v>
      </c>
      <c r="BF127" t="s">
        <v>1297</v>
      </c>
      <c r="BG127" t="s">
        <v>1298</v>
      </c>
      <c r="BH127" t="s">
        <v>1206</v>
      </c>
      <c r="BI127" t="s">
        <v>1206</v>
      </c>
      <c r="BJ127" t="s">
        <v>1299</v>
      </c>
    </row>
    <row r="128" spans="1:62" x14ac:dyDescent="0.25">
      <c r="A128" t="s">
        <v>1177</v>
      </c>
      <c r="B128">
        <v>150143</v>
      </c>
      <c r="C128">
        <v>150143</v>
      </c>
      <c r="D128" s="112" t="s">
        <v>2551</v>
      </c>
      <c r="E128" t="s">
        <v>1119</v>
      </c>
      <c r="F128" t="s">
        <v>1178</v>
      </c>
      <c r="G128" t="s">
        <v>1474</v>
      </c>
      <c r="H128" s="135" t="s">
        <v>1278</v>
      </c>
      <c r="I128">
        <v>12</v>
      </c>
      <c r="J128" t="s">
        <v>1279</v>
      </c>
      <c r="K128">
        <v>12101</v>
      </c>
      <c r="L128" t="s">
        <v>1280</v>
      </c>
      <c r="M128">
        <v>12101265</v>
      </c>
      <c r="N128" t="s">
        <v>1281</v>
      </c>
      <c r="O128">
        <v>12101265813</v>
      </c>
      <c r="P128" t="s">
        <v>1282</v>
      </c>
      <c r="Q128" s="135" t="s">
        <v>1283</v>
      </c>
      <c r="R128" t="s">
        <v>1284</v>
      </c>
      <c r="S128" s="135" t="s">
        <v>1278</v>
      </c>
      <c r="T128" t="s">
        <v>1285</v>
      </c>
      <c r="U128" t="s">
        <v>1286</v>
      </c>
      <c r="V128" t="s">
        <v>1287</v>
      </c>
      <c r="W128">
        <v>5.5</v>
      </c>
      <c r="X128" t="s">
        <v>1288</v>
      </c>
      <c r="Y128">
        <v>1</v>
      </c>
      <c r="Z128">
        <v>5.5</v>
      </c>
      <c r="AA128" t="s">
        <v>28</v>
      </c>
      <c r="AB128" t="s">
        <v>1190</v>
      </c>
      <c r="AC128">
        <v>5500</v>
      </c>
      <c r="AD128" t="s">
        <v>1289</v>
      </c>
      <c r="AE128" t="s">
        <v>1290</v>
      </c>
      <c r="AF128" t="s">
        <v>1193</v>
      </c>
      <c r="AG128" t="s">
        <v>1194</v>
      </c>
      <c r="AH128" t="s">
        <v>1195</v>
      </c>
      <c r="AI128" t="s">
        <v>1202</v>
      </c>
      <c r="AJ128" t="s">
        <v>1291</v>
      </c>
      <c r="AK128" t="s">
        <v>1292</v>
      </c>
      <c r="AL128" t="s">
        <v>1291</v>
      </c>
      <c r="AM128" t="s">
        <v>1293</v>
      </c>
      <c r="AN128" t="s">
        <v>1201</v>
      </c>
      <c r="AO128" t="s">
        <v>1292</v>
      </c>
      <c r="AP128" t="s">
        <v>1294</v>
      </c>
      <c r="AQ128" t="s">
        <v>1203</v>
      </c>
      <c r="AR128" t="s">
        <v>1201</v>
      </c>
      <c r="AS128" t="s">
        <v>1203</v>
      </c>
      <c r="AU128" t="s">
        <v>1204</v>
      </c>
      <c r="AW128" t="b">
        <v>0</v>
      </c>
      <c r="AY128" t="b">
        <v>0</v>
      </c>
      <c r="BA128" t="s">
        <v>1295</v>
      </c>
      <c r="BB128" t="s">
        <v>1206</v>
      </c>
      <c r="BC128" t="s">
        <v>1206</v>
      </c>
      <c r="BD128" t="s">
        <v>1207</v>
      </c>
      <c r="BE128" t="s">
        <v>1296</v>
      </c>
      <c r="BF128" t="s">
        <v>1297</v>
      </c>
      <c r="BG128" t="s">
        <v>1298</v>
      </c>
      <c r="BH128" t="s">
        <v>1206</v>
      </c>
      <c r="BI128" t="s">
        <v>1206</v>
      </c>
      <c r="BJ128" t="s">
        <v>1299</v>
      </c>
    </row>
    <row r="129" spans="1:62" x14ac:dyDescent="0.25">
      <c r="A129" t="s">
        <v>1177</v>
      </c>
      <c r="B129">
        <v>150117</v>
      </c>
      <c r="C129">
        <v>150117</v>
      </c>
      <c r="D129" s="112" t="s">
        <v>2552</v>
      </c>
      <c r="E129" t="s">
        <v>1119</v>
      </c>
      <c r="F129" t="s">
        <v>1178</v>
      </c>
      <c r="G129" t="s">
        <v>1475</v>
      </c>
      <c r="H129" s="135" t="s">
        <v>1476</v>
      </c>
      <c r="I129">
        <v>12</v>
      </c>
      <c r="J129" t="s">
        <v>1279</v>
      </c>
      <c r="K129">
        <v>12101</v>
      </c>
      <c r="L129" t="s">
        <v>1280</v>
      </c>
      <c r="M129">
        <v>12101265</v>
      </c>
      <c r="N129" t="s">
        <v>1281</v>
      </c>
      <c r="O129">
        <v>12101265813</v>
      </c>
      <c r="P129" t="s">
        <v>1282</v>
      </c>
      <c r="Q129" s="135" t="s">
        <v>1477</v>
      </c>
      <c r="R129" t="s">
        <v>1478</v>
      </c>
      <c r="S129" s="135" t="s">
        <v>1476</v>
      </c>
      <c r="T129" t="s">
        <v>1479</v>
      </c>
      <c r="U129" t="s">
        <v>1286</v>
      </c>
      <c r="V129" t="s">
        <v>1287</v>
      </c>
      <c r="W129">
        <v>5.7</v>
      </c>
      <c r="X129" t="s">
        <v>1288</v>
      </c>
      <c r="Y129">
        <v>1</v>
      </c>
      <c r="Z129">
        <v>5.7</v>
      </c>
      <c r="AA129" t="s">
        <v>28</v>
      </c>
      <c r="AB129" t="s">
        <v>1190</v>
      </c>
      <c r="AC129">
        <v>5700</v>
      </c>
      <c r="AD129" t="s">
        <v>1289</v>
      </c>
      <c r="AE129" t="s">
        <v>1290</v>
      </c>
      <c r="AF129" t="s">
        <v>1193</v>
      </c>
      <c r="AG129" t="s">
        <v>1194</v>
      </c>
      <c r="AH129" t="s">
        <v>1195</v>
      </c>
      <c r="AI129" t="s">
        <v>1202</v>
      </c>
      <c r="AJ129" t="s">
        <v>1291</v>
      </c>
      <c r="AK129" t="s">
        <v>1292</v>
      </c>
      <c r="AL129" t="s">
        <v>1291</v>
      </c>
      <c r="AM129" t="s">
        <v>1293</v>
      </c>
      <c r="AN129" t="s">
        <v>1201</v>
      </c>
      <c r="AO129" t="s">
        <v>1292</v>
      </c>
      <c r="AP129" t="s">
        <v>1294</v>
      </c>
      <c r="AQ129" t="s">
        <v>1203</v>
      </c>
      <c r="AR129" t="s">
        <v>1201</v>
      </c>
      <c r="AS129" t="s">
        <v>1203</v>
      </c>
      <c r="AU129" t="s">
        <v>1204</v>
      </c>
      <c r="AW129" t="b">
        <v>0</v>
      </c>
      <c r="AY129" t="b">
        <v>0</v>
      </c>
      <c r="BA129" t="s">
        <v>1295</v>
      </c>
      <c r="BB129" t="s">
        <v>1206</v>
      </c>
      <c r="BC129" t="s">
        <v>1206</v>
      </c>
      <c r="BD129" t="s">
        <v>1207</v>
      </c>
      <c r="BE129" t="s">
        <v>1296</v>
      </c>
      <c r="BF129" t="s">
        <v>1297</v>
      </c>
      <c r="BG129" t="s">
        <v>1298</v>
      </c>
      <c r="BH129" t="s">
        <v>1206</v>
      </c>
      <c r="BI129" t="s">
        <v>1206</v>
      </c>
      <c r="BJ129" t="s">
        <v>1299</v>
      </c>
    </row>
    <row r="130" spans="1:62" x14ac:dyDescent="0.25">
      <c r="A130" t="s">
        <v>1177</v>
      </c>
      <c r="B130">
        <v>150051</v>
      </c>
      <c r="C130">
        <v>150051</v>
      </c>
      <c r="D130" s="112" t="s">
        <v>2553</v>
      </c>
      <c r="E130" t="s">
        <v>1119</v>
      </c>
      <c r="F130" t="s">
        <v>1178</v>
      </c>
      <c r="G130" t="s">
        <v>1480</v>
      </c>
      <c r="H130" s="135" t="s">
        <v>1476</v>
      </c>
      <c r="I130">
        <v>12</v>
      </c>
      <c r="J130" t="s">
        <v>1279</v>
      </c>
      <c r="K130">
        <v>12101</v>
      </c>
      <c r="L130" t="s">
        <v>1280</v>
      </c>
      <c r="M130">
        <v>12101265</v>
      </c>
      <c r="N130" t="s">
        <v>1281</v>
      </c>
      <c r="O130">
        <v>12101265813</v>
      </c>
      <c r="P130" t="s">
        <v>1282</v>
      </c>
      <c r="Q130" s="135" t="s">
        <v>1477</v>
      </c>
      <c r="R130" t="s">
        <v>1478</v>
      </c>
      <c r="S130" s="135" t="s">
        <v>1476</v>
      </c>
      <c r="T130" t="s">
        <v>1479</v>
      </c>
      <c r="U130" t="s">
        <v>1286</v>
      </c>
      <c r="V130" t="s">
        <v>1287</v>
      </c>
      <c r="W130">
        <v>5.7</v>
      </c>
      <c r="X130" t="s">
        <v>1288</v>
      </c>
      <c r="Y130">
        <v>1</v>
      </c>
      <c r="Z130">
        <v>5.7</v>
      </c>
      <c r="AA130" t="s">
        <v>28</v>
      </c>
      <c r="AB130" t="s">
        <v>1190</v>
      </c>
      <c r="AC130">
        <v>5700</v>
      </c>
      <c r="AD130" t="s">
        <v>1289</v>
      </c>
      <c r="AE130" t="s">
        <v>1290</v>
      </c>
      <c r="AF130" t="s">
        <v>1193</v>
      </c>
      <c r="AG130" t="s">
        <v>1194</v>
      </c>
      <c r="AH130" t="s">
        <v>1195</v>
      </c>
      <c r="AI130" t="s">
        <v>1202</v>
      </c>
      <c r="AJ130" t="s">
        <v>1291</v>
      </c>
      <c r="AK130" t="s">
        <v>1292</v>
      </c>
      <c r="AL130" t="s">
        <v>1291</v>
      </c>
      <c r="AM130" t="s">
        <v>1293</v>
      </c>
      <c r="AN130" t="s">
        <v>1201</v>
      </c>
      <c r="AO130" t="s">
        <v>1292</v>
      </c>
      <c r="AP130" t="s">
        <v>1294</v>
      </c>
      <c r="AQ130" t="s">
        <v>1203</v>
      </c>
      <c r="AR130" t="s">
        <v>1201</v>
      </c>
      <c r="AS130" t="s">
        <v>1203</v>
      </c>
      <c r="AU130" t="s">
        <v>1204</v>
      </c>
      <c r="AW130" t="b">
        <v>0</v>
      </c>
      <c r="AY130" t="b">
        <v>0</v>
      </c>
      <c r="BA130" t="s">
        <v>1295</v>
      </c>
      <c r="BB130" t="s">
        <v>1206</v>
      </c>
      <c r="BC130" t="s">
        <v>1206</v>
      </c>
      <c r="BD130" t="s">
        <v>1207</v>
      </c>
      <c r="BE130" t="s">
        <v>1296</v>
      </c>
      <c r="BF130" t="s">
        <v>1297</v>
      </c>
      <c r="BG130" t="s">
        <v>1298</v>
      </c>
      <c r="BH130" t="s">
        <v>1206</v>
      </c>
      <c r="BI130" t="s">
        <v>1206</v>
      </c>
      <c r="BJ130" t="s">
        <v>1299</v>
      </c>
    </row>
    <row r="131" spans="1:62" x14ac:dyDescent="0.25">
      <c r="A131" t="s">
        <v>1177</v>
      </c>
      <c r="B131">
        <v>150120</v>
      </c>
      <c r="C131">
        <v>150120</v>
      </c>
      <c r="D131" s="112" t="s">
        <v>2554</v>
      </c>
      <c r="E131" t="s">
        <v>1119</v>
      </c>
      <c r="F131" t="s">
        <v>1178</v>
      </c>
      <c r="G131" t="s">
        <v>1481</v>
      </c>
      <c r="H131" s="135" t="s">
        <v>1352</v>
      </c>
      <c r="I131">
        <v>12</v>
      </c>
      <c r="J131" t="s">
        <v>1279</v>
      </c>
      <c r="K131">
        <v>12101</v>
      </c>
      <c r="L131" t="s">
        <v>1280</v>
      </c>
      <c r="M131">
        <v>12101265</v>
      </c>
      <c r="N131" t="s">
        <v>1281</v>
      </c>
      <c r="O131">
        <v>12101265813</v>
      </c>
      <c r="P131" t="s">
        <v>1282</v>
      </c>
      <c r="Q131" s="135" t="s">
        <v>1353</v>
      </c>
      <c r="R131" t="s">
        <v>1354</v>
      </c>
      <c r="S131" s="135" t="s">
        <v>1352</v>
      </c>
      <c r="T131" t="s">
        <v>1355</v>
      </c>
      <c r="U131" t="s">
        <v>1310</v>
      </c>
      <c r="V131" t="s">
        <v>1311</v>
      </c>
      <c r="W131">
        <v>380</v>
      </c>
      <c r="X131" t="s">
        <v>1342</v>
      </c>
      <c r="Y131">
        <v>12</v>
      </c>
      <c r="Z131">
        <v>4560</v>
      </c>
      <c r="AA131" t="s">
        <v>28</v>
      </c>
      <c r="AB131" t="s">
        <v>1190</v>
      </c>
      <c r="AC131">
        <v>380</v>
      </c>
      <c r="AD131" t="s">
        <v>1191</v>
      </c>
      <c r="AE131" t="s">
        <v>1192</v>
      </c>
      <c r="AF131" t="s">
        <v>1193</v>
      </c>
      <c r="AG131" t="s">
        <v>1194</v>
      </c>
      <c r="AH131" t="s">
        <v>1195</v>
      </c>
      <c r="AI131" t="s">
        <v>1202</v>
      </c>
      <c r="AJ131" t="s">
        <v>1291</v>
      </c>
      <c r="AK131" t="s">
        <v>1292</v>
      </c>
      <c r="AL131" t="s">
        <v>1291</v>
      </c>
      <c r="AM131" t="s">
        <v>1293</v>
      </c>
      <c r="AN131" t="s">
        <v>1201</v>
      </c>
      <c r="AO131" t="s">
        <v>1292</v>
      </c>
      <c r="AP131" t="s">
        <v>1294</v>
      </c>
      <c r="AQ131" t="s">
        <v>1203</v>
      </c>
      <c r="AR131" t="s">
        <v>1201</v>
      </c>
      <c r="AS131" t="s">
        <v>1203</v>
      </c>
      <c r="AU131" t="s">
        <v>1204</v>
      </c>
      <c r="AW131" t="b">
        <v>0</v>
      </c>
      <c r="AY131" t="b">
        <v>0</v>
      </c>
      <c r="BA131" t="s">
        <v>1295</v>
      </c>
      <c r="BB131" t="s">
        <v>1206</v>
      </c>
      <c r="BC131" t="s">
        <v>1206</v>
      </c>
      <c r="BD131" t="s">
        <v>1207</v>
      </c>
      <c r="BE131" t="s">
        <v>1296</v>
      </c>
      <c r="BF131" t="s">
        <v>1297</v>
      </c>
      <c r="BG131" t="s">
        <v>1298</v>
      </c>
      <c r="BH131" t="s">
        <v>1206</v>
      </c>
      <c r="BI131" t="s">
        <v>1206</v>
      </c>
      <c r="BJ131" t="s">
        <v>1299</v>
      </c>
    </row>
    <row r="132" spans="1:62" x14ac:dyDescent="0.25">
      <c r="A132" t="s">
        <v>1177</v>
      </c>
      <c r="B132">
        <v>150141</v>
      </c>
      <c r="C132">
        <v>150141</v>
      </c>
      <c r="D132" s="112" t="s">
        <v>2555</v>
      </c>
      <c r="E132" t="s">
        <v>1119</v>
      </c>
      <c r="F132" t="s">
        <v>1178</v>
      </c>
      <c r="G132" t="s">
        <v>1482</v>
      </c>
      <c r="H132" s="135" t="s">
        <v>1352</v>
      </c>
      <c r="I132">
        <v>12</v>
      </c>
      <c r="J132" t="s">
        <v>1279</v>
      </c>
      <c r="K132">
        <v>12101</v>
      </c>
      <c r="L132" t="s">
        <v>1280</v>
      </c>
      <c r="M132">
        <v>12101265</v>
      </c>
      <c r="N132" t="s">
        <v>1281</v>
      </c>
      <c r="O132">
        <v>12101265813</v>
      </c>
      <c r="P132" t="s">
        <v>1282</v>
      </c>
      <c r="Q132" s="135" t="s">
        <v>1353</v>
      </c>
      <c r="R132" t="s">
        <v>1354</v>
      </c>
      <c r="S132" s="135" t="s">
        <v>1352</v>
      </c>
      <c r="T132" t="s">
        <v>1355</v>
      </c>
      <c r="U132" t="s">
        <v>1310</v>
      </c>
      <c r="V132" t="s">
        <v>1311</v>
      </c>
      <c r="W132">
        <v>380</v>
      </c>
      <c r="X132" t="s">
        <v>1342</v>
      </c>
      <c r="Y132">
        <v>12</v>
      </c>
      <c r="Z132">
        <v>4560</v>
      </c>
      <c r="AA132" t="s">
        <v>28</v>
      </c>
      <c r="AB132" t="s">
        <v>1190</v>
      </c>
      <c r="AC132">
        <v>380</v>
      </c>
      <c r="AD132" t="s">
        <v>1191</v>
      </c>
      <c r="AE132" t="s">
        <v>1192</v>
      </c>
      <c r="AF132" t="s">
        <v>1193</v>
      </c>
      <c r="AG132" t="s">
        <v>1194</v>
      </c>
      <c r="AH132" t="s">
        <v>1195</v>
      </c>
      <c r="AI132" t="s">
        <v>1202</v>
      </c>
      <c r="AJ132" t="s">
        <v>1291</v>
      </c>
      <c r="AK132" t="s">
        <v>1292</v>
      </c>
      <c r="AL132" t="s">
        <v>1291</v>
      </c>
      <c r="AM132" t="s">
        <v>1293</v>
      </c>
      <c r="AN132" t="s">
        <v>1201</v>
      </c>
      <c r="AO132" t="s">
        <v>1292</v>
      </c>
      <c r="AP132" t="s">
        <v>1294</v>
      </c>
      <c r="AQ132" t="s">
        <v>1203</v>
      </c>
      <c r="AR132" t="s">
        <v>1201</v>
      </c>
      <c r="AS132" t="s">
        <v>1203</v>
      </c>
      <c r="AU132" t="s">
        <v>1204</v>
      </c>
      <c r="AW132" t="b">
        <v>0</v>
      </c>
      <c r="AY132" t="b">
        <v>0</v>
      </c>
      <c r="BA132" t="s">
        <v>1295</v>
      </c>
      <c r="BB132" t="s">
        <v>1206</v>
      </c>
      <c r="BC132" t="s">
        <v>1206</v>
      </c>
      <c r="BD132" t="s">
        <v>1207</v>
      </c>
      <c r="BE132" t="s">
        <v>1296</v>
      </c>
      <c r="BF132" t="s">
        <v>1297</v>
      </c>
      <c r="BG132" t="s">
        <v>1298</v>
      </c>
      <c r="BH132" t="s">
        <v>1206</v>
      </c>
      <c r="BI132" t="s">
        <v>1206</v>
      </c>
      <c r="BJ132" t="s">
        <v>1299</v>
      </c>
    </row>
    <row r="133" spans="1:62" x14ac:dyDescent="0.25">
      <c r="A133" t="s">
        <v>1177</v>
      </c>
      <c r="B133">
        <v>150177</v>
      </c>
      <c r="C133">
        <v>150177</v>
      </c>
      <c r="D133" s="112" t="s">
        <v>2556</v>
      </c>
      <c r="E133" t="s">
        <v>1119</v>
      </c>
      <c r="F133" t="s">
        <v>1178</v>
      </c>
      <c r="G133" t="s">
        <v>399</v>
      </c>
      <c r="H133" s="135" t="s">
        <v>1352</v>
      </c>
      <c r="I133">
        <v>12</v>
      </c>
      <c r="J133" t="s">
        <v>1279</v>
      </c>
      <c r="K133">
        <v>12101</v>
      </c>
      <c r="L133" t="s">
        <v>1280</v>
      </c>
      <c r="M133">
        <v>12101265</v>
      </c>
      <c r="N133" t="s">
        <v>1281</v>
      </c>
      <c r="O133">
        <v>12101265813</v>
      </c>
      <c r="P133" t="s">
        <v>1282</v>
      </c>
      <c r="Q133" s="135" t="s">
        <v>1353</v>
      </c>
      <c r="R133" t="s">
        <v>1354</v>
      </c>
      <c r="S133" s="135" t="s">
        <v>1352</v>
      </c>
      <c r="T133" t="s">
        <v>1355</v>
      </c>
      <c r="U133" t="s">
        <v>1310</v>
      </c>
      <c r="V133" t="s">
        <v>1311</v>
      </c>
      <c r="W133">
        <v>380</v>
      </c>
      <c r="X133" t="s">
        <v>1342</v>
      </c>
      <c r="Y133">
        <v>12</v>
      </c>
      <c r="Z133">
        <v>4560</v>
      </c>
      <c r="AA133" t="s">
        <v>28</v>
      </c>
      <c r="AB133" t="s">
        <v>1190</v>
      </c>
      <c r="AC133">
        <v>380</v>
      </c>
      <c r="AD133" t="s">
        <v>1191</v>
      </c>
      <c r="AE133" t="s">
        <v>1192</v>
      </c>
      <c r="AF133" t="s">
        <v>1193</v>
      </c>
      <c r="AG133" t="s">
        <v>1194</v>
      </c>
      <c r="AH133" t="s">
        <v>1195</v>
      </c>
      <c r="AI133" t="s">
        <v>1202</v>
      </c>
      <c r="AJ133" t="s">
        <v>1291</v>
      </c>
      <c r="AK133" t="s">
        <v>1292</v>
      </c>
      <c r="AL133" t="s">
        <v>1291</v>
      </c>
      <c r="AM133" t="s">
        <v>1293</v>
      </c>
      <c r="AN133" t="s">
        <v>1201</v>
      </c>
      <c r="AO133" t="s">
        <v>1292</v>
      </c>
      <c r="AP133" t="s">
        <v>1294</v>
      </c>
      <c r="AQ133" t="s">
        <v>1203</v>
      </c>
      <c r="AR133" t="s">
        <v>1201</v>
      </c>
      <c r="AS133" t="s">
        <v>1203</v>
      </c>
      <c r="AU133" t="s">
        <v>1204</v>
      </c>
      <c r="AW133" t="b">
        <v>0</v>
      </c>
      <c r="AY133" t="b">
        <v>0</v>
      </c>
      <c r="BA133" t="s">
        <v>1295</v>
      </c>
      <c r="BB133" t="s">
        <v>1206</v>
      </c>
      <c r="BC133" t="s">
        <v>1206</v>
      </c>
      <c r="BD133" t="s">
        <v>1207</v>
      </c>
      <c r="BE133" t="s">
        <v>1296</v>
      </c>
      <c r="BF133" t="s">
        <v>1297</v>
      </c>
      <c r="BG133" t="s">
        <v>1298</v>
      </c>
      <c r="BH133" t="s">
        <v>1206</v>
      </c>
      <c r="BI133" t="s">
        <v>1206</v>
      </c>
      <c r="BJ133" t="s">
        <v>1299</v>
      </c>
    </row>
    <row r="134" spans="1:62" x14ac:dyDescent="0.25">
      <c r="A134" t="s">
        <v>1177</v>
      </c>
      <c r="B134">
        <v>150122</v>
      </c>
      <c r="C134">
        <v>150122</v>
      </c>
      <c r="D134" s="112" t="s">
        <v>2557</v>
      </c>
      <c r="E134" t="s">
        <v>1119</v>
      </c>
      <c r="F134" t="s">
        <v>1178</v>
      </c>
      <c r="G134" t="s">
        <v>1483</v>
      </c>
      <c r="H134" s="135" t="s">
        <v>1484</v>
      </c>
      <c r="I134">
        <v>12</v>
      </c>
      <c r="J134" t="s">
        <v>1279</v>
      </c>
      <c r="K134">
        <v>12101</v>
      </c>
      <c r="L134" t="s">
        <v>1280</v>
      </c>
      <c r="M134">
        <v>12101265</v>
      </c>
      <c r="N134" t="s">
        <v>1281</v>
      </c>
      <c r="O134">
        <v>12101265813</v>
      </c>
      <c r="P134" t="s">
        <v>1282</v>
      </c>
      <c r="Q134" s="135" t="s">
        <v>1485</v>
      </c>
      <c r="R134" t="s">
        <v>1486</v>
      </c>
      <c r="S134" s="135" t="s">
        <v>1484</v>
      </c>
      <c r="T134" t="s">
        <v>1487</v>
      </c>
      <c r="U134" t="s">
        <v>1310</v>
      </c>
      <c r="V134" t="s">
        <v>1311</v>
      </c>
      <c r="W134">
        <v>75</v>
      </c>
      <c r="X134" t="s">
        <v>1342</v>
      </c>
      <c r="Y134">
        <v>48</v>
      </c>
      <c r="Z134">
        <v>3600</v>
      </c>
      <c r="AA134" t="s">
        <v>28</v>
      </c>
      <c r="AB134" t="s">
        <v>1190</v>
      </c>
      <c r="AC134">
        <v>75</v>
      </c>
      <c r="AD134" t="s">
        <v>1191</v>
      </c>
      <c r="AE134" t="s">
        <v>1192</v>
      </c>
      <c r="AF134" t="s">
        <v>1193</v>
      </c>
      <c r="AG134" t="s">
        <v>1194</v>
      </c>
      <c r="AH134" t="s">
        <v>1195</v>
      </c>
      <c r="AI134" t="s">
        <v>1202</v>
      </c>
      <c r="AJ134" t="s">
        <v>1291</v>
      </c>
      <c r="AK134" t="s">
        <v>1292</v>
      </c>
      <c r="AL134" t="s">
        <v>1291</v>
      </c>
      <c r="AM134" t="s">
        <v>1293</v>
      </c>
      <c r="AN134" t="s">
        <v>1201</v>
      </c>
      <c r="AO134" t="s">
        <v>1292</v>
      </c>
      <c r="AP134" t="s">
        <v>1294</v>
      </c>
      <c r="AQ134" t="s">
        <v>1203</v>
      </c>
      <c r="AR134" t="s">
        <v>1201</v>
      </c>
      <c r="AS134" t="s">
        <v>1203</v>
      </c>
      <c r="AU134" t="s">
        <v>1204</v>
      </c>
      <c r="AW134" t="b">
        <v>0</v>
      </c>
      <c r="AY134" t="b">
        <v>0</v>
      </c>
      <c r="BA134" t="s">
        <v>1295</v>
      </c>
      <c r="BB134" t="s">
        <v>1206</v>
      </c>
      <c r="BC134" t="s">
        <v>1206</v>
      </c>
      <c r="BD134" t="s">
        <v>1207</v>
      </c>
      <c r="BE134" t="s">
        <v>1296</v>
      </c>
      <c r="BF134" t="s">
        <v>1297</v>
      </c>
      <c r="BG134" t="s">
        <v>1298</v>
      </c>
      <c r="BH134" t="s">
        <v>1206</v>
      </c>
      <c r="BI134" t="s">
        <v>1206</v>
      </c>
      <c r="BJ134" t="s">
        <v>1299</v>
      </c>
    </row>
    <row r="135" spans="1:62" x14ac:dyDescent="0.25">
      <c r="A135" t="s">
        <v>1177</v>
      </c>
      <c r="B135">
        <v>150180</v>
      </c>
      <c r="C135">
        <v>150180</v>
      </c>
      <c r="D135" s="112" t="s">
        <v>2558</v>
      </c>
      <c r="E135" t="s">
        <v>1119</v>
      </c>
      <c r="F135" t="s">
        <v>1178</v>
      </c>
      <c r="G135" t="s">
        <v>389</v>
      </c>
      <c r="H135" s="135" t="s">
        <v>1484</v>
      </c>
      <c r="I135">
        <v>12</v>
      </c>
      <c r="J135" t="s">
        <v>1279</v>
      </c>
      <c r="K135">
        <v>12101</v>
      </c>
      <c r="L135" t="s">
        <v>1280</v>
      </c>
      <c r="M135">
        <v>12101265</v>
      </c>
      <c r="N135" t="s">
        <v>1281</v>
      </c>
      <c r="O135">
        <v>12101265813</v>
      </c>
      <c r="P135" t="s">
        <v>1282</v>
      </c>
      <c r="Q135" s="135" t="s">
        <v>1485</v>
      </c>
      <c r="R135" t="s">
        <v>1486</v>
      </c>
      <c r="S135" s="135" t="s">
        <v>1484</v>
      </c>
      <c r="T135" t="s">
        <v>1487</v>
      </c>
      <c r="U135" t="s">
        <v>1310</v>
      </c>
      <c r="V135" t="s">
        <v>1311</v>
      </c>
      <c r="W135">
        <v>75</v>
      </c>
      <c r="X135" t="s">
        <v>1342</v>
      </c>
      <c r="Y135">
        <v>48</v>
      </c>
      <c r="Z135">
        <v>3600</v>
      </c>
      <c r="AA135" t="s">
        <v>28</v>
      </c>
      <c r="AB135" t="s">
        <v>1190</v>
      </c>
      <c r="AC135">
        <v>75</v>
      </c>
      <c r="AD135" t="s">
        <v>1191</v>
      </c>
      <c r="AE135" t="s">
        <v>1192</v>
      </c>
      <c r="AF135" t="s">
        <v>1193</v>
      </c>
      <c r="AG135" t="s">
        <v>1194</v>
      </c>
      <c r="AH135" t="s">
        <v>1195</v>
      </c>
      <c r="AI135" t="s">
        <v>1202</v>
      </c>
      <c r="AJ135" t="s">
        <v>1291</v>
      </c>
      <c r="AK135" t="s">
        <v>1292</v>
      </c>
      <c r="AL135" t="s">
        <v>1291</v>
      </c>
      <c r="AM135" t="s">
        <v>1293</v>
      </c>
      <c r="AN135" t="s">
        <v>1201</v>
      </c>
      <c r="AO135" t="s">
        <v>1292</v>
      </c>
      <c r="AP135" t="s">
        <v>1294</v>
      </c>
      <c r="AQ135" t="s">
        <v>1203</v>
      </c>
      <c r="AR135" t="s">
        <v>1201</v>
      </c>
      <c r="AS135" t="s">
        <v>1203</v>
      </c>
      <c r="AU135" t="s">
        <v>1204</v>
      </c>
      <c r="AW135" t="b">
        <v>0</v>
      </c>
      <c r="AY135" t="b">
        <v>0</v>
      </c>
      <c r="BA135" t="s">
        <v>1295</v>
      </c>
      <c r="BB135" t="s">
        <v>1206</v>
      </c>
      <c r="BC135" t="s">
        <v>1206</v>
      </c>
      <c r="BD135" t="s">
        <v>1207</v>
      </c>
      <c r="BE135" t="s">
        <v>1296</v>
      </c>
      <c r="BF135" t="s">
        <v>1297</v>
      </c>
      <c r="BG135" t="s">
        <v>1298</v>
      </c>
      <c r="BH135" t="s">
        <v>1206</v>
      </c>
      <c r="BI135" t="s">
        <v>1206</v>
      </c>
      <c r="BJ135" t="s">
        <v>1299</v>
      </c>
    </row>
    <row r="136" spans="1:62" x14ac:dyDescent="0.25">
      <c r="A136" t="s">
        <v>1177</v>
      </c>
      <c r="B136">
        <v>150121</v>
      </c>
      <c r="C136">
        <v>150121</v>
      </c>
      <c r="D136" s="112" t="s">
        <v>2559</v>
      </c>
      <c r="E136" t="s">
        <v>1119</v>
      </c>
      <c r="F136" t="s">
        <v>1178</v>
      </c>
      <c r="G136" t="s">
        <v>1488</v>
      </c>
      <c r="H136" s="135" t="s">
        <v>1489</v>
      </c>
      <c r="I136">
        <v>12</v>
      </c>
      <c r="J136" t="s">
        <v>1279</v>
      </c>
      <c r="K136">
        <v>12101</v>
      </c>
      <c r="L136" t="s">
        <v>1280</v>
      </c>
      <c r="M136">
        <v>12101265</v>
      </c>
      <c r="N136" t="s">
        <v>1281</v>
      </c>
      <c r="O136">
        <v>12101265813</v>
      </c>
      <c r="P136" t="s">
        <v>1282</v>
      </c>
      <c r="Q136" s="135" t="s">
        <v>1490</v>
      </c>
      <c r="R136" t="s">
        <v>1491</v>
      </c>
      <c r="S136" s="135" t="s">
        <v>1489</v>
      </c>
      <c r="T136" t="s">
        <v>1492</v>
      </c>
      <c r="U136" t="s">
        <v>1310</v>
      </c>
      <c r="V136" t="s">
        <v>1311</v>
      </c>
      <c r="W136">
        <v>80</v>
      </c>
      <c r="X136" t="s">
        <v>1342</v>
      </c>
      <c r="Y136">
        <v>48</v>
      </c>
      <c r="Z136">
        <v>3840</v>
      </c>
      <c r="AA136" t="s">
        <v>28</v>
      </c>
      <c r="AB136" t="s">
        <v>1190</v>
      </c>
      <c r="AC136">
        <v>80</v>
      </c>
      <c r="AD136" t="s">
        <v>1191</v>
      </c>
      <c r="AE136" t="s">
        <v>1192</v>
      </c>
      <c r="AF136" t="s">
        <v>1193</v>
      </c>
      <c r="AG136" t="s">
        <v>1194</v>
      </c>
      <c r="AH136" t="s">
        <v>1195</v>
      </c>
      <c r="AI136" t="s">
        <v>1202</v>
      </c>
      <c r="AJ136" t="s">
        <v>1291</v>
      </c>
      <c r="AK136" t="s">
        <v>1292</v>
      </c>
      <c r="AL136" t="s">
        <v>1291</v>
      </c>
      <c r="AM136" t="s">
        <v>1293</v>
      </c>
      <c r="AN136" t="s">
        <v>1201</v>
      </c>
      <c r="AO136" t="s">
        <v>1292</v>
      </c>
      <c r="AP136" t="s">
        <v>1294</v>
      </c>
      <c r="AQ136" t="s">
        <v>1203</v>
      </c>
      <c r="AR136" t="s">
        <v>1201</v>
      </c>
      <c r="AS136" t="s">
        <v>1203</v>
      </c>
      <c r="AU136" t="s">
        <v>1204</v>
      </c>
      <c r="AW136" t="b">
        <v>0</v>
      </c>
      <c r="AY136" t="b">
        <v>0</v>
      </c>
      <c r="BA136" t="s">
        <v>1295</v>
      </c>
      <c r="BB136" t="s">
        <v>1206</v>
      </c>
      <c r="BC136" t="s">
        <v>1206</v>
      </c>
      <c r="BD136" t="s">
        <v>1207</v>
      </c>
      <c r="BE136" t="s">
        <v>1296</v>
      </c>
      <c r="BF136" t="s">
        <v>1297</v>
      </c>
      <c r="BG136" t="s">
        <v>1298</v>
      </c>
      <c r="BH136" t="s">
        <v>1206</v>
      </c>
      <c r="BI136" t="s">
        <v>1206</v>
      </c>
      <c r="BJ136" t="s">
        <v>1299</v>
      </c>
    </row>
    <row r="137" spans="1:62" x14ac:dyDescent="0.25">
      <c r="A137" t="s">
        <v>1177</v>
      </c>
      <c r="B137">
        <v>150170</v>
      </c>
      <c r="C137">
        <v>150170</v>
      </c>
      <c r="D137" s="112" t="s">
        <v>2560</v>
      </c>
      <c r="E137" t="s">
        <v>1119</v>
      </c>
      <c r="F137" t="s">
        <v>1178</v>
      </c>
      <c r="G137" t="s">
        <v>1493</v>
      </c>
      <c r="H137" s="135" t="s">
        <v>1333</v>
      </c>
      <c r="I137">
        <v>12</v>
      </c>
      <c r="J137" t="s">
        <v>1279</v>
      </c>
      <c r="K137">
        <v>12101</v>
      </c>
      <c r="L137" t="s">
        <v>1280</v>
      </c>
      <c r="M137">
        <v>12101265</v>
      </c>
      <c r="N137" t="s">
        <v>1281</v>
      </c>
      <c r="O137">
        <v>12101265813</v>
      </c>
      <c r="P137" t="s">
        <v>1282</v>
      </c>
      <c r="Q137" s="135" t="s">
        <v>1334</v>
      </c>
      <c r="R137" t="s">
        <v>1335</v>
      </c>
      <c r="S137" s="135" t="s">
        <v>1333</v>
      </c>
      <c r="T137" t="s">
        <v>1336</v>
      </c>
      <c r="U137" t="s">
        <v>1237</v>
      </c>
      <c r="V137" t="s">
        <v>1238</v>
      </c>
      <c r="W137">
        <v>600</v>
      </c>
      <c r="X137" t="s">
        <v>1189</v>
      </c>
      <c r="Y137">
        <v>12</v>
      </c>
      <c r="Z137">
        <v>7200</v>
      </c>
      <c r="AA137" t="s">
        <v>28</v>
      </c>
      <c r="AB137" t="s">
        <v>1190</v>
      </c>
      <c r="AC137">
        <v>600</v>
      </c>
      <c r="AD137" t="s">
        <v>1191</v>
      </c>
      <c r="AE137" t="s">
        <v>1290</v>
      </c>
      <c r="AF137" t="s">
        <v>1193</v>
      </c>
      <c r="AG137" t="s">
        <v>1194</v>
      </c>
      <c r="AH137" t="s">
        <v>1195</v>
      </c>
      <c r="AI137" t="s">
        <v>1202</v>
      </c>
      <c r="AJ137" t="s">
        <v>1291</v>
      </c>
      <c r="AK137" t="s">
        <v>1292</v>
      </c>
      <c r="AL137" t="s">
        <v>1291</v>
      </c>
      <c r="AM137" t="s">
        <v>1293</v>
      </c>
      <c r="AN137" t="s">
        <v>1201</v>
      </c>
      <c r="AO137" t="s">
        <v>1292</v>
      </c>
      <c r="AP137" t="s">
        <v>1294</v>
      </c>
      <c r="AQ137" t="s">
        <v>1203</v>
      </c>
      <c r="AR137" t="s">
        <v>1201</v>
      </c>
      <c r="AS137" t="s">
        <v>1203</v>
      </c>
      <c r="AU137" t="s">
        <v>1204</v>
      </c>
      <c r="AW137" t="b">
        <v>0</v>
      </c>
      <c r="AY137" t="b">
        <v>0</v>
      </c>
      <c r="BA137" t="s">
        <v>1295</v>
      </c>
      <c r="BB137" t="s">
        <v>1206</v>
      </c>
      <c r="BC137" t="s">
        <v>1206</v>
      </c>
      <c r="BD137" t="s">
        <v>1207</v>
      </c>
      <c r="BE137" t="s">
        <v>1296</v>
      </c>
      <c r="BF137" t="s">
        <v>1297</v>
      </c>
      <c r="BG137" t="s">
        <v>1298</v>
      </c>
      <c r="BH137" t="s">
        <v>1206</v>
      </c>
      <c r="BI137" t="s">
        <v>1206</v>
      </c>
      <c r="BJ137" t="s">
        <v>1299</v>
      </c>
    </row>
    <row r="138" spans="1:62" x14ac:dyDescent="0.25">
      <c r="A138" t="s">
        <v>1177</v>
      </c>
      <c r="B138">
        <v>150188</v>
      </c>
      <c r="C138">
        <v>150188</v>
      </c>
      <c r="D138" s="112" t="s">
        <v>2561</v>
      </c>
      <c r="E138" t="s">
        <v>1119</v>
      </c>
      <c r="F138" t="s">
        <v>1178</v>
      </c>
      <c r="G138" t="s">
        <v>401</v>
      </c>
      <c r="H138" s="135" t="s">
        <v>1333</v>
      </c>
      <c r="I138">
        <v>12</v>
      </c>
      <c r="J138" t="s">
        <v>1279</v>
      </c>
      <c r="K138">
        <v>12101</v>
      </c>
      <c r="L138" t="s">
        <v>1280</v>
      </c>
      <c r="M138">
        <v>12101265</v>
      </c>
      <c r="N138" t="s">
        <v>1281</v>
      </c>
      <c r="O138">
        <v>12101265813</v>
      </c>
      <c r="P138" t="s">
        <v>1282</v>
      </c>
      <c r="Q138" s="135" t="s">
        <v>1334</v>
      </c>
      <c r="R138" t="s">
        <v>1335</v>
      </c>
      <c r="S138" s="135" t="s">
        <v>1333</v>
      </c>
      <c r="T138" t="s">
        <v>1336</v>
      </c>
      <c r="U138" t="s">
        <v>1237</v>
      </c>
      <c r="V138" t="s">
        <v>1238</v>
      </c>
      <c r="W138">
        <v>600</v>
      </c>
      <c r="X138" t="s">
        <v>1189</v>
      </c>
      <c r="Y138">
        <v>12</v>
      </c>
      <c r="Z138">
        <v>7200</v>
      </c>
      <c r="AA138" t="s">
        <v>28</v>
      </c>
      <c r="AB138" t="s">
        <v>1190</v>
      </c>
      <c r="AC138">
        <v>600</v>
      </c>
      <c r="AD138" t="s">
        <v>1191</v>
      </c>
      <c r="AE138" t="s">
        <v>1290</v>
      </c>
      <c r="AF138" t="s">
        <v>1193</v>
      </c>
      <c r="AG138" t="s">
        <v>1194</v>
      </c>
      <c r="AH138" t="s">
        <v>1195</v>
      </c>
      <c r="AI138" t="s">
        <v>1202</v>
      </c>
      <c r="AJ138" t="s">
        <v>1291</v>
      </c>
      <c r="AK138" t="s">
        <v>1292</v>
      </c>
      <c r="AL138" t="s">
        <v>1291</v>
      </c>
      <c r="AM138" t="s">
        <v>1293</v>
      </c>
      <c r="AN138" t="s">
        <v>1201</v>
      </c>
      <c r="AO138" t="s">
        <v>1292</v>
      </c>
      <c r="AP138" t="s">
        <v>1294</v>
      </c>
      <c r="AQ138" t="s">
        <v>1203</v>
      </c>
      <c r="AR138" t="s">
        <v>1201</v>
      </c>
      <c r="AS138" t="s">
        <v>1203</v>
      </c>
      <c r="AU138" t="s">
        <v>1204</v>
      </c>
      <c r="AW138" t="b">
        <v>0</v>
      </c>
      <c r="AY138" t="b">
        <v>0</v>
      </c>
      <c r="BA138" t="s">
        <v>1295</v>
      </c>
      <c r="BB138" t="s">
        <v>1206</v>
      </c>
      <c r="BC138" t="s">
        <v>1206</v>
      </c>
      <c r="BD138" t="s">
        <v>1207</v>
      </c>
      <c r="BE138" t="s">
        <v>1296</v>
      </c>
      <c r="BF138" t="s">
        <v>1297</v>
      </c>
      <c r="BG138" t="s">
        <v>1298</v>
      </c>
      <c r="BH138" t="s">
        <v>1206</v>
      </c>
      <c r="BI138" t="s">
        <v>1206</v>
      </c>
      <c r="BJ138" t="s">
        <v>1299</v>
      </c>
    </row>
    <row r="139" spans="1:62" x14ac:dyDescent="0.25">
      <c r="A139" t="s">
        <v>1177</v>
      </c>
      <c r="B139">
        <v>150168</v>
      </c>
      <c r="C139">
        <v>150168</v>
      </c>
      <c r="D139" s="112" t="s">
        <v>2562</v>
      </c>
      <c r="E139" t="s">
        <v>1119</v>
      </c>
      <c r="F139" t="s">
        <v>1178</v>
      </c>
      <c r="G139" t="s">
        <v>395</v>
      </c>
      <c r="H139" s="135" t="s">
        <v>1468</v>
      </c>
      <c r="I139">
        <v>12</v>
      </c>
      <c r="J139" t="s">
        <v>1279</v>
      </c>
      <c r="K139">
        <v>12101</v>
      </c>
      <c r="L139" t="s">
        <v>1280</v>
      </c>
      <c r="M139">
        <v>12101265</v>
      </c>
      <c r="N139" t="s">
        <v>1281</v>
      </c>
      <c r="O139">
        <v>12101265813</v>
      </c>
      <c r="P139" t="s">
        <v>1282</v>
      </c>
      <c r="Q139" s="135" t="s">
        <v>1469</v>
      </c>
      <c r="R139" t="s">
        <v>1470</v>
      </c>
      <c r="S139" s="135" t="s">
        <v>1468</v>
      </c>
      <c r="T139" t="s">
        <v>1471</v>
      </c>
      <c r="U139" t="s">
        <v>1237</v>
      </c>
      <c r="V139" t="s">
        <v>1238</v>
      </c>
      <c r="W139">
        <v>275</v>
      </c>
      <c r="X139" t="s">
        <v>1189</v>
      </c>
      <c r="Y139">
        <v>24</v>
      </c>
      <c r="Z139">
        <v>6600</v>
      </c>
      <c r="AA139" t="s">
        <v>28</v>
      </c>
      <c r="AB139" t="s">
        <v>1190</v>
      </c>
      <c r="AC139">
        <v>275</v>
      </c>
      <c r="AD139" t="s">
        <v>1191</v>
      </c>
      <c r="AE139" t="s">
        <v>1192</v>
      </c>
      <c r="AF139" t="s">
        <v>1193</v>
      </c>
      <c r="AG139" t="s">
        <v>1194</v>
      </c>
      <c r="AH139" t="s">
        <v>1195</v>
      </c>
      <c r="AI139" t="s">
        <v>1202</v>
      </c>
      <c r="AJ139" t="s">
        <v>1291</v>
      </c>
      <c r="AK139" t="s">
        <v>1292</v>
      </c>
      <c r="AL139" t="s">
        <v>1291</v>
      </c>
      <c r="AM139" t="s">
        <v>1293</v>
      </c>
      <c r="AN139" t="s">
        <v>1201</v>
      </c>
      <c r="AO139" t="s">
        <v>1292</v>
      </c>
      <c r="AP139" t="s">
        <v>1294</v>
      </c>
      <c r="AQ139" t="s">
        <v>1203</v>
      </c>
      <c r="AR139" t="s">
        <v>1201</v>
      </c>
      <c r="AS139" t="s">
        <v>1203</v>
      </c>
      <c r="AU139" t="s">
        <v>1204</v>
      </c>
      <c r="AW139" t="b">
        <v>0</v>
      </c>
      <c r="AY139" t="b">
        <v>0</v>
      </c>
      <c r="BA139" t="s">
        <v>1295</v>
      </c>
      <c r="BB139" t="s">
        <v>1206</v>
      </c>
      <c r="BC139" t="s">
        <v>1206</v>
      </c>
      <c r="BD139" t="s">
        <v>1207</v>
      </c>
      <c r="BE139" t="s">
        <v>1296</v>
      </c>
      <c r="BF139" t="s">
        <v>1297</v>
      </c>
      <c r="BG139" t="s">
        <v>1298</v>
      </c>
      <c r="BH139" t="s">
        <v>1206</v>
      </c>
      <c r="BI139" t="s">
        <v>1206</v>
      </c>
      <c r="BJ139" t="s">
        <v>1299</v>
      </c>
    </row>
    <row r="140" spans="1:62" x14ac:dyDescent="0.25">
      <c r="A140" t="s">
        <v>1177</v>
      </c>
      <c r="B140">
        <v>150187</v>
      </c>
      <c r="C140">
        <v>150187</v>
      </c>
      <c r="D140" s="112" t="s">
        <v>2563</v>
      </c>
      <c r="E140" t="s">
        <v>1119</v>
      </c>
      <c r="F140" t="s">
        <v>1178</v>
      </c>
      <c r="G140" t="s">
        <v>396</v>
      </c>
      <c r="H140" s="135" t="s">
        <v>1468</v>
      </c>
      <c r="I140">
        <v>12</v>
      </c>
      <c r="J140" t="s">
        <v>1279</v>
      </c>
      <c r="K140">
        <v>12101</v>
      </c>
      <c r="L140" t="s">
        <v>1280</v>
      </c>
      <c r="M140">
        <v>12101265</v>
      </c>
      <c r="N140" t="s">
        <v>1281</v>
      </c>
      <c r="O140">
        <v>12101265813</v>
      </c>
      <c r="P140" t="s">
        <v>1282</v>
      </c>
      <c r="Q140" s="135" t="s">
        <v>1469</v>
      </c>
      <c r="R140" t="s">
        <v>1470</v>
      </c>
      <c r="S140" s="135" t="s">
        <v>1468</v>
      </c>
      <c r="T140" t="s">
        <v>1471</v>
      </c>
      <c r="U140" t="s">
        <v>1237</v>
      </c>
      <c r="V140" t="s">
        <v>1238</v>
      </c>
      <c r="W140">
        <v>275</v>
      </c>
      <c r="X140" t="s">
        <v>1189</v>
      </c>
      <c r="Y140">
        <v>24</v>
      </c>
      <c r="Z140">
        <v>6600</v>
      </c>
      <c r="AA140" t="s">
        <v>28</v>
      </c>
      <c r="AB140" t="s">
        <v>1190</v>
      </c>
      <c r="AC140">
        <v>275</v>
      </c>
      <c r="AD140" t="s">
        <v>1191</v>
      </c>
      <c r="AE140" t="s">
        <v>1192</v>
      </c>
      <c r="AF140" t="s">
        <v>1193</v>
      </c>
      <c r="AG140" t="s">
        <v>1194</v>
      </c>
      <c r="AH140" t="s">
        <v>1195</v>
      </c>
      <c r="AI140" t="s">
        <v>1202</v>
      </c>
      <c r="AJ140" t="s">
        <v>1291</v>
      </c>
      <c r="AK140" t="s">
        <v>1292</v>
      </c>
      <c r="AL140" t="s">
        <v>1291</v>
      </c>
      <c r="AM140" t="s">
        <v>1293</v>
      </c>
      <c r="AN140" t="s">
        <v>1201</v>
      </c>
      <c r="AO140" t="s">
        <v>1292</v>
      </c>
      <c r="AP140" t="s">
        <v>1294</v>
      </c>
      <c r="AQ140" t="s">
        <v>1203</v>
      </c>
      <c r="AR140" t="s">
        <v>1201</v>
      </c>
      <c r="AS140" t="s">
        <v>1203</v>
      </c>
      <c r="AU140" t="s">
        <v>1204</v>
      </c>
      <c r="AW140" t="b">
        <v>0</v>
      </c>
      <c r="AY140" t="b">
        <v>0</v>
      </c>
      <c r="BA140" t="s">
        <v>1295</v>
      </c>
      <c r="BB140" t="s">
        <v>1206</v>
      </c>
      <c r="BC140" t="s">
        <v>1206</v>
      </c>
      <c r="BD140" t="s">
        <v>1207</v>
      </c>
      <c r="BE140" t="s">
        <v>1296</v>
      </c>
      <c r="BF140" t="s">
        <v>1297</v>
      </c>
      <c r="BG140" t="s">
        <v>1298</v>
      </c>
      <c r="BH140" t="s">
        <v>1206</v>
      </c>
      <c r="BI140" t="s">
        <v>1206</v>
      </c>
      <c r="BJ140" t="s">
        <v>1299</v>
      </c>
    </row>
    <row r="141" spans="1:62" x14ac:dyDescent="0.25">
      <c r="A141" t="s">
        <v>1177</v>
      </c>
      <c r="B141">
        <v>150164</v>
      </c>
      <c r="C141">
        <v>150164</v>
      </c>
      <c r="D141" s="112" t="s">
        <v>2564</v>
      </c>
      <c r="E141" t="s">
        <v>1119</v>
      </c>
      <c r="F141" t="s">
        <v>1178</v>
      </c>
      <c r="G141" t="s">
        <v>393</v>
      </c>
      <c r="H141" s="135" t="s">
        <v>1432</v>
      </c>
      <c r="I141">
        <v>12</v>
      </c>
      <c r="J141" t="s">
        <v>1279</v>
      </c>
      <c r="K141">
        <v>12101</v>
      </c>
      <c r="L141" t="s">
        <v>1280</v>
      </c>
      <c r="M141">
        <v>12101265</v>
      </c>
      <c r="N141" t="s">
        <v>1281</v>
      </c>
      <c r="O141">
        <v>12101265813</v>
      </c>
      <c r="P141" t="s">
        <v>1282</v>
      </c>
      <c r="Q141" s="135" t="s">
        <v>1433</v>
      </c>
      <c r="R141" t="s">
        <v>1434</v>
      </c>
      <c r="S141" s="135" t="s">
        <v>1432</v>
      </c>
      <c r="T141" t="s">
        <v>1435</v>
      </c>
      <c r="U141" t="s">
        <v>1237</v>
      </c>
      <c r="V141" t="s">
        <v>1238</v>
      </c>
      <c r="W141">
        <v>135</v>
      </c>
      <c r="X141" t="s">
        <v>1189</v>
      </c>
      <c r="Y141">
        <v>48</v>
      </c>
      <c r="Z141">
        <v>6480</v>
      </c>
      <c r="AA141" t="s">
        <v>28</v>
      </c>
      <c r="AB141" t="s">
        <v>1190</v>
      </c>
      <c r="AC141">
        <v>135</v>
      </c>
      <c r="AD141" t="s">
        <v>1191</v>
      </c>
      <c r="AE141" t="s">
        <v>1192</v>
      </c>
      <c r="AF141" t="s">
        <v>1193</v>
      </c>
      <c r="AG141" t="s">
        <v>1194</v>
      </c>
      <c r="AH141" t="s">
        <v>1195</v>
      </c>
      <c r="AI141" t="s">
        <v>1202</v>
      </c>
      <c r="AJ141" t="s">
        <v>1291</v>
      </c>
      <c r="AK141" t="s">
        <v>1292</v>
      </c>
      <c r="AL141" t="s">
        <v>1291</v>
      </c>
      <c r="AM141" t="s">
        <v>1293</v>
      </c>
      <c r="AN141" t="s">
        <v>1201</v>
      </c>
      <c r="AO141" t="s">
        <v>1292</v>
      </c>
      <c r="AP141" t="s">
        <v>1294</v>
      </c>
      <c r="AQ141" t="s">
        <v>1203</v>
      </c>
      <c r="AR141" t="s">
        <v>1201</v>
      </c>
      <c r="AS141" t="s">
        <v>1203</v>
      </c>
      <c r="AU141" t="s">
        <v>1204</v>
      </c>
      <c r="AW141" t="b">
        <v>0</v>
      </c>
      <c r="AY141" t="b">
        <v>0</v>
      </c>
      <c r="BA141" t="s">
        <v>1295</v>
      </c>
      <c r="BB141" t="s">
        <v>1206</v>
      </c>
      <c r="BC141" t="s">
        <v>1206</v>
      </c>
      <c r="BD141" t="s">
        <v>1207</v>
      </c>
      <c r="BE141" t="s">
        <v>1296</v>
      </c>
      <c r="BF141" t="s">
        <v>1297</v>
      </c>
      <c r="BG141" t="s">
        <v>1298</v>
      </c>
      <c r="BH141" t="s">
        <v>1206</v>
      </c>
      <c r="BI141" t="s">
        <v>1206</v>
      </c>
      <c r="BJ141" t="s">
        <v>1299</v>
      </c>
    </row>
    <row r="142" spans="1:62" x14ac:dyDescent="0.25">
      <c r="A142" t="s">
        <v>1177</v>
      </c>
      <c r="B142">
        <v>150186</v>
      </c>
      <c r="C142">
        <v>150186</v>
      </c>
      <c r="D142" s="112" t="s">
        <v>2565</v>
      </c>
      <c r="E142" t="s">
        <v>1119</v>
      </c>
      <c r="F142" t="s">
        <v>1178</v>
      </c>
      <c r="G142" t="s">
        <v>394</v>
      </c>
      <c r="H142" s="135" t="s">
        <v>1432</v>
      </c>
      <c r="I142">
        <v>12</v>
      </c>
      <c r="J142" t="s">
        <v>1279</v>
      </c>
      <c r="K142">
        <v>12101</v>
      </c>
      <c r="L142" t="s">
        <v>1280</v>
      </c>
      <c r="M142">
        <v>12101265</v>
      </c>
      <c r="N142" t="s">
        <v>1281</v>
      </c>
      <c r="O142">
        <v>12101265813</v>
      </c>
      <c r="P142" t="s">
        <v>1282</v>
      </c>
      <c r="Q142" s="135" t="s">
        <v>1433</v>
      </c>
      <c r="R142" t="s">
        <v>1434</v>
      </c>
      <c r="S142" s="135" t="s">
        <v>1432</v>
      </c>
      <c r="T142" t="s">
        <v>1435</v>
      </c>
      <c r="U142" t="s">
        <v>1237</v>
      </c>
      <c r="V142" t="s">
        <v>1238</v>
      </c>
      <c r="W142">
        <v>135</v>
      </c>
      <c r="X142" t="s">
        <v>1189</v>
      </c>
      <c r="Y142">
        <v>48</v>
      </c>
      <c r="Z142">
        <v>6480</v>
      </c>
      <c r="AA142" t="s">
        <v>28</v>
      </c>
      <c r="AB142" t="s">
        <v>1190</v>
      </c>
      <c r="AC142">
        <v>135</v>
      </c>
      <c r="AD142" t="s">
        <v>1191</v>
      </c>
      <c r="AE142" t="s">
        <v>1192</v>
      </c>
      <c r="AF142" t="s">
        <v>1193</v>
      </c>
      <c r="AG142" t="s">
        <v>1194</v>
      </c>
      <c r="AH142" t="s">
        <v>1195</v>
      </c>
      <c r="AI142" t="s">
        <v>1202</v>
      </c>
      <c r="AJ142" t="s">
        <v>1291</v>
      </c>
      <c r="AK142" t="s">
        <v>1292</v>
      </c>
      <c r="AL142" t="s">
        <v>1291</v>
      </c>
      <c r="AM142" t="s">
        <v>1293</v>
      </c>
      <c r="AN142" t="s">
        <v>1201</v>
      </c>
      <c r="AO142" t="s">
        <v>1292</v>
      </c>
      <c r="AP142" t="s">
        <v>1294</v>
      </c>
      <c r="AQ142" t="s">
        <v>1203</v>
      </c>
      <c r="AR142" t="s">
        <v>1201</v>
      </c>
      <c r="AS142" t="s">
        <v>1203</v>
      </c>
      <c r="AU142" t="s">
        <v>1204</v>
      </c>
      <c r="AW142" t="b">
        <v>0</v>
      </c>
      <c r="AY142" t="b">
        <v>0</v>
      </c>
      <c r="BA142" t="s">
        <v>1295</v>
      </c>
      <c r="BB142" t="s">
        <v>1206</v>
      </c>
      <c r="BC142" t="s">
        <v>1206</v>
      </c>
      <c r="BD142" t="s">
        <v>1207</v>
      </c>
      <c r="BE142" t="s">
        <v>1296</v>
      </c>
      <c r="BF142" t="s">
        <v>1297</v>
      </c>
      <c r="BG142" t="s">
        <v>1298</v>
      </c>
      <c r="BH142" t="s">
        <v>1206</v>
      </c>
      <c r="BI142" t="s">
        <v>1206</v>
      </c>
      <c r="BJ142" t="s">
        <v>1299</v>
      </c>
    </row>
    <row r="143" spans="1:62" x14ac:dyDescent="0.25">
      <c r="A143" t="s">
        <v>1177</v>
      </c>
      <c r="B143">
        <v>150119</v>
      </c>
      <c r="C143">
        <v>150119</v>
      </c>
      <c r="D143" s="112" t="s">
        <v>2566</v>
      </c>
      <c r="E143" t="s">
        <v>1119</v>
      </c>
      <c r="F143" t="s">
        <v>1178</v>
      </c>
      <c r="G143" t="s">
        <v>407</v>
      </c>
      <c r="H143" s="135" t="s">
        <v>1306</v>
      </c>
      <c r="I143">
        <v>12</v>
      </c>
      <c r="J143" t="s">
        <v>1279</v>
      </c>
      <c r="K143">
        <v>12101</v>
      </c>
      <c r="L143" t="s">
        <v>1280</v>
      </c>
      <c r="M143">
        <v>12101265</v>
      </c>
      <c r="N143" t="s">
        <v>1281</v>
      </c>
      <c r="O143">
        <v>12101265813</v>
      </c>
      <c r="P143" t="s">
        <v>1282</v>
      </c>
      <c r="Q143" s="135" t="s">
        <v>1307</v>
      </c>
      <c r="R143" t="s">
        <v>1308</v>
      </c>
      <c r="S143" s="135" t="s">
        <v>1306</v>
      </c>
      <c r="T143" t="s">
        <v>1309</v>
      </c>
      <c r="U143" t="s">
        <v>1310</v>
      </c>
      <c r="V143" t="s">
        <v>1311</v>
      </c>
      <c r="W143">
        <v>1</v>
      </c>
      <c r="X143" t="s">
        <v>1288</v>
      </c>
      <c r="Y143">
        <v>6</v>
      </c>
      <c r="Z143">
        <v>6</v>
      </c>
      <c r="AA143" t="s">
        <v>28</v>
      </c>
      <c r="AB143" t="s">
        <v>1190</v>
      </c>
      <c r="AC143">
        <v>1000</v>
      </c>
      <c r="AD143" t="s">
        <v>1191</v>
      </c>
      <c r="AE143" t="s">
        <v>1290</v>
      </c>
      <c r="AF143" t="s">
        <v>1193</v>
      </c>
      <c r="AG143" t="s">
        <v>1194</v>
      </c>
      <c r="AH143" t="s">
        <v>1195</v>
      </c>
      <c r="AI143" t="s">
        <v>1202</v>
      </c>
      <c r="AJ143" t="s">
        <v>1291</v>
      </c>
      <c r="AK143" t="s">
        <v>1292</v>
      </c>
      <c r="AL143" t="s">
        <v>1291</v>
      </c>
      <c r="AM143" t="s">
        <v>1293</v>
      </c>
      <c r="AN143" t="s">
        <v>1201</v>
      </c>
      <c r="AO143" t="s">
        <v>1292</v>
      </c>
      <c r="AP143" t="s">
        <v>1294</v>
      </c>
      <c r="AQ143" t="s">
        <v>1203</v>
      </c>
      <c r="AR143" t="s">
        <v>1201</v>
      </c>
      <c r="AS143" t="s">
        <v>1203</v>
      </c>
      <c r="AU143" t="s">
        <v>1204</v>
      </c>
      <c r="AW143" t="b">
        <v>0</v>
      </c>
      <c r="AY143" t="b">
        <v>0</v>
      </c>
      <c r="BA143" t="s">
        <v>1295</v>
      </c>
      <c r="BB143" t="s">
        <v>1206</v>
      </c>
      <c r="BC143" t="s">
        <v>1206</v>
      </c>
      <c r="BD143" t="s">
        <v>1207</v>
      </c>
      <c r="BE143" t="s">
        <v>1296</v>
      </c>
      <c r="BF143" t="s">
        <v>1297</v>
      </c>
      <c r="BG143" t="s">
        <v>1298</v>
      </c>
      <c r="BH143" t="s">
        <v>1206</v>
      </c>
      <c r="BI143" t="s">
        <v>1206</v>
      </c>
      <c r="BJ143" t="s">
        <v>1299</v>
      </c>
    </row>
    <row r="144" spans="1:62" x14ac:dyDescent="0.25">
      <c r="A144" t="s">
        <v>1177</v>
      </c>
      <c r="B144">
        <v>150085</v>
      </c>
      <c r="C144">
        <v>150085</v>
      </c>
      <c r="D144" s="112" t="s">
        <v>2567</v>
      </c>
      <c r="E144" t="s">
        <v>1119</v>
      </c>
      <c r="F144" t="s">
        <v>1178</v>
      </c>
      <c r="G144" t="s">
        <v>1494</v>
      </c>
      <c r="H144" s="135" t="s">
        <v>1352</v>
      </c>
      <c r="I144">
        <v>12</v>
      </c>
      <c r="J144" t="s">
        <v>1279</v>
      </c>
      <c r="K144">
        <v>12101</v>
      </c>
      <c r="L144" t="s">
        <v>1280</v>
      </c>
      <c r="M144">
        <v>12101265</v>
      </c>
      <c r="N144" t="s">
        <v>1281</v>
      </c>
      <c r="O144">
        <v>12101265813</v>
      </c>
      <c r="P144" t="s">
        <v>1282</v>
      </c>
      <c r="Q144" s="135" t="s">
        <v>1353</v>
      </c>
      <c r="R144" t="s">
        <v>1354</v>
      </c>
      <c r="S144" s="135" t="s">
        <v>1352</v>
      </c>
      <c r="T144" t="s">
        <v>1355</v>
      </c>
      <c r="U144" t="s">
        <v>1310</v>
      </c>
      <c r="V144" t="s">
        <v>1311</v>
      </c>
      <c r="W144">
        <v>380</v>
      </c>
      <c r="X144" t="s">
        <v>1342</v>
      </c>
      <c r="Y144">
        <v>12</v>
      </c>
      <c r="Z144">
        <v>4560</v>
      </c>
      <c r="AA144" t="s">
        <v>28</v>
      </c>
      <c r="AB144" t="s">
        <v>1190</v>
      </c>
      <c r="AC144">
        <v>380</v>
      </c>
      <c r="AD144" t="s">
        <v>1191</v>
      </c>
      <c r="AE144" t="s">
        <v>1192</v>
      </c>
      <c r="AF144" t="s">
        <v>1193</v>
      </c>
      <c r="AG144" t="s">
        <v>1194</v>
      </c>
      <c r="AH144" t="s">
        <v>1195</v>
      </c>
      <c r="AI144" t="s">
        <v>1202</v>
      </c>
      <c r="AJ144" t="s">
        <v>1291</v>
      </c>
      <c r="AK144" t="s">
        <v>1292</v>
      </c>
      <c r="AL144" t="s">
        <v>1291</v>
      </c>
      <c r="AM144" t="s">
        <v>1293</v>
      </c>
      <c r="AN144" t="s">
        <v>1201</v>
      </c>
      <c r="AO144" t="s">
        <v>1292</v>
      </c>
      <c r="AP144" t="s">
        <v>1294</v>
      </c>
      <c r="AQ144" t="s">
        <v>1203</v>
      </c>
      <c r="AR144" t="s">
        <v>1201</v>
      </c>
      <c r="AS144" t="s">
        <v>1203</v>
      </c>
      <c r="AU144" t="s">
        <v>1204</v>
      </c>
      <c r="AW144" t="b">
        <v>0</v>
      </c>
      <c r="AY144" t="b">
        <v>0</v>
      </c>
      <c r="BA144" t="s">
        <v>1295</v>
      </c>
      <c r="BB144" t="s">
        <v>1206</v>
      </c>
      <c r="BC144" t="s">
        <v>1206</v>
      </c>
      <c r="BD144" t="s">
        <v>1207</v>
      </c>
      <c r="BE144" t="s">
        <v>1296</v>
      </c>
      <c r="BF144" t="s">
        <v>1297</v>
      </c>
      <c r="BG144" t="s">
        <v>1298</v>
      </c>
      <c r="BH144" t="s">
        <v>1206</v>
      </c>
      <c r="BI144" t="s">
        <v>1206</v>
      </c>
      <c r="BJ144" t="s">
        <v>1299</v>
      </c>
    </row>
    <row r="145" spans="1:62" x14ac:dyDescent="0.25">
      <c r="A145" t="s">
        <v>1177</v>
      </c>
      <c r="B145">
        <v>150086</v>
      </c>
      <c r="C145">
        <v>150086</v>
      </c>
      <c r="D145" s="112" t="s">
        <v>2568</v>
      </c>
      <c r="E145" t="s">
        <v>1119</v>
      </c>
      <c r="F145" t="s">
        <v>1178</v>
      </c>
      <c r="G145" t="s">
        <v>1495</v>
      </c>
      <c r="H145" s="135" t="s">
        <v>1489</v>
      </c>
      <c r="I145">
        <v>12</v>
      </c>
      <c r="J145" t="s">
        <v>1279</v>
      </c>
      <c r="K145">
        <v>12101</v>
      </c>
      <c r="L145" t="s">
        <v>1280</v>
      </c>
      <c r="M145">
        <v>12101265</v>
      </c>
      <c r="N145" t="s">
        <v>1281</v>
      </c>
      <c r="O145">
        <v>12101265813</v>
      </c>
      <c r="P145" t="s">
        <v>1282</v>
      </c>
      <c r="Q145" s="135" t="s">
        <v>1490</v>
      </c>
      <c r="R145" t="s">
        <v>1491</v>
      </c>
      <c r="S145" s="135" t="s">
        <v>1489</v>
      </c>
      <c r="T145" t="s">
        <v>1492</v>
      </c>
      <c r="U145" t="s">
        <v>1310</v>
      </c>
      <c r="V145" t="s">
        <v>1311</v>
      </c>
      <c r="W145">
        <v>80</v>
      </c>
      <c r="X145" t="s">
        <v>1342</v>
      </c>
      <c r="Y145">
        <v>48</v>
      </c>
      <c r="Z145">
        <v>3840</v>
      </c>
      <c r="AA145" t="s">
        <v>28</v>
      </c>
      <c r="AB145" t="s">
        <v>1190</v>
      </c>
      <c r="AC145">
        <v>80</v>
      </c>
      <c r="AD145" t="s">
        <v>1191</v>
      </c>
      <c r="AE145" t="s">
        <v>1192</v>
      </c>
      <c r="AF145" t="s">
        <v>1193</v>
      </c>
      <c r="AG145" t="s">
        <v>1194</v>
      </c>
      <c r="AH145" t="s">
        <v>1195</v>
      </c>
      <c r="AI145" t="s">
        <v>1202</v>
      </c>
      <c r="AJ145" t="s">
        <v>1291</v>
      </c>
      <c r="AK145" t="s">
        <v>1292</v>
      </c>
      <c r="AL145" t="s">
        <v>1291</v>
      </c>
      <c r="AM145" t="s">
        <v>1293</v>
      </c>
      <c r="AN145" t="s">
        <v>1201</v>
      </c>
      <c r="AO145" t="s">
        <v>1292</v>
      </c>
      <c r="AP145" t="s">
        <v>1294</v>
      </c>
      <c r="AQ145" t="s">
        <v>1203</v>
      </c>
      <c r="AR145" t="s">
        <v>1201</v>
      </c>
      <c r="AS145" t="s">
        <v>1203</v>
      </c>
      <c r="AU145" t="s">
        <v>1204</v>
      </c>
      <c r="AW145" t="b">
        <v>0</v>
      </c>
      <c r="AY145" t="b">
        <v>0</v>
      </c>
      <c r="BA145" t="s">
        <v>1295</v>
      </c>
      <c r="BB145" t="s">
        <v>1206</v>
      </c>
      <c r="BC145" t="s">
        <v>1206</v>
      </c>
      <c r="BD145" t="s">
        <v>1207</v>
      </c>
      <c r="BE145" t="s">
        <v>1296</v>
      </c>
      <c r="BF145" t="s">
        <v>1297</v>
      </c>
      <c r="BG145" t="s">
        <v>1298</v>
      </c>
      <c r="BH145" t="s">
        <v>1206</v>
      </c>
      <c r="BI145" t="s">
        <v>1206</v>
      </c>
      <c r="BJ145" t="s">
        <v>1299</v>
      </c>
    </row>
    <row r="146" spans="1:62" x14ac:dyDescent="0.25">
      <c r="A146" t="s">
        <v>1177</v>
      </c>
      <c r="B146">
        <v>150129</v>
      </c>
      <c r="C146">
        <v>150129</v>
      </c>
      <c r="D146" s="112" t="s">
        <v>2569</v>
      </c>
      <c r="E146" t="s">
        <v>1119</v>
      </c>
      <c r="F146" t="s">
        <v>1178</v>
      </c>
      <c r="G146" t="s">
        <v>382</v>
      </c>
      <c r="H146" s="135" t="s">
        <v>1364</v>
      </c>
      <c r="I146">
        <v>12</v>
      </c>
      <c r="J146" t="s">
        <v>1279</v>
      </c>
      <c r="K146">
        <v>12101</v>
      </c>
      <c r="L146" t="s">
        <v>1280</v>
      </c>
      <c r="M146">
        <v>12101265</v>
      </c>
      <c r="N146" t="s">
        <v>1281</v>
      </c>
      <c r="O146">
        <v>12101265813</v>
      </c>
      <c r="P146" t="s">
        <v>1282</v>
      </c>
      <c r="Q146" s="135" t="s">
        <v>1365</v>
      </c>
      <c r="R146" t="s">
        <v>1366</v>
      </c>
      <c r="S146" s="135" t="s">
        <v>1364</v>
      </c>
      <c r="T146" t="s">
        <v>1367</v>
      </c>
      <c r="U146" t="s">
        <v>1230</v>
      </c>
      <c r="V146" t="s">
        <v>1231</v>
      </c>
      <c r="W146">
        <v>8</v>
      </c>
      <c r="X146" t="s">
        <v>1342</v>
      </c>
      <c r="Y146">
        <v>21</v>
      </c>
      <c r="Z146">
        <v>168</v>
      </c>
      <c r="AA146" t="s">
        <v>28</v>
      </c>
      <c r="AB146" t="s">
        <v>1190</v>
      </c>
      <c r="AC146">
        <v>8</v>
      </c>
      <c r="AD146" t="s">
        <v>1232</v>
      </c>
      <c r="AE146" t="s">
        <v>1192</v>
      </c>
      <c r="AF146" t="s">
        <v>1193</v>
      </c>
      <c r="AG146" t="s">
        <v>1194</v>
      </c>
      <c r="AH146" t="s">
        <v>1195</v>
      </c>
      <c r="AI146" t="s">
        <v>1202</v>
      </c>
      <c r="AJ146" t="s">
        <v>1291</v>
      </c>
      <c r="AK146" t="s">
        <v>1292</v>
      </c>
      <c r="AL146" t="s">
        <v>1291</v>
      </c>
      <c r="AM146" t="s">
        <v>1293</v>
      </c>
      <c r="AN146" t="s">
        <v>1201</v>
      </c>
      <c r="AO146" t="s">
        <v>1292</v>
      </c>
      <c r="AP146" t="s">
        <v>1294</v>
      </c>
      <c r="AQ146" t="s">
        <v>1203</v>
      </c>
      <c r="AR146" t="s">
        <v>1201</v>
      </c>
      <c r="AS146" t="s">
        <v>1203</v>
      </c>
      <c r="AU146" t="s">
        <v>1204</v>
      </c>
      <c r="AW146" t="b">
        <v>0</v>
      </c>
      <c r="AY146" t="b">
        <v>1</v>
      </c>
      <c r="BA146" t="s">
        <v>1295</v>
      </c>
      <c r="BB146" t="s">
        <v>1206</v>
      </c>
      <c r="BC146" t="s">
        <v>1206</v>
      </c>
      <c r="BD146" t="s">
        <v>1207</v>
      </c>
      <c r="BE146" t="s">
        <v>1296</v>
      </c>
      <c r="BF146" t="s">
        <v>1297</v>
      </c>
      <c r="BG146" t="s">
        <v>1298</v>
      </c>
      <c r="BH146" t="s">
        <v>1206</v>
      </c>
      <c r="BI146" t="s">
        <v>1206</v>
      </c>
      <c r="BJ146" t="s">
        <v>1299</v>
      </c>
    </row>
    <row r="147" spans="1:62" x14ac:dyDescent="0.25">
      <c r="A147" t="s">
        <v>1177</v>
      </c>
      <c r="B147">
        <v>150204</v>
      </c>
      <c r="C147">
        <v>150204</v>
      </c>
      <c r="D147" s="112" t="s">
        <v>2570</v>
      </c>
      <c r="E147" t="s">
        <v>1119</v>
      </c>
      <c r="F147" t="s">
        <v>1178</v>
      </c>
      <c r="G147" t="s">
        <v>383</v>
      </c>
      <c r="H147" s="135" t="s">
        <v>1364</v>
      </c>
      <c r="I147">
        <v>12</v>
      </c>
      <c r="J147" t="s">
        <v>1279</v>
      </c>
      <c r="K147">
        <v>12101</v>
      </c>
      <c r="L147" t="s">
        <v>1280</v>
      </c>
      <c r="M147">
        <v>12101265</v>
      </c>
      <c r="N147" t="s">
        <v>1281</v>
      </c>
      <c r="O147">
        <v>12101265813</v>
      </c>
      <c r="P147" t="s">
        <v>1282</v>
      </c>
      <c r="Q147" s="135" t="s">
        <v>1365</v>
      </c>
      <c r="R147" t="s">
        <v>1366</v>
      </c>
      <c r="S147" s="135" t="s">
        <v>1364</v>
      </c>
      <c r="T147" t="s">
        <v>1367</v>
      </c>
      <c r="U147" t="s">
        <v>1230</v>
      </c>
      <c r="V147" t="s">
        <v>1231</v>
      </c>
      <c r="W147">
        <v>8</v>
      </c>
      <c r="X147" t="s">
        <v>1342</v>
      </c>
      <c r="Y147">
        <v>21</v>
      </c>
      <c r="Z147">
        <v>168</v>
      </c>
      <c r="AA147" t="s">
        <v>28</v>
      </c>
      <c r="AB147" t="s">
        <v>1190</v>
      </c>
      <c r="AC147">
        <v>8</v>
      </c>
      <c r="AD147" t="s">
        <v>1232</v>
      </c>
      <c r="AE147" t="s">
        <v>1192</v>
      </c>
      <c r="AF147" t="s">
        <v>1193</v>
      </c>
      <c r="AG147" t="s">
        <v>1194</v>
      </c>
      <c r="AH147" t="s">
        <v>1195</v>
      </c>
      <c r="AI147" t="s">
        <v>1202</v>
      </c>
      <c r="AJ147" t="s">
        <v>1291</v>
      </c>
      <c r="AK147" t="s">
        <v>1292</v>
      </c>
      <c r="AL147" t="s">
        <v>1291</v>
      </c>
      <c r="AM147" t="s">
        <v>1293</v>
      </c>
      <c r="AN147" t="s">
        <v>1201</v>
      </c>
      <c r="AO147" t="s">
        <v>1292</v>
      </c>
      <c r="AP147" t="s">
        <v>1294</v>
      </c>
      <c r="AQ147" t="s">
        <v>1203</v>
      </c>
      <c r="AR147" t="s">
        <v>1201</v>
      </c>
      <c r="AS147" t="s">
        <v>1203</v>
      </c>
      <c r="AU147" t="s">
        <v>1204</v>
      </c>
      <c r="AW147" t="b">
        <v>0</v>
      </c>
      <c r="AY147" t="b">
        <v>1</v>
      </c>
      <c r="BA147" t="s">
        <v>1295</v>
      </c>
      <c r="BB147" t="s">
        <v>1206</v>
      </c>
      <c r="BC147" t="s">
        <v>1206</v>
      </c>
      <c r="BD147" t="s">
        <v>1207</v>
      </c>
      <c r="BE147" t="s">
        <v>1296</v>
      </c>
      <c r="BF147" t="s">
        <v>1297</v>
      </c>
      <c r="BG147" t="s">
        <v>1298</v>
      </c>
      <c r="BH147" t="s">
        <v>1206</v>
      </c>
      <c r="BI147" t="s">
        <v>1206</v>
      </c>
      <c r="BJ147" t="s">
        <v>1299</v>
      </c>
    </row>
    <row r="148" spans="1:62" x14ac:dyDescent="0.25">
      <c r="A148" t="s">
        <v>1177</v>
      </c>
      <c r="B148">
        <v>150114</v>
      </c>
      <c r="C148">
        <v>150114</v>
      </c>
      <c r="D148" s="112" t="s">
        <v>2571</v>
      </c>
      <c r="E148" t="s">
        <v>1119</v>
      </c>
      <c r="F148" t="s">
        <v>1178</v>
      </c>
      <c r="G148" t="s">
        <v>1496</v>
      </c>
      <c r="H148" s="135" t="s">
        <v>1364</v>
      </c>
      <c r="I148">
        <v>12</v>
      </c>
      <c r="J148" t="s">
        <v>1279</v>
      </c>
      <c r="K148">
        <v>12101</v>
      </c>
      <c r="L148" t="s">
        <v>1280</v>
      </c>
      <c r="M148">
        <v>12101265</v>
      </c>
      <c r="N148" t="s">
        <v>1281</v>
      </c>
      <c r="O148">
        <v>12101265813</v>
      </c>
      <c r="P148" t="s">
        <v>1282</v>
      </c>
      <c r="Q148" s="135" t="s">
        <v>1365</v>
      </c>
      <c r="R148" t="s">
        <v>1366</v>
      </c>
      <c r="S148" s="135" t="s">
        <v>1364</v>
      </c>
      <c r="T148" t="s">
        <v>1367</v>
      </c>
      <c r="U148" t="s">
        <v>1230</v>
      </c>
      <c r="V148" t="s">
        <v>1231</v>
      </c>
      <c r="W148">
        <v>8</v>
      </c>
      <c r="X148" t="s">
        <v>1342</v>
      </c>
      <c r="Y148">
        <v>21</v>
      </c>
      <c r="Z148">
        <v>168</v>
      </c>
      <c r="AA148" t="s">
        <v>28</v>
      </c>
      <c r="AB148" t="s">
        <v>1190</v>
      </c>
      <c r="AC148">
        <v>8</v>
      </c>
      <c r="AD148" t="s">
        <v>1232</v>
      </c>
      <c r="AE148" t="s">
        <v>1192</v>
      </c>
      <c r="AF148" t="s">
        <v>1193</v>
      </c>
      <c r="AG148" t="s">
        <v>1194</v>
      </c>
      <c r="AH148" t="s">
        <v>1195</v>
      </c>
      <c r="AI148" t="s">
        <v>1202</v>
      </c>
      <c r="AJ148" t="s">
        <v>1291</v>
      </c>
      <c r="AK148" t="s">
        <v>1292</v>
      </c>
      <c r="AL148" t="s">
        <v>1291</v>
      </c>
      <c r="AM148" t="s">
        <v>1293</v>
      </c>
      <c r="AN148" t="s">
        <v>1201</v>
      </c>
      <c r="AO148" t="s">
        <v>1292</v>
      </c>
      <c r="AP148" t="s">
        <v>1294</v>
      </c>
      <c r="AQ148" t="s">
        <v>1203</v>
      </c>
      <c r="AR148" t="s">
        <v>1201</v>
      </c>
      <c r="AS148" t="s">
        <v>1203</v>
      </c>
      <c r="AU148" t="s">
        <v>1204</v>
      </c>
      <c r="AW148" t="b">
        <v>0</v>
      </c>
      <c r="AY148" t="b">
        <v>1</v>
      </c>
      <c r="BA148" t="s">
        <v>1295</v>
      </c>
      <c r="BB148" t="s">
        <v>1206</v>
      </c>
      <c r="BC148" t="s">
        <v>1206</v>
      </c>
      <c r="BD148" t="s">
        <v>1207</v>
      </c>
      <c r="BE148" t="s">
        <v>1296</v>
      </c>
      <c r="BF148" t="s">
        <v>1297</v>
      </c>
      <c r="BG148" t="s">
        <v>1298</v>
      </c>
      <c r="BH148" t="s">
        <v>1206</v>
      </c>
      <c r="BI148" t="s">
        <v>1206</v>
      </c>
      <c r="BJ148" t="s">
        <v>1299</v>
      </c>
    </row>
    <row r="149" spans="1:62" x14ac:dyDescent="0.25">
      <c r="A149" t="s">
        <v>1177</v>
      </c>
      <c r="B149">
        <v>150112</v>
      </c>
      <c r="C149">
        <v>150112</v>
      </c>
      <c r="D149" s="112" t="s">
        <v>2572</v>
      </c>
      <c r="E149" t="s">
        <v>1119</v>
      </c>
      <c r="F149" t="s">
        <v>1178</v>
      </c>
      <c r="G149" t="s">
        <v>1497</v>
      </c>
      <c r="H149" s="135" t="s">
        <v>1498</v>
      </c>
      <c r="I149">
        <v>12</v>
      </c>
      <c r="J149" t="s">
        <v>1279</v>
      </c>
      <c r="K149">
        <v>12101</v>
      </c>
      <c r="L149" t="s">
        <v>1280</v>
      </c>
      <c r="M149">
        <v>12101265</v>
      </c>
      <c r="N149" t="s">
        <v>1281</v>
      </c>
      <c r="O149">
        <v>12101265813</v>
      </c>
      <c r="P149" t="s">
        <v>1282</v>
      </c>
      <c r="Q149" s="135" t="s">
        <v>1499</v>
      </c>
      <c r="R149" t="s">
        <v>1500</v>
      </c>
      <c r="S149" s="135" t="s">
        <v>1498</v>
      </c>
      <c r="T149" t="s">
        <v>1501</v>
      </c>
      <c r="U149" t="s">
        <v>1230</v>
      </c>
      <c r="V149" t="s">
        <v>1231</v>
      </c>
      <c r="W149">
        <v>20</v>
      </c>
      <c r="X149" t="s">
        <v>1342</v>
      </c>
      <c r="Y149">
        <v>30</v>
      </c>
      <c r="Z149">
        <v>600</v>
      </c>
      <c r="AA149" t="s">
        <v>28</v>
      </c>
      <c r="AB149" t="s">
        <v>1190</v>
      </c>
      <c r="AC149">
        <v>20</v>
      </c>
      <c r="AD149" t="s">
        <v>1232</v>
      </c>
      <c r="AE149" t="s">
        <v>1192</v>
      </c>
      <c r="AF149" t="s">
        <v>1193</v>
      </c>
      <c r="AG149" t="s">
        <v>1194</v>
      </c>
      <c r="AH149" t="s">
        <v>1195</v>
      </c>
      <c r="AI149" t="s">
        <v>1202</v>
      </c>
      <c r="AJ149" t="s">
        <v>1291</v>
      </c>
      <c r="AK149" t="s">
        <v>1292</v>
      </c>
      <c r="AL149" t="s">
        <v>1291</v>
      </c>
      <c r="AM149" t="s">
        <v>1293</v>
      </c>
      <c r="AN149" t="s">
        <v>1201</v>
      </c>
      <c r="AO149" t="s">
        <v>1292</v>
      </c>
      <c r="AP149" t="s">
        <v>1294</v>
      </c>
      <c r="AQ149" t="s">
        <v>1203</v>
      </c>
      <c r="AR149" t="s">
        <v>1201</v>
      </c>
      <c r="AS149" t="s">
        <v>1203</v>
      </c>
      <c r="AU149" t="s">
        <v>1204</v>
      </c>
      <c r="AW149" t="b">
        <v>0</v>
      </c>
      <c r="AY149" t="b">
        <v>1</v>
      </c>
      <c r="BA149" t="s">
        <v>1295</v>
      </c>
      <c r="BB149" t="s">
        <v>1206</v>
      </c>
      <c r="BC149" t="s">
        <v>1206</v>
      </c>
      <c r="BD149" t="s">
        <v>1207</v>
      </c>
      <c r="BE149" t="s">
        <v>1296</v>
      </c>
      <c r="BF149" t="s">
        <v>1297</v>
      </c>
      <c r="BG149" t="s">
        <v>1298</v>
      </c>
      <c r="BH149" t="s">
        <v>1206</v>
      </c>
      <c r="BI149" t="s">
        <v>1206</v>
      </c>
      <c r="BJ149" t="s">
        <v>1299</v>
      </c>
    </row>
    <row r="150" spans="1:62" x14ac:dyDescent="0.25">
      <c r="A150" t="s">
        <v>1177</v>
      </c>
      <c r="B150">
        <v>150083</v>
      </c>
      <c r="C150">
        <v>150083</v>
      </c>
      <c r="D150" s="112" t="s">
        <v>2573</v>
      </c>
      <c r="E150" t="s">
        <v>1119</v>
      </c>
      <c r="F150" t="s">
        <v>1178</v>
      </c>
      <c r="G150" t="s">
        <v>1502</v>
      </c>
      <c r="H150" s="135" t="s">
        <v>1344</v>
      </c>
      <c r="I150">
        <v>12</v>
      </c>
      <c r="J150" t="s">
        <v>1279</v>
      </c>
      <c r="K150">
        <v>12101</v>
      </c>
      <c r="L150" t="s">
        <v>1280</v>
      </c>
      <c r="M150">
        <v>12101265</v>
      </c>
      <c r="N150" t="s">
        <v>1281</v>
      </c>
      <c r="O150">
        <v>12101265813</v>
      </c>
      <c r="P150" t="s">
        <v>1282</v>
      </c>
      <c r="Q150" s="135" t="s">
        <v>1345</v>
      </c>
      <c r="R150" t="s">
        <v>1346</v>
      </c>
      <c r="S150" s="135" t="s">
        <v>1344</v>
      </c>
      <c r="T150" t="s">
        <v>1347</v>
      </c>
      <c r="U150" t="s">
        <v>1187</v>
      </c>
      <c r="V150" t="s">
        <v>1188</v>
      </c>
      <c r="W150">
        <v>335</v>
      </c>
      <c r="X150" t="s">
        <v>1189</v>
      </c>
      <c r="Y150">
        <v>24</v>
      </c>
      <c r="Z150">
        <v>8040</v>
      </c>
      <c r="AA150" t="s">
        <v>28</v>
      </c>
      <c r="AB150" t="s">
        <v>1190</v>
      </c>
      <c r="AC150">
        <v>335</v>
      </c>
      <c r="AD150" t="s">
        <v>1191</v>
      </c>
      <c r="AE150" t="s">
        <v>1192</v>
      </c>
      <c r="AF150" t="s">
        <v>1193</v>
      </c>
      <c r="AG150" t="s">
        <v>1194</v>
      </c>
      <c r="AH150" t="s">
        <v>1195</v>
      </c>
      <c r="AI150" t="s">
        <v>1202</v>
      </c>
      <c r="AJ150" t="s">
        <v>1291</v>
      </c>
      <c r="AK150" t="s">
        <v>1292</v>
      </c>
      <c r="AL150" t="s">
        <v>1291</v>
      </c>
      <c r="AM150" t="s">
        <v>1324</v>
      </c>
      <c r="AN150" t="s">
        <v>1201</v>
      </c>
      <c r="AO150" t="s">
        <v>1292</v>
      </c>
      <c r="AP150" t="s">
        <v>1325</v>
      </c>
      <c r="AQ150" t="s">
        <v>1203</v>
      </c>
      <c r="AR150" t="s">
        <v>1201</v>
      </c>
      <c r="AS150" t="s">
        <v>1203</v>
      </c>
      <c r="AU150" t="s">
        <v>1204</v>
      </c>
      <c r="AW150" t="b">
        <v>0</v>
      </c>
      <c r="AY150" t="b">
        <v>0</v>
      </c>
      <c r="BA150" t="s">
        <v>1295</v>
      </c>
      <c r="BB150" t="s">
        <v>1206</v>
      </c>
      <c r="BC150" t="s">
        <v>1206</v>
      </c>
      <c r="BD150" t="s">
        <v>1207</v>
      </c>
      <c r="BE150" t="s">
        <v>1296</v>
      </c>
      <c r="BF150" t="s">
        <v>1297</v>
      </c>
      <c r="BG150" t="s">
        <v>1298</v>
      </c>
      <c r="BH150" t="s">
        <v>1206</v>
      </c>
      <c r="BI150" t="s">
        <v>1206</v>
      </c>
      <c r="BJ150" t="s">
        <v>1299</v>
      </c>
    </row>
    <row r="151" spans="1:62" x14ac:dyDescent="0.25">
      <c r="A151" t="s">
        <v>1177</v>
      </c>
      <c r="B151">
        <v>150071</v>
      </c>
      <c r="C151">
        <v>150071</v>
      </c>
      <c r="D151" s="112" t="s">
        <v>2574</v>
      </c>
      <c r="E151" t="s">
        <v>1119</v>
      </c>
      <c r="F151" t="s">
        <v>1178</v>
      </c>
      <c r="G151" t="s">
        <v>1503</v>
      </c>
      <c r="H151" s="135" t="s">
        <v>1432</v>
      </c>
      <c r="I151">
        <v>12</v>
      </c>
      <c r="J151" t="s">
        <v>1279</v>
      </c>
      <c r="K151">
        <v>12101</v>
      </c>
      <c r="L151" t="s">
        <v>1280</v>
      </c>
      <c r="M151">
        <v>12101265</v>
      </c>
      <c r="N151" t="s">
        <v>1281</v>
      </c>
      <c r="O151">
        <v>12101265813</v>
      </c>
      <c r="P151" t="s">
        <v>1282</v>
      </c>
      <c r="Q151" s="135" t="s">
        <v>1433</v>
      </c>
      <c r="R151" t="s">
        <v>1434</v>
      </c>
      <c r="S151" s="135" t="s">
        <v>1432</v>
      </c>
      <c r="T151" t="s">
        <v>1435</v>
      </c>
      <c r="U151" t="s">
        <v>1237</v>
      </c>
      <c r="V151" t="s">
        <v>1238</v>
      </c>
      <c r="W151">
        <v>135</v>
      </c>
      <c r="X151" t="s">
        <v>1189</v>
      </c>
      <c r="Y151">
        <v>48</v>
      </c>
      <c r="Z151">
        <v>6480</v>
      </c>
      <c r="AA151" t="s">
        <v>28</v>
      </c>
      <c r="AB151" t="s">
        <v>1190</v>
      </c>
      <c r="AC151">
        <v>135</v>
      </c>
      <c r="AD151" t="s">
        <v>1191</v>
      </c>
      <c r="AE151" t="s">
        <v>1192</v>
      </c>
      <c r="AF151" t="s">
        <v>1193</v>
      </c>
      <c r="AG151" t="s">
        <v>1194</v>
      </c>
      <c r="AH151" t="s">
        <v>1195</v>
      </c>
      <c r="AI151" t="s">
        <v>1202</v>
      </c>
      <c r="AJ151" t="s">
        <v>1291</v>
      </c>
      <c r="AK151" t="s">
        <v>1292</v>
      </c>
      <c r="AL151" t="s">
        <v>1291</v>
      </c>
      <c r="AM151" t="s">
        <v>1293</v>
      </c>
      <c r="AN151" t="s">
        <v>1201</v>
      </c>
      <c r="AO151" t="s">
        <v>1292</v>
      </c>
      <c r="AP151" t="s">
        <v>1294</v>
      </c>
      <c r="AQ151" t="s">
        <v>1203</v>
      </c>
      <c r="AR151" t="s">
        <v>1201</v>
      </c>
      <c r="AS151" t="s">
        <v>1203</v>
      </c>
      <c r="AU151" t="s">
        <v>1204</v>
      </c>
      <c r="AW151" t="b">
        <v>0</v>
      </c>
      <c r="AY151" t="b">
        <v>0</v>
      </c>
      <c r="BA151" t="s">
        <v>1295</v>
      </c>
      <c r="BB151" t="s">
        <v>1206</v>
      </c>
      <c r="BC151" t="s">
        <v>1206</v>
      </c>
      <c r="BD151" t="s">
        <v>1207</v>
      </c>
      <c r="BE151" t="s">
        <v>1296</v>
      </c>
      <c r="BF151" t="s">
        <v>1297</v>
      </c>
      <c r="BG151" t="s">
        <v>1298</v>
      </c>
      <c r="BH151" t="s">
        <v>1206</v>
      </c>
      <c r="BI151" t="s">
        <v>1206</v>
      </c>
      <c r="BJ151" t="s">
        <v>1299</v>
      </c>
    </row>
    <row r="152" spans="1:62" x14ac:dyDescent="0.25">
      <c r="A152" t="s">
        <v>1177</v>
      </c>
      <c r="B152">
        <v>150174</v>
      </c>
      <c r="C152">
        <v>150174</v>
      </c>
      <c r="D152" s="112" t="s">
        <v>2575</v>
      </c>
      <c r="E152" t="s">
        <v>1119</v>
      </c>
      <c r="F152" t="s">
        <v>1178</v>
      </c>
      <c r="G152" t="s">
        <v>441</v>
      </c>
      <c r="H152" s="135" t="s">
        <v>1344</v>
      </c>
      <c r="I152">
        <v>12</v>
      </c>
      <c r="J152" t="s">
        <v>1279</v>
      </c>
      <c r="K152">
        <v>12101</v>
      </c>
      <c r="L152" t="s">
        <v>1280</v>
      </c>
      <c r="M152">
        <v>12101265</v>
      </c>
      <c r="N152" t="s">
        <v>1281</v>
      </c>
      <c r="O152">
        <v>12101265813</v>
      </c>
      <c r="P152" t="s">
        <v>1282</v>
      </c>
      <c r="Q152" s="135" t="s">
        <v>1345</v>
      </c>
      <c r="R152" t="s">
        <v>1346</v>
      </c>
      <c r="S152" s="135" t="s">
        <v>1344</v>
      </c>
      <c r="T152" t="s">
        <v>1347</v>
      </c>
      <c r="U152" t="s">
        <v>1187</v>
      </c>
      <c r="V152" t="s">
        <v>1188</v>
      </c>
      <c r="W152">
        <v>335</v>
      </c>
      <c r="X152" t="s">
        <v>1189</v>
      </c>
      <c r="Y152">
        <v>24</v>
      </c>
      <c r="Z152">
        <v>8040</v>
      </c>
      <c r="AA152" t="s">
        <v>28</v>
      </c>
      <c r="AB152" t="s">
        <v>1190</v>
      </c>
      <c r="AC152">
        <v>335</v>
      </c>
      <c r="AD152" t="s">
        <v>1191</v>
      </c>
      <c r="AE152" t="s">
        <v>1192</v>
      </c>
      <c r="AF152" t="s">
        <v>1193</v>
      </c>
      <c r="AG152" t="s">
        <v>1194</v>
      </c>
      <c r="AH152" t="s">
        <v>1195</v>
      </c>
      <c r="AI152" t="s">
        <v>1202</v>
      </c>
      <c r="AJ152" t="s">
        <v>1291</v>
      </c>
      <c r="AK152" t="s">
        <v>1292</v>
      </c>
      <c r="AL152" t="s">
        <v>1291</v>
      </c>
      <c r="AM152" t="s">
        <v>1324</v>
      </c>
      <c r="AN152" t="s">
        <v>1201</v>
      </c>
      <c r="AO152" t="s">
        <v>1292</v>
      </c>
      <c r="AP152" t="s">
        <v>1325</v>
      </c>
      <c r="AQ152" t="s">
        <v>1203</v>
      </c>
      <c r="AR152" t="s">
        <v>1201</v>
      </c>
      <c r="AS152" t="s">
        <v>1203</v>
      </c>
      <c r="AU152" t="s">
        <v>1204</v>
      </c>
      <c r="AW152" t="b">
        <v>0</v>
      </c>
      <c r="AY152" t="b">
        <v>0</v>
      </c>
      <c r="BA152" t="s">
        <v>1295</v>
      </c>
      <c r="BB152" t="s">
        <v>1206</v>
      </c>
      <c r="BC152" t="s">
        <v>1206</v>
      </c>
      <c r="BD152" t="s">
        <v>1207</v>
      </c>
      <c r="BE152" t="s">
        <v>1296</v>
      </c>
      <c r="BF152" t="s">
        <v>1297</v>
      </c>
      <c r="BG152" t="s">
        <v>1298</v>
      </c>
      <c r="BH152" t="s">
        <v>1206</v>
      </c>
      <c r="BI152" t="s">
        <v>1206</v>
      </c>
      <c r="BJ152" t="s">
        <v>1299</v>
      </c>
    </row>
    <row r="153" spans="1:62" x14ac:dyDescent="0.25">
      <c r="A153" t="s">
        <v>1177</v>
      </c>
      <c r="B153">
        <v>150167</v>
      </c>
      <c r="C153">
        <v>150167</v>
      </c>
      <c r="D153" s="112" t="s">
        <v>2576</v>
      </c>
      <c r="E153" t="s">
        <v>1119</v>
      </c>
      <c r="F153" t="s">
        <v>1178</v>
      </c>
      <c r="G153" t="s">
        <v>439</v>
      </c>
      <c r="H153" s="135" t="s">
        <v>1432</v>
      </c>
      <c r="I153">
        <v>12</v>
      </c>
      <c r="J153" t="s">
        <v>1279</v>
      </c>
      <c r="K153">
        <v>12101</v>
      </c>
      <c r="L153" t="s">
        <v>1280</v>
      </c>
      <c r="M153">
        <v>12101265</v>
      </c>
      <c r="N153" t="s">
        <v>1281</v>
      </c>
      <c r="O153">
        <v>12101265813</v>
      </c>
      <c r="P153" t="s">
        <v>1282</v>
      </c>
      <c r="Q153" s="135" t="s">
        <v>1433</v>
      </c>
      <c r="R153" t="s">
        <v>1434</v>
      </c>
      <c r="S153" s="135" t="s">
        <v>1432</v>
      </c>
      <c r="T153" t="s">
        <v>1435</v>
      </c>
      <c r="U153" t="s">
        <v>1237</v>
      </c>
      <c r="V153" t="s">
        <v>1238</v>
      </c>
      <c r="W153">
        <v>135</v>
      </c>
      <c r="X153" t="s">
        <v>1189</v>
      </c>
      <c r="Y153">
        <v>48</v>
      </c>
      <c r="Z153">
        <v>6480</v>
      </c>
      <c r="AA153" t="s">
        <v>28</v>
      </c>
      <c r="AB153" t="s">
        <v>1190</v>
      </c>
      <c r="AC153">
        <v>135</v>
      </c>
      <c r="AD153" t="s">
        <v>1191</v>
      </c>
      <c r="AE153" t="s">
        <v>1192</v>
      </c>
      <c r="AF153" t="s">
        <v>1193</v>
      </c>
      <c r="AG153" t="s">
        <v>1194</v>
      </c>
      <c r="AH153" t="s">
        <v>1195</v>
      </c>
      <c r="AI153" t="s">
        <v>1202</v>
      </c>
      <c r="AJ153" t="s">
        <v>1291</v>
      </c>
      <c r="AK153" t="s">
        <v>1292</v>
      </c>
      <c r="AL153" t="s">
        <v>1291</v>
      </c>
      <c r="AM153" t="s">
        <v>1324</v>
      </c>
      <c r="AN153" t="s">
        <v>1201</v>
      </c>
      <c r="AO153" t="s">
        <v>1292</v>
      </c>
      <c r="AP153" t="s">
        <v>1325</v>
      </c>
      <c r="AQ153" t="s">
        <v>1203</v>
      </c>
      <c r="AR153" t="s">
        <v>1201</v>
      </c>
      <c r="AS153" t="s">
        <v>1203</v>
      </c>
      <c r="AU153" t="s">
        <v>1204</v>
      </c>
      <c r="AW153" t="b">
        <v>0</v>
      </c>
      <c r="AY153" t="b">
        <v>0</v>
      </c>
      <c r="BA153" t="s">
        <v>1295</v>
      </c>
      <c r="BB153" t="s">
        <v>1206</v>
      </c>
      <c r="BC153" t="s">
        <v>1206</v>
      </c>
      <c r="BD153" t="s">
        <v>1207</v>
      </c>
      <c r="BE153" t="s">
        <v>1296</v>
      </c>
      <c r="BF153" t="s">
        <v>1297</v>
      </c>
      <c r="BG153" t="s">
        <v>1298</v>
      </c>
      <c r="BH153" t="s">
        <v>1206</v>
      </c>
      <c r="BI153" t="s">
        <v>1206</v>
      </c>
      <c r="BJ153" t="s">
        <v>1299</v>
      </c>
    </row>
    <row r="154" spans="1:62" x14ac:dyDescent="0.25">
      <c r="A154" t="s">
        <v>1177</v>
      </c>
      <c r="B154">
        <v>815283</v>
      </c>
      <c r="C154" t="s">
        <v>1258</v>
      </c>
      <c r="D154" s="112" t="s">
        <v>2577</v>
      </c>
      <c r="E154" t="s">
        <v>1119</v>
      </c>
      <c r="F154" t="s">
        <v>1178</v>
      </c>
      <c r="G154" t="s">
        <v>1504</v>
      </c>
      <c r="H154" s="135" t="s">
        <v>1344</v>
      </c>
      <c r="I154">
        <v>12</v>
      </c>
      <c r="J154" t="s">
        <v>1279</v>
      </c>
      <c r="K154">
        <v>12101</v>
      </c>
      <c r="L154" t="s">
        <v>1280</v>
      </c>
      <c r="M154">
        <v>12101265</v>
      </c>
      <c r="N154" t="s">
        <v>1281</v>
      </c>
      <c r="O154">
        <v>12101265813</v>
      </c>
      <c r="P154" t="s">
        <v>1282</v>
      </c>
      <c r="Q154" s="135" t="s">
        <v>1345</v>
      </c>
      <c r="R154" t="s">
        <v>1346</v>
      </c>
      <c r="S154" s="135" t="s">
        <v>1344</v>
      </c>
      <c r="T154" t="s">
        <v>1347</v>
      </c>
      <c r="U154" t="s">
        <v>1187</v>
      </c>
      <c r="V154" t="s">
        <v>1188</v>
      </c>
      <c r="W154">
        <v>335</v>
      </c>
      <c r="X154" t="s">
        <v>1189</v>
      </c>
      <c r="Y154">
        <v>24</v>
      </c>
      <c r="Z154">
        <v>8040</v>
      </c>
      <c r="AA154" t="s">
        <v>28</v>
      </c>
      <c r="AB154" t="s">
        <v>1190</v>
      </c>
      <c r="AC154">
        <v>335</v>
      </c>
      <c r="AD154" t="s">
        <v>1191</v>
      </c>
      <c r="AE154" t="s">
        <v>1192</v>
      </c>
      <c r="AF154" t="s">
        <v>1193</v>
      </c>
      <c r="AG154" t="s">
        <v>1194</v>
      </c>
      <c r="AH154" t="s">
        <v>1195</v>
      </c>
      <c r="AI154" t="s">
        <v>1202</v>
      </c>
      <c r="AJ154" t="s">
        <v>1291</v>
      </c>
      <c r="AK154" t="s">
        <v>1292</v>
      </c>
      <c r="AL154" t="s">
        <v>1291</v>
      </c>
      <c r="AM154" t="s">
        <v>1324</v>
      </c>
      <c r="AN154" t="s">
        <v>1201</v>
      </c>
      <c r="AO154" t="s">
        <v>1292</v>
      </c>
      <c r="AP154" t="s">
        <v>1325</v>
      </c>
      <c r="AQ154" t="s">
        <v>1203</v>
      </c>
      <c r="AR154" t="s">
        <v>1201</v>
      </c>
      <c r="AS154" t="s">
        <v>1203</v>
      </c>
      <c r="AU154" t="s">
        <v>1204</v>
      </c>
      <c r="AW154" t="b">
        <v>0</v>
      </c>
      <c r="AY154" t="b">
        <v>0</v>
      </c>
      <c r="BA154" t="s">
        <v>1295</v>
      </c>
      <c r="BB154" t="s">
        <v>1206</v>
      </c>
      <c r="BC154" t="s">
        <v>1206</v>
      </c>
      <c r="BD154" t="s">
        <v>1207</v>
      </c>
      <c r="BE154" t="s">
        <v>1296</v>
      </c>
      <c r="BF154" t="s">
        <v>1297</v>
      </c>
      <c r="BG154" t="s">
        <v>1298</v>
      </c>
      <c r="BH154" t="s">
        <v>1206</v>
      </c>
      <c r="BI154" t="s">
        <v>1206</v>
      </c>
      <c r="BJ154" t="s">
        <v>1299</v>
      </c>
    </row>
    <row r="155" spans="1:62" x14ac:dyDescent="0.25">
      <c r="A155" t="s">
        <v>1177</v>
      </c>
      <c r="B155">
        <v>150137</v>
      </c>
      <c r="C155">
        <v>150137</v>
      </c>
      <c r="D155" s="112" t="s">
        <v>2578</v>
      </c>
      <c r="E155" t="s">
        <v>1119</v>
      </c>
      <c r="F155" t="s">
        <v>1178</v>
      </c>
      <c r="G155" t="s">
        <v>1505</v>
      </c>
      <c r="H155" s="135" t="s">
        <v>1468</v>
      </c>
      <c r="I155">
        <v>12</v>
      </c>
      <c r="J155" t="s">
        <v>1279</v>
      </c>
      <c r="K155">
        <v>12101</v>
      </c>
      <c r="L155" t="s">
        <v>1280</v>
      </c>
      <c r="M155">
        <v>12101265</v>
      </c>
      <c r="N155" t="s">
        <v>1281</v>
      </c>
      <c r="O155">
        <v>12101265813</v>
      </c>
      <c r="P155" t="s">
        <v>1282</v>
      </c>
      <c r="Q155" s="135" t="s">
        <v>1469</v>
      </c>
      <c r="R155" t="s">
        <v>1470</v>
      </c>
      <c r="S155" s="135" t="s">
        <v>1468</v>
      </c>
      <c r="T155" t="s">
        <v>1471</v>
      </c>
      <c r="U155" t="s">
        <v>1237</v>
      </c>
      <c r="V155" t="s">
        <v>1238</v>
      </c>
      <c r="W155">
        <v>275</v>
      </c>
      <c r="X155" t="s">
        <v>1189</v>
      </c>
      <c r="Y155">
        <v>24</v>
      </c>
      <c r="Z155">
        <v>6600</v>
      </c>
      <c r="AA155" t="s">
        <v>28</v>
      </c>
      <c r="AB155" t="s">
        <v>1190</v>
      </c>
      <c r="AC155">
        <v>275</v>
      </c>
      <c r="AD155" t="s">
        <v>1191</v>
      </c>
      <c r="AE155" t="s">
        <v>1192</v>
      </c>
      <c r="AF155" t="s">
        <v>1193</v>
      </c>
      <c r="AG155" t="s">
        <v>1194</v>
      </c>
      <c r="AH155" t="s">
        <v>1195</v>
      </c>
      <c r="AI155" t="s">
        <v>1202</v>
      </c>
      <c r="AJ155" t="s">
        <v>1291</v>
      </c>
      <c r="AK155" t="s">
        <v>1292</v>
      </c>
      <c r="AL155" t="s">
        <v>1291</v>
      </c>
      <c r="AM155" t="s">
        <v>1293</v>
      </c>
      <c r="AN155" t="s">
        <v>1201</v>
      </c>
      <c r="AO155" t="s">
        <v>1292</v>
      </c>
      <c r="AP155" t="s">
        <v>1294</v>
      </c>
      <c r="AQ155" t="s">
        <v>1203</v>
      </c>
      <c r="AR155" t="s">
        <v>1201</v>
      </c>
      <c r="AS155" t="s">
        <v>1203</v>
      </c>
      <c r="AU155" t="s">
        <v>1204</v>
      </c>
      <c r="AW155" t="b">
        <v>0</v>
      </c>
      <c r="AY155" t="b">
        <v>0</v>
      </c>
      <c r="BA155" t="s">
        <v>1295</v>
      </c>
      <c r="BB155" t="s">
        <v>1206</v>
      </c>
      <c r="BC155" t="s">
        <v>1206</v>
      </c>
      <c r="BD155" t="s">
        <v>1207</v>
      </c>
      <c r="BE155" t="s">
        <v>1296</v>
      </c>
      <c r="BF155" t="s">
        <v>1297</v>
      </c>
      <c r="BG155" t="s">
        <v>1298</v>
      </c>
      <c r="BH155" t="s">
        <v>1206</v>
      </c>
      <c r="BI155" t="s">
        <v>1206</v>
      </c>
      <c r="BJ155" t="s">
        <v>1299</v>
      </c>
    </row>
    <row r="156" spans="1:62" x14ac:dyDescent="0.25">
      <c r="A156" t="s">
        <v>1177</v>
      </c>
      <c r="B156">
        <v>150176</v>
      </c>
      <c r="C156">
        <v>150176</v>
      </c>
      <c r="D156" s="112" t="s">
        <v>2579</v>
      </c>
      <c r="E156" t="s">
        <v>1119</v>
      </c>
      <c r="F156" t="s">
        <v>1178</v>
      </c>
      <c r="G156" t="s">
        <v>443</v>
      </c>
      <c r="H156" s="135" t="s">
        <v>1468</v>
      </c>
      <c r="I156">
        <v>12</v>
      </c>
      <c r="J156" t="s">
        <v>1279</v>
      </c>
      <c r="K156">
        <v>12101</v>
      </c>
      <c r="L156" t="s">
        <v>1280</v>
      </c>
      <c r="M156">
        <v>12101265</v>
      </c>
      <c r="N156" t="s">
        <v>1281</v>
      </c>
      <c r="O156">
        <v>12101265813</v>
      </c>
      <c r="P156" t="s">
        <v>1282</v>
      </c>
      <c r="Q156" s="135" t="s">
        <v>1469</v>
      </c>
      <c r="R156" t="s">
        <v>1470</v>
      </c>
      <c r="S156" s="135" t="s">
        <v>1468</v>
      </c>
      <c r="T156" t="s">
        <v>1471</v>
      </c>
      <c r="U156" t="s">
        <v>1237</v>
      </c>
      <c r="V156" t="s">
        <v>1238</v>
      </c>
      <c r="W156">
        <v>275</v>
      </c>
      <c r="X156" t="s">
        <v>1189</v>
      </c>
      <c r="Y156">
        <v>24</v>
      </c>
      <c r="Z156">
        <v>6600</v>
      </c>
      <c r="AA156" t="s">
        <v>28</v>
      </c>
      <c r="AB156" t="s">
        <v>1190</v>
      </c>
      <c r="AC156">
        <v>275</v>
      </c>
      <c r="AD156" t="s">
        <v>1191</v>
      </c>
      <c r="AE156" t="s">
        <v>1192</v>
      </c>
      <c r="AF156" t="s">
        <v>1193</v>
      </c>
      <c r="AG156" t="s">
        <v>1194</v>
      </c>
      <c r="AH156" t="s">
        <v>1195</v>
      </c>
      <c r="AI156" t="s">
        <v>1202</v>
      </c>
      <c r="AJ156" t="s">
        <v>1291</v>
      </c>
      <c r="AK156" t="s">
        <v>1292</v>
      </c>
      <c r="AL156" t="s">
        <v>1291</v>
      </c>
      <c r="AM156" t="s">
        <v>1380</v>
      </c>
      <c r="AN156" t="s">
        <v>1201</v>
      </c>
      <c r="AO156" t="s">
        <v>1292</v>
      </c>
      <c r="AP156" t="s">
        <v>1381</v>
      </c>
      <c r="AQ156" t="s">
        <v>1203</v>
      </c>
      <c r="AR156" t="s">
        <v>1201</v>
      </c>
      <c r="AS156" t="s">
        <v>1203</v>
      </c>
      <c r="AU156" t="s">
        <v>1204</v>
      </c>
      <c r="AW156" t="b">
        <v>0</v>
      </c>
      <c r="AY156" t="b">
        <v>0</v>
      </c>
      <c r="BA156" t="s">
        <v>1295</v>
      </c>
      <c r="BB156" t="s">
        <v>1206</v>
      </c>
      <c r="BC156" t="s">
        <v>1206</v>
      </c>
      <c r="BD156" t="s">
        <v>1207</v>
      </c>
      <c r="BE156" t="s">
        <v>1296</v>
      </c>
      <c r="BF156" t="s">
        <v>1297</v>
      </c>
      <c r="BG156" t="s">
        <v>1298</v>
      </c>
      <c r="BH156" t="s">
        <v>1206</v>
      </c>
      <c r="BI156" t="s">
        <v>1206</v>
      </c>
      <c r="BJ156" t="s">
        <v>1299</v>
      </c>
    </row>
    <row r="157" spans="1:62" x14ac:dyDescent="0.25">
      <c r="A157" t="s">
        <v>1177</v>
      </c>
      <c r="B157">
        <v>150172</v>
      </c>
      <c r="C157">
        <v>150172</v>
      </c>
      <c r="D157" s="112" t="s">
        <v>2580</v>
      </c>
      <c r="E157" t="s">
        <v>1119</v>
      </c>
      <c r="F157" t="s">
        <v>1178</v>
      </c>
      <c r="G157" t="s">
        <v>426</v>
      </c>
      <c r="H157" s="135" t="s">
        <v>1344</v>
      </c>
      <c r="I157">
        <v>12</v>
      </c>
      <c r="J157" t="s">
        <v>1279</v>
      </c>
      <c r="K157">
        <v>12101</v>
      </c>
      <c r="L157" t="s">
        <v>1280</v>
      </c>
      <c r="M157">
        <v>12101265</v>
      </c>
      <c r="N157" t="s">
        <v>1281</v>
      </c>
      <c r="O157">
        <v>12101265813</v>
      </c>
      <c r="P157" t="s">
        <v>1282</v>
      </c>
      <c r="Q157" s="135" t="s">
        <v>1345</v>
      </c>
      <c r="R157" t="s">
        <v>1346</v>
      </c>
      <c r="S157" s="135" t="s">
        <v>1344</v>
      </c>
      <c r="T157" t="s">
        <v>1347</v>
      </c>
      <c r="U157" t="s">
        <v>1187</v>
      </c>
      <c r="V157" t="s">
        <v>1188</v>
      </c>
      <c r="W157">
        <v>335</v>
      </c>
      <c r="X157" t="s">
        <v>1189</v>
      </c>
      <c r="Y157">
        <v>24</v>
      </c>
      <c r="Z157">
        <v>8040</v>
      </c>
      <c r="AA157" t="s">
        <v>28</v>
      </c>
      <c r="AB157" t="s">
        <v>1190</v>
      </c>
      <c r="AC157">
        <v>335</v>
      </c>
      <c r="AD157" t="s">
        <v>1191</v>
      </c>
      <c r="AE157" t="s">
        <v>1192</v>
      </c>
      <c r="AF157" t="s">
        <v>1193</v>
      </c>
      <c r="AG157" t="s">
        <v>1194</v>
      </c>
      <c r="AH157" t="s">
        <v>1195</v>
      </c>
      <c r="AI157" t="s">
        <v>1202</v>
      </c>
      <c r="AJ157" t="s">
        <v>1291</v>
      </c>
      <c r="AK157" t="s">
        <v>1292</v>
      </c>
      <c r="AL157" t="s">
        <v>1291</v>
      </c>
      <c r="AM157" t="s">
        <v>1318</v>
      </c>
      <c r="AN157" t="s">
        <v>1201</v>
      </c>
      <c r="AO157" t="s">
        <v>1292</v>
      </c>
      <c r="AP157" t="s">
        <v>1319</v>
      </c>
      <c r="AQ157" t="s">
        <v>1203</v>
      </c>
      <c r="AR157" t="s">
        <v>1201</v>
      </c>
      <c r="AS157" t="s">
        <v>1203</v>
      </c>
      <c r="AU157" t="s">
        <v>1204</v>
      </c>
      <c r="AW157" t="b">
        <v>0</v>
      </c>
      <c r="AY157" t="b">
        <v>0</v>
      </c>
      <c r="BA157" t="s">
        <v>1295</v>
      </c>
      <c r="BB157" t="s">
        <v>1206</v>
      </c>
      <c r="BC157" t="s">
        <v>1206</v>
      </c>
      <c r="BD157" t="s">
        <v>1207</v>
      </c>
      <c r="BE157" t="s">
        <v>1296</v>
      </c>
      <c r="BF157" t="s">
        <v>1297</v>
      </c>
      <c r="BG157" t="s">
        <v>1298</v>
      </c>
      <c r="BH157" t="s">
        <v>1206</v>
      </c>
      <c r="BI157" t="s">
        <v>1206</v>
      </c>
      <c r="BJ157" t="s">
        <v>1299</v>
      </c>
    </row>
    <row r="158" spans="1:62" x14ac:dyDescent="0.25">
      <c r="A158" t="s">
        <v>1177</v>
      </c>
      <c r="B158">
        <v>150151</v>
      </c>
      <c r="C158">
        <v>150151</v>
      </c>
      <c r="D158" s="112" t="s">
        <v>2581</v>
      </c>
      <c r="E158" t="s">
        <v>1119</v>
      </c>
      <c r="F158" t="s">
        <v>1178</v>
      </c>
      <c r="G158" t="s">
        <v>1506</v>
      </c>
      <c r="H158" s="135" t="s">
        <v>1352</v>
      </c>
      <c r="I158">
        <v>12</v>
      </c>
      <c r="J158" t="s">
        <v>1279</v>
      </c>
      <c r="K158">
        <v>12101</v>
      </c>
      <c r="L158" t="s">
        <v>1280</v>
      </c>
      <c r="M158">
        <v>12101265</v>
      </c>
      <c r="N158" t="s">
        <v>1281</v>
      </c>
      <c r="O158">
        <v>12101265813</v>
      </c>
      <c r="P158" t="s">
        <v>1282</v>
      </c>
      <c r="Q158" s="135" t="s">
        <v>1353</v>
      </c>
      <c r="R158" t="s">
        <v>1354</v>
      </c>
      <c r="S158" s="135" t="s">
        <v>1352</v>
      </c>
      <c r="T158" t="s">
        <v>1355</v>
      </c>
      <c r="U158" t="s">
        <v>1310</v>
      </c>
      <c r="V158" t="s">
        <v>1311</v>
      </c>
      <c r="W158">
        <v>380</v>
      </c>
      <c r="X158" t="s">
        <v>1342</v>
      </c>
      <c r="Y158">
        <v>12</v>
      </c>
      <c r="Z158">
        <v>4560</v>
      </c>
      <c r="AA158" t="s">
        <v>28</v>
      </c>
      <c r="AB158" t="s">
        <v>1190</v>
      </c>
      <c r="AC158">
        <v>380</v>
      </c>
      <c r="AD158" t="s">
        <v>1191</v>
      </c>
      <c r="AE158" t="s">
        <v>1192</v>
      </c>
      <c r="AF158" t="s">
        <v>1193</v>
      </c>
      <c r="AG158" t="s">
        <v>1194</v>
      </c>
      <c r="AH158" t="s">
        <v>1195</v>
      </c>
      <c r="AI158" t="s">
        <v>1202</v>
      </c>
      <c r="AJ158" t="s">
        <v>1291</v>
      </c>
      <c r="AK158" t="s">
        <v>1292</v>
      </c>
      <c r="AL158" t="s">
        <v>1291</v>
      </c>
      <c r="AM158" t="s">
        <v>1318</v>
      </c>
      <c r="AN158" t="s">
        <v>1201</v>
      </c>
      <c r="AO158" t="s">
        <v>1292</v>
      </c>
      <c r="AP158" t="s">
        <v>1319</v>
      </c>
      <c r="AQ158" t="s">
        <v>1203</v>
      </c>
      <c r="AR158" t="s">
        <v>1201</v>
      </c>
      <c r="AS158" t="s">
        <v>1203</v>
      </c>
      <c r="AU158" t="s">
        <v>1204</v>
      </c>
      <c r="AW158" t="b">
        <v>0</v>
      </c>
      <c r="AY158" t="b">
        <v>0</v>
      </c>
      <c r="BA158" t="s">
        <v>1295</v>
      </c>
      <c r="BB158" t="s">
        <v>1206</v>
      </c>
      <c r="BC158" t="s">
        <v>1206</v>
      </c>
      <c r="BD158" t="s">
        <v>1207</v>
      </c>
      <c r="BE158" t="s">
        <v>1296</v>
      </c>
      <c r="BF158" t="s">
        <v>1297</v>
      </c>
      <c r="BG158" t="s">
        <v>1298</v>
      </c>
      <c r="BH158" t="s">
        <v>1206</v>
      </c>
      <c r="BI158" t="s">
        <v>1206</v>
      </c>
      <c r="BJ158" t="s">
        <v>1299</v>
      </c>
    </row>
    <row r="159" spans="1:62" x14ac:dyDescent="0.25">
      <c r="A159" t="s">
        <v>1177</v>
      </c>
      <c r="B159">
        <v>150178</v>
      </c>
      <c r="C159">
        <v>150178</v>
      </c>
      <c r="D159" s="112" t="s">
        <v>2582</v>
      </c>
      <c r="E159" t="s">
        <v>1119</v>
      </c>
      <c r="F159" t="s">
        <v>1178</v>
      </c>
      <c r="G159" t="s">
        <v>429</v>
      </c>
      <c r="H159" s="135" t="s">
        <v>1352</v>
      </c>
      <c r="I159">
        <v>12</v>
      </c>
      <c r="J159" t="s">
        <v>1279</v>
      </c>
      <c r="K159">
        <v>12101</v>
      </c>
      <c r="L159" t="s">
        <v>1280</v>
      </c>
      <c r="M159">
        <v>12101265</v>
      </c>
      <c r="N159" t="s">
        <v>1281</v>
      </c>
      <c r="O159">
        <v>12101265813</v>
      </c>
      <c r="P159" t="s">
        <v>1282</v>
      </c>
      <c r="Q159" s="135" t="s">
        <v>1353</v>
      </c>
      <c r="R159" t="s">
        <v>1354</v>
      </c>
      <c r="S159" s="135" t="s">
        <v>1352</v>
      </c>
      <c r="T159" t="s">
        <v>1355</v>
      </c>
      <c r="U159" t="s">
        <v>1310</v>
      </c>
      <c r="V159" t="s">
        <v>1311</v>
      </c>
      <c r="W159">
        <v>380</v>
      </c>
      <c r="X159" t="s">
        <v>1342</v>
      </c>
      <c r="Y159">
        <v>12</v>
      </c>
      <c r="Z159">
        <v>4560</v>
      </c>
      <c r="AA159" t="s">
        <v>28</v>
      </c>
      <c r="AB159" t="s">
        <v>1190</v>
      </c>
      <c r="AC159">
        <v>380</v>
      </c>
      <c r="AD159" t="s">
        <v>1191</v>
      </c>
      <c r="AE159" t="s">
        <v>1192</v>
      </c>
      <c r="AF159" t="s">
        <v>1193</v>
      </c>
      <c r="AG159" t="s">
        <v>1194</v>
      </c>
      <c r="AH159" t="s">
        <v>1195</v>
      </c>
      <c r="AI159" t="s">
        <v>1202</v>
      </c>
      <c r="AJ159" t="s">
        <v>1291</v>
      </c>
      <c r="AK159" t="s">
        <v>1292</v>
      </c>
      <c r="AL159" t="s">
        <v>1291</v>
      </c>
      <c r="AM159" t="s">
        <v>1318</v>
      </c>
      <c r="AN159" t="s">
        <v>1201</v>
      </c>
      <c r="AO159" t="s">
        <v>1292</v>
      </c>
      <c r="AP159" t="s">
        <v>1319</v>
      </c>
      <c r="AQ159" t="s">
        <v>1203</v>
      </c>
      <c r="AR159" t="s">
        <v>1201</v>
      </c>
      <c r="AS159" t="s">
        <v>1203</v>
      </c>
      <c r="AU159" t="s">
        <v>1204</v>
      </c>
      <c r="AW159" t="b">
        <v>0</v>
      </c>
      <c r="AY159" t="b">
        <v>0</v>
      </c>
      <c r="BA159" t="s">
        <v>1295</v>
      </c>
      <c r="BB159" t="s">
        <v>1206</v>
      </c>
      <c r="BC159" t="s">
        <v>1206</v>
      </c>
      <c r="BD159" t="s">
        <v>1207</v>
      </c>
      <c r="BE159" t="s">
        <v>1296</v>
      </c>
      <c r="BF159" t="s">
        <v>1297</v>
      </c>
      <c r="BG159" t="s">
        <v>1298</v>
      </c>
      <c r="BH159" t="s">
        <v>1206</v>
      </c>
      <c r="BI159" t="s">
        <v>1206</v>
      </c>
      <c r="BJ159" t="s">
        <v>1299</v>
      </c>
    </row>
    <row r="160" spans="1:62" x14ac:dyDescent="0.25">
      <c r="A160" t="s">
        <v>1177</v>
      </c>
      <c r="B160">
        <v>150232</v>
      </c>
      <c r="C160">
        <v>150232</v>
      </c>
      <c r="D160" s="112" t="s">
        <v>2583</v>
      </c>
      <c r="E160" t="s">
        <v>1119</v>
      </c>
      <c r="F160" t="s">
        <v>1178</v>
      </c>
      <c r="G160" t="s">
        <v>430</v>
      </c>
      <c r="H160" s="135" t="s">
        <v>1352</v>
      </c>
      <c r="I160">
        <v>12</v>
      </c>
      <c r="J160" t="s">
        <v>1279</v>
      </c>
      <c r="K160">
        <v>12101</v>
      </c>
      <c r="L160" t="s">
        <v>1280</v>
      </c>
      <c r="M160">
        <v>12101265</v>
      </c>
      <c r="N160" t="s">
        <v>1281</v>
      </c>
      <c r="O160">
        <v>12101265813</v>
      </c>
      <c r="P160" t="s">
        <v>1282</v>
      </c>
      <c r="Q160" s="135" t="s">
        <v>1353</v>
      </c>
      <c r="R160" t="s">
        <v>1354</v>
      </c>
      <c r="S160" s="135" t="s">
        <v>1352</v>
      </c>
      <c r="T160" t="s">
        <v>1355</v>
      </c>
      <c r="U160" t="s">
        <v>1310</v>
      </c>
      <c r="V160" t="s">
        <v>1311</v>
      </c>
      <c r="W160">
        <v>380</v>
      </c>
      <c r="X160" t="s">
        <v>1342</v>
      </c>
      <c r="Y160">
        <v>12</v>
      </c>
      <c r="Z160">
        <v>4560</v>
      </c>
      <c r="AA160" t="s">
        <v>28</v>
      </c>
      <c r="AB160" t="s">
        <v>1190</v>
      </c>
      <c r="AC160">
        <v>380</v>
      </c>
      <c r="AD160" t="s">
        <v>1191</v>
      </c>
      <c r="AE160" t="s">
        <v>1192</v>
      </c>
      <c r="AF160" t="s">
        <v>1193</v>
      </c>
      <c r="AG160" t="s">
        <v>1194</v>
      </c>
      <c r="AH160" t="s">
        <v>1195</v>
      </c>
      <c r="AI160" t="s">
        <v>1202</v>
      </c>
      <c r="AJ160" t="s">
        <v>1291</v>
      </c>
      <c r="AK160" t="s">
        <v>1292</v>
      </c>
      <c r="AL160" t="s">
        <v>1291</v>
      </c>
      <c r="AM160" t="s">
        <v>1318</v>
      </c>
      <c r="AN160" t="s">
        <v>1201</v>
      </c>
      <c r="AO160" t="s">
        <v>1292</v>
      </c>
      <c r="AP160" t="s">
        <v>1319</v>
      </c>
      <c r="AQ160" t="s">
        <v>1203</v>
      </c>
      <c r="AR160" t="s">
        <v>1201</v>
      </c>
      <c r="AS160" t="s">
        <v>1203</v>
      </c>
      <c r="AU160" t="s">
        <v>1204</v>
      </c>
      <c r="AW160" t="b">
        <v>0</v>
      </c>
      <c r="AY160" t="b">
        <v>0</v>
      </c>
      <c r="BA160" t="s">
        <v>1295</v>
      </c>
      <c r="BB160" t="s">
        <v>1206</v>
      </c>
      <c r="BC160" t="s">
        <v>1206</v>
      </c>
      <c r="BD160" t="s">
        <v>1207</v>
      </c>
      <c r="BE160" t="s">
        <v>1296</v>
      </c>
      <c r="BF160" t="s">
        <v>1297</v>
      </c>
      <c r="BG160" t="s">
        <v>1298</v>
      </c>
      <c r="BH160" t="s">
        <v>1206</v>
      </c>
      <c r="BI160" t="s">
        <v>1206</v>
      </c>
      <c r="BJ160" t="s">
        <v>1299</v>
      </c>
    </row>
    <row r="161" spans="1:62" x14ac:dyDescent="0.25">
      <c r="A161" t="s">
        <v>1177</v>
      </c>
      <c r="B161">
        <v>150251</v>
      </c>
      <c r="C161">
        <v>150251</v>
      </c>
      <c r="D161" s="112" t="s">
        <v>2584</v>
      </c>
      <c r="E161" t="s">
        <v>1119</v>
      </c>
      <c r="F161" t="s">
        <v>1178</v>
      </c>
      <c r="G161" t="s">
        <v>1507</v>
      </c>
      <c r="H161" s="135" t="s">
        <v>1352</v>
      </c>
      <c r="I161">
        <v>12</v>
      </c>
      <c r="J161" t="s">
        <v>1279</v>
      </c>
      <c r="K161">
        <v>12101</v>
      </c>
      <c r="L161" t="s">
        <v>1280</v>
      </c>
      <c r="M161">
        <v>12101265</v>
      </c>
      <c r="N161" t="s">
        <v>1281</v>
      </c>
      <c r="O161">
        <v>12101265813</v>
      </c>
      <c r="P161" t="s">
        <v>1282</v>
      </c>
      <c r="Q161" s="135" t="s">
        <v>1353</v>
      </c>
      <c r="R161" t="s">
        <v>1354</v>
      </c>
      <c r="S161" s="135" t="s">
        <v>1352</v>
      </c>
      <c r="T161" t="s">
        <v>1355</v>
      </c>
      <c r="U161" t="s">
        <v>1310</v>
      </c>
      <c r="V161" t="s">
        <v>1311</v>
      </c>
      <c r="W161">
        <v>380</v>
      </c>
      <c r="X161" t="s">
        <v>1342</v>
      </c>
      <c r="Y161">
        <v>12</v>
      </c>
      <c r="Z161">
        <v>4560</v>
      </c>
      <c r="AA161" t="s">
        <v>28</v>
      </c>
      <c r="AB161" t="s">
        <v>1190</v>
      </c>
      <c r="AC161">
        <v>380</v>
      </c>
      <c r="AD161" t="s">
        <v>1191</v>
      </c>
      <c r="AE161" t="s">
        <v>1192</v>
      </c>
      <c r="AF161" t="s">
        <v>1193</v>
      </c>
      <c r="AG161" t="s">
        <v>1194</v>
      </c>
      <c r="AH161" t="s">
        <v>1195</v>
      </c>
      <c r="AI161" t="s">
        <v>1202</v>
      </c>
      <c r="AJ161" t="s">
        <v>1291</v>
      </c>
      <c r="AK161" t="s">
        <v>1292</v>
      </c>
      <c r="AL161" t="s">
        <v>1291</v>
      </c>
      <c r="AM161" t="s">
        <v>1318</v>
      </c>
      <c r="AN161" t="s">
        <v>1201</v>
      </c>
      <c r="AO161" t="s">
        <v>1292</v>
      </c>
      <c r="AP161" t="s">
        <v>1319</v>
      </c>
      <c r="AQ161" t="s">
        <v>1203</v>
      </c>
      <c r="AR161" t="s">
        <v>1201</v>
      </c>
      <c r="AS161" t="s">
        <v>1203</v>
      </c>
      <c r="AU161" t="s">
        <v>1204</v>
      </c>
      <c r="AW161" t="b">
        <v>0</v>
      </c>
      <c r="AY161" t="b">
        <v>0</v>
      </c>
      <c r="BA161" t="s">
        <v>1295</v>
      </c>
      <c r="BB161" t="s">
        <v>1206</v>
      </c>
      <c r="BC161" t="s">
        <v>1206</v>
      </c>
      <c r="BD161" t="s">
        <v>1207</v>
      </c>
      <c r="BE161" t="s">
        <v>1296</v>
      </c>
      <c r="BF161" t="s">
        <v>1297</v>
      </c>
      <c r="BG161" t="s">
        <v>1298</v>
      </c>
      <c r="BH161" t="s">
        <v>1206</v>
      </c>
      <c r="BI161" t="s">
        <v>1206</v>
      </c>
      <c r="BJ161" t="s">
        <v>1299</v>
      </c>
    </row>
    <row r="162" spans="1:62" x14ac:dyDescent="0.25">
      <c r="A162" t="s">
        <v>1177</v>
      </c>
      <c r="B162">
        <v>150127</v>
      </c>
      <c r="C162">
        <v>150127</v>
      </c>
      <c r="D162" s="112" t="s">
        <v>2585</v>
      </c>
      <c r="E162" t="s">
        <v>1119</v>
      </c>
      <c r="F162" t="s">
        <v>1178</v>
      </c>
      <c r="G162" t="s">
        <v>1508</v>
      </c>
      <c r="H162" s="135" t="s">
        <v>1484</v>
      </c>
      <c r="I162">
        <v>12</v>
      </c>
      <c r="J162" t="s">
        <v>1279</v>
      </c>
      <c r="K162">
        <v>12101</v>
      </c>
      <c r="L162" t="s">
        <v>1280</v>
      </c>
      <c r="M162">
        <v>12101265</v>
      </c>
      <c r="N162" t="s">
        <v>1281</v>
      </c>
      <c r="O162">
        <v>12101265813</v>
      </c>
      <c r="P162" t="s">
        <v>1282</v>
      </c>
      <c r="Q162" s="135" t="s">
        <v>1485</v>
      </c>
      <c r="R162" t="s">
        <v>1486</v>
      </c>
      <c r="S162" s="135" t="s">
        <v>1484</v>
      </c>
      <c r="T162" t="s">
        <v>1487</v>
      </c>
      <c r="U162" t="s">
        <v>1310</v>
      </c>
      <c r="V162" t="s">
        <v>1311</v>
      </c>
      <c r="W162">
        <v>75</v>
      </c>
      <c r="X162" t="s">
        <v>1342</v>
      </c>
      <c r="Y162">
        <v>48</v>
      </c>
      <c r="Z162">
        <v>3600</v>
      </c>
      <c r="AA162" t="s">
        <v>28</v>
      </c>
      <c r="AB162" t="s">
        <v>1190</v>
      </c>
      <c r="AC162">
        <v>75</v>
      </c>
      <c r="AD162" t="s">
        <v>1191</v>
      </c>
      <c r="AE162" t="s">
        <v>1192</v>
      </c>
      <c r="AF162" t="s">
        <v>1193</v>
      </c>
      <c r="AG162" t="s">
        <v>1194</v>
      </c>
      <c r="AH162" t="s">
        <v>1195</v>
      </c>
      <c r="AI162" t="s">
        <v>1202</v>
      </c>
      <c r="AJ162" t="s">
        <v>1291</v>
      </c>
      <c r="AK162" t="s">
        <v>1292</v>
      </c>
      <c r="AL162" t="s">
        <v>1291</v>
      </c>
      <c r="AM162" t="s">
        <v>1293</v>
      </c>
      <c r="AN162" t="s">
        <v>1201</v>
      </c>
      <c r="AO162" t="s">
        <v>1292</v>
      </c>
      <c r="AP162" t="s">
        <v>1294</v>
      </c>
      <c r="AQ162" t="s">
        <v>1203</v>
      </c>
      <c r="AR162" t="s">
        <v>1201</v>
      </c>
      <c r="AS162" t="s">
        <v>1203</v>
      </c>
      <c r="AU162" t="s">
        <v>1204</v>
      </c>
      <c r="AW162" t="b">
        <v>0</v>
      </c>
      <c r="AY162" t="b">
        <v>0</v>
      </c>
      <c r="BA162" t="s">
        <v>1295</v>
      </c>
      <c r="BB162" t="s">
        <v>1206</v>
      </c>
      <c r="BC162" t="s">
        <v>1206</v>
      </c>
      <c r="BD162" t="s">
        <v>1207</v>
      </c>
      <c r="BE162" t="s">
        <v>1296</v>
      </c>
      <c r="BF162" t="s">
        <v>1297</v>
      </c>
      <c r="BG162" t="s">
        <v>1298</v>
      </c>
      <c r="BH162" t="s">
        <v>1206</v>
      </c>
      <c r="BI162" t="s">
        <v>1206</v>
      </c>
      <c r="BJ162" t="s">
        <v>1299</v>
      </c>
    </row>
    <row r="163" spans="1:62" x14ac:dyDescent="0.25">
      <c r="A163" t="s">
        <v>1177</v>
      </c>
      <c r="B163">
        <v>150181</v>
      </c>
      <c r="C163">
        <v>150181</v>
      </c>
      <c r="D163" s="112" t="s">
        <v>2586</v>
      </c>
      <c r="E163" t="s">
        <v>1119</v>
      </c>
      <c r="F163" t="s">
        <v>1178</v>
      </c>
      <c r="G163" t="s">
        <v>414</v>
      </c>
      <c r="H163" s="135" t="s">
        <v>1484</v>
      </c>
      <c r="I163">
        <v>12</v>
      </c>
      <c r="J163" t="s">
        <v>1279</v>
      </c>
      <c r="K163">
        <v>12101</v>
      </c>
      <c r="L163" t="s">
        <v>1280</v>
      </c>
      <c r="M163">
        <v>12101265</v>
      </c>
      <c r="N163" t="s">
        <v>1281</v>
      </c>
      <c r="O163">
        <v>12101265813</v>
      </c>
      <c r="P163" t="s">
        <v>1282</v>
      </c>
      <c r="Q163" s="135" t="s">
        <v>1485</v>
      </c>
      <c r="R163" t="s">
        <v>1486</v>
      </c>
      <c r="S163" s="135" t="s">
        <v>1484</v>
      </c>
      <c r="T163" t="s">
        <v>1487</v>
      </c>
      <c r="U163" t="s">
        <v>1310</v>
      </c>
      <c r="V163" t="s">
        <v>1311</v>
      </c>
      <c r="W163">
        <v>75</v>
      </c>
      <c r="X163" t="s">
        <v>1342</v>
      </c>
      <c r="Y163">
        <v>48</v>
      </c>
      <c r="Z163">
        <v>3600</v>
      </c>
      <c r="AA163" t="s">
        <v>28</v>
      </c>
      <c r="AB163" t="s">
        <v>1190</v>
      </c>
      <c r="AC163">
        <v>75</v>
      </c>
      <c r="AD163" t="s">
        <v>1191</v>
      </c>
      <c r="AE163" t="s">
        <v>1192</v>
      </c>
      <c r="AF163" t="s">
        <v>1193</v>
      </c>
      <c r="AG163" t="s">
        <v>1194</v>
      </c>
      <c r="AH163" t="s">
        <v>1195</v>
      </c>
      <c r="AI163" t="s">
        <v>1202</v>
      </c>
      <c r="AJ163" t="s">
        <v>1291</v>
      </c>
      <c r="AK163" t="s">
        <v>1292</v>
      </c>
      <c r="AL163" t="s">
        <v>1291</v>
      </c>
      <c r="AM163" t="s">
        <v>1318</v>
      </c>
      <c r="AN163" t="s">
        <v>1201</v>
      </c>
      <c r="AO163" t="s">
        <v>1292</v>
      </c>
      <c r="AP163" t="s">
        <v>1319</v>
      </c>
      <c r="AQ163" t="s">
        <v>1203</v>
      </c>
      <c r="AR163" t="s">
        <v>1201</v>
      </c>
      <c r="AS163" t="s">
        <v>1203</v>
      </c>
      <c r="AU163" t="s">
        <v>1204</v>
      </c>
      <c r="AW163" t="b">
        <v>0</v>
      </c>
      <c r="AY163" t="b">
        <v>0</v>
      </c>
      <c r="BA163" t="s">
        <v>1295</v>
      </c>
      <c r="BB163" t="s">
        <v>1206</v>
      </c>
      <c r="BC163" t="s">
        <v>1206</v>
      </c>
      <c r="BD163" t="s">
        <v>1207</v>
      </c>
      <c r="BE163" t="s">
        <v>1296</v>
      </c>
      <c r="BF163" t="s">
        <v>1297</v>
      </c>
      <c r="BG163" t="s">
        <v>1298</v>
      </c>
      <c r="BH163" t="s">
        <v>1206</v>
      </c>
      <c r="BI163" t="s">
        <v>1206</v>
      </c>
      <c r="BJ163" t="s">
        <v>1299</v>
      </c>
    </row>
    <row r="164" spans="1:62" x14ac:dyDescent="0.25">
      <c r="A164" t="s">
        <v>1177</v>
      </c>
      <c r="B164">
        <v>150233</v>
      </c>
      <c r="C164">
        <v>150233</v>
      </c>
      <c r="D164" s="112" t="s">
        <v>2587</v>
      </c>
      <c r="E164" t="s">
        <v>1119</v>
      </c>
      <c r="F164" t="s">
        <v>1178</v>
      </c>
      <c r="G164" t="s">
        <v>415</v>
      </c>
      <c r="H164" s="135" t="s">
        <v>1484</v>
      </c>
      <c r="I164">
        <v>12</v>
      </c>
      <c r="J164" t="s">
        <v>1279</v>
      </c>
      <c r="K164">
        <v>12101</v>
      </c>
      <c r="L164" t="s">
        <v>1280</v>
      </c>
      <c r="M164">
        <v>12101265</v>
      </c>
      <c r="N164" t="s">
        <v>1281</v>
      </c>
      <c r="O164">
        <v>12101265813</v>
      </c>
      <c r="P164" t="s">
        <v>1282</v>
      </c>
      <c r="Q164" s="135" t="s">
        <v>1485</v>
      </c>
      <c r="R164" t="s">
        <v>1486</v>
      </c>
      <c r="S164" s="135" t="s">
        <v>1484</v>
      </c>
      <c r="T164" t="s">
        <v>1487</v>
      </c>
      <c r="U164" t="s">
        <v>1310</v>
      </c>
      <c r="V164" t="s">
        <v>1311</v>
      </c>
      <c r="W164">
        <v>75</v>
      </c>
      <c r="X164" t="s">
        <v>1342</v>
      </c>
      <c r="Y164">
        <v>48</v>
      </c>
      <c r="Z164">
        <v>3600</v>
      </c>
      <c r="AA164" t="s">
        <v>28</v>
      </c>
      <c r="AB164" t="s">
        <v>1190</v>
      </c>
      <c r="AC164">
        <v>75</v>
      </c>
      <c r="AD164" t="s">
        <v>1191</v>
      </c>
      <c r="AE164" t="s">
        <v>1192</v>
      </c>
      <c r="AF164" t="s">
        <v>1193</v>
      </c>
      <c r="AG164" t="s">
        <v>1194</v>
      </c>
      <c r="AH164" t="s">
        <v>1195</v>
      </c>
      <c r="AI164" t="s">
        <v>1202</v>
      </c>
      <c r="AJ164" t="s">
        <v>1291</v>
      </c>
      <c r="AK164" t="s">
        <v>1292</v>
      </c>
      <c r="AL164" t="s">
        <v>1291</v>
      </c>
      <c r="AM164" t="s">
        <v>1318</v>
      </c>
      <c r="AN164" t="s">
        <v>1201</v>
      </c>
      <c r="AO164" t="s">
        <v>1292</v>
      </c>
      <c r="AP164" t="s">
        <v>1319</v>
      </c>
      <c r="AQ164" t="s">
        <v>1203</v>
      </c>
      <c r="AR164" t="s">
        <v>1201</v>
      </c>
      <c r="AS164" t="s">
        <v>1203</v>
      </c>
      <c r="AU164" t="s">
        <v>1204</v>
      </c>
      <c r="AW164" t="b">
        <v>0</v>
      </c>
      <c r="AY164" t="b">
        <v>0</v>
      </c>
      <c r="BA164" t="s">
        <v>1295</v>
      </c>
      <c r="BB164" t="s">
        <v>1206</v>
      </c>
      <c r="BC164" t="s">
        <v>1206</v>
      </c>
      <c r="BD164" t="s">
        <v>1207</v>
      </c>
      <c r="BE164" t="s">
        <v>1296</v>
      </c>
      <c r="BF164" t="s">
        <v>1297</v>
      </c>
      <c r="BG164" t="s">
        <v>1298</v>
      </c>
      <c r="BH164" t="s">
        <v>1206</v>
      </c>
      <c r="BI164" t="s">
        <v>1206</v>
      </c>
      <c r="BJ164" t="s">
        <v>1299</v>
      </c>
    </row>
    <row r="165" spans="1:62" x14ac:dyDescent="0.25">
      <c r="A165" t="s">
        <v>1177</v>
      </c>
      <c r="B165">
        <v>150350</v>
      </c>
      <c r="C165">
        <v>150350</v>
      </c>
      <c r="D165" s="112" t="s">
        <v>2588</v>
      </c>
      <c r="E165" t="s">
        <v>1119</v>
      </c>
      <c r="F165" t="s">
        <v>1178</v>
      </c>
      <c r="G165" t="s">
        <v>424</v>
      </c>
      <c r="H165" s="135" t="s">
        <v>1327</v>
      </c>
      <c r="I165">
        <v>12</v>
      </c>
      <c r="J165" t="s">
        <v>1279</v>
      </c>
      <c r="K165">
        <v>12101</v>
      </c>
      <c r="L165" t="s">
        <v>1280</v>
      </c>
      <c r="M165">
        <v>12101265</v>
      </c>
      <c r="N165" t="s">
        <v>1281</v>
      </c>
      <c r="O165">
        <v>12101265813</v>
      </c>
      <c r="P165" t="s">
        <v>1282</v>
      </c>
      <c r="Q165" s="135" t="s">
        <v>1328</v>
      </c>
      <c r="R165" t="s">
        <v>1329</v>
      </c>
      <c r="S165" s="135" t="s">
        <v>1327</v>
      </c>
      <c r="T165" t="s">
        <v>1330</v>
      </c>
      <c r="U165" t="s">
        <v>1237</v>
      </c>
      <c r="V165" t="s">
        <v>1238</v>
      </c>
      <c r="W165">
        <v>270</v>
      </c>
      <c r="X165" t="s">
        <v>1189</v>
      </c>
      <c r="Y165">
        <v>24</v>
      </c>
      <c r="Z165">
        <v>6480</v>
      </c>
      <c r="AA165" t="s">
        <v>28</v>
      </c>
      <c r="AB165" t="s">
        <v>1190</v>
      </c>
      <c r="AC165">
        <v>270</v>
      </c>
      <c r="AD165" t="s">
        <v>1191</v>
      </c>
      <c r="AE165" t="s">
        <v>1192</v>
      </c>
      <c r="AF165" t="s">
        <v>1193</v>
      </c>
      <c r="AG165" t="s">
        <v>1194</v>
      </c>
      <c r="AH165" t="s">
        <v>1195</v>
      </c>
      <c r="AI165" t="s">
        <v>1202</v>
      </c>
      <c r="AJ165" t="s">
        <v>1291</v>
      </c>
      <c r="AK165" t="s">
        <v>1292</v>
      </c>
      <c r="AL165" t="s">
        <v>1291</v>
      </c>
      <c r="AM165" t="s">
        <v>1318</v>
      </c>
      <c r="AN165" t="s">
        <v>1201</v>
      </c>
      <c r="AO165" t="s">
        <v>1292</v>
      </c>
      <c r="AP165" t="s">
        <v>1319</v>
      </c>
      <c r="AQ165" t="s">
        <v>1203</v>
      </c>
      <c r="AR165" t="s">
        <v>1201</v>
      </c>
      <c r="AS165" t="s">
        <v>1203</v>
      </c>
      <c r="AU165" t="s">
        <v>1204</v>
      </c>
      <c r="AW165" t="b">
        <v>0</v>
      </c>
      <c r="AY165" t="b">
        <v>0</v>
      </c>
      <c r="BA165" t="s">
        <v>1295</v>
      </c>
      <c r="BB165" t="s">
        <v>1206</v>
      </c>
      <c r="BC165" t="s">
        <v>1206</v>
      </c>
      <c r="BD165" t="s">
        <v>1207</v>
      </c>
      <c r="BE165" t="s">
        <v>1296</v>
      </c>
      <c r="BF165" t="s">
        <v>1297</v>
      </c>
      <c r="BG165" t="s">
        <v>1298</v>
      </c>
      <c r="BH165" t="s">
        <v>1206</v>
      </c>
      <c r="BI165" t="s">
        <v>1206</v>
      </c>
      <c r="BJ165" t="s">
        <v>1299</v>
      </c>
    </row>
    <row r="166" spans="1:62" x14ac:dyDescent="0.25">
      <c r="A166" t="s">
        <v>1177</v>
      </c>
      <c r="B166">
        <v>150169</v>
      </c>
      <c r="C166">
        <v>150169</v>
      </c>
      <c r="D166" s="112" t="s">
        <v>2589</v>
      </c>
      <c r="E166" t="s">
        <v>1119</v>
      </c>
      <c r="F166" t="s">
        <v>1178</v>
      </c>
      <c r="G166" t="s">
        <v>1509</v>
      </c>
      <c r="H166" s="135" t="s">
        <v>1468</v>
      </c>
      <c r="I166">
        <v>12</v>
      </c>
      <c r="J166" t="s">
        <v>1279</v>
      </c>
      <c r="K166">
        <v>12101</v>
      </c>
      <c r="L166" t="s">
        <v>1280</v>
      </c>
      <c r="M166">
        <v>12101265</v>
      </c>
      <c r="N166" t="s">
        <v>1281</v>
      </c>
      <c r="O166">
        <v>12101265813</v>
      </c>
      <c r="P166" t="s">
        <v>1282</v>
      </c>
      <c r="Q166" s="135" t="s">
        <v>1469</v>
      </c>
      <c r="R166" t="s">
        <v>1470</v>
      </c>
      <c r="S166" s="135" t="s">
        <v>1468</v>
      </c>
      <c r="T166" t="s">
        <v>1471</v>
      </c>
      <c r="U166" t="s">
        <v>1237</v>
      </c>
      <c r="V166" t="s">
        <v>1238</v>
      </c>
      <c r="W166">
        <v>275</v>
      </c>
      <c r="X166" t="s">
        <v>1189</v>
      </c>
      <c r="Y166">
        <v>24</v>
      </c>
      <c r="Z166">
        <v>6600</v>
      </c>
      <c r="AA166" t="s">
        <v>28</v>
      </c>
      <c r="AB166" t="s">
        <v>1190</v>
      </c>
      <c r="AC166">
        <v>275</v>
      </c>
      <c r="AD166" t="s">
        <v>1191</v>
      </c>
      <c r="AE166" t="s">
        <v>1192</v>
      </c>
      <c r="AF166" t="s">
        <v>1193</v>
      </c>
      <c r="AG166" t="s">
        <v>1194</v>
      </c>
      <c r="AH166" t="s">
        <v>1195</v>
      </c>
      <c r="AI166" t="s">
        <v>1202</v>
      </c>
      <c r="AJ166" t="s">
        <v>1291</v>
      </c>
      <c r="AK166" t="s">
        <v>1292</v>
      </c>
      <c r="AL166" t="s">
        <v>1291</v>
      </c>
      <c r="AM166" t="s">
        <v>1318</v>
      </c>
      <c r="AN166" t="s">
        <v>1201</v>
      </c>
      <c r="AO166" t="s">
        <v>1292</v>
      </c>
      <c r="AP166" t="s">
        <v>1319</v>
      </c>
      <c r="AQ166" t="s">
        <v>1203</v>
      </c>
      <c r="AR166" t="s">
        <v>1201</v>
      </c>
      <c r="AS166" t="s">
        <v>1203</v>
      </c>
      <c r="AU166" t="s">
        <v>1204</v>
      </c>
      <c r="AW166" t="b">
        <v>0</v>
      </c>
      <c r="AY166" t="b">
        <v>0</v>
      </c>
      <c r="BA166" t="s">
        <v>1295</v>
      </c>
      <c r="BB166" t="s">
        <v>1206</v>
      </c>
      <c r="BC166" t="s">
        <v>1206</v>
      </c>
      <c r="BD166" t="s">
        <v>1207</v>
      </c>
      <c r="BE166" t="s">
        <v>1296</v>
      </c>
      <c r="BF166" t="s">
        <v>1297</v>
      </c>
      <c r="BG166" t="s">
        <v>1298</v>
      </c>
      <c r="BH166" t="s">
        <v>1206</v>
      </c>
      <c r="BI166" t="s">
        <v>1206</v>
      </c>
      <c r="BJ166" t="s">
        <v>1299</v>
      </c>
    </row>
    <row r="167" spans="1:62" x14ac:dyDescent="0.25">
      <c r="A167" t="s">
        <v>1177</v>
      </c>
      <c r="B167">
        <v>150192</v>
      </c>
      <c r="C167">
        <v>150192</v>
      </c>
      <c r="D167" s="112" t="s">
        <v>2590</v>
      </c>
      <c r="E167" t="s">
        <v>1119</v>
      </c>
      <c r="F167" t="s">
        <v>1178</v>
      </c>
      <c r="G167" t="s">
        <v>422</v>
      </c>
      <c r="H167" s="135" t="s">
        <v>1468</v>
      </c>
      <c r="I167">
        <v>12</v>
      </c>
      <c r="J167" t="s">
        <v>1279</v>
      </c>
      <c r="K167">
        <v>12101</v>
      </c>
      <c r="L167" t="s">
        <v>1280</v>
      </c>
      <c r="M167">
        <v>12101265</v>
      </c>
      <c r="N167" t="s">
        <v>1281</v>
      </c>
      <c r="O167">
        <v>12101265813</v>
      </c>
      <c r="P167" t="s">
        <v>1282</v>
      </c>
      <c r="Q167" s="135" t="s">
        <v>1469</v>
      </c>
      <c r="R167" t="s">
        <v>1470</v>
      </c>
      <c r="S167" s="135" t="s">
        <v>1468</v>
      </c>
      <c r="T167" t="s">
        <v>1471</v>
      </c>
      <c r="U167" t="s">
        <v>1237</v>
      </c>
      <c r="V167" t="s">
        <v>1238</v>
      </c>
      <c r="W167">
        <v>275</v>
      </c>
      <c r="X167" t="s">
        <v>1189</v>
      </c>
      <c r="Y167">
        <v>24</v>
      </c>
      <c r="Z167">
        <v>6600</v>
      </c>
      <c r="AA167" t="s">
        <v>28</v>
      </c>
      <c r="AB167" t="s">
        <v>1190</v>
      </c>
      <c r="AC167">
        <v>275</v>
      </c>
      <c r="AD167" t="s">
        <v>1191</v>
      </c>
      <c r="AE167" t="s">
        <v>1192</v>
      </c>
      <c r="AF167" t="s">
        <v>1193</v>
      </c>
      <c r="AG167" t="s">
        <v>1194</v>
      </c>
      <c r="AH167" t="s">
        <v>1195</v>
      </c>
      <c r="AI167" t="s">
        <v>1202</v>
      </c>
      <c r="AJ167" t="s">
        <v>1291</v>
      </c>
      <c r="AK167" t="s">
        <v>1292</v>
      </c>
      <c r="AL167" t="s">
        <v>1291</v>
      </c>
      <c r="AM167" t="s">
        <v>1318</v>
      </c>
      <c r="AN167" t="s">
        <v>1201</v>
      </c>
      <c r="AO167" t="s">
        <v>1292</v>
      </c>
      <c r="AP167" t="s">
        <v>1319</v>
      </c>
      <c r="AQ167" t="s">
        <v>1203</v>
      </c>
      <c r="AR167" t="s">
        <v>1201</v>
      </c>
      <c r="AS167" t="s">
        <v>1203</v>
      </c>
      <c r="AU167" t="s">
        <v>1204</v>
      </c>
      <c r="AW167" t="b">
        <v>0</v>
      </c>
      <c r="AY167" t="b">
        <v>0</v>
      </c>
      <c r="BA167" t="s">
        <v>1295</v>
      </c>
      <c r="BB167" t="s">
        <v>1206</v>
      </c>
      <c r="BC167" t="s">
        <v>1206</v>
      </c>
      <c r="BD167" t="s">
        <v>1207</v>
      </c>
      <c r="BE167" t="s">
        <v>1296</v>
      </c>
      <c r="BF167" t="s">
        <v>1297</v>
      </c>
      <c r="BG167" t="s">
        <v>1298</v>
      </c>
      <c r="BH167" t="s">
        <v>1206</v>
      </c>
      <c r="BI167" t="s">
        <v>1206</v>
      </c>
      <c r="BJ167" t="s">
        <v>1299</v>
      </c>
    </row>
    <row r="168" spans="1:62" x14ac:dyDescent="0.25">
      <c r="A168" t="s">
        <v>1177</v>
      </c>
      <c r="B168">
        <v>150235</v>
      </c>
      <c r="C168">
        <v>150235</v>
      </c>
      <c r="D168" s="112" t="s">
        <v>2591</v>
      </c>
      <c r="E168" t="s">
        <v>1119</v>
      </c>
      <c r="F168" t="s">
        <v>1178</v>
      </c>
      <c r="G168" t="s">
        <v>423</v>
      </c>
      <c r="H168" s="135" t="s">
        <v>1468</v>
      </c>
      <c r="I168">
        <v>12</v>
      </c>
      <c r="J168" t="s">
        <v>1279</v>
      </c>
      <c r="K168">
        <v>12101</v>
      </c>
      <c r="L168" t="s">
        <v>1280</v>
      </c>
      <c r="M168">
        <v>12101265</v>
      </c>
      <c r="N168" t="s">
        <v>1281</v>
      </c>
      <c r="O168">
        <v>12101265813</v>
      </c>
      <c r="P168" t="s">
        <v>1282</v>
      </c>
      <c r="Q168" s="135" t="s">
        <v>1469</v>
      </c>
      <c r="R168" t="s">
        <v>1470</v>
      </c>
      <c r="S168" s="135" t="s">
        <v>1468</v>
      </c>
      <c r="T168" t="s">
        <v>1471</v>
      </c>
      <c r="U168" t="s">
        <v>1237</v>
      </c>
      <c r="V168" t="s">
        <v>1238</v>
      </c>
      <c r="W168">
        <v>275</v>
      </c>
      <c r="X168" t="s">
        <v>1189</v>
      </c>
      <c r="Y168">
        <v>24</v>
      </c>
      <c r="Z168">
        <v>6600</v>
      </c>
      <c r="AA168" t="s">
        <v>28</v>
      </c>
      <c r="AB168" t="s">
        <v>1190</v>
      </c>
      <c r="AC168">
        <v>275</v>
      </c>
      <c r="AD168" t="s">
        <v>1191</v>
      </c>
      <c r="AE168" t="s">
        <v>1192</v>
      </c>
      <c r="AF168" t="s">
        <v>1193</v>
      </c>
      <c r="AG168" t="s">
        <v>1194</v>
      </c>
      <c r="AH168" t="s">
        <v>1195</v>
      </c>
      <c r="AI168" t="s">
        <v>1202</v>
      </c>
      <c r="AJ168" t="s">
        <v>1291</v>
      </c>
      <c r="AK168" t="s">
        <v>1292</v>
      </c>
      <c r="AL168" t="s">
        <v>1291</v>
      </c>
      <c r="AM168" t="s">
        <v>1318</v>
      </c>
      <c r="AN168" t="s">
        <v>1201</v>
      </c>
      <c r="AO168" t="s">
        <v>1292</v>
      </c>
      <c r="AP168" t="s">
        <v>1319</v>
      </c>
      <c r="AQ168" t="s">
        <v>1203</v>
      </c>
      <c r="AR168" t="s">
        <v>1201</v>
      </c>
      <c r="AS168" t="s">
        <v>1203</v>
      </c>
      <c r="AU168" t="s">
        <v>1204</v>
      </c>
      <c r="AW168" t="b">
        <v>0</v>
      </c>
      <c r="AY168" t="b">
        <v>0</v>
      </c>
      <c r="BA168" t="s">
        <v>1295</v>
      </c>
      <c r="BB168" t="s">
        <v>1206</v>
      </c>
      <c r="BC168" t="s">
        <v>1206</v>
      </c>
      <c r="BD168" t="s">
        <v>1207</v>
      </c>
      <c r="BE168" t="s">
        <v>1296</v>
      </c>
      <c r="BF168" t="s">
        <v>1297</v>
      </c>
      <c r="BG168" t="s">
        <v>1298</v>
      </c>
      <c r="BH168" t="s">
        <v>1206</v>
      </c>
      <c r="BI168" t="s">
        <v>1206</v>
      </c>
      <c r="BJ168" t="s">
        <v>1299</v>
      </c>
    </row>
    <row r="169" spans="1:62" x14ac:dyDescent="0.25">
      <c r="A169" t="s">
        <v>1177</v>
      </c>
      <c r="B169">
        <v>150295</v>
      </c>
      <c r="C169">
        <v>150295</v>
      </c>
      <c r="D169" s="112" t="s">
        <v>2592</v>
      </c>
      <c r="E169" t="s">
        <v>1119</v>
      </c>
      <c r="F169" t="s">
        <v>1178</v>
      </c>
      <c r="G169" t="s">
        <v>417</v>
      </c>
      <c r="H169" s="135" t="s">
        <v>1313</v>
      </c>
      <c r="I169">
        <v>12</v>
      </c>
      <c r="J169" t="s">
        <v>1279</v>
      </c>
      <c r="K169">
        <v>12101</v>
      </c>
      <c r="L169" t="s">
        <v>1280</v>
      </c>
      <c r="M169">
        <v>12101265</v>
      </c>
      <c r="N169" t="s">
        <v>1281</v>
      </c>
      <c r="O169">
        <v>12101265813</v>
      </c>
      <c r="P169" t="s">
        <v>1282</v>
      </c>
      <c r="Q169" s="135" t="s">
        <v>1314</v>
      </c>
      <c r="R169" t="s">
        <v>1315</v>
      </c>
      <c r="S169" s="135" t="s">
        <v>1313</v>
      </c>
      <c r="T169" t="s">
        <v>1316</v>
      </c>
      <c r="U169" t="s">
        <v>1237</v>
      </c>
      <c r="V169" t="s">
        <v>1238</v>
      </c>
      <c r="W169">
        <v>130</v>
      </c>
      <c r="X169" t="s">
        <v>1189</v>
      </c>
      <c r="Y169">
        <v>48</v>
      </c>
      <c r="Z169">
        <v>6240</v>
      </c>
      <c r="AA169" t="s">
        <v>28</v>
      </c>
      <c r="AB169" t="s">
        <v>1190</v>
      </c>
      <c r="AC169">
        <v>130</v>
      </c>
      <c r="AD169" t="s">
        <v>1191</v>
      </c>
      <c r="AE169" t="s">
        <v>1192</v>
      </c>
      <c r="AF169" t="s">
        <v>1193</v>
      </c>
      <c r="AG169" t="s">
        <v>1194</v>
      </c>
      <c r="AH169" t="s">
        <v>1195</v>
      </c>
      <c r="AI169" t="s">
        <v>1202</v>
      </c>
      <c r="AJ169" t="s">
        <v>1291</v>
      </c>
      <c r="AK169" t="s">
        <v>1292</v>
      </c>
      <c r="AL169" t="s">
        <v>1291</v>
      </c>
      <c r="AM169" t="s">
        <v>1318</v>
      </c>
      <c r="AN169" t="s">
        <v>1201</v>
      </c>
      <c r="AO169" t="s">
        <v>1292</v>
      </c>
      <c r="AP169" t="s">
        <v>1319</v>
      </c>
      <c r="AQ169" t="s">
        <v>1203</v>
      </c>
      <c r="AR169" t="s">
        <v>1201</v>
      </c>
      <c r="AS169" t="s">
        <v>1203</v>
      </c>
      <c r="AU169" t="s">
        <v>1204</v>
      </c>
      <c r="AW169" t="b">
        <v>0</v>
      </c>
      <c r="AY169" t="b">
        <v>0</v>
      </c>
      <c r="BA169" t="s">
        <v>1295</v>
      </c>
      <c r="BB169" t="s">
        <v>1206</v>
      </c>
      <c r="BC169" t="s">
        <v>1206</v>
      </c>
      <c r="BD169" t="s">
        <v>1207</v>
      </c>
      <c r="BE169" t="s">
        <v>1296</v>
      </c>
      <c r="BF169" t="s">
        <v>1297</v>
      </c>
      <c r="BG169" t="s">
        <v>1298</v>
      </c>
      <c r="BH169" t="s">
        <v>1206</v>
      </c>
      <c r="BI169" t="s">
        <v>1206</v>
      </c>
      <c r="BJ169" t="s">
        <v>1299</v>
      </c>
    </row>
    <row r="170" spans="1:62" x14ac:dyDescent="0.25">
      <c r="A170" t="s">
        <v>1177</v>
      </c>
      <c r="B170">
        <v>150165</v>
      </c>
      <c r="C170">
        <v>150165</v>
      </c>
      <c r="D170" s="112" t="s">
        <v>2593</v>
      </c>
      <c r="E170" t="s">
        <v>1119</v>
      </c>
      <c r="F170" t="s">
        <v>1178</v>
      </c>
      <c r="G170" t="s">
        <v>1510</v>
      </c>
      <c r="H170" s="135" t="s">
        <v>1432</v>
      </c>
      <c r="I170">
        <v>12</v>
      </c>
      <c r="J170" t="s">
        <v>1279</v>
      </c>
      <c r="K170">
        <v>12101</v>
      </c>
      <c r="L170" t="s">
        <v>1280</v>
      </c>
      <c r="M170">
        <v>12101265</v>
      </c>
      <c r="N170" t="s">
        <v>1281</v>
      </c>
      <c r="O170">
        <v>12101265813</v>
      </c>
      <c r="P170" t="s">
        <v>1282</v>
      </c>
      <c r="Q170" s="135" t="s">
        <v>1433</v>
      </c>
      <c r="R170" t="s">
        <v>1434</v>
      </c>
      <c r="S170" s="135" t="s">
        <v>1432</v>
      </c>
      <c r="T170" t="s">
        <v>1435</v>
      </c>
      <c r="U170" t="s">
        <v>1237</v>
      </c>
      <c r="V170" t="s">
        <v>1238</v>
      </c>
      <c r="W170">
        <v>135</v>
      </c>
      <c r="X170" t="s">
        <v>1189</v>
      </c>
      <c r="Y170">
        <v>48</v>
      </c>
      <c r="Z170">
        <v>6480</v>
      </c>
      <c r="AA170" t="s">
        <v>28</v>
      </c>
      <c r="AB170" t="s">
        <v>1190</v>
      </c>
      <c r="AC170">
        <v>135</v>
      </c>
      <c r="AD170" t="s">
        <v>1191</v>
      </c>
      <c r="AE170" t="s">
        <v>1192</v>
      </c>
      <c r="AF170" t="s">
        <v>1193</v>
      </c>
      <c r="AG170" t="s">
        <v>1194</v>
      </c>
      <c r="AH170" t="s">
        <v>1195</v>
      </c>
      <c r="AI170" t="s">
        <v>1202</v>
      </c>
      <c r="AJ170" t="s">
        <v>1291</v>
      </c>
      <c r="AK170" t="s">
        <v>1292</v>
      </c>
      <c r="AL170" t="s">
        <v>1291</v>
      </c>
      <c r="AM170" t="s">
        <v>1318</v>
      </c>
      <c r="AN170" t="s">
        <v>1201</v>
      </c>
      <c r="AO170" t="s">
        <v>1292</v>
      </c>
      <c r="AP170" t="s">
        <v>1319</v>
      </c>
      <c r="AQ170" t="s">
        <v>1203</v>
      </c>
      <c r="AR170" t="s">
        <v>1201</v>
      </c>
      <c r="AS170" t="s">
        <v>1203</v>
      </c>
      <c r="AU170" t="s">
        <v>1204</v>
      </c>
      <c r="AW170" t="b">
        <v>0</v>
      </c>
      <c r="AY170" t="b">
        <v>0</v>
      </c>
      <c r="BA170" t="s">
        <v>1295</v>
      </c>
      <c r="BB170" t="s">
        <v>1206</v>
      </c>
      <c r="BC170" t="s">
        <v>1206</v>
      </c>
      <c r="BD170" t="s">
        <v>1207</v>
      </c>
      <c r="BE170" t="s">
        <v>1296</v>
      </c>
      <c r="BF170" t="s">
        <v>1297</v>
      </c>
      <c r="BG170" t="s">
        <v>1298</v>
      </c>
      <c r="BH170" t="s">
        <v>1206</v>
      </c>
      <c r="BI170" t="s">
        <v>1206</v>
      </c>
      <c r="BJ170" t="s">
        <v>1299</v>
      </c>
    </row>
    <row r="171" spans="1:62" x14ac:dyDescent="0.25">
      <c r="A171" t="s">
        <v>1177</v>
      </c>
      <c r="B171">
        <v>150191</v>
      </c>
      <c r="C171">
        <v>150191</v>
      </c>
      <c r="D171" s="112" t="s">
        <v>2594</v>
      </c>
      <c r="E171" t="s">
        <v>1119</v>
      </c>
      <c r="F171" t="s">
        <v>1178</v>
      </c>
      <c r="G171" t="s">
        <v>420</v>
      </c>
      <c r="H171" s="135" t="s">
        <v>1432</v>
      </c>
      <c r="I171">
        <v>12</v>
      </c>
      <c r="J171" t="s">
        <v>1279</v>
      </c>
      <c r="K171">
        <v>12101</v>
      </c>
      <c r="L171" t="s">
        <v>1280</v>
      </c>
      <c r="M171">
        <v>12101265</v>
      </c>
      <c r="N171" t="s">
        <v>1281</v>
      </c>
      <c r="O171">
        <v>12101265813</v>
      </c>
      <c r="P171" t="s">
        <v>1282</v>
      </c>
      <c r="Q171" s="135" t="s">
        <v>1433</v>
      </c>
      <c r="R171" t="s">
        <v>1434</v>
      </c>
      <c r="S171" s="135" t="s">
        <v>1432</v>
      </c>
      <c r="T171" t="s">
        <v>1435</v>
      </c>
      <c r="U171" t="s">
        <v>1237</v>
      </c>
      <c r="V171" t="s">
        <v>1238</v>
      </c>
      <c r="W171">
        <v>135</v>
      </c>
      <c r="X171" t="s">
        <v>1189</v>
      </c>
      <c r="Y171">
        <v>48</v>
      </c>
      <c r="Z171">
        <v>6480</v>
      </c>
      <c r="AA171" t="s">
        <v>28</v>
      </c>
      <c r="AB171" t="s">
        <v>1190</v>
      </c>
      <c r="AC171">
        <v>135</v>
      </c>
      <c r="AD171" t="s">
        <v>1191</v>
      </c>
      <c r="AE171" t="s">
        <v>1192</v>
      </c>
      <c r="AF171" t="s">
        <v>1193</v>
      </c>
      <c r="AG171" t="s">
        <v>1194</v>
      </c>
      <c r="AH171" t="s">
        <v>1195</v>
      </c>
      <c r="AI171" t="s">
        <v>1202</v>
      </c>
      <c r="AJ171" t="s">
        <v>1291</v>
      </c>
      <c r="AK171" t="s">
        <v>1292</v>
      </c>
      <c r="AL171" t="s">
        <v>1291</v>
      </c>
      <c r="AM171" t="s">
        <v>1318</v>
      </c>
      <c r="AN171" t="s">
        <v>1201</v>
      </c>
      <c r="AO171" t="s">
        <v>1292</v>
      </c>
      <c r="AP171" t="s">
        <v>1319</v>
      </c>
      <c r="AQ171" t="s">
        <v>1203</v>
      </c>
      <c r="AR171" t="s">
        <v>1201</v>
      </c>
      <c r="AS171" t="s">
        <v>1203</v>
      </c>
      <c r="AU171" t="s">
        <v>1204</v>
      </c>
      <c r="AW171" t="b">
        <v>0</v>
      </c>
      <c r="AY171" t="b">
        <v>0</v>
      </c>
      <c r="BA171" t="s">
        <v>1295</v>
      </c>
      <c r="BB171" t="s">
        <v>1206</v>
      </c>
      <c r="BC171" t="s">
        <v>1206</v>
      </c>
      <c r="BD171" t="s">
        <v>1207</v>
      </c>
      <c r="BE171" t="s">
        <v>1296</v>
      </c>
      <c r="BF171" t="s">
        <v>1297</v>
      </c>
      <c r="BG171" t="s">
        <v>1298</v>
      </c>
      <c r="BH171" t="s">
        <v>1206</v>
      </c>
      <c r="BI171" t="s">
        <v>1206</v>
      </c>
      <c r="BJ171" t="s">
        <v>1299</v>
      </c>
    </row>
    <row r="172" spans="1:62" x14ac:dyDescent="0.25">
      <c r="A172" t="s">
        <v>1177</v>
      </c>
      <c r="B172">
        <v>150234</v>
      </c>
      <c r="C172">
        <v>150234</v>
      </c>
      <c r="D172" s="112" t="s">
        <v>2595</v>
      </c>
      <c r="E172" t="s">
        <v>1119</v>
      </c>
      <c r="F172" t="s">
        <v>1178</v>
      </c>
      <c r="G172" t="s">
        <v>421</v>
      </c>
      <c r="H172" s="135" t="s">
        <v>1432</v>
      </c>
      <c r="I172">
        <v>12</v>
      </c>
      <c r="J172" t="s">
        <v>1279</v>
      </c>
      <c r="K172">
        <v>12101</v>
      </c>
      <c r="L172" t="s">
        <v>1280</v>
      </c>
      <c r="M172">
        <v>12101265</v>
      </c>
      <c r="N172" t="s">
        <v>1281</v>
      </c>
      <c r="O172">
        <v>12101265813</v>
      </c>
      <c r="P172" t="s">
        <v>1282</v>
      </c>
      <c r="Q172" s="135" t="s">
        <v>1433</v>
      </c>
      <c r="R172" t="s">
        <v>1434</v>
      </c>
      <c r="S172" s="135" t="s">
        <v>1432</v>
      </c>
      <c r="T172" t="s">
        <v>1435</v>
      </c>
      <c r="U172" t="s">
        <v>1237</v>
      </c>
      <c r="V172" t="s">
        <v>1238</v>
      </c>
      <c r="W172">
        <v>135</v>
      </c>
      <c r="X172" t="s">
        <v>1189</v>
      </c>
      <c r="Y172">
        <v>48</v>
      </c>
      <c r="Z172">
        <v>6480</v>
      </c>
      <c r="AA172" t="s">
        <v>28</v>
      </c>
      <c r="AB172" t="s">
        <v>1190</v>
      </c>
      <c r="AC172">
        <v>135</v>
      </c>
      <c r="AD172" t="s">
        <v>1191</v>
      </c>
      <c r="AE172" t="s">
        <v>1192</v>
      </c>
      <c r="AF172" t="s">
        <v>1193</v>
      </c>
      <c r="AG172" t="s">
        <v>1194</v>
      </c>
      <c r="AH172" t="s">
        <v>1195</v>
      </c>
      <c r="AI172" t="s">
        <v>1202</v>
      </c>
      <c r="AJ172" t="s">
        <v>1291</v>
      </c>
      <c r="AK172" t="s">
        <v>1292</v>
      </c>
      <c r="AL172" t="s">
        <v>1291</v>
      </c>
      <c r="AM172" t="s">
        <v>1318</v>
      </c>
      <c r="AN172" t="s">
        <v>1201</v>
      </c>
      <c r="AO172" t="s">
        <v>1292</v>
      </c>
      <c r="AP172" t="s">
        <v>1319</v>
      </c>
      <c r="AQ172" t="s">
        <v>1203</v>
      </c>
      <c r="AR172" t="s">
        <v>1201</v>
      </c>
      <c r="AS172" t="s">
        <v>1203</v>
      </c>
      <c r="AU172" t="s">
        <v>1204</v>
      </c>
      <c r="AW172" t="b">
        <v>0</v>
      </c>
      <c r="AY172" t="b">
        <v>0</v>
      </c>
      <c r="BA172" t="s">
        <v>1295</v>
      </c>
      <c r="BB172" t="s">
        <v>1206</v>
      </c>
      <c r="BC172" t="s">
        <v>1206</v>
      </c>
      <c r="BD172" t="s">
        <v>1207</v>
      </c>
      <c r="BE172" t="s">
        <v>1296</v>
      </c>
      <c r="BF172" t="s">
        <v>1297</v>
      </c>
      <c r="BG172" t="s">
        <v>1298</v>
      </c>
      <c r="BH172" t="s">
        <v>1206</v>
      </c>
      <c r="BI172" t="s">
        <v>1206</v>
      </c>
      <c r="BJ172" t="s">
        <v>1299</v>
      </c>
    </row>
    <row r="173" spans="1:62" x14ac:dyDescent="0.25">
      <c r="A173" t="s">
        <v>1177</v>
      </c>
      <c r="B173">
        <v>150150</v>
      </c>
      <c r="C173">
        <v>150150</v>
      </c>
      <c r="D173" s="112" t="s">
        <v>2596</v>
      </c>
      <c r="E173" t="s">
        <v>1119</v>
      </c>
      <c r="F173" t="s">
        <v>1178</v>
      </c>
      <c r="G173" t="s">
        <v>432</v>
      </c>
      <c r="H173" s="135" t="s">
        <v>1338</v>
      </c>
      <c r="I173">
        <v>12</v>
      </c>
      <c r="J173" t="s">
        <v>1279</v>
      </c>
      <c r="K173">
        <v>12101</v>
      </c>
      <c r="L173" t="s">
        <v>1280</v>
      </c>
      <c r="M173">
        <v>12101265</v>
      </c>
      <c r="N173" t="s">
        <v>1281</v>
      </c>
      <c r="O173">
        <v>12101265813</v>
      </c>
      <c r="P173" t="s">
        <v>1282</v>
      </c>
      <c r="Q173" s="135" t="s">
        <v>1339</v>
      </c>
      <c r="R173" t="s">
        <v>1340</v>
      </c>
      <c r="S173" s="135" t="s">
        <v>1338</v>
      </c>
      <c r="T173" t="s">
        <v>1341</v>
      </c>
      <c r="U173" t="s">
        <v>1310</v>
      </c>
      <c r="V173" t="s">
        <v>1311</v>
      </c>
      <c r="W173">
        <v>950</v>
      </c>
      <c r="X173" t="s">
        <v>1342</v>
      </c>
      <c r="Y173">
        <v>6</v>
      </c>
      <c r="Z173">
        <v>5700</v>
      </c>
      <c r="AA173" t="s">
        <v>28</v>
      </c>
      <c r="AB173" t="s">
        <v>1190</v>
      </c>
      <c r="AC173">
        <v>950</v>
      </c>
      <c r="AD173" t="s">
        <v>1191</v>
      </c>
      <c r="AE173" t="s">
        <v>1290</v>
      </c>
      <c r="AF173" t="s">
        <v>1193</v>
      </c>
      <c r="AG173" t="s">
        <v>1194</v>
      </c>
      <c r="AH173" t="s">
        <v>1195</v>
      </c>
      <c r="AI173" t="s">
        <v>1202</v>
      </c>
      <c r="AJ173" t="s">
        <v>1291</v>
      </c>
      <c r="AK173" t="s">
        <v>1292</v>
      </c>
      <c r="AL173" t="s">
        <v>1291</v>
      </c>
      <c r="AM173" t="s">
        <v>1318</v>
      </c>
      <c r="AN173" t="s">
        <v>1201</v>
      </c>
      <c r="AO173" t="s">
        <v>1292</v>
      </c>
      <c r="AP173" t="s">
        <v>1319</v>
      </c>
      <c r="AQ173" t="s">
        <v>1203</v>
      </c>
      <c r="AR173" t="s">
        <v>1201</v>
      </c>
      <c r="AS173" t="s">
        <v>1203</v>
      </c>
      <c r="AU173" t="s">
        <v>1204</v>
      </c>
      <c r="AW173" t="b">
        <v>0</v>
      </c>
      <c r="AY173" t="b">
        <v>0</v>
      </c>
      <c r="BA173" t="s">
        <v>1295</v>
      </c>
      <c r="BB173" t="s">
        <v>1206</v>
      </c>
      <c r="BC173" t="s">
        <v>1206</v>
      </c>
      <c r="BD173" t="s">
        <v>1207</v>
      </c>
      <c r="BE173" t="s">
        <v>1296</v>
      </c>
      <c r="BF173" t="s">
        <v>1297</v>
      </c>
      <c r="BG173" t="s">
        <v>1298</v>
      </c>
      <c r="BH173" t="s">
        <v>1206</v>
      </c>
      <c r="BI173" t="s">
        <v>1206</v>
      </c>
      <c r="BJ173" t="s">
        <v>1299</v>
      </c>
    </row>
    <row r="174" spans="1:62" x14ac:dyDescent="0.25">
      <c r="A174" t="s">
        <v>1177</v>
      </c>
      <c r="B174">
        <v>150239</v>
      </c>
      <c r="C174">
        <v>150239</v>
      </c>
      <c r="D174" s="112" t="s">
        <v>2597</v>
      </c>
      <c r="E174" t="s">
        <v>1119</v>
      </c>
      <c r="F174" t="s">
        <v>1178</v>
      </c>
      <c r="G174" t="s">
        <v>433</v>
      </c>
      <c r="H174" s="135" t="s">
        <v>1338</v>
      </c>
      <c r="I174">
        <v>12</v>
      </c>
      <c r="J174" t="s">
        <v>1279</v>
      </c>
      <c r="K174">
        <v>12101</v>
      </c>
      <c r="L174" t="s">
        <v>1280</v>
      </c>
      <c r="M174">
        <v>12101265</v>
      </c>
      <c r="N174" t="s">
        <v>1281</v>
      </c>
      <c r="O174">
        <v>12101265813</v>
      </c>
      <c r="P174" t="s">
        <v>1282</v>
      </c>
      <c r="Q174" s="135" t="s">
        <v>1339</v>
      </c>
      <c r="R174" t="s">
        <v>1340</v>
      </c>
      <c r="S174" s="135" t="s">
        <v>1338</v>
      </c>
      <c r="T174" t="s">
        <v>1341</v>
      </c>
      <c r="U174" t="s">
        <v>1310</v>
      </c>
      <c r="V174" t="s">
        <v>1311</v>
      </c>
      <c r="W174">
        <v>950</v>
      </c>
      <c r="X174" t="s">
        <v>1342</v>
      </c>
      <c r="Y174">
        <v>6</v>
      </c>
      <c r="Z174">
        <v>5700</v>
      </c>
      <c r="AA174" t="s">
        <v>28</v>
      </c>
      <c r="AB174" t="s">
        <v>1190</v>
      </c>
      <c r="AC174">
        <v>950</v>
      </c>
      <c r="AD174" t="s">
        <v>1191</v>
      </c>
      <c r="AE174" t="s">
        <v>1290</v>
      </c>
      <c r="AF174" t="s">
        <v>1193</v>
      </c>
      <c r="AG174" t="s">
        <v>1194</v>
      </c>
      <c r="AH174" t="s">
        <v>1195</v>
      </c>
      <c r="AI174" t="s">
        <v>1202</v>
      </c>
      <c r="AJ174" t="s">
        <v>1291</v>
      </c>
      <c r="AK174" t="s">
        <v>1292</v>
      </c>
      <c r="AL174" t="s">
        <v>1291</v>
      </c>
      <c r="AM174" t="s">
        <v>1318</v>
      </c>
      <c r="AN174" t="s">
        <v>1201</v>
      </c>
      <c r="AO174" t="s">
        <v>1292</v>
      </c>
      <c r="AP174" t="s">
        <v>1319</v>
      </c>
      <c r="AQ174" t="s">
        <v>1203</v>
      </c>
      <c r="AR174" t="s">
        <v>1201</v>
      </c>
      <c r="AS174" t="s">
        <v>1203</v>
      </c>
      <c r="AU174" t="s">
        <v>1204</v>
      </c>
      <c r="AW174" t="b">
        <v>0</v>
      </c>
      <c r="AY174" t="b">
        <v>0</v>
      </c>
      <c r="BA174" t="s">
        <v>1295</v>
      </c>
      <c r="BB174" t="s">
        <v>1206</v>
      </c>
      <c r="BC174" t="s">
        <v>1206</v>
      </c>
      <c r="BD174" t="s">
        <v>1207</v>
      </c>
      <c r="BE174" t="s">
        <v>1296</v>
      </c>
      <c r="BF174" t="s">
        <v>1297</v>
      </c>
      <c r="BG174" t="s">
        <v>1298</v>
      </c>
      <c r="BH174" t="s">
        <v>1206</v>
      </c>
      <c r="BI174" t="s">
        <v>1206</v>
      </c>
      <c r="BJ174" t="s">
        <v>1299</v>
      </c>
    </row>
    <row r="175" spans="1:62" x14ac:dyDescent="0.25">
      <c r="A175" t="s">
        <v>1177</v>
      </c>
      <c r="B175">
        <v>150087</v>
      </c>
      <c r="C175">
        <v>150087</v>
      </c>
      <c r="D175" s="112" t="s">
        <v>2598</v>
      </c>
      <c r="E175" t="s">
        <v>1119</v>
      </c>
      <c r="F175" t="s">
        <v>1178</v>
      </c>
      <c r="G175" t="s">
        <v>1511</v>
      </c>
      <c r="H175" s="135" t="s">
        <v>1352</v>
      </c>
      <c r="I175">
        <v>12</v>
      </c>
      <c r="J175" t="s">
        <v>1279</v>
      </c>
      <c r="K175">
        <v>12101</v>
      </c>
      <c r="L175" t="s">
        <v>1280</v>
      </c>
      <c r="M175">
        <v>12101265</v>
      </c>
      <c r="N175" t="s">
        <v>1281</v>
      </c>
      <c r="O175">
        <v>12101265813</v>
      </c>
      <c r="P175" t="s">
        <v>1282</v>
      </c>
      <c r="Q175" s="135" t="s">
        <v>1353</v>
      </c>
      <c r="R175" t="s">
        <v>1354</v>
      </c>
      <c r="S175" s="135" t="s">
        <v>1352</v>
      </c>
      <c r="T175" t="s">
        <v>1355</v>
      </c>
      <c r="U175" t="s">
        <v>1310</v>
      </c>
      <c r="V175" t="s">
        <v>1311</v>
      </c>
      <c r="W175">
        <v>380</v>
      </c>
      <c r="X175" t="s">
        <v>1342</v>
      </c>
      <c r="Y175">
        <v>12</v>
      </c>
      <c r="Z175">
        <v>4560</v>
      </c>
      <c r="AA175" t="s">
        <v>28</v>
      </c>
      <c r="AB175" t="s">
        <v>1190</v>
      </c>
      <c r="AC175">
        <v>380</v>
      </c>
      <c r="AD175" t="s">
        <v>1191</v>
      </c>
      <c r="AE175" t="s">
        <v>1192</v>
      </c>
      <c r="AF175" t="s">
        <v>1193</v>
      </c>
      <c r="AG175" t="s">
        <v>1194</v>
      </c>
      <c r="AH175" t="s">
        <v>1195</v>
      </c>
      <c r="AI175" t="s">
        <v>1202</v>
      </c>
      <c r="AJ175" t="s">
        <v>1291</v>
      </c>
      <c r="AK175" t="s">
        <v>1292</v>
      </c>
      <c r="AL175" t="s">
        <v>1291</v>
      </c>
      <c r="AM175" t="s">
        <v>1318</v>
      </c>
      <c r="AN175" t="s">
        <v>1201</v>
      </c>
      <c r="AO175" t="s">
        <v>1292</v>
      </c>
      <c r="AP175" t="s">
        <v>1319</v>
      </c>
      <c r="AQ175" t="s">
        <v>1203</v>
      </c>
      <c r="AR175" t="s">
        <v>1201</v>
      </c>
      <c r="AS175" t="s">
        <v>1203</v>
      </c>
      <c r="AU175" t="s">
        <v>1204</v>
      </c>
      <c r="AW175" t="b">
        <v>0</v>
      </c>
      <c r="AY175" t="b">
        <v>0</v>
      </c>
      <c r="BA175" t="s">
        <v>1295</v>
      </c>
      <c r="BB175" t="s">
        <v>1206</v>
      </c>
      <c r="BC175" t="s">
        <v>1206</v>
      </c>
      <c r="BD175" t="s">
        <v>1207</v>
      </c>
      <c r="BE175" t="s">
        <v>1296</v>
      </c>
      <c r="BF175" t="s">
        <v>1297</v>
      </c>
      <c r="BG175" t="s">
        <v>1298</v>
      </c>
      <c r="BH175" t="s">
        <v>1206</v>
      </c>
      <c r="BI175" t="s">
        <v>1206</v>
      </c>
      <c r="BJ175" t="s">
        <v>1299</v>
      </c>
    </row>
    <row r="176" spans="1:62" x14ac:dyDescent="0.25">
      <c r="A176" t="s">
        <v>1177</v>
      </c>
      <c r="B176">
        <v>150088</v>
      </c>
      <c r="C176">
        <v>150088</v>
      </c>
      <c r="D176" s="112" t="s">
        <v>2599</v>
      </c>
      <c r="E176" t="s">
        <v>1119</v>
      </c>
      <c r="F176" t="s">
        <v>1178</v>
      </c>
      <c r="G176" t="s">
        <v>1512</v>
      </c>
      <c r="H176" s="135" t="s">
        <v>1489</v>
      </c>
      <c r="I176">
        <v>12</v>
      </c>
      <c r="J176" t="s">
        <v>1279</v>
      </c>
      <c r="K176">
        <v>12101</v>
      </c>
      <c r="L176" t="s">
        <v>1280</v>
      </c>
      <c r="M176">
        <v>12101265</v>
      </c>
      <c r="N176" t="s">
        <v>1281</v>
      </c>
      <c r="O176">
        <v>12101265813</v>
      </c>
      <c r="P176" t="s">
        <v>1282</v>
      </c>
      <c r="Q176" s="135" t="s">
        <v>1490</v>
      </c>
      <c r="R176" t="s">
        <v>1491</v>
      </c>
      <c r="S176" s="135" t="s">
        <v>1489</v>
      </c>
      <c r="T176" t="s">
        <v>1492</v>
      </c>
      <c r="U176" t="s">
        <v>1310</v>
      </c>
      <c r="V176" t="s">
        <v>1311</v>
      </c>
      <c r="W176">
        <v>80</v>
      </c>
      <c r="X176" t="s">
        <v>1342</v>
      </c>
      <c r="Y176">
        <v>48</v>
      </c>
      <c r="Z176">
        <v>3840</v>
      </c>
      <c r="AA176" t="s">
        <v>28</v>
      </c>
      <c r="AB176" t="s">
        <v>1190</v>
      </c>
      <c r="AC176">
        <v>80</v>
      </c>
      <c r="AD176" t="s">
        <v>1191</v>
      </c>
      <c r="AE176" t="s">
        <v>1192</v>
      </c>
      <c r="AF176" t="s">
        <v>1193</v>
      </c>
      <c r="AG176" t="s">
        <v>1194</v>
      </c>
      <c r="AH176" t="s">
        <v>1195</v>
      </c>
      <c r="AI176" t="s">
        <v>1202</v>
      </c>
      <c r="AJ176" t="s">
        <v>1291</v>
      </c>
      <c r="AK176" t="s">
        <v>1292</v>
      </c>
      <c r="AL176" t="s">
        <v>1291</v>
      </c>
      <c r="AM176" t="s">
        <v>1318</v>
      </c>
      <c r="AN176" t="s">
        <v>1201</v>
      </c>
      <c r="AO176" t="s">
        <v>1292</v>
      </c>
      <c r="AP176" t="s">
        <v>1319</v>
      </c>
      <c r="AQ176" t="s">
        <v>1203</v>
      </c>
      <c r="AR176" t="s">
        <v>1201</v>
      </c>
      <c r="AS176" t="s">
        <v>1203</v>
      </c>
      <c r="AU176" t="s">
        <v>1204</v>
      </c>
      <c r="AW176" t="b">
        <v>0</v>
      </c>
      <c r="AY176" t="b">
        <v>0</v>
      </c>
      <c r="BA176" t="s">
        <v>1295</v>
      </c>
      <c r="BB176" t="s">
        <v>1206</v>
      </c>
      <c r="BC176" t="s">
        <v>1206</v>
      </c>
      <c r="BD176" t="s">
        <v>1207</v>
      </c>
      <c r="BE176" t="s">
        <v>1296</v>
      </c>
      <c r="BF176" t="s">
        <v>1297</v>
      </c>
      <c r="BG176" t="s">
        <v>1298</v>
      </c>
      <c r="BH176" t="s">
        <v>1206</v>
      </c>
      <c r="BI176" t="s">
        <v>1206</v>
      </c>
      <c r="BJ176" t="s">
        <v>1299</v>
      </c>
    </row>
    <row r="177" spans="1:62" x14ac:dyDescent="0.25">
      <c r="A177" t="s">
        <v>1177</v>
      </c>
      <c r="B177">
        <v>150115</v>
      </c>
      <c r="C177">
        <v>150115</v>
      </c>
      <c r="D177" s="112" t="s">
        <v>2600</v>
      </c>
      <c r="E177" t="s">
        <v>1119</v>
      </c>
      <c r="F177" t="s">
        <v>1178</v>
      </c>
      <c r="G177" t="s">
        <v>1513</v>
      </c>
      <c r="H177" s="135" t="s">
        <v>1459</v>
      </c>
      <c r="I177">
        <v>12</v>
      </c>
      <c r="J177" t="s">
        <v>1279</v>
      </c>
      <c r="K177">
        <v>12101</v>
      </c>
      <c r="L177" t="s">
        <v>1280</v>
      </c>
      <c r="M177">
        <v>12101265</v>
      </c>
      <c r="N177" t="s">
        <v>1281</v>
      </c>
      <c r="O177">
        <v>12101265813</v>
      </c>
      <c r="P177" t="s">
        <v>1282</v>
      </c>
      <c r="Q177" s="135" t="s">
        <v>1365</v>
      </c>
      <c r="R177" t="s">
        <v>1366</v>
      </c>
      <c r="S177" s="135" t="s">
        <v>1459</v>
      </c>
      <c r="T177" t="s">
        <v>1460</v>
      </c>
      <c r="U177" t="s">
        <v>1230</v>
      </c>
      <c r="V177" t="s">
        <v>1231</v>
      </c>
      <c r="W177">
        <v>8</v>
      </c>
      <c r="X177" t="s">
        <v>1342</v>
      </c>
      <c r="Y177">
        <v>12</v>
      </c>
      <c r="Z177">
        <v>96</v>
      </c>
      <c r="AA177" t="s">
        <v>28</v>
      </c>
      <c r="AB177" t="s">
        <v>1190</v>
      </c>
      <c r="AC177">
        <v>8</v>
      </c>
      <c r="AD177" t="s">
        <v>1232</v>
      </c>
      <c r="AE177" t="s">
        <v>1192</v>
      </c>
      <c r="AF177" t="s">
        <v>1193</v>
      </c>
      <c r="AG177" t="s">
        <v>1194</v>
      </c>
      <c r="AH177" t="s">
        <v>1195</v>
      </c>
      <c r="AI177" t="s">
        <v>1202</v>
      </c>
      <c r="AJ177" t="s">
        <v>1291</v>
      </c>
      <c r="AK177" t="s">
        <v>1292</v>
      </c>
      <c r="AL177" t="s">
        <v>1291</v>
      </c>
      <c r="AM177" t="s">
        <v>1318</v>
      </c>
      <c r="AN177" t="s">
        <v>1201</v>
      </c>
      <c r="AO177" t="s">
        <v>1292</v>
      </c>
      <c r="AP177" t="s">
        <v>1319</v>
      </c>
      <c r="AQ177" t="s">
        <v>1203</v>
      </c>
      <c r="AR177" t="s">
        <v>1201</v>
      </c>
      <c r="AS177" t="s">
        <v>1203</v>
      </c>
      <c r="AU177" t="s">
        <v>1204</v>
      </c>
      <c r="AW177" t="b">
        <v>0</v>
      </c>
      <c r="AY177" t="b">
        <v>1</v>
      </c>
      <c r="BA177" t="s">
        <v>1295</v>
      </c>
      <c r="BB177" t="s">
        <v>1206</v>
      </c>
      <c r="BC177" t="s">
        <v>1206</v>
      </c>
      <c r="BD177" t="s">
        <v>1207</v>
      </c>
      <c r="BE177" t="s">
        <v>1296</v>
      </c>
      <c r="BF177" t="s">
        <v>1297</v>
      </c>
      <c r="BG177" t="s">
        <v>1298</v>
      </c>
      <c r="BH177" t="s">
        <v>1206</v>
      </c>
      <c r="BI177" t="s">
        <v>1206</v>
      </c>
      <c r="BJ177" t="s">
        <v>1299</v>
      </c>
    </row>
    <row r="178" spans="1:62" x14ac:dyDescent="0.25">
      <c r="A178" t="s">
        <v>1177</v>
      </c>
      <c r="B178">
        <v>150155</v>
      </c>
      <c r="C178">
        <v>150155</v>
      </c>
      <c r="D178" s="112" t="s">
        <v>2601</v>
      </c>
      <c r="E178" t="s">
        <v>1119</v>
      </c>
      <c r="F178" t="s">
        <v>1178</v>
      </c>
      <c r="G178" t="s">
        <v>1514</v>
      </c>
      <c r="H178" s="135" t="s">
        <v>1459</v>
      </c>
      <c r="I178">
        <v>12</v>
      </c>
      <c r="J178" t="s">
        <v>1279</v>
      </c>
      <c r="K178">
        <v>12101</v>
      </c>
      <c r="L178" t="s">
        <v>1280</v>
      </c>
      <c r="M178">
        <v>12101265</v>
      </c>
      <c r="N178" t="s">
        <v>1281</v>
      </c>
      <c r="O178">
        <v>12101265813</v>
      </c>
      <c r="P178" t="s">
        <v>1282</v>
      </c>
      <c r="Q178" s="135" t="s">
        <v>1365</v>
      </c>
      <c r="R178" t="s">
        <v>1366</v>
      </c>
      <c r="S178" s="135" t="s">
        <v>1459</v>
      </c>
      <c r="T178" t="s">
        <v>1460</v>
      </c>
      <c r="U178" t="s">
        <v>1230</v>
      </c>
      <c r="V178" t="s">
        <v>1231</v>
      </c>
      <c r="W178">
        <v>8</v>
      </c>
      <c r="X178" t="s">
        <v>1342</v>
      </c>
      <c r="Y178">
        <v>12</v>
      </c>
      <c r="Z178">
        <v>96</v>
      </c>
      <c r="AA178" t="s">
        <v>28</v>
      </c>
      <c r="AB178" t="s">
        <v>1190</v>
      </c>
      <c r="AC178">
        <v>8</v>
      </c>
      <c r="AD178" t="s">
        <v>1232</v>
      </c>
      <c r="AE178" t="s">
        <v>1192</v>
      </c>
      <c r="AF178" t="s">
        <v>1193</v>
      </c>
      <c r="AG178" t="s">
        <v>1194</v>
      </c>
      <c r="AH178" t="s">
        <v>1195</v>
      </c>
      <c r="AI178" t="s">
        <v>1202</v>
      </c>
      <c r="AJ178" t="s">
        <v>1291</v>
      </c>
      <c r="AK178" t="s">
        <v>1292</v>
      </c>
      <c r="AL178" t="s">
        <v>1291</v>
      </c>
      <c r="AM178" t="s">
        <v>1318</v>
      </c>
      <c r="AN178" t="s">
        <v>1201</v>
      </c>
      <c r="AO178" t="s">
        <v>1292</v>
      </c>
      <c r="AP178" t="s">
        <v>1319</v>
      </c>
      <c r="AQ178" t="s">
        <v>1203</v>
      </c>
      <c r="AR178" t="s">
        <v>1201</v>
      </c>
      <c r="AS178" t="s">
        <v>1203</v>
      </c>
      <c r="AU178" t="s">
        <v>1204</v>
      </c>
      <c r="AW178" t="b">
        <v>0</v>
      </c>
      <c r="AY178" t="b">
        <v>1</v>
      </c>
      <c r="BA178" t="s">
        <v>1295</v>
      </c>
      <c r="BB178" t="s">
        <v>1206</v>
      </c>
      <c r="BC178" t="s">
        <v>1206</v>
      </c>
      <c r="BD178" t="s">
        <v>1207</v>
      </c>
      <c r="BE178" t="s">
        <v>1296</v>
      </c>
      <c r="BF178" t="s">
        <v>1297</v>
      </c>
      <c r="BG178" t="s">
        <v>1298</v>
      </c>
      <c r="BH178" t="s">
        <v>1206</v>
      </c>
      <c r="BI178" t="s">
        <v>1206</v>
      </c>
      <c r="BJ178" t="s">
        <v>1299</v>
      </c>
    </row>
    <row r="179" spans="1:62" x14ac:dyDescent="0.25">
      <c r="A179" t="s">
        <v>1177</v>
      </c>
      <c r="B179">
        <v>150242</v>
      </c>
      <c r="C179">
        <v>150242</v>
      </c>
      <c r="D179" s="112" t="s">
        <v>2602</v>
      </c>
      <c r="E179" t="s">
        <v>1119</v>
      </c>
      <c r="F179" t="s">
        <v>1178</v>
      </c>
      <c r="G179" t="s">
        <v>1515</v>
      </c>
      <c r="H179" s="135" t="s">
        <v>1459</v>
      </c>
      <c r="I179">
        <v>12</v>
      </c>
      <c r="J179" t="s">
        <v>1279</v>
      </c>
      <c r="K179">
        <v>12101</v>
      </c>
      <c r="L179" t="s">
        <v>1280</v>
      </c>
      <c r="M179">
        <v>12101265</v>
      </c>
      <c r="N179" t="s">
        <v>1281</v>
      </c>
      <c r="O179">
        <v>12101265813</v>
      </c>
      <c r="P179" t="s">
        <v>1282</v>
      </c>
      <c r="Q179" s="135" t="s">
        <v>1365</v>
      </c>
      <c r="R179" t="s">
        <v>1366</v>
      </c>
      <c r="S179" s="135" t="s">
        <v>1459</v>
      </c>
      <c r="T179" t="s">
        <v>1460</v>
      </c>
      <c r="U179" t="s">
        <v>1230</v>
      </c>
      <c r="V179" t="s">
        <v>1231</v>
      </c>
      <c r="W179">
        <v>8</v>
      </c>
      <c r="X179" t="s">
        <v>1342</v>
      </c>
      <c r="Y179">
        <v>12</v>
      </c>
      <c r="Z179">
        <v>96</v>
      </c>
      <c r="AA179" t="s">
        <v>28</v>
      </c>
      <c r="AB179" t="s">
        <v>1190</v>
      </c>
      <c r="AC179">
        <v>8</v>
      </c>
      <c r="AD179" t="s">
        <v>1232</v>
      </c>
      <c r="AE179" t="s">
        <v>1192</v>
      </c>
      <c r="AF179" t="s">
        <v>1193</v>
      </c>
      <c r="AG179" t="s">
        <v>1194</v>
      </c>
      <c r="AH179" t="s">
        <v>1195</v>
      </c>
      <c r="AI179" t="s">
        <v>1202</v>
      </c>
      <c r="AJ179" t="s">
        <v>1291</v>
      </c>
      <c r="AK179" t="s">
        <v>1292</v>
      </c>
      <c r="AL179" t="s">
        <v>1291</v>
      </c>
      <c r="AM179" t="s">
        <v>1318</v>
      </c>
      <c r="AN179" t="s">
        <v>1201</v>
      </c>
      <c r="AO179" t="s">
        <v>1292</v>
      </c>
      <c r="AP179" t="s">
        <v>1319</v>
      </c>
      <c r="AQ179" t="s">
        <v>1203</v>
      </c>
      <c r="AR179" t="s">
        <v>1201</v>
      </c>
      <c r="AS179" t="s">
        <v>1203</v>
      </c>
      <c r="AU179" t="s">
        <v>1204</v>
      </c>
      <c r="AW179" t="b">
        <v>0</v>
      </c>
      <c r="AY179" t="b">
        <v>1</v>
      </c>
      <c r="BA179" t="s">
        <v>1295</v>
      </c>
      <c r="BB179" t="s">
        <v>1206</v>
      </c>
      <c r="BC179" t="s">
        <v>1206</v>
      </c>
      <c r="BD179" t="s">
        <v>1207</v>
      </c>
      <c r="BE179" t="s">
        <v>1296</v>
      </c>
      <c r="BF179" t="s">
        <v>1297</v>
      </c>
      <c r="BG179" t="s">
        <v>1298</v>
      </c>
      <c r="BH179" t="s">
        <v>1206</v>
      </c>
      <c r="BI179" t="s">
        <v>1206</v>
      </c>
      <c r="BJ179" t="s">
        <v>1299</v>
      </c>
    </row>
    <row r="180" spans="1:62" x14ac:dyDescent="0.25">
      <c r="A180" t="s">
        <v>1177</v>
      </c>
      <c r="B180">
        <v>150266</v>
      </c>
      <c r="C180">
        <v>150266</v>
      </c>
      <c r="D180" s="112" t="s">
        <v>2603</v>
      </c>
      <c r="E180" t="s">
        <v>1119</v>
      </c>
      <c r="F180" t="s">
        <v>1178</v>
      </c>
      <c r="G180" t="s">
        <v>1516</v>
      </c>
      <c r="H180" s="135" t="s">
        <v>1376</v>
      </c>
      <c r="I180">
        <v>12</v>
      </c>
      <c r="J180" t="s">
        <v>1279</v>
      </c>
      <c r="K180">
        <v>12101</v>
      </c>
      <c r="L180" t="s">
        <v>1280</v>
      </c>
      <c r="M180">
        <v>12101265</v>
      </c>
      <c r="N180" t="s">
        <v>1281</v>
      </c>
      <c r="O180">
        <v>12101265813</v>
      </c>
      <c r="P180" t="s">
        <v>1282</v>
      </c>
      <c r="Q180" s="135" t="s">
        <v>1365</v>
      </c>
      <c r="R180" t="s">
        <v>1366</v>
      </c>
      <c r="S180" s="135" t="s">
        <v>1376</v>
      </c>
      <c r="T180" t="s">
        <v>1377</v>
      </c>
      <c r="U180" t="s">
        <v>1230</v>
      </c>
      <c r="V180" t="s">
        <v>1231</v>
      </c>
      <c r="W180">
        <v>8</v>
      </c>
      <c r="X180" t="s">
        <v>1342</v>
      </c>
      <c r="Y180">
        <v>14</v>
      </c>
      <c r="Z180">
        <v>112</v>
      </c>
      <c r="AA180" t="s">
        <v>28</v>
      </c>
      <c r="AB180" t="s">
        <v>1190</v>
      </c>
      <c r="AC180">
        <v>8</v>
      </c>
      <c r="AD180" t="s">
        <v>1232</v>
      </c>
      <c r="AE180" t="s">
        <v>1192</v>
      </c>
      <c r="AF180" t="s">
        <v>1193</v>
      </c>
      <c r="AG180" t="s">
        <v>1194</v>
      </c>
      <c r="AH180" t="s">
        <v>1195</v>
      </c>
      <c r="AI180" t="s">
        <v>1202</v>
      </c>
      <c r="AJ180" t="s">
        <v>1291</v>
      </c>
      <c r="AK180" t="s">
        <v>1292</v>
      </c>
      <c r="AL180" t="s">
        <v>1291</v>
      </c>
      <c r="AM180" t="s">
        <v>1318</v>
      </c>
      <c r="AN180" t="s">
        <v>1201</v>
      </c>
      <c r="AO180" t="s">
        <v>1292</v>
      </c>
      <c r="AP180" t="s">
        <v>1319</v>
      </c>
      <c r="AQ180" t="s">
        <v>1203</v>
      </c>
      <c r="AR180" t="s">
        <v>1201</v>
      </c>
      <c r="AS180" t="s">
        <v>1203</v>
      </c>
      <c r="AU180" t="s">
        <v>1204</v>
      </c>
      <c r="AW180" t="b">
        <v>0</v>
      </c>
      <c r="AY180" t="b">
        <v>1</v>
      </c>
      <c r="BA180" t="s">
        <v>1295</v>
      </c>
      <c r="BB180" t="s">
        <v>1206</v>
      </c>
      <c r="BC180" t="s">
        <v>1206</v>
      </c>
      <c r="BD180" t="s">
        <v>1207</v>
      </c>
      <c r="BE180" t="s">
        <v>1296</v>
      </c>
      <c r="BF180" t="s">
        <v>1297</v>
      </c>
      <c r="BG180" t="s">
        <v>1298</v>
      </c>
      <c r="BH180" t="s">
        <v>1206</v>
      </c>
      <c r="BI180" t="s">
        <v>1206</v>
      </c>
      <c r="BJ180" t="s">
        <v>1299</v>
      </c>
    </row>
    <row r="181" spans="1:62" x14ac:dyDescent="0.25">
      <c r="A181" t="s">
        <v>1177</v>
      </c>
      <c r="B181">
        <v>150128</v>
      </c>
      <c r="C181">
        <v>150128</v>
      </c>
      <c r="D181" s="112" t="s">
        <v>2604</v>
      </c>
      <c r="E181" t="s">
        <v>1119</v>
      </c>
      <c r="F181" t="s">
        <v>1178</v>
      </c>
      <c r="G181" t="s">
        <v>1517</v>
      </c>
      <c r="H181" s="135" t="s">
        <v>1364</v>
      </c>
      <c r="I181">
        <v>12</v>
      </c>
      <c r="J181" t="s">
        <v>1279</v>
      </c>
      <c r="K181">
        <v>12101</v>
      </c>
      <c r="L181" t="s">
        <v>1280</v>
      </c>
      <c r="M181">
        <v>12101265</v>
      </c>
      <c r="N181" t="s">
        <v>1281</v>
      </c>
      <c r="O181">
        <v>12101265813</v>
      </c>
      <c r="P181" t="s">
        <v>1282</v>
      </c>
      <c r="Q181" s="135" t="s">
        <v>1365</v>
      </c>
      <c r="R181" t="s">
        <v>1366</v>
      </c>
      <c r="S181" s="135" t="s">
        <v>1364</v>
      </c>
      <c r="T181" t="s">
        <v>1367</v>
      </c>
      <c r="U181" t="s">
        <v>1230</v>
      </c>
      <c r="V181" t="s">
        <v>1231</v>
      </c>
      <c r="W181">
        <v>8</v>
      </c>
      <c r="X181" t="s">
        <v>1342</v>
      </c>
      <c r="Y181">
        <v>21</v>
      </c>
      <c r="Z181">
        <v>168</v>
      </c>
      <c r="AA181" t="s">
        <v>28</v>
      </c>
      <c r="AB181" t="s">
        <v>1190</v>
      </c>
      <c r="AC181">
        <v>8</v>
      </c>
      <c r="AD181" t="s">
        <v>1232</v>
      </c>
      <c r="AE181" t="s">
        <v>1192</v>
      </c>
      <c r="AF181" t="s">
        <v>1193</v>
      </c>
      <c r="AG181" t="s">
        <v>1194</v>
      </c>
      <c r="AH181" t="s">
        <v>1195</v>
      </c>
      <c r="AI181" t="s">
        <v>1202</v>
      </c>
      <c r="AJ181" t="s">
        <v>1291</v>
      </c>
      <c r="AK181" t="s">
        <v>1292</v>
      </c>
      <c r="AL181" t="s">
        <v>1291</v>
      </c>
      <c r="AM181" t="s">
        <v>1293</v>
      </c>
      <c r="AN181" t="s">
        <v>1201</v>
      </c>
      <c r="AO181" t="s">
        <v>1292</v>
      </c>
      <c r="AP181" t="s">
        <v>1294</v>
      </c>
      <c r="AQ181" t="s">
        <v>1203</v>
      </c>
      <c r="AR181" t="s">
        <v>1201</v>
      </c>
      <c r="AS181" t="s">
        <v>1203</v>
      </c>
      <c r="AU181" t="s">
        <v>1204</v>
      </c>
      <c r="AW181" t="b">
        <v>0</v>
      </c>
      <c r="AY181" t="b">
        <v>1</v>
      </c>
      <c r="BA181" t="s">
        <v>1295</v>
      </c>
      <c r="BB181" t="s">
        <v>1206</v>
      </c>
      <c r="BC181" t="s">
        <v>1206</v>
      </c>
      <c r="BD181" t="s">
        <v>1207</v>
      </c>
      <c r="BE181" t="s">
        <v>1296</v>
      </c>
      <c r="BF181" t="s">
        <v>1297</v>
      </c>
      <c r="BG181" t="s">
        <v>1298</v>
      </c>
      <c r="BH181" t="s">
        <v>1206</v>
      </c>
      <c r="BI181" t="s">
        <v>1206</v>
      </c>
      <c r="BJ181" t="s">
        <v>1299</v>
      </c>
    </row>
    <row r="182" spans="1:62" x14ac:dyDescent="0.25">
      <c r="A182" t="s">
        <v>1177</v>
      </c>
      <c r="B182">
        <v>150154</v>
      </c>
      <c r="C182">
        <v>150154</v>
      </c>
      <c r="D182" s="112" t="s">
        <v>2605</v>
      </c>
      <c r="E182" t="s">
        <v>1119</v>
      </c>
      <c r="F182" t="s">
        <v>1178</v>
      </c>
      <c r="G182" t="s">
        <v>409</v>
      </c>
      <c r="H182" s="135" t="s">
        <v>1364</v>
      </c>
      <c r="I182">
        <v>12</v>
      </c>
      <c r="J182" t="s">
        <v>1279</v>
      </c>
      <c r="K182">
        <v>12101</v>
      </c>
      <c r="L182" t="s">
        <v>1280</v>
      </c>
      <c r="M182">
        <v>12101265</v>
      </c>
      <c r="N182" t="s">
        <v>1281</v>
      </c>
      <c r="O182">
        <v>12101265813</v>
      </c>
      <c r="P182" t="s">
        <v>1282</v>
      </c>
      <c r="Q182" s="135" t="s">
        <v>1365</v>
      </c>
      <c r="R182" t="s">
        <v>1366</v>
      </c>
      <c r="S182" s="135" t="s">
        <v>1364</v>
      </c>
      <c r="T182" t="s">
        <v>1367</v>
      </c>
      <c r="U182" t="s">
        <v>1230</v>
      </c>
      <c r="V182" t="s">
        <v>1231</v>
      </c>
      <c r="W182">
        <v>8</v>
      </c>
      <c r="X182" t="s">
        <v>1342</v>
      </c>
      <c r="Y182">
        <v>21</v>
      </c>
      <c r="Z182">
        <v>168</v>
      </c>
      <c r="AA182" t="s">
        <v>28</v>
      </c>
      <c r="AB182" t="s">
        <v>1190</v>
      </c>
      <c r="AC182">
        <v>8</v>
      </c>
      <c r="AD182" t="s">
        <v>1232</v>
      </c>
      <c r="AE182" t="s">
        <v>1192</v>
      </c>
      <c r="AF182" t="s">
        <v>1193</v>
      </c>
      <c r="AG182" t="s">
        <v>1194</v>
      </c>
      <c r="AH182" t="s">
        <v>1195</v>
      </c>
      <c r="AI182" t="s">
        <v>1202</v>
      </c>
      <c r="AJ182" t="s">
        <v>1291</v>
      </c>
      <c r="AK182" t="s">
        <v>1292</v>
      </c>
      <c r="AL182" t="s">
        <v>1291</v>
      </c>
      <c r="AM182" t="s">
        <v>1318</v>
      </c>
      <c r="AN182" t="s">
        <v>1201</v>
      </c>
      <c r="AO182" t="s">
        <v>1292</v>
      </c>
      <c r="AP182" t="s">
        <v>1319</v>
      </c>
      <c r="AQ182" t="s">
        <v>1203</v>
      </c>
      <c r="AR182" t="s">
        <v>1201</v>
      </c>
      <c r="AS182" t="s">
        <v>1203</v>
      </c>
      <c r="AU182" t="s">
        <v>1204</v>
      </c>
      <c r="AW182" t="b">
        <v>0</v>
      </c>
      <c r="AY182" t="b">
        <v>1</v>
      </c>
      <c r="BA182" t="s">
        <v>1295</v>
      </c>
      <c r="BB182" t="s">
        <v>1206</v>
      </c>
      <c r="BC182" t="s">
        <v>1206</v>
      </c>
      <c r="BD182" t="s">
        <v>1207</v>
      </c>
      <c r="BE182" t="s">
        <v>1296</v>
      </c>
      <c r="BF182" t="s">
        <v>1297</v>
      </c>
      <c r="BG182" t="s">
        <v>1298</v>
      </c>
      <c r="BH182" t="s">
        <v>1206</v>
      </c>
      <c r="BI182" t="s">
        <v>1206</v>
      </c>
      <c r="BJ182" t="s">
        <v>1299</v>
      </c>
    </row>
    <row r="183" spans="1:62" x14ac:dyDescent="0.25">
      <c r="A183" t="s">
        <v>1177</v>
      </c>
      <c r="B183">
        <v>150241</v>
      </c>
      <c r="C183">
        <v>150241</v>
      </c>
      <c r="D183" s="112" t="s">
        <v>2606</v>
      </c>
      <c r="E183" t="s">
        <v>1119</v>
      </c>
      <c r="F183" t="s">
        <v>1178</v>
      </c>
      <c r="G183" t="s">
        <v>410</v>
      </c>
      <c r="H183" s="135" t="s">
        <v>1364</v>
      </c>
      <c r="I183">
        <v>12</v>
      </c>
      <c r="J183" t="s">
        <v>1279</v>
      </c>
      <c r="K183">
        <v>12101</v>
      </c>
      <c r="L183" t="s">
        <v>1280</v>
      </c>
      <c r="M183">
        <v>12101265</v>
      </c>
      <c r="N183" t="s">
        <v>1281</v>
      </c>
      <c r="O183">
        <v>12101265813</v>
      </c>
      <c r="P183" t="s">
        <v>1282</v>
      </c>
      <c r="Q183" s="135" t="s">
        <v>1365</v>
      </c>
      <c r="R183" t="s">
        <v>1366</v>
      </c>
      <c r="S183" s="135" t="s">
        <v>1364</v>
      </c>
      <c r="T183" t="s">
        <v>1367</v>
      </c>
      <c r="U183" t="s">
        <v>1230</v>
      </c>
      <c r="V183" t="s">
        <v>1231</v>
      </c>
      <c r="W183">
        <v>8</v>
      </c>
      <c r="X183" t="s">
        <v>1342</v>
      </c>
      <c r="Y183">
        <v>21</v>
      </c>
      <c r="Z183">
        <v>168</v>
      </c>
      <c r="AA183" t="s">
        <v>28</v>
      </c>
      <c r="AB183" t="s">
        <v>1190</v>
      </c>
      <c r="AC183">
        <v>8</v>
      </c>
      <c r="AD183" t="s">
        <v>1232</v>
      </c>
      <c r="AE183" t="s">
        <v>1192</v>
      </c>
      <c r="AF183" t="s">
        <v>1193</v>
      </c>
      <c r="AG183" t="s">
        <v>1194</v>
      </c>
      <c r="AH183" t="s">
        <v>1195</v>
      </c>
      <c r="AI183" t="s">
        <v>1202</v>
      </c>
      <c r="AJ183" t="s">
        <v>1291</v>
      </c>
      <c r="AK183" t="s">
        <v>1292</v>
      </c>
      <c r="AL183" t="s">
        <v>1291</v>
      </c>
      <c r="AM183" t="s">
        <v>1318</v>
      </c>
      <c r="AN183" t="s">
        <v>1201</v>
      </c>
      <c r="AO183" t="s">
        <v>1292</v>
      </c>
      <c r="AP183" t="s">
        <v>1319</v>
      </c>
      <c r="AQ183" t="s">
        <v>1203</v>
      </c>
      <c r="AR183" t="s">
        <v>1201</v>
      </c>
      <c r="AS183" t="s">
        <v>1203</v>
      </c>
      <c r="AU183" t="s">
        <v>1204</v>
      </c>
      <c r="AW183" t="b">
        <v>0</v>
      </c>
      <c r="AY183" t="b">
        <v>1</v>
      </c>
      <c r="BA183" t="s">
        <v>1295</v>
      </c>
      <c r="BB183" t="s">
        <v>1206</v>
      </c>
      <c r="BC183" t="s">
        <v>1206</v>
      </c>
      <c r="BD183" t="s">
        <v>1207</v>
      </c>
      <c r="BE183" t="s">
        <v>1296</v>
      </c>
      <c r="BF183" t="s">
        <v>1297</v>
      </c>
      <c r="BG183" t="s">
        <v>1298</v>
      </c>
      <c r="BH183" t="s">
        <v>1206</v>
      </c>
      <c r="BI183" t="s">
        <v>1206</v>
      </c>
      <c r="BJ183" t="s">
        <v>1299</v>
      </c>
    </row>
    <row r="184" spans="1:62" x14ac:dyDescent="0.25">
      <c r="A184" t="s">
        <v>1177</v>
      </c>
      <c r="B184">
        <v>150113</v>
      </c>
      <c r="C184">
        <v>150113</v>
      </c>
      <c r="D184" s="112" t="s">
        <v>2607</v>
      </c>
      <c r="E184" t="s">
        <v>1119</v>
      </c>
      <c r="F184" t="s">
        <v>1178</v>
      </c>
      <c r="G184" t="s">
        <v>1518</v>
      </c>
      <c r="H184" s="135" t="s">
        <v>1364</v>
      </c>
      <c r="I184">
        <v>12</v>
      </c>
      <c r="J184" t="s">
        <v>1279</v>
      </c>
      <c r="K184">
        <v>12101</v>
      </c>
      <c r="L184" t="s">
        <v>1280</v>
      </c>
      <c r="M184">
        <v>12101265</v>
      </c>
      <c r="N184" t="s">
        <v>1281</v>
      </c>
      <c r="O184">
        <v>12101265813</v>
      </c>
      <c r="P184" t="s">
        <v>1282</v>
      </c>
      <c r="Q184" s="135" t="s">
        <v>1365</v>
      </c>
      <c r="R184" t="s">
        <v>1366</v>
      </c>
      <c r="S184" s="135" t="s">
        <v>1364</v>
      </c>
      <c r="T184" t="s">
        <v>1367</v>
      </c>
      <c r="U184" t="s">
        <v>1230</v>
      </c>
      <c r="V184" t="s">
        <v>1231</v>
      </c>
      <c r="W184">
        <v>8</v>
      </c>
      <c r="X184" t="s">
        <v>1342</v>
      </c>
      <c r="Y184">
        <v>21</v>
      </c>
      <c r="Z184">
        <v>168</v>
      </c>
      <c r="AA184" t="s">
        <v>28</v>
      </c>
      <c r="AB184" t="s">
        <v>1190</v>
      </c>
      <c r="AC184">
        <v>8</v>
      </c>
      <c r="AD184" t="s">
        <v>1232</v>
      </c>
      <c r="AE184" t="s">
        <v>1192</v>
      </c>
      <c r="AF184" t="s">
        <v>1193</v>
      </c>
      <c r="AG184" t="s">
        <v>1194</v>
      </c>
      <c r="AH184" t="s">
        <v>1195</v>
      </c>
      <c r="AI184" t="s">
        <v>1202</v>
      </c>
      <c r="AJ184" t="s">
        <v>1291</v>
      </c>
      <c r="AK184" t="s">
        <v>1292</v>
      </c>
      <c r="AL184" t="s">
        <v>1291</v>
      </c>
      <c r="AM184" t="s">
        <v>1318</v>
      </c>
      <c r="AN184" t="s">
        <v>1201</v>
      </c>
      <c r="AO184" t="s">
        <v>1292</v>
      </c>
      <c r="AP184" t="s">
        <v>1319</v>
      </c>
      <c r="AQ184" t="s">
        <v>1203</v>
      </c>
      <c r="AR184" t="s">
        <v>1201</v>
      </c>
      <c r="AS184" t="s">
        <v>1203</v>
      </c>
      <c r="AU184" t="s">
        <v>1204</v>
      </c>
      <c r="AW184" t="b">
        <v>0</v>
      </c>
      <c r="AY184" t="b">
        <v>1</v>
      </c>
      <c r="BA184" t="s">
        <v>1295</v>
      </c>
      <c r="BB184" t="s">
        <v>1206</v>
      </c>
      <c r="BC184" t="s">
        <v>1206</v>
      </c>
      <c r="BD184" t="s">
        <v>1207</v>
      </c>
      <c r="BE184" t="s">
        <v>1296</v>
      </c>
      <c r="BF184" t="s">
        <v>1297</v>
      </c>
      <c r="BG184" t="s">
        <v>1298</v>
      </c>
      <c r="BH184" t="s">
        <v>1206</v>
      </c>
      <c r="BI184" t="s">
        <v>1206</v>
      </c>
      <c r="BJ184" t="s">
        <v>1299</v>
      </c>
    </row>
    <row r="185" spans="1:62" x14ac:dyDescent="0.25">
      <c r="A185" t="s">
        <v>1177</v>
      </c>
      <c r="B185">
        <v>150211</v>
      </c>
      <c r="C185">
        <v>150211</v>
      </c>
      <c r="D185" s="112" t="s">
        <v>2608</v>
      </c>
      <c r="E185" t="s">
        <v>1119</v>
      </c>
      <c r="F185" t="s">
        <v>1178</v>
      </c>
      <c r="G185" t="s">
        <v>412</v>
      </c>
      <c r="H185" s="135" t="s">
        <v>1370</v>
      </c>
      <c r="I185">
        <v>12</v>
      </c>
      <c r="J185" t="s">
        <v>1279</v>
      </c>
      <c r="K185">
        <v>12101</v>
      </c>
      <c r="L185" t="s">
        <v>1280</v>
      </c>
      <c r="M185">
        <v>12101265</v>
      </c>
      <c r="N185" t="s">
        <v>1281</v>
      </c>
      <c r="O185">
        <v>12101265813</v>
      </c>
      <c r="P185" t="s">
        <v>1282</v>
      </c>
      <c r="Q185" s="135" t="s">
        <v>1371</v>
      </c>
      <c r="R185" t="s">
        <v>1372</v>
      </c>
      <c r="S185" s="135" t="s">
        <v>1370</v>
      </c>
      <c r="T185" t="s">
        <v>1373</v>
      </c>
      <c r="U185" t="s">
        <v>1230</v>
      </c>
      <c r="V185" t="s">
        <v>1231</v>
      </c>
      <c r="W185">
        <v>15</v>
      </c>
      <c r="X185" t="s">
        <v>1342</v>
      </c>
      <c r="Y185">
        <v>30</v>
      </c>
      <c r="Z185">
        <v>450</v>
      </c>
      <c r="AA185" t="s">
        <v>28</v>
      </c>
      <c r="AB185" t="s">
        <v>1190</v>
      </c>
      <c r="AC185">
        <v>15</v>
      </c>
      <c r="AD185" t="s">
        <v>1232</v>
      </c>
      <c r="AE185" t="s">
        <v>1192</v>
      </c>
      <c r="AF185" t="s">
        <v>1193</v>
      </c>
      <c r="AG185" t="s">
        <v>1194</v>
      </c>
      <c r="AH185" t="s">
        <v>1195</v>
      </c>
      <c r="AI185" t="s">
        <v>1202</v>
      </c>
      <c r="AJ185" t="s">
        <v>1291</v>
      </c>
      <c r="AK185" t="s">
        <v>1292</v>
      </c>
      <c r="AL185" t="s">
        <v>1291</v>
      </c>
      <c r="AM185" t="s">
        <v>1293</v>
      </c>
      <c r="AN185" t="s">
        <v>1201</v>
      </c>
      <c r="AO185" t="s">
        <v>1292</v>
      </c>
      <c r="AP185" t="s">
        <v>1294</v>
      </c>
      <c r="AQ185" t="s">
        <v>1203</v>
      </c>
      <c r="AR185" t="s">
        <v>1201</v>
      </c>
      <c r="AS185" t="s">
        <v>1203</v>
      </c>
      <c r="AU185" t="s">
        <v>1204</v>
      </c>
      <c r="AW185" t="b">
        <v>0</v>
      </c>
      <c r="AY185" t="b">
        <v>1</v>
      </c>
      <c r="BA185" t="s">
        <v>1295</v>
      </c>
      <c r="BB185" t="s">
        <v>1206</v>
      </c>
      <c r="BC185" t="s">
        <v>1206</v>
      </c>
      <c r="BD185" t="s">
        <v>1207</v>
      </c>
      <c r="BE185" t="s">
        <v>1296</v>
      </c>
      <c r="BF185" t="s">
        <v>1297</v>
      </c>
      <c r="BG185" t="s">
        <v>1298</v>
      </c>
      <c r="BH185" t="s">
        <v>1206</v>
      </c>
      <c r="BI185" t="s">
        <v>1206</v>
      </c>
      <c r="BJ185" t="s">
        <v>1299</v>
      </c>
    </row>
    <row r="186" spans="1:62" x14ac:dyDescent="0.25">
      <c r="A186" t="s">
        <v>1177</v>
      </c>
      <c r="B186">
        <v>150240</v>
      </c>
      <c r="C186">
        <v>150240</v>
      </c>
      <c r="D186" s="112" t="s">
        <v>2609</v>
      </c>
      <c r="E186" t="s">
        <v>1119</v>
      </c>
      <c r="F186" t="s">
        <v>1178</v>
      </c>
      <c r="G186" t="s">
        <v>413</v>
      </c>
      <c r="H186" s="135" t="s">
        <v>1370</v>
      </c>
      <c r="I186">
        <v>12</v>
      </c>
      <c r="J186" t="s">
        <v>1279</v>
      </c>
      <c r="K186">
        <v>12101</v>
      </c>
      <c r="L186" t="s">
        <v>1280</v>
      </c>
      <c r="M186">
        <v>12101265</v>
      </c>
      <c r="N186" t="s">
        <v>1281</v>
      </c>
      <c r="O186">
        <v>12101265813</v>
      </c>
      <c r="P186" t="s">
        <v>1282</v>
      </c>
      <c r="Q186" s="135" t="s">
        <v>1371</v>
      </c>
      <c r="R186" t="s">
        <v>1372</v>
      </c>
      <c r="S186" s="135" t="s">
        <v>1370</v>
      </c>
      <c r="T186" t="s">
        <v>1373</v>
      </c>
      <c r="U186" t="s">
        <v>1230</v>
      </c>
      <c r="V186" t="s">
        <v>1231</v>
      </c>
      <c r="W186">
        <v>15</v>
      </c>
      <c r="X186" t="s">
        <v>1342</v>
      </c>
      <c r="Y186">
        <v>30</v>
      </c>
      <c r="Z186">
        <v>450</v>
      </c>
      <c r="AA186" t="s">
        <v>28</v>
      </c>
      <c r="AB186" t="s">
        <v>1190</v>
      </c>
      <c r="AC186">
        <v>15</v>
      </c>
      <c r="AD186" t="s">
        <v>1232</v>
      </c>
      <c r="AE186" t="s">
        <v>1192</v>
      </c>
      <c r="AF186" t="s">
        <v>1193</v>
      </c>
      <c r="AG186" t="s">
        <v>1194</v>
      </c>
      <c r="AH186" t="s">
        <v>1195</v>
      </c>
      <c r="AI186" t="s">
        <v>1202</v>
      </c>
      <c r="AJ186" t="s">
        <v>1291</v>
      </c>
      <c r="AK186" t="s">
        <v>1292</v>
      </c>
      <c r="AL186" t="s">
        <v>1291</v>
      </c>
      <c r="AM186" t="s">
        <v>1318</v>
      </c>
      <c r="AN186" t="s">
        <v>1201</v>
      </c>
      <c r="AO186" t="s">
        <v>1292</v>
      </c>
      <c r="AP186" t="s">
        <v>1319</v>
      </c>
      <c r="AQ186" t="s">
        <v>1203</v>
      </c>
      <c r="AR186" t="s">
        <v>1201</v>
      </c>
      <c r="AS186" t="s">
        <v>1203</v>
      </c>
      <c r="AU186" t="s">
        <v>1204</v>
      </c>
      <c r="AW186" t="b">
        <v>0</v>
      </c>
      <c r="AY186" t="b">
        <v>1</v>
      </c>
      <c r="BA186" t="s">
        <v>1295</v>
      </c>
      <c r="BB186" t="s">
        <v>1206</v>
      </c>
      <c r="BC186" t="s">
        <v>1206</v>
      </c>
      <c r="BD186" t="s">
        <v>1207</v>
      </c>
      <c r="BE186" t="s">
        <v>1296</v>
      </c>
      <c r="BF186" t="s">
        <v>1297</v>
      </c>
      <c r="BG186" t="s">
        <v>1298</v>
      </c>
      <c r="BH186" t="s">
        <v>1206</v>
      </c>
      <c r="BI186" t="s">
        <v>1206</v>
      </c>
      <c r="BJ186" t="s">
        <v>1299</v>
      </c>
    </row>
    <row r="187" spans="1:62" x14ac:dyDescent="0.25">
      <c r="A187" t="s">
        <v>1177</v>
      </c>
      <c r="B187">
        <v>150259</v>
      </c>
      <c r="C187">
        <v>150259</v>
      </c>
      <c r="D187" s="112" t="s">
        <v>2610</v>
      </c>
      <c r="E187" t="s">
        <v>1119</v>
      </c>
      <c r="F187" t="s">
        <v>1178</v>
      </c>
      <c r="G187" t="s">
        <v>1519</v>
      </c>
      <c r="H187" s="135" t="s">
        <v>1370</v>
      </c>
      <c r="I187">
        <v>12</v>
      </c>
      <c r="J187" t="s">
        <v>1279</v>
      </c>
      <c r="K187">
        <v>12101</v>
      </c>
      <c r="L187" t="s">
        <v>1280</v>
      </c>
      <c r="M187">
        <v>12101265</v>
      </c>
      <c r="N187" t="s">
        <v>1281</v>
      </c>
      <c r="O187">
        <v>12101265813</v>
      </c>
      <c r="P187" t="s">
        <v>1282</v>
      </c>
      <c r="Q187" s="135" t="s">
        <v>1371</v>
      </c>
      <c r="R187" t="s">
        <v>1372</v>
      </c>
      <c r="S187" s="135" t="s">
        <v>1370</v>
      </c>
      <c r="T187" t="s">
        <v>1373</v>
      </c>
      <c r="U187" t="s">
        <v>1230</v>
      </c>
      <c r="V187" t="s">
        <v>1231</v>
      </c>
      <c r="W187">
        <v>15</v>
      </c>
      <c r="X187" t="s">
        <v>1342</v>
      </c>
      <c r="Y187">
        <v>30</v>
      </c>
      <c r="Z187">
        <v>450</v>
      </c>
      <c r="AA187" t="s">
        <v>28</v>
      </c>
      <c r="AB187" t="s">
        <v>1190</v>
      </c>
      <c r="AC187">
        <v>15</v>
      </c>
      <c r="AD187" t="s">
        <v>1232</v>
      </c>
      <c r="AE187" t="s">
        <v>1192</v>
      </c>
      <c r="AF187" t="s">
        <v>1193</v>
      </c>
      <c r="AG187" t="s">
        <v>1194</v>
      </c>
      <c r="AH187" t="s">
        <v>1195</v>
      </c>
      <c r="AI187" t="s">
        <v>1202</v>
      </c>
      <c r="AJ187" t="s">
        <v>1291</v>
      </c>
      <c r="AK187" t="s">
        <v>1292</v>
      </c>
      <c r="AL187" t="s">
        <v>1291</v>
      </c>
      <c r="AM187" t="s">
        <v>1318</v>
      </c>
      <c r="AN187" t="s">
        <v>1201</v>
      </c>
      <c r="AO187" t="s">
        <v>1292</v>
      </c>
      <c r="AP187" t="s">
        <v>1319</v>
      </c>
      <c r="AQ187" t="s">
        <v>1203</v>
      </c>
      <c r="AR187" t="s">
        <v>1201</v>
      </c>
      <c r="AS187" t="s">
        <v>1203</v>
      </c>
      <c r="AU187" t="s">
        <v>1204</v>
      </c>
      <c r="AW187" t="b">
        <v>0</v>
      </c>
      <c r="AY187" t="b">
        <v>1</v>
      </c>
      <c r="BA187" t="s">
        <v>1295</v>
      </c>
      <c r="BB187" t="s">
        <v>1206</v>
      </c>
      <c r="BC187" t="s">
        <v>1206</v>
      </c>
      <c r="BD187" t="s">
        <v>1207</v>
      </c>
      <c r="BE187" t="s">
        <v>1296</v>
      </c>
      <c r="BF187" t="s">
        <v>1297</v>
      </c>
      <c r="BG187" t="s">
        <v>1298</v>
      </c>
      <c r="BH187" t="s">
        <v>1206</v>
      </c>
      <c r="BI187" t="s">
        <v>1206</v>
      </c>
      <c r="BJ187" t="s">
        <v>1299</v>
      </c>
    </row>
    <row r="188" spans="1:62" x14ac:dyDescent="0.25">
      <c r="A188" t="s">
        <v>1177</v>
      </c>
      <c r="B188">
        <v>150130</v>
      </c>
      <c r="C188">
        <v>150130</v>
      </c>
      <c r="D188" s="112" t="s">
        <v>2611</v>
      </c>
      <c r="E188" t="s">
        <v>1119</v>
      </c>
      <c r="F188" t="s">
        <v>1178</v>
      </c>
      <c r="G188" t="s">
        <v>1520</v>
      </c>
      <c r="H188" s="135" t="s">
        <v>1463</v>
      </c>
      <c r="I188">
        <v>12</v>
      </c>
      <c r="J188" t="s">
        <v>1279</v>
      </c>
      <c r="K188">
        <v>12101</v>
      </c>
      <c r="L188" t="s">
        <v>1280</v>
      </c>
      <c r="M188">
        <v>12101265</v>
      </c>
      <c r="N188" t="s">
        <v>1281</v>
      </c>
      <c r="O188">
        <v>12101265813</v>
      </c>
      <c r="P188" t="s">
        <v>1282</v>
      </c>
      <c r="Q188" s="135" t="s">
        <v>1464</v>
      </c>
      <c r="R188" t="s">
        <v>1465</v>
      </c>
      <c r="S188" s="135" t="s">
        <v>1463</v>
      </c>
      <c r="T188" t="s">
        <v>1466</v>
      </c>
      <c r="U188" t="s">
        <v>1230</v>
      </c>
      <c r="V188" t="s">
        <v>1231</v>
      </c>
      <c r="W188">
        <v>18</v>
      </c>
      <c r="X188" t="s">
        <v>1342</v>
      </c>
      <c r="Y188">
        <v>30</v>
      </c>
      <c r="Z188">
        <v>540</v>
      </c>
      <c r="AA188" t="s">
        <v>28</v>
      </c>
      <c r="AB188" t="s">
        <v>1190</v>
      </c>
      <c r="AC188">
        <v>18</v>
      </c>
      <c r="AD188" t="s">
        <v>1232</v>
      </c>
      <c r="AE188" t="s">
        <v>1192</v>
      </c>
      <c r="AF188" t="s">
        <v>1193</v>
      </c>
      <c r="AG188" t="s">
        <v>1194</v>
      </c>
      <c r="AH188" t="s">
        <v>1195</v>
      </c>
      <c r="AI188" t="s">
        <v>1202</v>
      </c>
      <c r="AJ188" t="s">
        <v>1291</v>
      </c>
      <c r="AK188" t="s">
        <v>1292</v>
      </c>
      <c r="AL188" t="s">
        <v>1291</v>
      </c>
      <c r="AM188" t="s">
        <v>1318</v>
      </c>
      <c r="AN188" t="s">
        <v>1201</v>
      </c>
      <c r="AO188" t="s">
        <v>1292</v>
      </c>
      <c r="AP188" t="s">
        <v>1319</v>
      </c>
      <c r="AQ188" t="s">
        <v>1203</v>
      </c>
      <c r="AR188" t="s">
        <v>1201</v>
      </c>
      <c r="AS188" t="s">
        <v>1203</v>
      </c>
      <c r="AU188" t="s">
        <v>1204</v>
      </c>
      <c r="AW188" t="b">
        <v>0</v>
      </c>
      <c r="AY188" t="b">
        <v>1</v>
      </c>
      <c r="BA188" t="s">
        <v>1295</v>
      </c>
      <c r="BB188" t="s">
        <v>1206</v>
      </c>
      <c r="BC188" t="s">
        <v>1206</v>
      </c>
      <c r="BD188" t="s">
        <v>1207</v>
      </c>
      <c r="BE188" t="s">
        <v>1296</v>
      </c>
      <c r="BF188" t="s">
        <v>1297</v>
      </c>
      <c r="BG188" t="s">
        <v>1298</v>
      </c>
      <c r="BH188" t="s">
        <v>1206</v>
      </c>
      <c r="BI188" t="s">
        <v>1206</v>
      </c>
      <c r="BJ188" t="s">
        <v>1299</v>
      </c>
    </row>
    <row r="189" spans="1:62" x14ac:dyDescent="0.25">
      <c r="A189" t="s">
        <v>1177</v>
      </c>
      <c r="B189">
        <v>150111</v>
      </c>
      <c r="C189">
        <v>150111</v>
      </c>
      <c r="D189" s="112" t="s">
        <v>2612</v>
      </c>
      <c r="E189" t="s">
        <v>1119</v>
      </c>
      <c r="F189" t="s">
        <v>1178</v>
      </c>
      <c r="G189" t="s">
        <v>1521</v>
      </c>
      <c r="H189" s="135" t="s">
        <v>1498</v>
      </c>
      <c r="I189">
        <v>12</v>
      </c>
      <c r="J189" t="s">
        <v>1279</v>
      </c>
      <c r="K189">
        <v>12101</v>
      </c>
      <c r="L189" t="s">
        <v>1280</v>
      </c>
      <c r="M189">
        <v>12101265</v>
      </c>
      <c r="N189" t="s">
        <v>1281</v>
      </c>
      <c r="O189">
        <v>12101265813</v>
      </c>
      <c r="P189" t="s">
        <v>1282</v>
      </c>
      <c r="Q189" s="135" t="s">
        <v>1499</v>
      </c>
      <c r="R189" t="s">
        <v>1500</v>
      </c>
      <c r="S189" s="135" t="s">
        <v>1498</v>
      </c>
      <c r="T189" t="s">
        <v>1501</v>
      </c>
      <c r="U189" t="s">
        <v>1230</v>
      </c>
      <c r="V189" t="s">
        <v>1231</v>
      </c>
      <c r="W189">
        <v>20</v>
      </c>
      <c r="X189" t="s">
        <v>1342</v>
      </c>
      <c r="Y189">
        <v>30</v>
      </c>
      <c r="Z189">
        <v>600</v>
      </c>
      <c r="AA189" t="s">
        <v>28</v>
      </c>
      <c r="AB189" t="s">
        <v>1190</v>
      </c>
      <c r="AC189">
        <v>20</v>
      </c>
      <c r="AD189" t="s">
        <v>1232</v>
      </c>
      <c r="AE189" t="s">
        <v>1192</v>
      </c>
      <c r="AF189" t="s">
        <v>1193</v>
      </c>
      <c r="AG189" t="s">
        <v>1194</v>
      </c>
      <c r="AH189" t="s">
        <v>1195</v>
      </c>
      <c r="AI189" t="s">
        <v>1202</v>
      </c>
      <c r="AJ189" t="s">
        <v>1291</v>
      </c>
      <c r="AK189" t="s">
        <v>1292</v>
      </c>
      <c r="AL189" t="s">
        <v>1291</v>
      </c>
      <c r="AM189" t="s">
        <v>1318</v>
      </c>
      <c r="AN189" t="s">
        <v>1201</v>
      </c>
      <c r="AO189" t="s">
        <v>1292</v>
      </c>
      <c r="AP189" t="s">
        <v>1319</v>
      </c>
      <c r="AQ189" t="s">
        <v>1203</v>
      </c>
      <c r="AR189" t="s">
        <v>1201</v>
      </c>
      <c r="AS189" t="s">
        <v>1203</v>
      </c>
      <c r="AU189" t="s">
        <v>1204</v>
      </c>
      <c r="AW189" t="b">
        <v>0</v>
      </c>
      <c r="AY189" t="b">
        <v>1</v>
      </c>
      <c r="BA189" t="s">
        <v>1295</v>
      </c>
      <c r="BB189" t="s">
        <v>1206</v>
      </c>
      <c r="BC189" t="s">
        <v>1206</v>
      </c>
      <c r="BD189" t="s">
        <v>1207</v>
      </c>
      <c r="BE189" t="s">
        <v>1296</v>
      </c>
      <c r="BF189" t="s">
        <v>1297</v>
      </c>
      <c r="BG189" t="s">
        <v>1298</v>
      </c>
      <c r="BH189" t="s">
        <v>1206</v>
      </c>
      <c r="BI189" t="s">
        <v>1206</v>
      </c>
      <c r="BJ189" t="s">
        <v>1299</v>
      </c>
    </row>
    <row r="190" spans="1:62" x14ac:dyDescent="0.25">
      <c r="A190" t="s">
        <v>1177</v>
      </c>
      <c r="B190">
        <v>150079</v>
      </c>
      <c r="C190">
        <v>150079</v>
      </c>
      <c r="D190" s="112" t="s">
        <v>2613</v>
      </c>
      <c r="E190" t="s">
        <v>1119</v>
      </c>
      <c r="F190" t="s">
        <v>1178</v>
      </c>
      <c r="G190" t="s">
        <v>1522</v>
      </c>
      <c r="H190" s="135" t="s">
        <v>1306</v>
      </c>
      <c r="I190">
        <v>12</v>
      </c>
      <c r="J190" t="s">
        <v>1279</v>
      </c>
      <c r="K190">
        <v>12101</v>
      </c>
      <c r="L190" t="s">
        <v>1280</v>
      </c>
      <c r="M190">
        <v>12101265</v>
      </c>
      <c r="N190" t="s">
        <v>1281</v>
      </c>
      <c r="O190">
        <v>12101265813</v>
      </c>
      <c r="P190" t="s">
        <v>1282</v>
      </c>
      <c r="Q190" s="135" t="s">
        <v>1307</v>
      </c>
      <c r="R190" t="s">
        <v>1308</v>
      </c>
      <c r="S190" s="135" t="s">
        <v>1306</v>
      </c>
      <c r="T190" t="s">
        <v>1309</v>
      </c>
      <c r="U190" t="s">
        <v>1310</v>
      </c>
      <c r="V190" t="s">
        <v>1311</v>
      </c>
      <c r="W190">
        <v>1</v>
      </c>
      <c r="X190" t="s">
        <v>1288</v>
      </c>
      <c r="Y190">
        <v>6</v>
      </c>
      <c r="Z190">
        <v>6</v>
      </c>
      <c r="AA190" t="s">
        <v>28</v>
      </c>
      <c r="AB190" t="s">
        <v>1190</v>
      </c>
      <c r="AC190">
        <v>1000</v>
      </c>
      <c r="AD190" t="s">
        <v>1191</v>
      </c>
      <c r="AE190" t="s">
        <v>1290</v>
      </c>
      <c r="AF190" t="s">
        <v>1193</v>
      </c>
      <c r="AG190" t="s">
        <v>1194</v>
      </c>
      <c r="AH190" t="s">
        <v>1195</v>
      </c>
      <c r="AI190" t="s">
        <v>1202</v>
      </c>
      <c r="AJ190" t="s">
        <v>1291</v>
      </c>
      <c r="AK190" t="s">
        <v>1292</v>
      </c>
      <c r="AL190" t="s">
        <v>1291</v>
      </c>
      <c r="AM190" t="s">
        <v>1318</v>
      </c>
      <c r="AN190" t="s">
        <v>1201</v>
      </c>
      <c r="AO190" t="s">
        <v>1292</v>
      </c>
      <c r="AP190" t="s">
        <v>1319</v>
      </c>
      <c r="AQ190" t="s">
        <v>1203</v>
      </c>
      <c r="AR190" t="s">
        <v>1201</v>
      </c>
      <c r="AS190" t="s">
        <v>1203</v>
      </c>
      <c r="AU190" t="s">
        <v>1204</v>
      </c>
      <c r="AW190" t="b">
        <v>0</v>
      </c>
      <c r="AY190" t="b">
        <v>1</v>
      </c>
      <c r="BA190" t="s">
        <v>1295</v>
      </c>
      <c r="BB190" t="s">
        <v>1206</v>
      </c>
      <c r="BC190" t="s">
        <v>1206</v>
      </c>
      <c r="BD190" t="s">
        <v>1207</v>
      </c>
      <c r="BE190" t="s">
        <v>1296</v>
      </c>
      <c r="BF190" t="s">
        <v>1297</v>
      </c>
      <c r="BG190" t="s">
        <v>1298</v>
      </c>
      <c r="BH190" t="s">
        <v>1206</v>
      </c>
      <c r="BI190" t="s">
        <v>1206</v>
      </c>
      <c r="BJ190" t="s">
        <v>1299</v>
      </c>
    </row>
    <row r="191" spans="1:62" x14ac:dyDescent="0.25">
      <c r="A191" t="s">
        <v>1177</v>
      </c>
      <c r="B191">
        <v>150076</v>
      </c>
      <c r="C191">
        <v>150076</v>
      </c>
      <c r="D191" s="112" t="s">
        <v>2614</v>
      </c>
      <c r="E191" t="s">
        <v>1119</v>
      </c>
      <c r="F191" t="s">
        <v>1178</v>
      </c>
      <c r="G191" t="s">
        <v>1523</v>
      </c>
      <c r="H191" s="135" t="s">
        <v>1468</v>
      </c>
      <c r="I191">
        <v>12</v>
      </c>
      <c r="J191" t="s">
        <v>1279</v>
      </c>
      <c r="K191">
        <v>12101</v>
      </c>
      <c r="L191" t="s">
        <v>1280</v>
      </c>
      <c r="M191">
        <v>12101265</v>
      </c>
      <c r="N191" t="s">
        <v>1281</v>
      </c>
      <c r="O191">
        <v>12101265813</v>
      </c>
      <c r="P191" t="s">
        <v>1282</v>
      </c>
      <c r="Q191" s="135" t="s">
        <v>1469</v>
      </c>
      <c r="R191" t="s">
        <v>1470</v>
      </c>
      <c r="S191" s="135" t="s">
        <v>1468</v>
      </c>
      <c r="T191" t="s">
        <v>1471</v>
      </c>
      <c r="U191" t="s">
        <v>1237</v>
      </c>
      <c r="V191" t="s">
        <v>1238</v>
      </c>
      <c r="W191">
        <v>275</v>
      </c>
      <c r="X191" t="s">
        <v>1189</v>
      </c>
      <c r="Y191">
        <v>24</v>
      </c>
      <c r="Z191">
        <v>6600</v>
      </c>
      <c r="AA191" t="s">
        <v>28</v>
      </c>
      <c r="AB191" t="s">
        <v>1190</v>
      </c>
      <c r="AC191">
        <v>275</v>
      </c>
      <c r="AD191" t="s">
        <v>1191</v>
      </c>
      <c r="AE191" t="s">
        <v>1192</v>
      </c>
      <c r="AF191" t="s">
        <v>1193</v>
      </c>
      <c r="AG191" t="s">
        <v>1194</v>
      </c>
      <c r="AH191" t="s">
        <v>1195</v>
      </c>
      <c r="AI191" t="s">
        <v>1202</v>
      </c>
      <c r="AJ191" t="s">
        <v>1291</v>
      </c>
      <c r="AK191" t="s">
        <v>1292</v>
      </c>
      <c r="AL191" t="s">
        <v>1291</v>
      </c>
      <c r="AM191" t="s">
        <v>1293</v>
      </c>
      <c r="AN191" t="s">
        <v>1201</v>
      </c>
      <c r="AO191" t="s">
        <v>1292</v>
      </c>
      <c r="AP191" t="s">
        <v>1294</v>
      </c>
      <c r="AQ191" t="s">
        <v>1203</v>
      </c>
      <c r="AR191" t="s">
        <v>1201</v>
      </c>
      <c r="AS191" t="s">
        <v>1203</v>
      </c>
      <c r="AU191" t="s">
        <v>1204</v>
      </c>
      <c r="AW191" t="b">
        <v>0</v>
      </c>
      <c r="AY191" t="b">
        <v>1</v>
      </c>
      <c r="BA191" t="s">
        <v>1295</v>
      </c>
      <c r="BB191" t="s">
        <v>1206</v>
      </c>
      <c r="BC191" t="s">
        <v>1206</v>
      </c>
      <c r="BD191" t="s">
        <v>1207</v>
      </c>
      <c r="BE191" t="s">
        <v>1296</v>
      </c>
      <c r="BF191" t="s">
        <v>1297</v>
      </c>
      <c r="BG191" t="s">
        <v>1298</v>
      </c>
      <c r="BH191" t="s">
        <v>1206</v>
      </c>
      <c r="BI191" t="s">
        <v>1206</v>
      </c>
      <c r="BJ191" t="s">
        <v>1299</v>
      </c>
    </row>
    <row r="192" spans="1:62" x14ac:dyDescent="0.25">
      <c r="A192" t="s">
        <v>1177</v>
      </c>
      <c r="B192">
        <v>150081</v>
      </c>
      <c r="C192">
        <v>150081</v>
      </c>
      <c r="D192" s="112" t="s">
        <v>2615</v>
      </c>
      <c r="E192" t="s">
        <v>1119</v>
      </c>
      <c r="F192" t="s">
        <v>1178</v>
      </c>
      <c r="G192" t="s">
        <v>425</v>
      </c>
      <c r="H192" s="135" t="s">
        <v>1344</v>
      </c>
      <c r="I192">
        <v>12</v>
      </c>
      <c r="J192" t="s">
        <v>1279</v>
      </c>
      <c r="K192">
        <v>12101</v>
      </c>
      <c r="L192" t="s">
        <v>1280</v>
      </c>
      <c r="M192">
        <v>12101265</v>
      </c>
      <c r="N192" t="s">
        <v>1281</v>
      </c>
      <c r="O192">
        <v>12101265813</v>
      </c>
      <c r="P192" t="s">
        <v>1282</v>
      </c>
      <c r="Q192" s="135" t="s">
        <v>1345</v>
      </c>
      <c r="R192" t="s">
        <v>1346</v>
      </c>
      <c r="S192" s="135" t="s">
        <v>1344</v>
      </c>
      <c r="T192" t="s">
        <v>1347</v>
      </c>
      <c r="U192" t="s">
        <v>1187</v>
      </c>
      <c r="V192" t="s">
        <v>1188</v>
      </c>
      <c r="W192">
        <v>335</v>
      </c>
      <c r="X192" t="s">
        <v>1189</v>
      </c>
      <c r="Y192">
        <v>24</v>
      </c>
      <c r="Z192">
        <v>8040</v>
      </c>
      <c r="AA192" t="s">
        <v>28</v>
      </c>
      <c r="AB192" t="s">
        <v>1190</v>
      </c>
      <c r="AC192">
        <v>335</v>
      </c>
      <c r="AD192" t="s">
        <v>1191</v>
      </c>
      <c r="AE192" t="s">
        <v>1192</v>
      </c>
      <c r="AF192" t="s">
        <v>1193</v>
      </c>
      <c r="AG192" t="s">
        <v>1194</v>
      </c>
      <c r="AH192" t="s">
        <v>1195</v>
      </c>
      <c r="AI192" t="s">
        <v>1202</v>
      </c>
      <c r="AJ192" t="s">
        <v>1291</v>
      </c>
      <c r="AK192" t="s">
        <v>1292</v>
      </c>
      <c r="AL192" t="s">
        <v>1291</v>
      </c>
      <c r="AM192" t="s">
        <v>1318</v>
      </c>
      <c r="AN192" t="s">
        <v>1201</v>
      </c>
      <c r="AO192" t="s">
        <v>1292</v>
      </c>
      <c r="AP192" t="s">
        <v>1319</v>
      </c>
      <c r="AQ192" t="s">
        <v>1203</v>
      </c>
      <c r="AR192" t="s">
        <v>1201</v>
      </c>
      <c r="AS192" t="s">
        <v>1203</v>
      </c>
      <c r="AU192" t="s">
        <v>1204</v>
      </c>
      <c r="AW192" t="b">
        <v>0</v>
      </c>
      <c r="AY192" t="b">
        <v>0</v>
      </c>
      <c r="BA192" t="s">
        <v>1295</v>
      </c>
      <c r="BB192" t="s">
        <v>1206</v>
      </c>
      <c r="BC192" t="s">
        <v>1206</v>
      </c>
      <c r="BD192" t="s">
        <v>1207</v>
      </c>
      <c r="BE192" t="s">
        <v>1296</v>
      </c>
      <c r="BF192" t="s">
        <v>1297</v>
      </c>
      <c r="BG192" t="s">
        <v>1298</v>
      </c>
      <c r="BH192" t="s">
        <v>1206</v>
      </c>
      <c r="BI192" t="s">
        <v>1206</v>
      </c>
      <c r="BJ192" t="s">
        <v>1299</v>
      </c>
    </row>
    <row r="193" spans="1:62" x14ac:dyDescent="0.25">
      <c r="A193" t="s">
        <v>1177</v>
      </c>
      <c r="B193">
        <v>150069</v>
      </c>
      <c r="C193">
        <v>150069</v>
      </c>
      <c r="D193" s="112" t="s">
        <v>2616</v>
      </c>
      <c r="E193" t="s">
        <v>1119</v>
      </c>
      <c r="F193" t="s">
        <v>1178</v>
      </c>
      <c r="G193" t="s">
        <v>1524</v>
      </c>
      <c r="H193" s="135" t="s">
        <v>1432</v>
      </c>
      <c r="I193">
        <v>12</v>
      </c>
      <c r="J193" t="s">
        <v>1279</v>
      </c>
      <c r="K193">
        <v>12101</v>
      </c>
      <c r="L193" t="s">
        <v>1280</v>
      </c>
      <c r="M193">
        <v>12101265</v>
      </c>
      <c r="N193" t="s">
        <v>1281</v>
      </c>
      <c r="O193">
        <v>12101265813</v>
      </c>
      <c r="P193" t="s">
        <v>1282</v>
      </c>
      <c r="Q193" s="135" t="s">
        <v>1433</v>
      </c>
      <c r="R193" t="s">
        <v>1434</v>
      </c>
      <c r="S193" s="135" t="s">
        <v>1432</v>
      </c>
      <c r="T193" t="s">
        <v>1435</v>
      </c>
      <c r="U193" t="s">
        <v>1237</v>
      </c>
      <c r="V193" t="s">
        <v>1238</v>
      </c>
      <c r="W193">
        <v>135</v>
      </c>
      <c r="X193" t="s">
        <v>1189</v>
      </c>
      <c r="Y193">
        <v>48</v>
      </c>
      <c r="Z193">
        <v>6480</v>
      </c>
      <c r="AA193" t="s">
        <v>28</v>
      </c>
      <c r="AB193" t="s">
        <v>1190</v>
      </c>
      <c r="AC193">
        <v>135</v>
      </c>
      <c r="AD193" t="s">
        <v>1191</v>
      </c>
      <c r="AE193" t="s">
        <v>1192</v>
      </c>
      <c r="AF193" t="s">
        <v>1193</v>
      </c>
      <c r="AG193" t="s">
        <v>1194</v>
      </c>
      <c r="AH193" t="s">
        <v>1195</v>
      </c>
      <c r="AI193" t="s">
        <v>1202</v>
      </c>
      <c r="AJ193" t="s">
        <v>1291</v>
      </c>
      <c r="AK193" t="s">
        <v>1292</v>
      </c>
      <c r="AL193" t="s">
        <v>1291</v>
      </c>
      <c r="AM193" t="s">
        <v>1318</v>
      </c>
      <c r="AN193" t="s">
        <v>1201</v>
      </c>
      <c r="AO193" t="s">
        <v>1292</v>
      </c>
      <c r="AP193" t="s">
        <v>1319</v>
      </c>
      <c r="AQ193" t="s">
        <v>1203</v>
      </c>
      <c r="AR193" t="s">
        <v>1201</v>
      </c>
      <c r="AS193" t="s">
        <v>1203</v>
      </c>
      <c r="AU193" t="s">
        <v>1204</v>
      </c>
      <c r="AW193" t="b">
        <v>0</v>
      </c>
      <c r="AY193" t="b">
        <v>0</v>
      </c>
      <c r="BA193" t="s">
        <v>1295</v>
      </c>
      <c r="BB193" t="s">
        <v>1206</v>
      </c>
      <c r="BC193" t="s">
        <v>1206</v>
      </c>
      <c r="BD193" t="s">
        <v>1207</v>
      </c>
      <c r="BE193" t="s">
        <v>1296</v>
      </c>
      <c r="BF193" t="s">
        <v>1297</v>
      </c>
      <c r="BG193" t="s">
        <v>1298</v>
      </c>
      <c r="BH193" t="s">
        <v>1206</v>
      </c>
      <c r="BI193" t="s">
        <v>1206</v>
      </c>
      <c r="BJ193" t="s">
        <v>1299</v>
      </c>
    </row>
    <row r="194" spans="1:62" x14ac:dyDescent="0.25">
      <c r="A194" t="s">
        <v>1177</v>
      </c>
      <c r="B194">
        <v>150070</v>
      </c>
      <c r="C194">
        <v>150070</v>
      </c>
      <c r="D194" s="112" t="s">
        <v>2617</v>
      </c>
      <c r="E194" t="s">
        <v>1119</v>
      </c>
      <c r="F194" t="s">
        <v>1178</v>
      </c>
      <c r="G194" t="s">
        <v>1525</v>
      </c>
      <c r="H194" s="135" t="s">
        <v>1432</v>
      </c>
      <c r="I194">
        <v>12</v>
      </c>
      <c r="J194" t="s">
        <v>1279</v>
      </c>
      <c r="K194">
        <v>12101</v>
      </c>
      <c r="L194" t="s">
        <v>1280</v>
      </c>
      <c r="M194">
        <v>12101265</v>
      </c>
      <c r="N194" t="s">
        <v>1281</v>
      </c>
      <c r="O194">
        <v>12101265813</v>
      </c>
      <c r="P194" t="s">
        <v>1282</v>
      </c>
      <c r="Q194" s="135" t="s">
        <v>1433</v>
      </c>
      <c r="R194" t="s">
        <v>1434</v>
      </c>
      <c r="S194" s="135" t="s">
        <v>1432</v>
      </c>
      <c r="T194" t="s">
        <v>1435</v>
      </c>
      <c r="U194" t="s">
        <v>1237</v>
      </c>
      <c r="V194" t="s">
        <v>1238</v>
      </c>
      <c r="W194">
        <v>135</v>
      </c>
      <c r="X194" t="s">
        <v>1189</v>
      </c>
      <c r="Y194">
        <v>48</v>
      </c>
      <c r="Z194">
        <v>6480</v>
      </c>
      <c r="AA194" t="s">
        <v>28</v>
      </c>
      <c r="AB194" t="s">
        <v>1190</v>
      </c>
      <c r="AC194">
        <v>135</v>
      </c>
      <c r="AD194" t="s">
        <v>1191</v>
      </c>
      <c r="AE194" t="s">
        <v>1192</v>
      </c>
      <c r="AF194" t="s">
        <v>1193</v>
      </c>
      <c r="AG194" t="s">
        <v>1194</v>
      </c>
      <c r="AH194" t="s">
        <v>1195</v>
      </c>
      <c r="AI194" t="s">
        <v>1202</v>
      </c>
      <c r="AJ194" t="s">
        <v>1291</v>
      </c>
      <c r="AK194" t="s">
        <v>1292</v>
      </c>
      <c r="AL194" t="s">
        <v>1291</v>
      </c>
      <c r="AM194" t="s">
        <v>1321</v>
      </c>
      <c r="AN194" t="s">
        <v>1201</v>
      </c>
      <c r="AO194" t="s">
        <v>1292</v>
      </c>
      <c r="AP194" t="s">
        <v>1322</v>
      </c>
      <c r="AQ194" t="s">
        <v>1203</v>
      </c>
      <c r="AR194" t="s">
        <v>1201</v>
      </c>
      <c r="AS194" t="s">
        <v>1203</v>
      </c>
      <c r="AU194" t="s">
        <v>1204</v>
      </c>
      <c r="AW194" t="b">
        <v>0</v>
      </c>
      <c r="AY194" t="b">
        <v>0</v>
      </c>
      <c r="BA194" t="s">
        <v>1295</v>
      </c>
      <c r="BB194" t="s">
        <v>1206</v>
      </c>
      <c r="BC194" t="s">
        <v>1206</v>
      </c>
      <c r="BD194" t="s">
        <v>1207</v>
      </c>
      <c r="BE194" t="s">
        <v>1296</v>
      </c>
      <c r="BF194" t="s">
        <v>1297</v>
      </c>
      <c r="BG194" t="s">
        <v>1298</v>
      </c>
      <c r="BH194" t="s">
        <v>1206</v>
      </c>
      <c r="BI194" t="s">
        <v>1206</v>
      </c>
      <c r="BJ194" t="s">
        <v>1299</v>
      </c>
    </row>
    <row r="195" spans="1:62" x14ac:dyDescent="0.25">
      <c r="A195" t="s">
        <v>1177</v>
      </c>
      <c r="B195">
        <v>150082</v>
      </c>
      <c r="C195">
        <v>150082</v>
      </c>
      <c r="D195" s="112" t="s">
        <v>2618</v>
      </c>
      <c r="E195" t="s">
        <v>1119</v>
      </c>
      <c r="F195" t="s">
        <v>1178</v>
      </c>
      <c r="G195" t="s">
        <v>1526</v>
      </c>
      <c r="H195" s="135" t="s">
        <v>1344</v>
      </c>
      <c r="I195">
        <v>12</v>
      </c>
      <c r="J195" t="s">
        <v>1279</v>
      </c>
      <c r="K195">
        <v>12101</v>
      </c>
      <c r="L195" t="s">
        <v>1280</v>
      </c>
      <c r="M195">
        <v>12101265</v>
      </c>
      <c r="N195" t="s">
        <v>1281</v>
      </c>
      <c r="O195">
        <v>12101265813</v>
      </c>
      <c r="P195" t="s">
        <v>1282</v>
      </c>
      <c r="Q195" s="135" t="s">
        <v>1345</v>
      </c>
      <c r="R195" t="s">
        <v>1346</v>
      </c>
      <c r="S195" s="135" t="s">
        <v>1344</v>
      </c>
      <c r="T195" t="s">
        <v>1347</v>
      </c>
      <c r="U195" t="s">
        <v>1187</v>
      </c>
      <c r="V195" t="s">
        <v>1188</v>
      </c>
      <c r="W195">
        <v>335</v>
      </c>
      <c r="X195" t="s">
        <v>1189</v>
      </c>
      <c r="Y195">
        <v>24</v>
      </c>
      <c r="Z195">
        <v>8040</v>
      </c>
      <c r="AA195" t="s">
        <v>28</v>
      </c>
      <c r="AB195" t="s">
        <v>1190</v>
      </c>
      <c r="AC195">
        <v>335</v>
      </c>
      <c r="AD195" t="s">
        <v>1191</v>
      </c>
      <c r="AE195" t="s">
        <v>1192</v>
      </c>
      <c r="AF195" t="s">
        <v>1193</v>
      </c>
      <c r="AG195" t="s">
        <v>1194</v>
      </c>
      <c r="AH195" t="s">
        <v>1195</v>
      </c>
      <c r="AI195" t="s">
        <v>1202</v>
      </c>
      <c r="AJ195" t="s">
        <v>1291</v>
      </c>
      <c r="AK195" t="s">
        <v>1292</v>
      </c>
      <c r="AL195" t="s">
        <v>1291</v>
      </c>
      <c r="AM195" t="s">
        <v>1321</v>
      </c>
      <c r="AN195" t="s">
        <v>1201</v>
      </c>
      <c r="AO195" t="s">
        <v>1292</v>
      </c>
      <c r="AP195" t="s">
        <v>1322</v>
      </c>
      <c r="AQ195" t="s">
        <v>1203</v>
      </c>
      <c r="AR195" t="s">
        <v>1201</v>
      </c>
      <c r="AS195" t="s">
        <v>1203</v>
      </c>
      <c r="AU195" t="s">
        <v>1204</v>
      </c>
      <c r="AW195" t="b">
        <v>0</v>
      </c>
      <c r="AY195" t="b">
        <v>0</v>
      </c>
      <c r="BA195" t="s">
        <v>1295</v>
      </c>
      <c r="BB195" t="s">
        <v>1206</v>
      </c>
      <c r="BC195" t="s">
        <v>1206</v>
      </c>
      <c r="BD195" t="s">
        <v>1207</v>
      </c>
      <c r="BE195" t="s">
        <v>1296</v>
      </c>
      <c r="BF195" t="s">
        <v>1297</v>
      </c>
      <c r="BG195" t="s">
        <v>1298</v>
      </c>
      <c r="BH195" t="s">
        <v>1206</v>
      </c>
      <c r="BI195" t="s">
        <v>1206</v>
      </c>
      <c r="BJ195" t="s">
        <v>1299</v>
      </c>
    </row>
    <row r="196" spans="1:62" x14ac:dyDescent="0.25">
      <c r="A196" t="s">
        <v>1177</v>
      </c>
      <c r="B196">
        <v>150166</v>
      </c>
      <c r="C196">
        <v>150166</v>
      </c>
      <c r="D196" s="112" t="s">
        <v>2619</v>
      </c>
      <c r="E196" t="s">
        <v>1119</v>
      </c>
      <c r="F196" t="s">
        <v>1178</v>
      </c>
      <c r="G196" t="s">
        <v>436</v>
      </c>
      <c r="H196" s="135" t="s">
        <v>1432</v>
      </c>
      <c r="I196">
        <v>12</v>
      </c>
      <c r="J196" t="s">
        <v>1279</v>
      </c>
      <c r="K196">
        <v>12101</v>
      </c>
      <c r="L196" t="s">
        <v>1280</v>
      </c>
      <c r="M196">
        <v>12101265</v>
      </c>
      <c r="N196" t="s">
        <v>1281</v>
      </c>
      <c r="O196">
        <v>12101265813</v>
      </c>
      <c r="P196" t="s">
        <v>1282</v>
      </c>
      <c r="Q196" s="135" t="s">
        <v>1433</v>
      </c>
      <c r="R196" t="s">
        <v>1434</v>
      </c>
      <c r="S196" s="135" t="s">
        <v>1432</v>
      </c>
      <c r="T196" t="s">
        <v>1435</v>
      </c>
      <c r="U196" t="s">
        <v>1237</v>
      </c>
      <c r="V196" t="s">
        <v>1238</v>
      </c>
      <c r="W196">
        <v>135</v>
      </c>
      <c r="X196" t="s">
        <v>1189</v>
      </c>
      <c r="Y196">
        <v>48</v>
      </c>
      <c r="Z196">
        <v>6480</v>
      </c>
      <c r="AA196" t="s">
        <v>28</v>
      </c>
      <c r="AB196" t="s">
        <v>1190</v>
      </c>
      <c r="AC196">
        <v>135</v>
      </c>
      <c r="AD196" t="s">
        <v>1191</v>
      </c>
      <c r="AE196" t="s">
        <v>1192</v>
      </c>
      <c r="AF196" t="s">
        <v>1193</v>
      </c>
      <c r="AG196" t="s">
        <v>1194</v>
      </c>
      <c r="AH196" t="s">
        <v>1195</v>
      </c>
      <c r="AI196" t="s">
        <v>1202</v>
      </c>
      <c r="AJ196" t="s">
        <v>1291</v>
      </c>
      <c r="AK196" t="s">
        <v>1292</v>
      </c>
      <c r="AL196" t="s">
        <v>1291</v>
      </c>
      <c r="AM196" t="s">
        <v>1321</v>
      </c>
      <c r="AN196" t="s">
        <v>1201</v>
      </c>
      <c r="AO196" t="s">
        <v>1292</v>
      </c>
      <c r="AP196" t="s">
        <v>1322</v>
      </c>
      <c r="AQ196" t="s">
        <v>1203</v>
      </c>
      <c r="AR196" t="s">
        <v>1201</v>
      </c>
      <c r="AS196" t="s">
        <v>1203</v>
      </c>
      <c r="AU196" t="s">
        <v>1204</v>
      </c>
      <c r="AW196" t="b">
        <v>0</v>
      </c>
      <c r="AY196" t="b">
        <v>0</v>
      </c>
      <c r="BA196" t="s">
        <v>1295</v>
      </c>
      <c r="BB196" t="s">
        <v>1206</v>
      </c>
      <c r="BC196" t="s">
        <v>1206</v>
      </c>
      <c r="BD196" t="s">
        <v>1207</v>
      </c>
      <c r="BE196" t="s">
        <v>1296</v>
      </c>
      <c r="BF196" t="s">
        <v>1297</v>
      </c>
      <c r="BG196" t="s">
        <v>1298</v>
      </c>
      <c r="BH196" t="s">
        <v>1206</v>
      </c>
      <c r="BI196" t="s">
        <v>1206</v>
      </c>
      <c r="BJ196" t="s">
        <v>1299</v>
      </c>
    </row>
    <row r="197" spans="1:62" x14ac:dyDescent="0.25">
      <c r="A197" t="s">
        <v>1177</v>
      </c>
      <c r="B197">
        <v>150078</v>
      </c>
      <c r="C197">
        <v>150078</v>
      </c>
      <c r="D197" s="112" t="s">
        <v>2620</v>
      </c>
      <c r="E197" t="s">
        <v>1119</v>
      </c>
      <c r="F197" t="s">
        <v>1178</v>
      </c>
      <c r="G197" t="s">
        <v>1527</v>
      </c>
      <c r="H197" s="135" t="s">
        <v>1333</v>
      </c>
      <c r="I197">
        <v>12</v>
      </c>
      <c r="J197" t="s">
        <v>1279</v>
      </c>
      <c r="K197">
        <v>12101</v>
      </c>
      <c r="L197" t="s">
        <v>1280</v>
      </c>
      <c r="M197">
        <v>12101265</v>
      </c>
      <c r="N197" t="s">
        <v>1281</v>
      </c>
      <c r="O197">
        <v>12101265813</v>
      </c>
      <c r="P197" t="s">
        <v>1282</v>
      </c>
      <c r="Q197" s="135" t="s">
        <v>1334</v>
      </c>
      <c r="R197" t="s">
        <v>1335</v>
      </c>
      <c r="S197" s="135" t="s">
        <v>1333</v>
      </c>
      <c r="T197" t="s">
        <v>1336</v>
      </c>
      <c r="U197" t="s">
        <v>1237</v>
      </c>
      <c r="V197" t="s">
        <v>1238</v>
      </c>
      <c r="W197">
        <v>600</v>
      </c>
      <c r="X197" t="s">
        <v>1189</v>
      </c>
      <c r="Y197">
        <v>12</v>
      </c>
      <c r="Z197">
        <v>7200</v>
      </c>
      <c r="AA197" t="s">
        <v>28</v>
      </c>
      <c r="AB197" t="s">
        <v>1190</v>
      </c>
      <c r="AC197">
        <v>600</v>
      </c>
      <c r="AD197" t="s">
        <v>1191</v>
      </c>
      <c r="AE197" t="s">
        <v>1290</v>
      </c>
      <c r="AF197" t="s">
        <v>1193</v>
      </c>
      <c r="AG197" t="s">
        <v>1194</v>
      </c>
      <c r="AH197" t="s">
        <v>1195</v>
      </c>
      <c r="AI197" t="s">
        <v>1202</v>
      </c>
      <c r="AJ197" t="s">
        <v>1291</v>
      </c>
      <c r="AK197" t="s">
        <v>1292</v>
      </c>
      <c r="AL197" t="s">
        <v>1291</v>
      </c>
      <c r="AM197" t="s">
        <v>1293</v>
      </c>
      <c r="AN197" t="s">
        <v>1201</v>
      </c>
      <c r="AO197" t="s">
        <v>1292</v>
      </c>
      <c r="AP197" t="s">
        <v>1294</v>
      </c>
      <c r="AQ197" t="s">
        <v>1203</v>
      </c>
      <c r="AR197" t="s">
        <v>1201</v>
      </c>
      <c r="AS197" t="s">
        <v>1203</v>
      </c>
      <c r="AU197" t="s">
        <v>1204</v>
      </c>
      <c r="AW197" t="b">
        <v>0</v>
      </c>
      <c r="AY197" t="b">
        <v>0</v>
      </c>
      <c r="BA197" t="s">
        <v>1295</v>
      </c>
      <c r="BB197" t="s">
        <v>1206</v>
      </c>
      <c r="BC197" t="s">
        <v>1206</v>
      </c>
      <c r="BD197" t="s">
        <v>1207</v>
      </c>
      <c r="BE197" t="s">
        <v>1296</v>
      </c>
      <c r="BF197" t="s">
        <v>1297</v>
      </c>
      <c r="BG197" t="s">
        <v>1298</v>
      </c>
      <c r="BH197" t="s">
        <v>1206</v>
      </c>
      <c r="BI197" t="s">
        <v>1206</v>
      </c>
      <c r="BJ197" t="s">
        <v>1299</v>
      </c>
    </row>
    <row r="198" spans="1:62" x14ac:dyDescent="0.25">
      <c r="A198" t="s">
        <v>1177</v>
      </c>
      <c r="B198">
        <v>150059</v>
      </c>
      <c r="C198">
        <v>150059</v>
      </c>
      <c r="D198" s="112" t="s">
        <v>2621</v>
      </c>
      <c r="E198" t="s">
        <v>1119</v>
      </c>
      <c r="F198" t="s">
        <v>1178</v>
      </c>
      <c r="G198" t="s">
        <v>1528</v>
      </c>
      <c r="H198" s="135" t="s">
        <v>1306</v>
      </c>
      <c r="I198">
        <v>12</v>
      </c>
      <c r="J198" t="s">
        <v>1279</v>
      </c>
      <c r="K198">
        <v>12101</v>
      </c>
      <c r="L198" t="s">
        <v>1280</v>
      </c>
      <c r="M198">
        <v>12101265</v>
      </c>
      <c r="N198" t="s">
        <v>1281</v>
      </c>
      <c r="O198">
        <v>12101265813</v>
      </c>
      <c r="P198" t="s">
        <v>1282</v>
      </c>
      <c r="Q198" s="135" t="s">
        <v>1307</v>
      </c>
      <c r="R198" t="s">
        <v>1308</v>
      </c>
      <c r="S198" s="135" t="s">
        <v>1306</v>
      </c>
      <c r="T198" t="s">
        <v>1309</v>
      </c>
      <c r="U198" t="s">
        <v>1310</v>
      </c>
      <c r="V198" t="s">
        <v>1311</v>
      </c>
      <c r="W198">
        <v>1</v>
      </c>
      <c r="X198" t="s">
        <v>1288</v>
      </c>
      <c r="Y198">
        <v>6</v>
      </c>
      <c r="Z198">
        <v>6</v>
      </c>
      <c r="AA198" t="s">
        <v>28</v>
      </c>
      <c r="AB198" t="s">
        <v>1190</v>
      </c>
      <c r="AC198">
        <v>1000</v>
      </c>
      <c r="AD198" t="s">
        <v>1191</v>
      </c>
      <c r="AE198" t="s">
        <v>1290</v>
      </c>
      <c r="AF198" t="s">
        <v>1193</v>
      </c>
      <c r="AG198" t="s">
        <v>1194</v>
      </c>
      <c r="AH198" t="s">
        <v>1195</v>
      </c>
      <c r="AI198" t="s">
        <v>1202</v>
      </c>
      <c r="AJ198" t="s">
        <v>1291</v>
      </c>
      <c r="AK198" t="s">
        <v>1292</v>
      </c>
      <c r="AL198" t="s">
        <v>1291</v>
      </c>
      <c r="AM198" t="s">
        <v>1293</v>
      </c>
      <c r="AN198" t="s">
        <v>1201</v>
      </c>
      <c r="AO198" t="s">
        <v>1292</v>
      </c>
      <c r="AP198" t="s">
        <v>1294</v>
      </c>
      <c r="AQ198" t="s">
        <v>1203</v>
      </c>
      <c r="AR198" t="s">
        <v>1201</v>
      </c>
      <c r="AS198" t="s">
        <v>1203</v>
      </c>
      <c r="AU198" t="s">
        <v>1204</v>
      </c>
      <c r="AW198" t="b">
        <v>0</v>
      </c>
      <c r="AY198" t="b">
        <v>0</v>
      </c>
      <c r="BA198" t="s">
        <v>1295</v>
      </c>
      <c r="BB198" t="s">
        <v>1206</v>
      </c>
      <c r="BC198" t="s">
        <v>1206</v>
      </c>
      <c r="BD198" t="s">
        <v>1207</v>
      </c>
      <c r="BE198" t="s">
        <v>1296</v>
      </c>
      <c r="BF198" t="s">
        <v>1297</v>
      </c>
      <c r="BG198" t="s">
        <v>1298</v>
      </c>
      <c r="BH198" t="s">
        <v>1206</v>
      </c>
      <c r="BI198" t="s">
        <v>1206</v>
      </c>
      <c r="BJ198" t="s">
        <v>1299</v>
      </c>
    </row>
    <row r="199" spans="1:62" x14ac:dyDescent="0.25">
      <c r="A199" t="s">
        <v>1177</v>
      </c>
      <c r="B199">
        <v>150402</v>
      </c>
      <c r="C199">
        <v>150402</v>
      </c>
      <c r="D199" s="112" t="s">
        <v>2622</v>
      </c>
      <c r="E199" t="s">
        <v>1119</v>
      </c>
      <c r="F199" t="s">
        <v>1178</v>
      </c>
      <c r="G199" t="s">
        <v>1529</v>
      </c>
      <c r="H199" s="135" t="s">
        <v>1327</v>
      </c>
      <c r="I199">
        <v>12</v>
      </c>
      <c r="J199" t="s">
        <v>1279</v>
      </c>
      <c r="K199">
        <v>12101</v>
      </c>
      <c r="L199" t="s">
        <v>1280</v>
      </c>
      <c r="M199">
        <v>12101265</v>
      </c>
      <c r="N199" t="s">
        <v>1281</v>
      </c>
      <c r="O199">
        <v>12101265813</v>
      </c>
      <c r="P199" t="s">
        <v>1282</v>
      </c>
      <c r="Q199" s="135" t="s">
        <v>1328</v>
      </c>
      <c r="R199" t="s">
        <v>1329</v>
      </c>
      <c r="S199" s="135" t="s">
        <v>1327</v>
      </c>
      <c r="T199" t="s">
        <v>1330</v>
      </c>
      <c r="U199" t="s">
        <v>1237</v>
      </c>
      <c r="V199" t="s">
        <v>1238</v>
      </c>
      <c r="W199">
        <v>270</v>
      </c>
      <c r="X199" t="s">
        <v>1189</v>
      </c>
      <c r="Y199">
        <v>24</v>
      </c>
      <c r="Z199">
        <v>6480</v>
      </c>
      <c r="AA199" t="s">
        <v>28</v>
      </c>
      <c r="AB199" t="s">
        <v>1190</v>
      </c>
      <c r="AC199">
        <v>270</v>
      </c>
      <c r="AD199" t="s">
        <v>1191</v>
      </c>
      <c r="AE199" t="s">
        <v>1192</v>
      </c>
      <c r="AF199" t="s">
        <v>1193</v>
      </c>
      <c r="AG199" t="s">
        <v>1194</v>
      </c>
      <c r="AH199" t="s">
        <v>1195</v>
      </c>
      <c r="AI199" t="s">
        <v>1202</v>
      </c>
      <c r="AJ199" t="s">
        <v>1291</v>
      </c>
      <c r="AK199" t="s">
        <v>1292</v>
      </c>
      <c r="AL199" t="s">
        <v>1291</v>
      </c>
      <c r="AM199" t="s">
        <v>1383</v>
      </c>
      <c r="AN199" t="s">
        <v>1201</v>
      </c>
      <c r="AO199" t="s">
        <v>1292</v>
      </c>
      <c r="AP199" t="s">
        <v>1384</v>
      </c>
      <c r="AQ199" t="s">
        <v>1203</v>
      </c>
      <c r="AR199" t="s">
        <v>1201</v>
      </c>
      <c r="AS199" t="s">
        <v>1203</v>
      </c>
      <c r="AU199" t="s">
        <v>1204</v>
      </c>
      <c r="AW199" t="b">
        <v>0</v>
      </c>
      <c r="AY199" t="b">
        <v>1</v>
      </c>
      <c r="BA199" t="s">
        <v>1295</v>
      </c>
      <c r="BB199" t="s">
        <v>1206</v>
      </c>
      <c r="BC199" t="s">
        <v>1206</v>
      </c>
      <c r="BD199" t="s">
        <v>1207</v>
      </c>
      <c r="BE199" t="s">
        <v>1296</v>
      </c>
      <c r="BF199" t="s">
        <v>1297</v>
      </c>
      <c r="BG199" t="s">
        <v>1298</v>
      </c>
      <c r="BH199" t="s">
        <v>1206</v>
      </c>
      <c r="BI199" t="s">
        <v>1206</v>
      </c>
      <c r="BJ199" t="s">
        <v>1299</v>
      </c>
    </row>
    <row r="200" spans="1:62" x14ac:dyDescent="0.25">
      <c r="A200" t="s">
        <v>1177</v>
      </c>
      <c r="B200">
        <v>150401</v>
      </c>
      <c r="C200">
        <v>150401</v>
      </c>
      <c r="D200" s="112" t="s">
        <v>2623</v>
      </c>
      <c r="E200" t="s">
        <v>1119</v>
      </c>
      <c r="F200" t="s">
        <v>1178</v>
      </c>
      <c r="G200" t="s">
        <v>1530</v>
      </c>
      <c r="H200" s="135" t="s">
        <v>1313</v>
      </c>
      <c r="I200">
        <v>12</v>
      </c>
      <c r="J200" t="s">
        <v>1279</v>
      </c>
      <c r="K200">
        <v>12101</v>
      </c>
      <c r="L200" t="s">
        <v>1280</v>
      </c>
      <c r="M200">
        <v>12101265</v>
      </c>
      <c r="N200" t="s">
        <v>1281</v>
      </c>
      <c r="O200">
        <v>12101265813</v>
      </c>
      <c r="P200" t="s">
        <v>1282</v>
      </c>
      <c r="Q200" s="135" t="s">
        <v>1314</v>
      </c>
      <c r="R200" t="s">
        <v>1315</v>
      </c>
      <c r="S200" s="135" t="s">
        <v>1313</v>
      </c>
      <c r="T200" t="s">
        <v>1316</v>
      </c>
      <c r="U200" t="s">
        <v>1237</v>
      </c>
      <c r="V200" t="s">
        <v>1238</v>
      </c>
      <c r="W200">
        <v>130</v>
      </c>
      <c r="X200" t="s">
        <v>1189</v>
      </c>
      <c r="Y200">
        <v>48</v>
      </c>
      <c r="Z200">
        <v>6240</v>
      </c>
      <c r="AA200" t="s">
        <v>28</v>
      </c>
      <c r="AB200" t="s">
        <v>1190</v>
      </c>
      <c r="AC200">
        <v>130</v>
      </c>
      <c r="AD200" t="s">
        <v>1191</v>
      </c>
      <c r="AE200" t="s">
        <v>1192</v>
      </c>
      <c r="AF200" t="s">
        <v>1193</v>
      </c>
      <c r="AG200" t="s">
        <v>1194</v>
      </c>
      <c r="AH200" t="s">
        <v>1195</v>
      </c>
      <c r="AI200" t="s">
        <v>1202</v>
      </c>
      <c r="AJ200" t="s">
        <v>1291</v>
      </c>
      <c r="AK200" t="s">
        <v>1292</v>
      </c>
      <c r="AL200" t="s">
        <v>1291</v>
      </c>
      <c r="AM200" t="s">
        <v>1383</v>
      </c>
      <c r="AN200" t="s">
        <v>1201</v>
      </c>
      <c r="AO200" t="s">
        <v>1292</v>
      </c>
      <c r="AP200" t="s">
        <v>1384</v>
      </c>
      <c r="AQ200" t="s">
        <v>1203</v>
      </c>
      <c r="AR200" t="s">
        <v>1201</v>
      </c>
      <c r="AS200" t="s">
        <v>1203</v>
      </c>
      <c r="AU200" t="s">
        <v>1204</v>
      </c>
      <c r="AW200" t="b">
        <v>0</v>
      </c>
      <c r="AY200" t="b">
        <v>1</v>
      </c>
      <c r="BA200" t="s">
        <v>1295</v>
      </c>
      <c r="BB200" t="s">
        <v>1206</v>
      </c>
      <c r="BC200" t="s">
        <v>1206</v>
      </c>
      <c r="BD200" t="s">
        <v>1207</v>
      </c>
      <c r="BE200" t="s">
        <v>1296</v>
      </c>
      <c r="BF200" t="s">
        <v>1297</v>
      </c>
      <c r="BG200" t="s">
        <v>1298</v>
      </c>
      <c r="BH200" t="s">
        <v>1206</v>
      </c>
      <c r="BI200" t="s">
        <v>1206</v>
      </c>
      <c r="BJ200" t="s">
        <v>1299</v>
      </c>
    </row>
    <row r="201" spans="1:62" x14ac:dyDescent="0.25">
      <c r="A201" t="s">
        <v>1177</v>
      </c>
      <c r="B201">
        <v>150080</v>
      </c>
      <c r="C201">
        <v>150080</v>
      </c>
      <c r="D201" s="112" t="s">
        <v>2624</v>
      </c>
      <c r="E201" t="s">
        <v>1119</v>
      </c>
      <c r="F201" t="s">
        <v>1178</v>
      </c>
      <c r="G201" t="s">
        <v>1531</v>
      </c>
      <c r="H201" s="135" t="s">
        <v>1344</v>
      </c>
      <c r="I201">
        <v>12</v>
      </c>
      <c r="J201" t="s">
        <v>1279</v>
      </c>
      <c r="K201">
        <v>12101</v>
      </c>
      <c r="L201" t="s">
        <v>1280</v>
      </c>
      <c r="M201">
        <v>12101265</v>
      </c>
      <c r="N201" t="s">
        <v>1281</v>
      </c>
      <c r="O201">
        <v>12101265813</v>
      </c>
      <c r="P201" t="s">
        <v>1282</v>
      </c>
      <c r="Q201" s="135" t="s">
        <v>1345</v>
      </c>
      <c r="R201" t="s">
        <v>1346</v>
      </c>
      <c r="S201" s="135" t="s">
        <v>1344</v>
      </c>
      <c r="T201" t="s">
        <v>1347</v>
      </c>
      <c r="U201" t="s">
        <v>1187</v>
      </c>
      <c r="V201" t="s">
        <v>1188</v>
      </c>
      <c r="W201">
        <v>335</v>
      </c>
      <c r="X201" t="s">
        <v>1189</v>
      </c>
      <c r="Y201">
        <v>24</v>
      </c>
      <c r="Z201">
        <v>8040</v>
      </c>
      <c r="AA201" t="s">
        <v>28</v>
      </c>
      <c r="AB201" t="s">
        <v>1190</v>
      </c>
      <c r="AC201">
        <v>335</v>
      </c>
      <c r="AD201" t="s">
        <v>1191</v>
      </c>
      <c r="AE201" t="s">
        <v>1192</v>
      </c>
      <c r="AF201" t="s">
        <v>1193</v>
      </c>
      <c r="AG201" t="s">
        <v>1194</v>
      </c>
      <c r="AH201" t="s">
        <v>1195</v>
      </c>
      <c r="AI201" t="s">
        <v>1202</v>
      </c>
      <c r="AJ201" t="s">
        <v>1291</v>
      </c>
      <c r="AK201" t="s">
        <v>1292</v>
      </c>
      <c r="AL201" t="s">
        <v>1291</v>
      </c>
      <c r="AM201" t="s">
        <v>1293</v>
      </c>
      <c r="AN201" t="s">
        <v>1201</v>
      </c>
      <c r="AO201" t="s">
        <v>1292</v>
      </c>
      <c r="AP201" t="s">
        <v>1294</v>
      </c>
      <c r="AQ201" t="s">
        <v>1203</v>
      </c>
      <c r="AR201" t="s">
        <v>1201</v>
      </c>
      <c r="AS201" t="s">
        <v>1203</v>
      </c>
      <c r="AU201" t="s">
        <v>1204</v>
      </c>
      <c r="AW201" t="b">
        <v>0</v>
      </c>
      <c r="AY201" t="b">
        <v>0</v>
      </c>
      <c r="BA201" t="s">
        <v>1295</v>
      </c>
      <c r="BB201" t="s">
        <v>1206</v>
      </c>
      <c r="BC201" t="s">
        <v>1206</v>
      </c>
      <c r="BD201" t="s">
        <v>1207</v>
      </c>
      <c r="BE201" t="s">
        <v>1296</v>
      </c>
      <c r="BF201" t="s">
        <v>1297</v>
      </c>
      <c r="BG201" t="s">
        <v>1298</v>
      </c>
      <c r="BH201" t="s">
        <v>1206</v>
      </c>
      <c r="BI201" t="s">
        <v>1206</v>
      </c>
      <c r="BJ201" t="s">
        <v>1299</v>
      </c>
    </row>
    <row r="202" spans="1:62" x14ac:dyDescent="0.25">
      <c r="A202" t="s">
        <v>1177</v>
      </c>
      <c r="B202">
        <v>815250</v>
      </c>
      <c r="C202" t="s">
        <v>1258</v>
      </c>
      <c r="D202" s="112" t="s">
        <v>2625</v>
      </c>
      <c r="E202" t="s">
        <v>1119</v>
      </c>
      <c r="F202" t="s">
        <v>1178</v>
      </c>
      <c r="G202" t="s">
        <v>1532</v>
      </c>
      <c r="H202" s="135" t="s">
        <v>1533</v>
      </c>
      <c r="I202">
        <v>12</v>
      </c>
      <c r="J202" t="s">
        <v>1279</v>
      </c>
      <c r="K202">
        <v>12101</v>
      </c>
      <c r="L202" t="s">
        <v>1280</v>
      </c>
      <c r="M202">
        <v>12101265</v>
      </c>
      <c r="N202" t="s">
        <v>1281</v>
      </c>
      <c r="O202">
        <v>12101265813</v>
      </c>
      <c r="P202" t="s">
        <v>1282</v>
      </c>
      <c r="Q202" s="135" t="s">
        <v>1534</v>
      </c>
      <c r="R202" t="s">
        <v>1535</v>
      </c>
      <c r="S202" s="135" t="s">
        <v>1533</v>
      </c>
      <c r="T202" t="s">
        <v>1536</v>
      </c>
      <c r="U202" t="s">
        <v>1187</v>
      </c>
      <c r="V202" t="s">
        <v>1188</v>
      </c>
      <c r="W202">
        <v>325</v>
      </c>
      <c r="X202" t="s">
        <v>1342</v>
      </c>
      <c r="Y202">
        <v>24</v>
      </c>
      <c r="Z202">
        <v>7800</v>
      </c>
      <c r="AA202" t="s">
        <v>1537</v>
      </c>
      <c r="AB202" t="s">
        <v>1538</v>
      </c>
      <c r="AC202">
        <v>325</v>
      </c>
      <c r="AD202" t="s">
        <v>1191</v>
      </c>
      <c r="AE202" t="s">
        <v>1192</v>
      </c>
      <c r="AF202" t="s">
        <v>1193</v>
      </c>
      <c r="AG202" t="s">
        <v>1539</v>
      </c>
      <c r="AH202" t="s">
        <v>1540</v>
      </c>
      <c r="AI202" t="s">
        <v>1202</v>
      </c>
      <c r="AJ202" t="s">
        <v>1291</v>
      </c>
      <c r="AK202" t="s">
        <v>1292</v>
      </c>
      <c r="AL202" t="s">
        <v>1291</v>
      </c>
      <c r="AM202" t="s">
        <v>1293</v>
      </c>
      <c r="AN202" t="s">
        <v>1201</v>
      </c>
      <c r="AO202" t="s">
        <v>1292</v>
      </c>
      <c r="AP202" t="s">
        <v>1294</v>
      </c>
      <c r="AQ202" t="s">
        <v>1203</v>
      </c>
      <c r="AR202" t="s">
        <v>1201</v>
      </c>
      <c r="AS202" t="s">
        <v>1203</v>
      </c>
      <c r="AU202" t="s">
        <v>1204</v>
      </c>
      <c r="AW202" t="b">
        <v>0</v>
      </c>
      <c r="AY202" t="b">
        <v>0</v>
      </c>
      <c r="BA202" t="s">
        <v>1295</v>
      </c>
      <c r="BB202" t="s">
        <v>1206</v>
      </c>
      <c r="BC202" t="s">
        <v>1206</v>
      </c>
      <c r="BD202" t="s">
        <v>1207</v>
      </c>
      <c r="BE202" t="s">
        <v>1296</v>
      </c>
      <c r="BF202" t="s">
        <v>1297</v>
      </c>
      <c r="BG202" t="s">
        <v>1298</v>
      </c>
      <c r="BH202" t="s">
        <v>1206</v>
      </c>
      <c r="BI202" t="s">
        <v>1206</v>
      </c>
      <c r="BJ202" t="s">
        <v>1299</v>
      </c>
    </row>
    <row r="203" spans="1:62" x14ac:dyDescent="0.25">
      <c r="A203" t="s">
        <v>1177</v>
      </c>
      <c r="B203">
        <v>140023</v>
      </c>
      <c r="C203" t="s">
        <v>1258</v>
      </c>
      <c r="D203" s="112" t="s">
        <v>2626</v>
      </c>
      <c r="E203" t="s">
        <v>1119</v>
      </c>
      <c r="F203" t="s">
        <v>1178</v>
      </c>
      <c r="G203" t="s">
        <v>1541</v>
      </c>
      <c r="H203" t="s">
        <v>1542</v>
      </c>
      <c r="I203">
        <v>12</v>
      </c>
      <c r="J203" t="s">
        <v>1279</v>
      </c>
      <c r="K203">
        <v>12101</v>
      </c>
      <c r="L203" t="s">
        <v>1280</v>
      </c>
      <c r="M203">
        <v>12101265</v>
      </c>
      <c r="N203" t="s">
        <v>1281</v>
      </c>
      <c r="O203">
        <v>12101265813</v>
      </c>
      <c r="P203" t="s">
        <v>1282</v>
      </c>
      <c r="Q203" t="s">
        <v>1543</v>
      </c>
      <c r="R203" t="s">
        <v>1544</v>
      </c>
      <c r="S203" t="s">
        <v>1542</v>
      </c>
      <c r="T203" t="s">
        <v>1545</v>
      </c>
      <c r="U203" t="s">
        <v>1230</v>
      </c>
      <c r="V203" t="s">
        <v>1231</v>
      </c>
      <c r="W203">
        <v>90</v>
      </c>
      <c r="X203" t="s">
        <v>1342</v>
      </c>
      <c r="Y203">
        <v>24</v>
      </c>
      <c r="Z203">
        <v>2160</v>
      </c>
      <c r="AA203" t="s">
        <v>28</v>
      </c>
      <c r="AB203" t="s">
        <v>1190</v>
      </c>
      <c r="AC203">
        <v>90</v>
      </c>
      <c r="AD203" t="s">
        <v>1191</v>
      </c>
      <c r="AE203" t="s">
        <v>1192</v>
      </c>
      <c r="AF203" t="s">
        <v>1193</v>
      </c>
      <c r="AG203" t="s">
        <v>1194</v>
      </c>
      <c r="AH203" t="s">
        <v>1195</v>
      </c>
      <c r="AI203" t="s">
        <v>1196</v>
      </c>
      <c r="AJ203" t="s">
        <v>1546</v>
      </c>
      <c r="AK203" t="s">
        <v>1547</v>
      </c>
      <c r="AL203" t="s">
        <v>1548</v>
      </c>
      <c r="AM203" t="s">
        <v>1318</v>
      </c>
      <c r="AN203" t="s">
        <v>1201</v>
      </c>
      <c r="AO203" t="s">
        <v>1549</v>
      </c>
      <c r="AP203" t="s">
        <v>1319</v>
      </c>
      <c r="AQ203" t="s">
        <v>1203</v>
      </c>
      <c r="AR203" t="s">
        <v>1201</v>
      </c>
      <c r="AS203" t="s">
        <v>1203</v>
      </c>
      <c r="AU203" t="s">
        <v>1204</v>
      </c>
      <c r="AW203" t="b">
        <v>0</v>
      </c>
      <c r="AY203" t="b">
        <v>0</v>
      </c>
      <c r="BA203" t="e">
        <v>#N/A</v>
      </c>
      <c r="BJ203" t="s">
        <v>1550</v>
      </c>
    </row>
    <row r="204" spans="1:62" x14ac:dyDescent="0.25">
      <c r="A204" t="s">
        <v>1177</v>
      </c>
      <c r="B204">
        <v>815322</v>
      </c>
      <c r="C204" t="s">
        <v>1258</v>
      </c>
      <c r="D204" s="112" t="s">
        <v>2627</v>
      </c>
      <c r="E204" t="s">
        <v>1119</v>
      </c>
      <c r="F204" t="s">
        <v>1178</v>
      </c>
      <c r="G204" t="s">
        <v>1551</v>
      </c>
      <c r="H204" t="s">
        <v>1552</v>
      </c>
      <c r="I204">
        <v>12</v>
      </c>
      <c r="J204" t="s">
        <v>1279</v>
      </c>
      <c r="K204">
        <v>12101</v>
      </c>
      <c r="L204" t="s">
        <v>1280</v>
      </c>
      <c r="M204">
        <v>12101265</v>
      </c>
      <c r="N204" t="s">
        <v>1281</v>
      </c>
      <c r="O204">
        <v>12101265813</v>
      </c>
      <c r="P204" t="s">
        <v>1282</v>
      </c>
      <c r="Q204" t="s">
        <v>1553</v>
      </c>
      <c r="R204" t="s">
        <v>1554</v>
      </c>
      <c r="S204" t="s">
        <v>1552</v>
      </c>
      <c r="T204" t="s">
        <v>1555</v>
      </c>
      <c r="U204" t="s">
        <v>1187</v>
      </c>
      <c r="V204" t="s">
        <v>1188</v>
      </c>
      <c r="W204">
        <v>8</v>
      </c>
      <c r="X204" t="s">
        <v>1342</v>
      </c>
      <c r="Y204">
        <v>22</v>
      </c>
      <c r="Z204">
        <v>176</v>
      </c>
      <c r="AA204" t="s">
        <v>28</v>
      </c>
      <c r="AB204" t="s">
        <v>1190</v>
      </c>
      <c r="AC204">
        <v>8</v>
      </c>
      <c r="AD204" t="s">
        <v>1232</v>
      </c>
      <c r="AE204" t="s">
        <v>1192</v>
      </c>
      <c r="AF204" t="s">
        <v>1193</v>
      </c>
      <c r="AG204" t="s">
        <v>1194</v>
      </c>
      <c r="AH204" t="s">
        <v>1195</v>
      </c>
      <c r="AI204" t="s">
        <v>1202</v>
      </c>
      <c r="AJ204" t="s">
        <v>1291</v>
      </c>
      <c r="AK204" t="s">
        <v>1292</v>
      </c>
      <c r="AL204" t="s">
        <v>1291</v>
      </c>
      <c r="AM204" t="s">
        <v>1318</v>
      </c>
      <c r="AN204" t="s">
        <v>1201</v>
      </c>
      <c r="AO204" t="s">
        <v>1292</v>
      </c>
      <c r="AP204" t="s">
        <v>1319</v>
      </c>
      <c r="AQ204" t="s">
        <v>1203</v>
      </c>
      <c r="AR204" t="s">
        <v>1201</v>
      </c>
      <c r="AS204" t="s">
        <v>1203</v>
      </c>
      <c r="AU204" t="s">
        <v>1204</v>
      </c>
      <c r="AW204" t="b">
        <v>0</v>
      </c>
      <c r="AY204" t="b">
        <v>1</v>
      </c>
      <c r="BA204" t="s">
        <v>1295</v>
      </c>
      <c r="BJ204" t="s">
        <v>1299</v>
      </c>
    </row>
    <row r="205" spans="1:62" x14ac:dyDescent="0.25">
      <c r="A205" t="s">
        <v>1177</v>
      </c>
      <c r="B205">
        <v>150984</v>
      </c>
      <c r="C205">
        <v>150984</v>
      </c>
      <c r="D205" s="112" t="s">
        <v>2628</v>
      </c>
      <c r="E205" t="s">
        <v>1119</v>
      </c>
      <c r="F205" t="s">
        <v>1178</v>
      </c>
      <c r="G205" t="s">
        <v>1556</v>
      </c>
      <c r="H205" s="135" t="s">
        <v>1327</v>
      </c>
      <c r="I205">
        <v>12</v>
      </c>
      <c r="J205" t="s">
        <v>1279</v>
      </c>
      <c r="K205">
        <v>12101</v>
      </c>
      <c r="L205" t="s">
        <v>1280</v>
      </c>
      <c r="M205">
        <v>12101265</v>
      </c>
      <c r="N205" t="s">
        <v>1281</v>
      </c>
      <c r="O205">
        <v>12101265813</v>
      </c>
      <c r="P205" t="s">
        <v>1282</v>
      </c>
      <c r="Q205" s="135" t="s">
        <v>1328</v>
      </c>
      <c r="R205" t="s">
        <v>1329</v>
      </c>
      <c r="S205" s="135" t="s">
        <v>1327</v>
      </c>
      <c r="T205" t="s">
        <v>1330</v>
      </c>
      <c r="U205" t="s">
        <v>1237</v>
      </c>
      <c r="V205" t="s">
        <v>1238</v>
      </c>
      <c r="W205">
        <v>270</v>
      </c>
      <c r="X205" t="s">
        <v>1189</v>
      </c>
      <c r="Y205">
        <v>24</v>
      </c>
      <c r="Z205">
        <v>6480</v>
      </c>
      <c r="AA205" t="s">
        <v>28</v>
      </c>
      <c r="AB205" t="s">
        <v>1190</v>
      </c>
      <c r="AC205">
        <v>270</v>
      </c>
      <c r="AD205" t="s">
        <v>1191</v>
      </c>
      <c r="AE205" t="s">
        <v>1192</v>
      </c>
      <c r="AF205" t="s">
        <v>1193</v>
      </c>
      <c r="AG205" t="s">
        <v>1194</v>
      </c>
      <c r="AH205" t="s">
        <v>1195</v>
      </c>
      <c r="AI205" t="s">
        <v>1202</v>
      </c>
      <c r="AJ205" t="s">
        <v>1291</v>
      </c>
      <c r="AK205" t="s">
        <v>1292</v>
      </c>
      <c r="AL205" t="s">
        <v>1291</v>
      </c>
      <c r="AM205" t="s">
        <v>1293</v>
      </c>
      <c r="AN205" t="s">
        <v>1201</v>
      </c>
      <c r="AO205" t="s">
        <v>1292</v>
      </c>
      <c r="AP205" t="s">
        <v>1294</v>
      </c>
      <c r="AQ205" t="s">
        <v>1203</v>
      </c>
      <c r="AR205" t="s">
        <v>1201</v>
      </c>
      <c r="AS205" t="s">
        <v>1203</v>
      </c>
      <c r="AU205" t="s">
        <v>1204</v>
      </c>
      <c r="AW205" t="b">
        <v>1</v>
      </c>
      <c r="AY205" t="b">
        <v>0</v>
      </c>
      <c r="BA205" t="s">
        <v>1295</v>
      </c>
      <c r="BJ205" t="s">
        <v>1299</v>
      </c>
    </row>
    <row r="206" spans="1:62" x14ac:dyDescent="0.25">
      <c r="A206" t="s">
        <v>1177</v>
      </c>
      <c r="B206">
        <v>150986</v>
      </c>
      <c r="C206">
        <v>150986</v>
      </c>
      <c r="D206" s="112" t="s">
        <v>2629</v>
      </c>
      <c r="E206" t="s">
        <v>1119</v>
      </c>
      <c r="F206" t="s">
        <v>1178</v>
      </c>
      <c r="G206" t="s">
        <v>1557</v>
      </c>
      <c r="H206" s="135" t="s">
        <v>1327</v>
      </c>
      <c r="I206">
        <v>12</v>
      </c>
      <c r="J206" t="s">
        <v>1279</v>
      </c>
      <c r="K206">
        <v>12101</v>
      </c>
      <c r="L206" t="s">
        <v>1280</v>
      </c>
      <c r="M206">
        <v>12101265</v>
      </c>
      <c r="N206" t="s">
        <v>1281</v>
      </c>
      <c r="O206">
        <v>12101265813</v>
      </c>
      <c r="P206" t="s">
        <v>1282</v>
      </c>
      <c r="Q206" s="135" t="s">
        <v>1328</v>
      </c>
      <c r="R206" t="s">
        <v>1329</v>
      </c>
      <c r="S206" s="135" t="s">
        <v>1327</v>
      </c>
      <c r="T206" t="s">
        <v>1330</v>
      </c>
      <c r="U206" t="s">
        <v>1237</v>
      </c>
      <c r="V206" t="s">
        <v>1238</v>
      </c>
      <c r="W206">
        <v>270</v>
      </c>
      <c r="X206" t="s">
        <v>1189</v>
      </c>
      <c r="Y206">
        <v>24</v>
      </c>
      <c r="Z206">
        <v>6480</v>
      </c>
      <c r="AA206" t="s">
        <v>28</v>
      </c>
      <c r="AB206" t="s">
        <v>1190</v>
      </c>
      <c r="AC206">
        <v>270</v>
      </c>
      <c r="AD206" t="s">
        <v>1191</v>
      </c>
      <c r="AE206" t="s">
        <v>1192</v>
      </c>
      <c r="AF206" t="s">
        <v>1193</v>
      </c>
      <c r="AG206" t="s">
        <v>1194</v>
      </c>
      <c r="AH206" t="s">
        <v>1195</v>
      </c>
      <c r="AI206" t="s">
        <v>1202</v>
      </c>
      <c r="AJ206" t="s">
        <v>1291</v>
      </c>
      <c r="AK206" t="s">
        <v>1292</v>
      </c>
      <c r="AL206" t="s">
        <v>1291</v>
      </c>
      <c r="AM206" t="s">
        <v>1293</v>
      </c>
      <c r="AN206" t="s">
        <v>1201</v>
      </c>
      <c r="AO206" t="s">
        <v>1292</v>
      </c>
      <c r="AP206" t="s">
        <v>1294</v>
      </c>
      <c r="AQ206" t="s">
        <v>1203</v>
      </c>
      <c r="AR206" t="s">
        <v>1201</v>
      </c>
      <c r="AS206" t="s">
        <v>1203</v>
      </c>
      <c r="AU206" t="s">
        <v>1204</v>
      </c>
      <c r="AW206" t="b">
        <v>1</v>
      </c>
      <c r="AY206" t="b">
        <v>0</v>
      </c>
      <c r="BA206" t="s">
        <v>1295</v>
      </c>
      <c r="BJ206" t="s">
        <v>1299</v>
      </c>
    </row>
    <row r="207" spans="1:62" x14ac:dyDescent="0.25">
      <c r="A207" t="s">
        <v>1177</v>
      </c>
      <c r="B207">
        <v>160039</v>
      </c>
      <c r="C207" t="s">
        <v>1258</v>
      </c>
      <c r="D207" s="112" t="s">
        <v>2630</v>
      </c>
      <c r="E207" t="s">
        <v>1119</v>
      </c>
      <c r="F207" t="s">
        <v>1178</v>
      </c>
      <c r="G207" t="s">
        <v>1558</v>
      </c>
      <c r="H207" s="135" t="s">
        <v>1408</v>
      </c>
      <c r="I207">
        <v>12</v>
      </c>
      <c r="J207" t="s">
        <v>1279</v>
      </c>
      <c r="K207">
        <v>12101</v>
      </c>
      <c r="L207" t="s">
        <v>1280</v>
      </c>
      <c r="M207">
        <v>12101265</v>
      </c>
      <c r="N207" t="s">
        <v>1281</v>
      </c>
      <c r="O207">
        <v>12101265813</v>
      </c>
      <c r="P207" t="s">
        <v>1282</v>
      </c>
      <c r="Q207" s="135" t="s">
        <v>1404</v>
      </c>
      <c r="R207" t="s">
        <v>1405</v>
      </c>
      <c r="S207" s="135" t="s">
        <v>1408</v>
      </c>
      <c r="T207" t="s">
        <v>1409</v>
      </c>
      <c r="U207" t="s">
        <v>1230</v>
      </c>
      <c r="V207" t="s">
        <v>1231</v>
      </c>
      <c r="W207">
        <v>7</v>
      </c>
      <c r="X207" t="s">
        <v>1342</v>
      </c>
      <c r="Y207">
        <v>504</v>
      </c>
      <c r="Z207">
        <v>3528</v>
      </c>
      <c r="AA207" t="s">
        <v>28</v>
      </c>
      <c r="AB207" t="s">
        <v>1190</v>
      </c>
      <c r="AC207">
        <v>7</v>
      </c>
      <c r="AD207" t="s">
        <v>1232</v>
      </c>
      <c r="AE207" t="s">
        <v>1192</v>
      </c>
      <c r="AF207" t="s">
        <v>1193</v>
      </c>
      <c r="AG207" t="s">
        <v>1194</v>
      </c>
      <c r="AH207" t="s">
        <v>1195</v>
      </c>
      <c r="AI207" t="s">
        <v>1202</v>
      </c>
      <c r="AJ207" t="s">
        <v>1291</v>
      </c>
      <c r="AK207" t="s">
        <v>1292</v>
      </c>
      <c r="AL207" t="s">
        <v>1291</v>
      </c>
      <c r="AM207" t="s">
        <v>1293</v>
      </c>
      <c r="AN207" t="s">
        <v>1201</v>
      </c>
      <c r="AO207" t="s">
        <v>1292</v>
      </c>
      <c r="AP207" t="s">
        <v>1294</v>
      </c>
      <c r="AQ207" t="s">
        <v>1203</v>
      </c>
      <c r="AR207" t="s">
        <v>1201</v>
      </c>
      <c r="AS207" t="s">
        <v>1203</v>
      </c>
      <c r="AU207" t="s">
        <v>1204</v>
      </c>
      <c r="AW207" t="b">
        <v>0</v>
      </c>
      <c r="AY207" t="b">
        <v>1</v>
      </c>
      <c r="BA207" t="s">
        <v>1295</v>
      </c>
      <c r="BJ207" t="s">
        <v>1299</v>
      </c>
    </row>
    <row r="208" spans="1:62" x14ac:dyDescent="0.25">
      <c r="A208" t="s">
        <v>1177</v>
      </c>
      <c r="B208">
        <v>150364</v>
      </c>
      <c r="C208">
        <v>150364</v>
      </c>
      <c r="D208" s="112" t="s">
        <v>2631</v>
      </c>
      <c r="E208" t="s">
        <v>1119</v>
      </c>
      <c r="F208" t="s">
        <v>1178</v>
      </c>
      <c r="G208" t="s">
        <v>1559</v>
      </c>
      <c r="H208" s="135" t="s">
        <v>1313</v>
      </c>
      <c r="I208">
        <v>12</v>
      </c>
      <c r="J208" t="s">
        <v>1279</v>
      </c>
      <c r="K208">
        <v>12101</v>
      </c>
      <c r="L208" t="s">
        <v>1280</v>
      </c>
      <c r="M208">
        <v>12101265</v>
      </c>
      <c r="N208" t="s">
        <v>1281</v>
      </c>
      <c r="O208">
        <v>12101265813</v>
      </c>
      <c r="P208" t="s">
        <v>1282</v>
      </c>
      <c r="Q208" s="135" t="s">
        <v>1314</v>
      </c>
      <c r="R208" t="s">
        <v>1315</v>
      </c>
      <c r="S208" s="135" t="s">
        <v>1313</v>
      </c>
      <c r="T208" t="s">
        <v>1316</v>
      </c>
      <c r="U208" t="s">
        <v>1237</v>
      </c>
      <c r="V208" t="s">
        <v>1238</v>
      </c>
      <c r="W208">
        <v>130</v>
      </c>
      <c r="X208" t="s">
        <v>1189</v>
      </c>
      <c r="Y208">
        <v>48</v>
      </c>
      <c r="Z208">
        <v>6240</v>
      </c>
      <c r="AA208" t="s">
        <v>28</v>
      </c>
      <c r="AB208" t="s">
        <v>1190</v>
      </c>
      <c r="AC208">
        <v>130</v>
      </c>
      <c r="AD208" t="s">
        <v>1191</v>
      </c>
      <c r="AE208" t="s">
        <v>1192</v>
      </c>
      <c r="AF208" t="s">
        <v>1193</v>
      </c>
      <c r="AG208" t="s">
        <v>1194</v>
      </c>
      <c r="AH208" t="s">
        <v>1195</v>
      </c>
      <c r="AI208" t="s">
        <v>1202</v>
      </c>
      <c r="AJ208" t="s">
        <v>1291</v>
      </c>
      <c r="AK208" t="s">
        <v>1292</v>
      </c>
      <c r="AL208" t="s">
        <v>1291</v>
      </c>
      <c r="AM208" t="s">
        <v>1293</v>
      </c>
      <c r="AN208" t="s">
        <v>1201</v>
      </c>
      <c r="AO208" t="s">
        <v>1292</v>
      </c>
      <c r="AP208" t="s">
        <v>1294</v>
      </c>
      <c r="AQ208" t="s">
        <v>1203</v>
      </c>
      <c r="AR208" t="s">
        <v>1201</v>
      </c>
      <c r="AS208" t="s">
        <v>1203</v>
      </c>
      <c r="AU208" t="s">
        <v>1204</v>
      </c>
      <c r="AW208" t="b">
        <v>0</v>
      </c>
      <c r="AY208" t="b">
        <v>0</v>
      </c>
      <c r="BA208" t="s">
        <v>1295</v>
      </c>
      <c r="BJ208" t="s">
        <v>1299</v>
      </c>
    </row>
    <row r="209" spans="1:62" x14ac:dyDescent="0.25">
      <c r="A209" t="s">
        <v>1177</v>
      </c>
      <c r="B209">
        <v>150371</v>
      </c>
      <c r="C209">
        <v>150371</v>
      </c>
      <c r="D209" s="112" t="s">
        <v>2632</v>
      </c>
      <c r="E209" t="s">
        <v>1119</v>
      </c>
      <c r="F209" t="s">
        <v>1178</v>
      </c>
      <c r="G209" t="s">
        <v>1560</v>
      </c>
      <c r="H209" s="135" t="s">
        <v>1327</v>
      </c>
      <c r="I209">
        <v>12</v>
      </c>
      <c r="J209" t="s">
        <v>1279</v>
      </c>
      <c r="K209">
        <v>12101</v>
      </c>
      <c r="L209" t="s">
        <v>1280</v>
      </c>
      <c r="M209">
        <v>12101265</v>
      </c>
      <c r="N209" t="s">
        <v>1281</v>
      </c>
      <c r="O209">
        <v>12101265813</v>
      </c>
      <c r="P209" t="s">
        <v>1282</v>
      </c>
      <c r="Q209" s="135" t="s">
        <v>1328</v>
      </c>
      <c r="R209" t="s">
        <v>1329</v>
      </c>
      <c r="S209" s="135" t="s">
        <v>1327</v>
      </c>
      <c r="T209" t="s">
        <v>1330</v>
      </c>
      <c r="U209" t="s">
        <v>1237</v>
      </c>
      <c r="V209" t="s">
        <v>1238</v>
      </c>
      <c r="W209">
        <v>270</v>
      </c>
      <c r="X209" t="s">
        <v>1189</v>
      </c>
      <c r="Y209">
        <v>24</v>
      </c>
      <c r="Z209">
        <v>6480</v>
      </c>
      <c r="AA209" t="s">
        <v>28</v>
      </c>
      <c r="AB209" t="s">
        <v>1190</v>
      </c>
      <c r="AC209">
        <v>270</v>
      </c>
      <c r="AD209" t="s">
        <v>1191</v>
      </c>
      <c r="AE209" t="s">
        <v>1192</v>
      </c>
      <c r="AF209" t="s">
        <v>1193</v>
      </c>
      <c r="AG209" t="s">
        <v>1194</v>
      </c>
      <c r="AH209" t="s">
        <v>1195</v>
      </c>
      <c r="AI209" t="s">
        <v>1202</v>
      </c>
      <c r="AJ209" t="s">
        <v>1291</v>
      </c>
      <c r="AK209" t="s">
        <v>1292</v>
      </c>
      <c r="AL209" t="s">
        <v>1291</v>
      </c>
      <c r="AM209" t="s">
        <v>1324</v>
      </c>
      <c r="AN209" t="s">
        <v>1201</v>
      </c>
      <c r="AO209" t="s">
        <v>1292</v>
      </c>
      <c r="AP209" t="s">
        <v>1325</v>
      </c>
      <c r="AQ209" t="s">
        <v>1203</v>
      </c>
      <c r="AR209" t="s">
        <v>1201</v>
      </c>
      <c r="AS209" t="s">
        <v>1203</v>
      </c>
      <c r="AU209" t="s">
        <v>1204</v>
      </c>
      <c r="AW209" t="b">
        <v>0</v>
      </c>
      <c r="AY209" t="b">
        <v>0</v>
      </c>
      <c r="BA209" t="s">
        <v>1295</v>
      </c>
      <c r="BJ209" t="s">
        <v>1299</v>
      </c>
    </row>
    <row r="210" spans="1:62" x14ac:dyDescent="0.25">
      <c r="A210" t="s">
        <v>1177</v>
      </c>
      <c r="B210">
        <v>150363</v>
      </c>
      <c r="C210">
        <v>150363</v>
      </c>
      <c r="D210" s="112" t="s">
        <v>2633</v>
      </c>
      <c r="E210" t="s">
        <v>1119</v>
      </c>
      <c r="F210" t="s">
        <v>1178</v>
      </c>
      <c r="G210" t="s">
        <v>1561</v>
      </c>
      <c r="H210" s="135" t="s">
        <v>1313</v>
      </c>
      <c r="I210">
        <v>12</v>
      </c>
      <c r="J210" t="s">
        <v>1279</v>
      </c>
      <c r="K210">
        <v>12101</v>
      </c>
      <c r="L210" t="s">
        <v>1280</v>
      </c>
      <c r="M210">
        <v>12101265</v>
      </c>
      <c r="N210" t="s">
        <v>1281</v>
      </c>
      <c r="O210">
        <v>12101265813</v>
      </c>
      <c r="P210" t="s">
        <v>1282</v>
      </c>
      <c r="Q210" s="135" t="s">
        <v>1314</v>
      </c>
      <c r="R210" t="s">
        <v>1315</v>
      </c>
      <c r="S210" s="135" t="s">
        <v>1313</v>
      </c>
      <c r="T210" t="s">
        <v>1316</v>
      </c>
      <c r="U210" t="s">
        <v>1237</v>
      </c>
      <c r="V210" t="s">
        <v>1238</v>
      </c>
      <c r="W210">
        <v>130</v>
      </c>
      <c r="X210" t="s">
        <v>1189</v>
      </c>
      <c r="Y210">
        <v>48</v>
      </c>
      <c r="Z210">
        <v>6240</v>
      </c>
      <c r="AA210" t="s">
        <v>28</v>
      </c>
      <c r="AB210" t="s">
        <v>1190</v>
      </c>
      <c r="AC210">
        <v>130</v>
      </c>
      <c r="AD210" t="s">
        <v>1191</v>
      </c>
      <c r="AE210" t="s">
        <v>1192</v>
      </c>
      <c r="AF210" t="s">
        <v>1193</v>
      </c>
      <c r="AG210" t="s">
        <v>1194</v>
      </c>
      <c r="AH210" t="s">
        <v>1195</v>
      </c>
      <c r="AI210" t="s">
        <v>1202</v>
      </c>
      <c r="AJ210" t="s">
        <v>1291</v>
      </c>
      <c r="AK210" t="s">
        <v>1292</v>
      </c>
      <c r="AL210" t="s">
        <v>1291</v>
      </c>
      <c r="AM210" t="s">
        <v>1318</v>
      </c>
      <c r="AN210" t="s">
        <v>1201</v>
      </c>
      <c r="AO210" t="s">
        <v>1292</v>
      </c>
      <c r="AP210" t="s">
        <v>1319</v>
      </c>
      <c r="AQ210" t="s">
        <v>1203</v>
      </c>
      <c r="AR210" t="s">
        <v>1201</v>
      </c>
      <c r="AS210" t="s">
        <v>1203</v>
      </c>
      <c r="AU210" t="s">
        <v>1204</v>
      </c>
      <c r="AW210" t="b">
        <v>0</v>
      </c>
      <c r="AY210" t="b">
        <v>0</v>
      </c>
      <c r="BA210" t="s">
        <v>1295</v>
      </c>
      <c r="BJ210" t="s">
        <v>1299</v>
      </c>
    </row>
    <row r="211" spans="1:62" x14ac:dyDescent="0.25">
      <c r="A211" t="s">
        <v>1177</v>
      </c>
      <c r="B211">
        <v>150403</v>
      </c>
      <c r="C211">
        <v>150403</v>
      </c>
      <c r="D211" s="112" t="s">
        <v>2634</v>
      </c>
      <c r="E211" t="s">
        <v>1119</v>
      </c>
      <c r="F211" t="s">
        <v>1178</v>
      </c>
      <c r="G211" t="s">
        <v>1562</v>
      </c>
      <c r="H211" s="135" t="s">
        <v>1563</v>
      </c>
      <c r="I211">
        <v>12</v>
      </c>
      <c r="J211" t="s">
        <v>1279</v>
      </c>
      <c r="K211">
        <v>12101</v>
      </c>
      <c r="L211" t="s">
        <v>1280</v>
      </c>
      <c r="M211">
        <v>12101265</v>
      </c>
      <c r="N211" t="s">
        <v>1281</v>
      </c>
      <c r="O211">
        <v>12101265813</v>
      </c>
      <c r="P211" t="s">
        <v>1282</v>
      </c>
      <c r="Q211" s="135" t="s">
        <v>1365</v>
      </c>
      <c r="R211" t="s">
        <v>1366</v>
      </c>
      <c r="S211" s="135" t="s">
        <v>1563</v>
      </c>
      <c r="T211" t="s">
        <v>1564</v>
      </c>
      <c r="U211" t="s">
        <v>1230</v>
      </c>
      <c r="V211" t="s">
        <v>1231</v>
      </c>
      <c r="W211">
        <v>8</v>
      </c>
      <c r="X211" t="s">
        <v>1342</v>
      </c>
      <c r="Y211">
        <v>510</v>
      </c>
      <c r="Z211">
        <v>4080</v>
      </c>
      <c r="AA211" t="s">
        <v>28</v>
      </c>
      <c r="AB211" t="s">
        <v>1190</v>
      </c>
      <c r="AC211">
        <v>8</v>
      </c>
      <c r="AD211" t="s">
        <v>1232</v>
      </c>
      <c r="AE211" t="s">
        <v>1192</v>
      </c>
      <c r="AF211" t="s">
        <v>1193</v>
      </c>
      <c r="AG211" t="s">
        <v>1194</v>
      </c>
      <c r="AH211" t="s">
        <v>1195</v>
      </c>
      <c r="AI211" t="s">
        <v>1202</v>
      </c>
      <c r="AJ211" t="s">
        <v>1291</v>
      </c>
      <c r="AK211" t="s">
        <v>1272</v>
      </c>
      <c r="AL211" t="s">
        <v>1291</v>
      </c>
      <c r="AM211" t="s">
        <v>1565</v>
      </c>
      <c r="AN211" t="s">
        <v>1201</v>
      </c>
      <c r="AO211" t="s">
        <v>1292</v>
      </c>
      <c r="AQ211" t="s">
        <v>1203</v>
      </c>
      <c r="AR211" t="s">
        <v>1201</v>
      </c>
      <c r="AS211" t="s">
        <v>1203</v>
      </c>
      <c r="AU211" t="s">
        <v>1204</v>
      </c>
      <c r="AW211" t="b">
        <v>0</v>
      </c>
      <c r="AY211" t="b">
        <v>0</v>
      </c>
      <c r="BA211" t="s">
        <v>1295</v>
      </c>
      <c r="BJ211" t="s">
        <v>1299</v>
      </c>
    </row>
    <row r="212" spans="1:62" x14ac:dyDescent="0.25">
      <c r="A212" t="s">
        <v>1177</v>
      </c>
      <c r="B212">
        <v>150400</v>
      </c>
      <c r="C212" t="s">
        <v>1258</v>
      </c>
      <c r="D212" s="112" t="s">
        <v>2635</v>
      </c>
      <c r="E212" t="s">
        <v>1119</v>
      </c>
      <c r="F212" t="s">
        <v>1178</v>
      </c>
      <c r="G212" t="s">
        <v>1566</v>
      </c>
      <c r="H212" s="135" t="s">
        <v>1567</v>
      </c>
      <c r="I212">
        <v>12</v>
      </c>
      <c r="J212" t="s">
        <v>1279</v>
      </c>
      <c r="K212">
        <v>12101</v>
      </c>
      <c r="L212" t="s">
        <v>1280</v>
      </c>
      <c r="M212">
        <v>12101265</v>
      </c>
      <c r="N212" t="s">
        <v>1281</v>
      </c>
      <c r="O212">
        <v>12101265813</v>
      </c>
      <c r="P212" t="s">
        <v>1282</v>
      </c>
      <c r="Q212" s="135" t="s">
        <v>1365</v>
      </c>
      <c r="R212" t="s">
        <v>1366</v>
      </c>
      <c r="S212" s="135" t="s">
        <v>1567</v>
      </c>
      <c r="T212" t="s">
        <v>1568</v>
      </c>
      <c r="U212" t="s">
        <v>1230</v>
      </c>
      <c r="V212" t="s">
        <v>1231</v>
      </c>
      <c r="W212">
        <v>8</v>
      </c>
      <c r="X212" t="s">
        <v>1342</v>
      </c>
      <c r="Y212">
        <v>288</v>
      </c>
      <c r="Z212">
        <v>2304</v>
      </c>
      <c r="AA212" t="s">
        <v>28</v>
      </c>
      <c r="AB212" t="s">
        <v>1190</v>
      </c>
      <c r="AC212">
        <v>8</v>
      </c>
      <c r="AD212" t="s">
        <v>1232</v>
      </c>
      <c r="AE212" t="s">
        <v>1192</v>
      </c>
      <c r="AF212" t="s">
        <v>1193</v>
      </c>
      <c r="AG212" t="s">
        <v>1194</v>
      </c>
      <c r="AH212" t="s">
        <v>1195</v>
      </c>
      <c r="AI212" t="s">
        <v>1202</v>
      </c>
      <c r="AJ212" t="s">
        <v>1291</v>
      </c>
      <c r="AK212" t="s">
        <v>1272</v>
      </c>
      <c r="AL212" t="s">
        <v>1291</v>
      </c>
      <c r="AM212" t="s">
        <v>1565</v>
      </c>
      <c r="AN212" t="s">
        <v>1201</v>
      </c>
      <c r="AO212" t="s">
        <v>1292</v>
      </c>
      <c r="AQ212" t="s">
        <v>1203</v>
      </c>
      <c r="AR212" t="s">
        <v>1201</v>
      </c>
      <c r="AS212" t="s">
        <v>1203</v>
      </c>
      <c r="AU212" t="s">
        <v>1204</v>
      </c>
      <c r="AW212" t="b">
        <v>0</v>
      </c>
      <c r="AY212" t="b">
        <v>0</v>
      </c>
      <c r="BA212" t="s">
        <v>1295</v>
      </c>
      <c r="BJ212" t="s">
        <v>1299</v>
      </c>
    </row>
    <row r="213" spans="1:62" x14ac:dyDescent="0.25">
      <c r="A213" t="s">
        <v>1177</v>
      </c>
      <c r="B213">
        <v>110019</v>
      </c>
      <c r="C213">
        <v>110019</v>
      </c>
      <c r="D213" s="112" t="s">
        <v>2636</v>
      </c>
      <c r="E213" t="s">
        <v>1119</v>
      </c>
      <c r="F213" t="s">
        <v>1178</v>
      </c>
      <c r="G213" t="s">
        <v>1569</v>
      </c>
      <c r="H213" s="135" t="s">
        <v>1570</v>
      </c>
      <c r="I213">
        <v>12</v>
      </c>
      <c r="J213" t="s">
        <v>1279</v>
      </c>
      <c r="K213">
        <v>12174</v>
      </c>
      <c r="L213" t="s">
        <v>1571</v>
      </c>
      <c r="M213">
        <v>12174239</v>
      </c>
      <c r="N213" t="s">
        <v>1572</v>
      </c>
      <c r="O213">
        <v>12174239649</v>
      </c>
      <c r="P213" t="s">
        <v>1573</v>
      </c>
      <c r="Q213" s="135" t="s">
        <v>1574</v>
      </c>
      <c r="R213" t="s">
        <v>1575</v>
      </c>
      <c r="S213" s="135" t="s">
        <v>1570</v>
      </c>
      <c r="T213" t="s">
        <v>1576</v>
      </c>
      <c r="U213" t="s">
        <v>1187</v>
      </c>
      <c r="V213" t="s">
        <v>1188</v>
      </c>
      <c r="W213">
        <v>620</v>
      </c>
      <c r="X213" t="s">
        <v>1189</v>
      </c>
      <c r="Y213">
        <v>12</v>
      </c>
      <c r="Z213">
        <v>7440</v>
      </c>
      <c r="AA213" t="s">
        <v>28</v>
      </c>
      <c r="AB213" t="s">
        <v>1190</v>
      </c>
      <c r="AC213">
        <v>620</v>
      </c>
      <c r="AD213" t="s">
        <v>1289</v>
      </c>
      <c r="AE213" t="s">
        <v>1290</v>
      </c>
      <c r="AF213" t="s">
        <v>1193</v>
      </c>
      <c r="AG213" t="s">
        <v>1194</v>
      </c>
      <c r="AH213" t="s">
        <v>1195</v>
      </c>
      <c r="AI213" t="s">
        <v>1202</v>
      </c>
      <c r="AJ213" t="s">
        <v>1291</v>
      </c>
      <c r="AK213" t="s">
        <v>1292</v>
      </c>
      <c r="AL213" t="s">
        <v>1291</v>
      </c>
      <c r="AM213" t="s">
        <v>1577</v>
      </c>
      <c r="AN213" t="s">
        <v>1201</v>
      </c>
      <c r="AO213" t="s">
        <v>1292</v>
      </c>
      <c r="AP213" t="s">
        <v>1578</v>
      </c>
      <c r="AQ213" t="s">
        <v>1203</v>
      </c>
      <c r="AR213" t="s">
        <v>1201</v>
      </c>
      <c r="AS213" t="s">
        <v>1203</v>
      </c>
      <c r="AU213" t="s">
        <v>1204</v>
      </c>
      <c r="AW213" t="b">
        <v>0</v>
      </c>
      <c r="AY213" t="b">
        <v>0</v>
      </c>
      <c r="BA213" t="s">
        <v>1579</v>
      </c>
      <c r="BB213" t="s">
        <v>1206</v>
      </c>
      <c r="BC213" t="s">
        <v>1206</v>
      </c>
      <c r="BD213" t="s">
        <v>1207</v>
      </c>
      <c r="BE213" t="s">
        <v>1296</v>
      </c>
      <c r="BF213" t="s">
        <v>1580</v>
      </c>
      <c r="BG213" t="s">
        <v>237</v>
      </c>
      <c r="BH213" t="s">
        <v>1206</v>
      </c>
      <c r="BI213" t="s">
        <v>1206</v>
      </c>
      <c r="BJ213" t="s">
        <v>1581</v>
      </c>
    </row>
    <row r="214" spans="1:62" x14ac:dyDescent="0.25">
      <c r="A214" t="s">
        <v>1177</v>
      </c>
      <c r="B214">
        <v>110020</v>
      </c>
      <c r="C214">
        <v>110020</v>
      </c>
      <c r="D214" s="112" t="s">
        <v>2637</v>
      </c>
      <c r="E214" t="s">
        <v>1119</v>
      </c>
      <c r="F214" t="s">
        <v>1178</v>
      </c>
      <c r="G214" t="s">
        <v>1582</v>
      </c>
      <c r="H214" s="135" t="s">
        <v>1583</v>
      </c>
      <c r="I214">
        <v>12</v>
      </c>
      <c r="J214" t="s">
        <v>1279</v>
      </c>
      <c r="K214">
        <v>12174</v>
      </c>
      <c r="L214" t="s">
        <v>1571</v>
      </c>
      <c r="M214">
        <v>12174239</v>
      </c>
      <c r="N214" t="s">
        <v>1572</v>
      </c>
      <c r="O214">
        <v>12174239649</v>
      </c>
      <c r="P214" t="s">
        <v>1573</v>
      </c>
      <c r="Q214" s="135" t="s">
        <v>1584</v>
      </c>
      <c r="R214" t="s">
        <v>1585</v>
      </c>
      <c r="S214" s="135" t="s">
        <v>1583</v>
      </c>
      <c r="T214" t="s">
        <v>1586</v>
      </c>
      <c r="U214" t="s">
        <v>1286</v>
      </c>
      <c r="V214" t="s">
        <v>1287</v>
      </c>
      <c r="W214">
        <v>6</v>
      </c>
      <c r="X214" t="s">
        <v>1288</v>
      </c>
      <c r="Y214">
        <v>1</v>
      </c>
      <c r="Z214">
        <v>6</v>
      </c>
      <c r="AA214" t="s">
        <v>28</v>
      </c>
      <c r="AB214" t="s">
        <v>1190</v>
      </c>
      <c r="AC214">
        <v>6000</v>
      </c>
      <c r="AD214" t="s">
        <v>1289</v>
      </c>
      <c r="AE214" t="s">
        <v>1290</v>
      </c>
      <c r="AF214" t="s">
        <v>1193</v>
      </c>
      <c r="AG214" t="s">
        <v>1194</v>
      </c>
      <c r="AH214" t="s">
        <v>1195</v>
      </c>
      <c r="AI214" t="s">
        <v>1202</v>
      </c>
      <c r="AJ214" t="s">
        <v>1291</v>
      </c>
      <c r="AK214" t="s">
        <v>1292</v>
      </c>
      <c r="AL214" t="s">
        <v>1291</v>
      </c>
      <c r="AM214" t="s">
        <v>1577</v>
      </c>
      <c r="AN214" t="s">
        <v>1201</v>
      </c>
      <c r="AO214" t="s">
        <v>1292</v>
      </c>
      <c r="AP214" t="s">
        <v>1578</v>
      </c>
      <c r="AQ214" t="s">
        <v>1203</v>
      </c>
      <c r="AR214" t="s">
        <v>1201</v>
      </c>
      <c r="AS214" t="s">
        <v>1203</v>
      </c>
      <c r="AU214" t="s">
        <v>1204</v>
      </c>
      <c r="AW214" t="b">
        <v>0</v>
      </c>
      <c r="AY214" t="b">
        <v>0</v>
      </c>
      <c r="BA214" t="s">
        <v>1579</v>
      </c>
      <c r="BB214" t="s">
        <v>1206</v>
      </c>
      <c r="BC214" t="s">
        <v>1206</v>
      </c>
      <c r="BD214" t="s">
        <v>1207</v>
      </c>
      <c r="BE214" t="s">
        <v>1296</v>
      </c>
      <c r="BF214" t="s">
        <v>1580</v>
      </c>
      <c r="BG214" t="s">
        <v>237</v>
      </c>
      <c r="BH214" t="s">
        <v>1206</v>
      </c>
      <c r="BI214" t="s">
        <v>1206</v>
      </c>
      <c r="BJ214" t="s">
        <v>1581</v>
      </c>
    </row>
    <row r="215" spans="1:62" x14ac:dyDescent="0.25">
      <c r="A215" t="s">
        <v>1177</v>
      </c>
      <c r="B215">
        <v>110021</v>
      </c>
      <c r="C215">
        <v>110021</v>
      </c>
      <c r="D215" s="112" t="s">
        <v>2638</v>
      </c>
      <c r="E215" t="s">
        <v>1119</v>
      </c>
      <c r="F215" t="s">
        <v>1178</v>
      </c>
      <c r="G215" t="s">
        <v>1587</v>
      </c>
      <c r="H215" s="135" t="s">
        <v>1588</v>
      </c>
      <c r="I215">
        <v>12</v>
      </c>
      <c r="J215" t="s">
        <v>1279</v>
      </c>
      <c r="K215">
        <v>12174</v>
      </c>
      <c r="L215" t="s">
        <v>1571</v>
      </c>
      <c r="M215">
        <v>12174239</v>
      </c>
      <c r="N215" t="s">
        <v>1572</v>
      </c>
      <c r="O215">
        <v>12174239649</v>
      </c>
      <c r="P215" t="s">
        <v>1573</v>
      </c>
      <c r="Q215" s="135" t="s">
        <v>1589</v>
      </c>
      <c r="R215" t="s">
        <v>1590</v>
      </c>
      <c r="S215" s="135" t="s">
        <v>1588</v>
      </c>
      <c r="T215" t="s">
        <v>1591</v>
      </c>
      <c r="U215" t="s">
        <v>1237</v>
      </c>
      <c r="V215" t="s">
        <v>1238</v>
      </c>
      <c r="W215">
        <v>131</v>
      </c>
      <c r="X215" t="s">
        <v>1189</v>
      </c>
      <c r="Y215">
        <v>48</v>
      </c>
      <c r="Z215">
        <v>6288</v>
      </c>
      <c r="AA215" t="s">
        <v>28</v>
      </c>
      <c r="AB215" t="s">
        <v>1190</v>
      </c>
      <c r="AC215">
        <v>131</v>
      </c>
      <c r="AD215" t="s">
        <v>1191</v>
      </c>
      <c r="AE215" t="s">
        <v>1192</v>
      </c>
      <c r="AF215" t="s">
        <v>1193</v>
      </c>
      <c r="AG215" t="s">
        <v>1194</v>
      </c>
      <c r="AH215" t="s">
        <v>1195</v>
      </c>
      <c r="AI215" t="s">
        <v>1202</v>
      </c>
      <c r="AJ215" t="s">
        <v>1291</v>
      </c>
      <c r="AK215" t="s">
        <v>1292</v>
      </c>
      <c r="AL215" t="s">
        <v>1291</v>
      </c>
      <c r="AM215" t="s">
        <v>1577</v>
      </c>
      <c r="AN215" t="s">
        <v>1201</v>
      </c>
      <c r="AO215" t="s">
        <v>1292</v>
      </c>
      <c r="AP215" t="s">
        <v>1578</v>
      </c>
      <c r="AQ215" t="s">
        <v>1203</v>
      </c>
      <c r="AR215" t="s">
        <v>1201</v>
      </c>
      <c r="AS215" t="s">
        <v>1203</v>
      </c>
      <c r="AU215" t="s">
        <v>1204</v>
      </c>
      <c r="AW215" t="b">
        <v>0</v>
      </c>
      <c r="AY215" t="b">
        <v>0</v>
      </c>
      <c r="BA215" t="s">
        <v>1579</v>
      </c>
      <c r="BB215" t="s">
        <v>1206</v>
      </c>
      <c r="BC215" t="s">
        <v>1206</v>
      </c>
      <c r="BD215" t="s">
        <v>1207</v>
      </c>
      <c r="BE215" t="s">
        <v>1296</v>
      </c>
      <c r="BF215" t="s">
        <v>1580</v>
      </c>
      <c r="BG215" t="s">
        <v>237</v>
      </c>
      <c r="BH215" t="s">
        <v>1206</v>
      </c>
      <c r="BI215" t="s">
        <v>1206</v>
      </c>
      <c r="BJ215" t="s">
        <v>1581</v>
      </c>
    </row>
    <row r="216" spans="1:62" x14ac:dyDescent="0.25">
      <c r="A216" t="s">
        <v>1177</v>
      </c>
      <c r="B216">
        <v>811107</v>
      </c>
      <c r="C216" t="s">
        <v>1258</v>
      </c>
      <c r="D216" s="112" t="s">
        <v>2639</v>
      </c>
      <c r="E216" t="s">
        <v>1119</v>
      </c>
      <c r="F216" t="s">
        <v>1178</v>
      </c>
      <c r="G216" t="s">
        <v>1592</v>
      </c>
      <c r="H216" s="135" t="s">
        <v>1588</v>
      </c>
      <c r="I216">
        <v>12</v>
      </c>
      <c r="J216" t="s">
        <v>1279</v>
      </c>
      <c r="K216">
        <v>12174</v>
      </c>
      <c r="L216" t="s">
        <v>1571</v>
      </c>
      <c r="M216">
        <v>12174239</v>
      </c>
      <c r="N216" t="s">
        <v>1572</v>
      </c>
      <c r="O216">
        <v>12174239649</v>
      </c>
      <c r="P216" t="s">
        <v>1573</v>
      </c>
      <c r="Q216" s="135" t="s">
        <v>1589</v>
      </c>
      <c r="R216" t="s">
        <v>1590</v>
      </c>
      <c r="S216" s="135" t="s">
        <v>1588</v>
      </c>
      <c r="T216" t="s">
        <v>1591</v>
      </c>
      <c r="U216" t="s">
        <v>1237</v>
      </c>
      <c r="V216" t="s">
        <v>1238</v>
      </c>
      <c r="W216">
        <v>131</v>
      </c>
      <c r="X216" t="s">
        <v>1189</v>
      </c>
      <c r="Y216">
        <v>48</v>
      </c>
      <c r="Z216">
        <v>6288</v>
      </c>
      <c r="AA216" t="s">
        <v>28</v>
      </c>
      <c r="AB216" t="s">
        <v>1190</v>
      </c>
      <c r="AC216">
        <v>131</v>
      </c>
      <c r="AD216" t="s">
        <v>1191</v>
      </c>
      <c r="AE216" t="s">
        <v>1192</v>
      </c>
      <c r="AF216" t="s">
        <v>1193</v>
      </c>
      <c r="AG216" t="s">
        <v>1194</v>
      </c>
      <c r="AH216" t="s">
        <v>1195</v>
      </c>
      <c r="AI216" t="s">
        <v>1202</v>
      </c>
      <c r="AJ216" t="s">
        <v>1291</v>
      </c>
      <c r="AK216" t="s">
        <v>1292</v>
      </c>
      <c r="AL216" t="s">
        <v>1291</v>
      </c>
      <c r="AM216" t="s">
        <v>1593</v>
      </c>
      <c r="AN216" t="s">
        <v>1201</v>
      </c>
      <c r="AO216" t="s">
        <v>1292</v>
      </c>
      <c r="AP216" t="s">
        <v>530</v>
      </c>
      <c r="AQ216" t="s">
        <v>1203</v>
      </c>
      <c r="AR216" t="s">
        <v>1201</v>
      </c>
      <c r="AS216" t="s">
        <v>1203</v>
      </c>
      <c r="AU216" t="s">
        <v>1204</v>
      </c>
      <c r="AW216" t="b">
        <v>0</v>
      </c>
      <c r="AY216" t="b">
        <v>0</v>
      </c>
      <c r="BA216" t="s">
        <v>1579</v>
      </c>
      <c r="BB216" t="s">
        <v>1206</v>
      </c>
      <c r="BC216" t="s">
        <v>1206</v>
      </c>
      <c r="BD216" t="s">
        <v>1207</v>
      </c>
      <c r="BE216" t="s">
        <v>1296</v>
      </c>
      <c r="BF216" t="s">
        <v>1580</v>
      </c>
      <c r="BG216" t="s">
        <v>237</v>
      </c>
      <c r="BH216" t="s">
        <v>1206</v>
      </c>
      <c r="BI216" t="s">
        <v>1206</v>
      </c>
      <c r="BJ216" t="s">
        <v>1581</v>
      </c>
    </row>
    <row r="217" spans="1:62" x14ac:dyDescent="0.25">
      <c r="A217" t="s">
        <v>1177</v>
      </c>
      <c r="B217">
        <v>110016</v>
      </c>
      <c r="C217">
        <v>110016</v>
      </c>
      <c r="D217" s="112" t="s">
        <v>2640</v>
      </c>
      <c r="E217" t="s">
        <v>1119</v>
      </c>
      <c r="F217" t="s">
        <v>1178</v>
      </c>
      <c r="G217" t="s">
        <v>286</v>
      </c>
      <c r="H217" s="135" t="s">
        <v>1594</v>
      </c>
      <c r="I217">
        <v>12</v>
      </c>
      <c r="J217" t="s">
        <v>1279</v>
      </c>
      <c r="K217">
        <v>12174</v>
      </c>
      <c r="L217" t="s">
        <v>1571</v>
      </c>
      <c r="M217">
        <v>12174239</v>
      </c>
      <c r="N217" t="s">
        <v>1572</v>
      </c>
      <c r="O217">
        <v>12174239649</v>
      </c>
      <c r="P217" t="s">
        <v>1573</v>
      </c>
      <c r="Q217" s="135" t="s">
        <v>1595</v>
      </c>
      <c r="R217" t="s">
        <v>1596</v>
      </c>
      <c r="S217" s="135" t="s">
        <v>1594</v>
      </c>
      <c r="T217" t="s">
        <v>1597</v>
      </c>
      <c r="U217" t="s">
        <v>1237</v>
      </c>
      <c r="V217" t="s">
        <v>1238</v>
      </c>
      <c r="W217">
        <v>133</v>
      </c>
      <c r="X217" t="s">
        <v>1189</v>
      </c>
      <c r="Y217">
        <v>48</v>
      </c>
      <c r="Z217">
        <v>6384</v>
      </c>
      <c r="AA217" t="s">
        <v>28</v>
      </c>
      <c r="AB217" t="s">
        <v>1190</v>
      </c>
      <c r="AC217">
        <v>133</v>
      </c>
      <c r="AD217" t="s">
        <v>1191</v>
      </c>
      <c r="AE217" t="s">
        <v>1192</v>
      </c>
      <c r="AF217" t="s">
        <v>1193</v>
      </c>
      <c r="AG217" t="s">
        <v>1194</v>
      </c>
      <c r="AH217" t="s">
        <v>1195</v>
      </c>
      <c r="AI217" t="s">
        <v>1202</v>
      </c>
      <c r="AJ217" t="s">
        <v>1291</v>
      </c>
      <c r="AK217" t="s">
        <v>1292</v>
      </c>
      <c r="AL217" t="s">
        <v>1291</v>
      </c>
      <c r="AM217" t="s">
        <v>1593</v>
      </c>
      <c r="AN217" t="s">
        <v>1201</v>
      </c>
      <c r="AO217" t="s">
        <v>1292</v>
      </c>
      <c r="AP217" t="s">
        <v>530</v>
      </c>
      <c r="AQ217" t="s">
        <v>1203</v>
      </c>
      <c r="AR217" t="s">
        <v>1201</v>
      </c>
      <c r="AS217" t="s">
        <v>1203</v>
      </c>
      <c r="AU217" t="s">
        <v>1204</v>
      </c>
      <c r="AW217" t="b">
        <v>0</v>
      </c>
      <c r="AY217" t="b">
        <v>0</v>
      </c>
      <c r="BA217" t="s">
        <v>1579</v>
      </c>
      <c r="BB217" t="s">
        <v>1206</v>
      </c>
      <c r="BC217" t="s">
        <v>1206</v>
      </c>
      <c r="BD217" t="s">
        <v>1207</v>
      </c>
      <c r="BE217" t="s">
        <v>1296</v>
      </c>
      <c r="BF217" t="s">
        <v>1580</v>
      </c>
      <c r="BG217" t="s">
        <v>237</v>
      </c>
      <c r="BH217" t="s">
        <v>1206</v>
      </c>
      <c r="BI217" t="s">
        <v>1206</v>
      </c>
      <c r="BJ217" t="s">
        <v>1581</v>
      </c>
    </row>
    <row r="218" spans="1:62" x14ac:dyDescent="0.25">
      <c r="A218" t="s">
        <v>1177</v>
      </c>
      <c r="B218">
        <v>811094</v>
      </c>
      <c r="C218" t="s">
        <v>1258</v>
      </c>
      <c r="D218" s="112" t="s">
        <v>2641</v>
      </c>
      <c r="E218" t="s">
        <v>1119</v>
      </c>
      <c r="F218" t="s">
        <v>1178</v>
      </c>
      <c r="G218" t="s">
        <v>1598</v>
      </c>
      <c r="H218" s="135" t="s">
        <v>1570</v>
      </c>
      <c r="I218">
        <v>12</v>
      </c>
      <c r="J218" t="s">
        <v>1279</v>
      </c>
      <c r="K218">
        <v>12174</v>
      </c>
      <c r="L218" t="s">
        <v>1571</v>
      </c>
      <c r="M218">
        <v>12174239</v>
      </c>
      <c r="N218" t="s">
        <v>1572</v>
      </c>
      <c r="O218">
        <v>12174239649</v>
      </c>
      <c r="P218" t="s">
        <v>1573</v>
      </c>
      <c r="Q218" s="135" t="s">
        <v>1574</v>
      </c>
      <c r="R218" t="s">
        <v>1575</v>
      </c>
      <c r="S218" s="135" t="s">
        <v>1570</v>
      </c>
      <c r="T218" t="s">
        <v>1576</v>
      </c>
      <c r="U218" t="s">
        <v>1187</v>
      </c>
      <c r="V218" t="s">
        <v>1188</v>
      </c>
      <c r="W218">
        <v>620</v>
      </c>
      <c r="X218" t="s">
        <v>1189</v>
      </c>
      <c r="Y218">
        <v>12</v>
      </c>
      <c r="Z218">
        <v>7440</v>
      </c>
      <c r="AA218" t="s">
        <v>28</v>
      </c>
      <c r="AB218" t="s">
        <v>1190</v>
      </c>
      <c r="AC218">
        <v>620</v>
      </c>
      <c r="AD218" t="s">
        <v>1289</v>
      </c>
      <c r="AE218" t="s">
        <v>1290</v>
      </c>
      <c r="AF218" t="s">
        <v>1193</v>
      </c>
      <c r="AG218" t="s">
        <v>1194</v>
      </c>
      <c r="AH218" t="s">
        <v>1195</v>
      </c>
      <c r="AI218" t="s">
        <v>1202</v>
      </c>
      <c r="AJ218" t="s">
        <v>1291</v>
      </c>
      <c r="AK218" t="s">
        <v>1292</v>
      </c>
      <c r="AL218" t="s">
        <v>1291</v>
      </c>
      <c r="AM218" t="s">
        <v>1593</v>
      </c>
      <c r="AN218" t="s">
        <v>1201</v>
      </c>
      <c r="AO218" t="s">
        <v>1292</v>
      </c>
      <c r="AP218" t="s">
        <v>530</v>
      </c>
      <c r="AQ218" t="s">
        <v>1203</v>
      </c>
      <c r="AR218" t="s">
        <v>1201</v>
      </c>
      <c r="AS218" t="s">
        <v>1203</v>
      </c>
      <c r="AU218" t="s">
        <v>1204</v>
      </c>
      <c r="AW218" t="b">
        <v>0</v>
      </c>
      <c r="AY218" t="b">
        <v>0</v>
      </c>
      <c r="BA218" t="s">
        <v>1579</v>
      </c>
      <c r="BB218" t="s">
        <v>1206</v>
      </c>
      <c r="BC218" t="s">
        <v>1206</v>
      </c>
      <c r="BD218" t="s">
        <v>1207</v>
      </c>
      <c r="BE218" t="s">
        <v>1296</v>
      </c>
      <c r="BF218" t="s">
        <v>1580</v>
      </c>
      <c r="BG218" t="s">
        <v>237</v>
      </c>
      <c r="BH218" t="s">
        <v>1206</v>
      </c>
      <c r="BI218" t="s">
        <v>1206</v>
      </c>
      <c r="BJ218" t="s">
        <v>1581</v>
      </c>
    </row>
    <row r="219" spans="1:62" x14ac:dyDescent="0.25">
      <c r="A219" t="s">
        <v>1177</v>
      </c>
      <c r="B219">
        <v>811101</v>
      </c>
      <c r="C219" t="s">
        <v>1258</v>
      </c>
      <c r="D219" s="112" t="s">
        <v>2642</v>
      </c>
      <c r="E219" t="s">
        <v>1119</v>
      </c>
      <c r="F219" t="s">
        <v>1178</v>
      </c>
      <c r="G219" t="s">
        <v>1599</v>
      </c>
      <c r="H219" s="135" t="s">
        <v>1600</v>
      </c>
      <c r="I219">
        <v>12</v>
      </c>
      <c r="J219" t="s">
        <v>1279</v>
      </c>
      <c r="K219">
        <v>12174</v>
      </c>
      <c r="L219" t="s">
        <v>1571</v>
      </c>
      <c r="M219">
        <v>12174239</v>
      </c>
      <c r="N219" t="s">
        <v>1572</v>
      </c>
      <c r="O219">
        <v>12174239649</v>
      </c>
      <c r="P219" t="s">
        <v>1573</v>
      </c>
      <c r="Q219" s="135" t="s">
        <v>1601</v>
      </c>
      <c r="R219" t="s">
        <v>1602</v>
      </c>
      <c r="S219" s="135" t="s">
        <v>1600</v>
      </c>
      <c r="T219" t="s">
        <v>1603</v>
      </c>
      <c r="U219" t="s">
        <v>1237</v>
      </c>
      <c r="V219" t="s">
        <v>1238</v>
      </c>
      <c r="W219">
        <v>600</v>
      </c>
      <c r="X219" t="s">
        <v>1189</v>
      </c>
      <c r="Y219">
        <v>12</v>
      </c>
      <c r="Z219">
        <v>7200</v>
      </c>
      <c r="AA219" t="s">
        <v>28</v>
      </c>
      <c r="AB219" t="s">
        <v>1190</v>
      </c>
      <c r="AC219">
        <v>600</v>
      </c>
      <c r="AD219" t="s">
        <v>1289</v>
      </c>
      <c r="AE219" t="s">
        <v>1290</v>
      </c>
      <c r="AF219" t="s">
        <v>1193</v>
      </c>
      <c r="AG219" t="s">
        <v>1194</v>
      </c>
      <c r="AH219" t="s">
        <v>1195</v>
      </c>
      <c r="AI219" t="s">
        <v>1202</v>
      </c>
      <c r="AJ219" t="s">
        <v>1291</v>
      </c>
      <c r="AK219" t="s">
        <v>1292</v>
      </c>
      <c r="AL219" t="s">
        <v>1291</v>
      </c>
      <c r="AM219" t="s">
        <v>1593</v>
      </c>
      <c r="AN219" t="s">
        <v>1201</v>
      </c>
      <c r="AO219" t="s">
        <v>1292</v>
      </c>
      <c r="AP219" t="s">
        <v>530</v>
      </c>
      <c r="AQ219" t="s">
        <v>1203</v>
      </c>
      <c r="AR219" t="s">
        <v>1201</v>
      </c>
      <c r="AS219" t="s">
        <v>1203</v>
      </c>
      <c r="AU219" t="s">
        <v>1204</v>
      </c>
      <c r="AW219" t="b">
        <v>0</v>
      </c>
      <c r="AY219" t="b">
        <v>0</v>
      </c>
      <c r="BA219" t="s">
        <v>1579</v>
      </c>
      <c r="BB219" t="s">
        <v>1206</v>
      </c>
      <c r="BC219" t="s">
        <v>1206</v>
      </c>
      <c r="BD219" t="s">
        <v>1207</v>
      </c>
      <c r="BE219" t="s">
        <v>1296</v>
      </c>
      <c r="BF219" t="s">
        <v>1580</v>
      </c>
      <c r="BG219" t="s">
        <v>237</v>
      </c>
      <c r="BH219" t="s">
        <v>1206</v>
      </c>
      <c r="BI219" t="s">
        <v>1206</v>
      </c>
      <c r="BJ219" t="s">
        <v>1581</v>
      </c>
    </row>
    <row r="220" spans="1:62" x14ac:dyDescent="0.25">
      <c r="A220" t="s">
        <v>1177</v>
      </c>
      <c r="B220">
        <v>811104</v>
      </c>
      <c r="C220" t="s">
        <v>1258</v>
      </c>
      <c r="D220" s="112" t="s">
        <v>2643</v>
      </c>
      <c r="E220" t="s">
        <v>1119</v>
      </c>
      <c r="F220" t="s">
        <v>1178</v>
      </c>
      <c r="G220" t="s">
        <v>1604</v>
      </c>
      <c r="H220" s="135" t="s">
        <v>1605</v>
      </c>
      <c r="I220">
        <v>12</v>
      </c>
      <c r="J220" t="s">
        <v>1279</v>
      </c>
      <c r="K220">
        <v>12174</v>
      </c>
      <c r="L220" t="s">
        <v>1571</v>
      </c>
      <c r="M220">
        <v>12174239</v>
      </c>
      <c r="N220" t="s">
        <v>1572</v>
      </c>
      <c r="O220">
        <v>12174239649</v>
      </c>
      <c r="P220" t="s">
        <v>1573</v>
      </c>
      <c r="Q220" s="135" t="s">
        <v>1601</v>
      </c>
      <c r="R220" t="s">
        <v>1602</v>
      </c>
      <c r="S220" s="135" t="s">
        <v>1605</v>
      </c>
      <c r="T220" t="s">
        <v>1606</v>
      </c>
      <c r="U220" t="s">
        <v>1237</v>
      </c>
      <c r="V220" t="s">
        <v>1238</v>
      </c>
      <c r="W220">
        <v>600</v>
      </c>
      <c r="X220" t="s">
        <v>1189</v>
      </c>
      <c r="Y220">
        <v>6</v>
      </c>
      <c r="Z220">
        <v>3600</v>
      </c>
      <c r="AA220" t="s">
        <v>28</v>
      </c>
      <c r="AB220" t="s">
        <v>1190</v>
      </c>
      <c r="AC220">
        <v>600</v>
      </c>
      <c r="AD220" t="s">
        <v>1289</v>
      </c>
      <c r="AE220" t="s">
        <v>1290</v>
      </c>
      <c r="AF220" t="s">
        <v>1193</v>
      </c>
      <c r="AG220" t="s">
        <v>1194</v>
      </c>
      <c r="AH220" t="s">
        <v>1195</v>
      </c>
      <c r="AI220" t="s">
        <v>1202</v>
      </c>
      <c r="AJ220" t="s">
        <v>1291</v>
      </c>
      <c r="AK220" t="s">
        <v>1292</v>
      </c>
      <c r="AL220" t="s">
        <v>1291</v>
      </c>
      <c r="AM220" t="s">
        <v>1593</v>
      </c>
      <c r="AN220" t="s">
        <v>1201</v>
      </c>
      <c r="AO220" t="s">
        <v>1292</v>
      </c>
      <c r="AP220" t="s">
        <v>530</v>
      </c>
      <c r="AQ220" t="s">
        <v>1203</v>
      </c>
      <c r="AR220" t="s">
        <v>1201</v>
      </c>
      <c r="AS220" t="s">
        <v>1203</v>
      </c>
      <c r="AU220" t="s">
        <v>1204</v>
      </c>
      <c r="AW220" t="b">
        <v>0</v>
      </c>
      <c r="AY220" t="b">
        <v>0</v>
      </c>
      <c r="BA220" t="s">
        <v>1579</v>
      </c>
      <c r="BB220" t="s">
        <v>1206</v>
      </c>
      <c r="BC220" t="s">
        <v>1206</v>
      </c>
      <c r="BD220" t="s">
        <v>1207</v>
      </c>
      <c r="BE220" t="s">
        <v>1296</v>
      </c>
      <c r="BF220" t="s">
        <v>1580</v>
      </c>
      <c r="BG220" t="s">
        <v>237</v>
      </c>
      <c r="BH220" t="s">
        <v>1206</v>
      </c>
      <c r="BI220" t="s">
        <v>1206</v>
      </c>
      <c r="BJ220" t="s">
        <v>1581</v>
      </c>
    </row>
    <row r="221" spans="1:62" x14ac:dyDescent="0.25">
      <c r="A221" t="s">
        <v>1177</v>
      </c>
      <c r="B221">
        <v>811103</v>
      </c>
      <c r="C221" t="s">
        <v>1258</v>
      </c>
      <c r="D221" s="112" t="s">
        <v>2644</v>
      </c>
      <c r="E221" t="s">
        <v>1119</v>
      </c>
      <c r="F221" t="s">
        <v>1178</v>
      </c>
      <c r="G221" t="s">
        <v>1607</v>
      </c>
      <c r="H221" s="135" t="s">
        <v>1570</v>
      </c>
      <c r="I221">
        <v>12</v>
      </c>
      <c r="J221" t="s">
        <v>1279</v>
      </c>
      <c r="K221">
        <v>12174</v>
      </c>
      <c r="L221" t="s">
        <v>1571</v>
      </c>
      <c r="M221">
        <v>12174239</v>
      </c>
      <c r="N221" t="s">
        <v>1572</v>
      </c>
      <c r="O221">
        <v>12174239649</v>
      </c>
      <c r="P221" t="s">
        <v>1573</v>
      </c>
      <c r="Q221" s="135" t="s">
        <v>1574</v>
      </c>
      <c r="R221" t="s">
        <v>1575</v>
      </c>
      <c r="S221" s="135" t="s">
        <v>1570</v>
      </c>
      <c r="T221" t="s">
        <v>1576</v>
      </c>
      <c r="U221" t="s">
        <v>1187</v>
      </c>
      <c r="V221" t="s">
        <v>1188</v>
      </c>
      <c r="W221">
        <v>620</v>
      </c>
      <c r="X221" t="s">
        <v>1189</v>
      </c>
      <c r="Y221">
        <v>12</v>
      </c>
      <c r="Z221">
        <v>7440</v>
      </c>
      <c r="AA221" t="s">
        <v>28</v>
      </c>
      <c r="AB221" t="s">
        <v>1190</v>
      </c>
      <c r="AC221">
        <v>620</v>
      </c>
      <c r="AD221" t="s">
        <v>1289</v>
      </c>
      <c r="AE221" t="s">
        <v>1290</v>
      </c>
      <c r="AF221" t="s">
        <v>1193</v>
      </c>
      <c r="AG221" t="s">
        <v>1194</v>
      </c>
      <c r="AH221" t="s">
        <v>1195</v>
      </c>
      <c r="AI221" t="s">
        <v>1202</v>
      </c>
      <c r="AJ221" t="s">
        <v>1291</v>
      </c>
      <c r="AK221" t="s">
        <v>1292</v>
      </c>
      <c r="AL221" t="s">
        <v>1291</v>
      </c>
      <c r="AM221" t="s">
        <v>1593</v>
      </c>
      <c r="AN221" t="s">
        <v>1201</v>
      </c>
      <c r="AO221" t="s">
        <v>1292</v>
      </c>
      <c r="AP221" t="s">
        <v>530</v>
      </c>
      <c r="AQ221" t="s">
        <v>1203</v>
      </c>
      <c r="AR221" t="s">
        <v>1201</v>
      </c>
      <c r="AS221" t="s">
        <v>1203</v>
      </c>
      <c r="AU221" t="s">
        <v>1204</v>
      </c>
      <c r="AW221" t="b">
        <v>0</v>
      </c>
      <c r="AY221" t="b">
        <v>0</v>
      </c>
      <c r="BA221" t="s">
        <v>1579</v>
      </c>
      <c r="BB221" t="s">
        <v>1206</v>
      </c>
      <c r="BC221" t="s">
        <v>1206</v>
      </c>
      <c r="BD221" t="s">
        <v>1207</v>
      </c>
      <c r="BE221" t="s">
        <v>1296</v>
      </c>
      <c r="BF221" t="s">
        <v>1580</v>
      </c>
      <c r="BG221" t="s">
        <v>237</v>
      </c>
      <c r="BH221" t="s">
        <v>1206</v>
      </c>
      <c r="BI221" t="s">
        <v>1206</v>
      </c>
      <c r="BJ221" t="s">
        <v>1581</v>
      </c>
    </row>
    <row r="222" spans="1:62" x14ac:dyDescent="0.25">
      <c r="A222" t="s">
        <v>1177</v>
      </c>
      <c r="B222">
        <v>110013</v>
      </c>
      <c r="C222">
        <v>110013</v>
      </c>
      <c r="D222" s="112" t="s">
        <v>2645</v>
      </c>
      <c r="E222" t="s">
        <v>1119</v>
      </c>
      <c r="F222" t="s">
        <v>1178</v>
      </c>
      <c r="G222" t="s">
        <v>289</v>
      </c>
      <c r="H222" s="135" t="s">
        <v>1570</v>
      </c>
      <c r="I222">
        <v>12</v>
      </c>
      <c r="J222" t="s">
        <v>1279</v>
      </c>
      <c r="K222">
        <v>12174</v>
      </c>
      <c r="L222" t="s">
        <v>1571</v>
      </c>
      <c r="M222">
        <v>12174239</v>
      </c>
      <c r="N222" t="s">
        <v>1572</v>
      </c>
      <c r="O222">
        <v>12174239649</v>
      </c>
      <c r="P222" t="s">
        <v>1573</v>
      </c>
      <c r="Q222" s="135" t="s">
        <v>1574</v>
      </c>
      <c r="R222" t="s">
        <v>1575</v>
      </c>
      <c r="S222" s="135" t="s">
        <v>1570</v>
      </c>
      <c r="T222" t="s">
        <v>1576</v>
      </c>
      <c r="U222" t="s">
        <v>1187</v>
      </c>
      <c r="V222" t="s">
        <v>1188</v>
      </c>
      <c r="W222">
        <v>620</v>
      </c>
      <c r="X222" t="s">
        <v>1189</v>
      </c>
      <c r="Y222">
        <v>12</v>
      </c>
      <c r="Z222">
        <v>7440</v>
      </c>
      <c r="AA222" t="s">
        <v>28</v>
      </c>
      <c r="AB222" t="s">
        <v>1190</v>
      </c>
      <c r="AC222">
        <v>620</v>
      </c>
      <c r="AD222" t="s">
        <v>1289</v>
      </c>
      <c r="AE222" t="s">
        <v>1290</v>
      </c>
      <c r="AF222" t="s">
        <v>1193</v>
      </c>
      <c r="AG222" t="s">
        <v>1194</v>
      </c>
      <c r="AH222" t="s">
        <v>1195</v>
      </c>
      <c r="AI222" t="s">
        <v>1202</v>
      </c>
      <c r="AJ222" t="s">
        <v>1291</v>
      </c>
      <c r="AK222" t="s">
        <v>1292</v>
      </c>
      <c r="AL222" t="s">
        <v>1291</v>
      </c>
      <c r="AM222" t="s">
        <v>1577</v>
      </c>
      <c r="AN222" t="s">
        <v>1201</v>
      </c>
      <c r="AO222" t="s">
        <v>1292</v>
      </c>
      <c r="AP222" t="s">
        <v>1578</v>
      </c>
      <c r="AQ222" t="s">
        <v>1203</v>
      </c>
      <c r="AR222" t="s">
        <v>1201</v>
      </c>
      <c r="AS222" t="s">
        <v>1203</v>
      </c>
      <c r="AU222" t="s">
        <v>1204</v>
      </c>
      <c r="AW222" t="b">
        <v>0</v>
      </c>
      <c r="AY222" t="b">
        <v>0</v>
      </c>
      <c r="BA222" t="s">
        <v>1579</v>
      </c>
      <c r="BJ222" t="s">
        <v>1581</v>
      </c>
    </row>
    <row r="223" spans="1:62" x14ac:dyDescent="0.25">
      <c r="A223" t="s">
        <v>1177</v>
      </c>
      <c r="B223">
        <v>100212</v>
      </c>
      <c r="C223">
        <v>100212</v>
      </c>
      <c r="D223" s="112" t="s">
        <v>2646</v>
      </c>
      <c r="E223" t="s">
        <v>1119</v>
      </c>
      <c r="F223" t="s">
        <v>1178</v>
      </c>
      <c r="G223" t="s">
        <v>1608</v>
      </c>
      <c r="H223" s="135" t="s">
        <v>1609</v>
      </c>
      <c r="I223">
        <v>12</v>
      </c>
      <c r="J223" t="s">
        <v>1279</v>
      </c>
      <c r="K223">
        <v>12174</v>
      </c>
      <c r="L223" t="s">
        <v>1571</v>
      </c>
      <c r="M223">
        <v>12174239</v>
      </c>
      <c r="N223" t="s">
        <v>1572</v>
      </c>
      <c r="O223">
        <v>12174239647</v>
      </c>
      <c r="P223" t="s">
        <v>1610</v>
      </c>
      <c r="Q223" s="135" t="s">
        <v>1611</v>
      </c>
      <c r="R223" t="s">
        <v>1612</v>
      </c>
      <c r="S223" s="135" t="s">
        <v>1609</v>
      </c>
      <c r="T223" t="s">
        <v>1613</v>
      </c>
      <c r="U223" t="s">
        <v>1237</v>
      </c>
      <c r="V223" t="s">
        <v>1238</v>
      </c>
      <c r="W223">
        <v>130</v>
      </c>
      <c r="X223" t="s">
        <v>1189</v>
      </c>
      <c r="Y223">
        <v>48</v>
      </c>
      <c r="Z223">
        <v>6240</v>
      </c>
      <c r="AA223" t="s">
        <v>28</v>
      </c>
      <c r="AB223" t="s">
        <v>1190</v>
      </c>
      <c r="AC223">
        <v>130</v>
      </c>
      <c r="AD223" t="s">
        <v>1191</v>
      </c>
      <c r="AE223" t="s">
        <v>1192</v>
      </c>
      <c r="AF223" t="s">
        <v>1193</v>
      </c>
      <c r="AG223" t="s">
        <v>1194</v>
      </c>
      <c r="AH223" t="s">
        <v>1195</v>
      </c>
      <c r="AI223" t="s">
        <v>1202</v>
      </c>
      <c r="AJ223" t="s">
        <v>1291</v>
      </c>
      <c r="AK223" t="s">
        <v>1292</v>
      </c>
      <c r="AL223" t="s">
        <v>1291</v>
      </c>
      <c r="AM223" t="s">
        <v>1293</v>
      </c>
      <c r="AN223" t="s">
        <v>1201</v>
      </c>
      <c r="AO223" t="s">
        <v>1292</v>
      </c>
      <c r="AP223" t="s">
        <v>1294</v>
      </c>
      <c r="AQ223" t="s">
        <v>1203</v>
      </c>
      <c r="AR223" t="s">
        <v>1201</v>
      </c>
      <c r="AS223" t="s">
        <v>1203</v>
      </c>
      <c r="AU223" t="s">
        <v>1204</v>
      </c>
      <c r="AW223" t="b">
        <v>0</v>
      </c>
      <c r="AY223" t="b">
        <v>0</v>
      </c>
      <c r="BA223" t="s">
        <v>1579</v>
      </c>
      <c r="BB223" t="s">
        <v>1206</v>
      </c>
      <c r="BC223" t="s">
        <v>1206</v>
      </c>
      <c r="BD223" t="s">
        <v>1207</v>
      </c>
      <c r="BE223" t="s">
        <v>1296</v>
      </c>
      <c r="BF223" t="s">
        <v>1580</v>
      </c>
      <c r="BG223" t="s">
        <v>237</v>
      </c>
      <c r="BH223" t="s">
        <v>1206</v>
      </c>
      <c r="BI223" t="s">
        <v>1206</v>
      </c>
      <c r="BJ223" t="s">
        <v>1581</v>
      </c>
    </row>
    <row r="224" spans="1:62" x14ac:dyDescent="0.25">
      <c r="A224" t="s">
        <v>1177</v>
      </c>
      <c r="B224">
        <v>100231</v>
      </c>
      <c r="C224">
        <v>100231</v>
      </c>
      <c r="D224" s="112" t="s">
        <v>2647</v>
      </c>
      <c r="E224" t="s">
        <v>1119</v>
      </c>
      <c r="F224" t="s">
        <v>1178</v>
      </c>
      <c r="G224" t="s">
        <v>1614</v>
      </c>
      <c r="H224" t="s">
        <v>1615</v>
      </c>
      <c r="I224">
        <v>12</v>
      </c>
      <c r="J224" t="s">
        <v>1279</v>
      </c>
      <c r="K224">
        <v>12174</v>
      </c>
      <c r="L224" t="s">
        <v>1571</v>
      </c>
      <c r="M224">
        <v>12174239</v>
      </c>
      <c r="N224" t="s">
        <v>1572</v>
      </c>
      <c r="O224">
        <v>12174239647</v>
      </c>
      <c r="P224" t="s">
        <v>1610</v>
      </c>
      <c r="Q224" t="s">
        <v>1616</v>
      </c>
      <c r="R224" t="s">
        <v>1617</v>
      </c>
      <c r="S224" t="s">
        <v>1615</v>
      </c>
      <c r="T224" t="s">
        <v>1618</v>
      </c>
      <c r="U224" t="s">
        <v>1237</v>
      </c>
      <c r="V224" t="s">
        <v>1238</v>
      </c>
      <c r="W224">
        <v>275</v>
      </c>
      <c r="X224" t="s">
        <v>1189</v>
      </c>
      <c r="Y224">
        <v>24</v>
      </c>
      <c r="Z224">
        <v>6600</v>
      </c>
      <c r="AA224" t="s">
        <v>28</v>
      </c>
      <c r="AB224" t="s">
        <v>1190</v>
      </c>
      <c r="AC224">
        <v>275</v>
      </c>
      <c r="AD224" t="s">
        <v>1191</v>
      </c>
      <c r="AE224" t="s">
        <v>1192</v>
      </c>
      <c r="AF224" t="s">
        <v>1193</v>
      </c>
      <c r="AG224" t="s">
        <v>1194</v>
      </c>
      <c r="AH224" t="s">
        <v>1195</v>
      </c>
      <c r="AI224" t="s">
        <v>1202</v>
      </c>
      <c r="AJ224" t="s">
        <v>1291</v>
      </c>
      <c r="AK224" t="s">
        <v>1292</v>
      </c>
      <c r="AL224" t="s">
        <v>1291</v>
      </c>
      <c r="AM224" t="s">
        <v>1293</v>
      </c>
      <c r="AN224" t="s">
        <v>1201</v>
      </c>
      <c r="AO224" t="s">
        <v>1292</v>
      </c>
      <c r="AP224" t="s">
        <v>1294</v>
      </c>
      <c r="AQ224" t="s">
        <v>1203</v>
      </c>
      <c r="AR224" t="s">
        <v>1201</v>
      </c>
      <c r="AS224" t="s">
        <v>1203</v>
      </c>
      <c r="AU224" t="s">
        <v>1204</v>
      </c>
      <c r="AW224" t="b">
        <v>0</v>
      </c>
      <c r="AY224" t="b">
        <v>0</v>
      </c>
      <c r="BA224" t="s">
        <v>1579</v>
      </c>
      <c r="BB224" t="s">
        <v>1206</v>
      </c>
      <c r="BC224" t="s">
        <v>1206</v>
      </c>
      <c r="BD224" t="s">
        <v>1207</v>
      </c>
      <c r="BE224" t="s">
        <v>1296</v>
      </c>
      <c r="BF224" t="s">
        <v>1580</v>
      </c>
      <c r="BG224" t="s">
        <v>237</v>
      </c>
      <c r="BH224" t="s">
        <v>1206</v>
      </c>
      <c r="BI224" t="s">
        <v>1206</v>
      </c>
      <c r="BJ224" t="s">
        <v>1581</v>
      </c>
    </row>
    <row r="225" spans="1:62" x14ac:dyDescent="0.25">
      <c r="A225" t="s">
        <v>1177</v>
      </c>
      <c r="B225">
        <v>100213</v>
      </c>
      <c r="C225">
        <v>100213</v>
      </c>
      <c r="D225" s="112" t="s">
        <v>2648</v>
      </c>
      <c r="E225" t="s">
        <v>1119</v>
      </c>
      <c r="F225" t="s">
        <v>1178</v>
      </c>
      <c r="G225" t="s">
        <v>1619</v>
      </c>
      <c r="H225" s="135" t="s">
        <v>1609</v>
      </c>
      <c r="I225">
        <v>12</v>
      </c>
      <c r="J225" t="s">
        <v>1279</v>
      </c>
      <c r="K225">
        <v>12174</v>
      </c>
      <c r="L225" t="s">
        <v>1571</v>
      </c>
      <c r="M225">
        <v>12174239</v>
      </c>
      <c r="N225" t="s">
        <v>1572</v>
      </c>
      <c r="O225">
        <v>12174239647</v>
      </c>
      <c r="P225" t="s">
        <v>1610</v>
      </c>
      <c r="Q225" s="135" t="s">
        <v>1611</v>
      </c>
      <c r="R225" t="s">
        <v>1612</v>
      </c>
      <c r="S225" s="135" t="s">
        <v>1609</v>
      </c>
      <c r="T225" t="s">
        <v>1613</v>
      </c>
      <c r="U225" t="s">
        <v>1237</v>
      </c>
      <c r="V225" t="s">
        <v>1238</v>
      </c>
      <c r="W225">
        <v>130</v>
      </c>
      <c r="X225" t="s">
        <v>1189</v>
      </c>
      <c r="Y225">
        <v>48</v>
      </c>
      <c r="Z225">
        <v>6240</v>
      </c>
      <c r="AA225" t="s">
        <v>28</v>
      </c>
      <c r="AB225" t="s">
        <v>1190</v>
      </c>
      <c r="AC225">
        <v>130</v>
      </c>
      <c r="AD225" t="s">
        <v>1191</v>
      </c>
      <c r="AE225" t="s">
        <v>1192</v>
      </c>
      <c r="AF225" t="s">
        <v>1193</v>
      </c>
      <c r="AG225" t="s">
        <v>1194</v>
      </c>
      <c r="AH225" t="s">
        <v>1195</v>
      </c>
      <c r="AI225" t="s">
        <v>1202</v>
      </c>
      <c r="AJ225" t="s">
        <v>1291</v>
      </c>
      <c r="AK225" t="s">
        <v>1292</v>
      </c>
      <c r="AL225" t="s">
        <v>1291</v>
      </c>
      <c r="AM225" t="s">
        <v>1318</v>
      </c>
      <c r="AN225" t="s">
        <v>1201</v>
      </c>
      <c r="AO225" t="s">
        <v>1292</v>
      </c>
      <c r="AP225" t="s">
        <v>1319</v>
      </c>
      <c r="AQ225" t="s">
        <v>1203</v>
      </c>
      <c r="AR225" t="s">
        <v>1201</v>
      </c>
      <c r="AS225" t="s">
        <v>1203</v>
      </c>
      <c r="AU225" t="s">
        <v>1204</v>
      </c>
      <c r="AW225" t="b">
        <v>0</v>
      </c>
      <c r="AY225" t="b">
        <v>1</v>
      </c>
      <c r="BA225" t="s">
        <v>1579</v>
      </c>
      <c r="BB225" t="s">
        <v>1206</v>
      </c>
      <c r="BC225" t="s">
        <v>1206</v>
      </c>
      <c r="BD225" t="s">
        <v>1207</v>
      </c>
      <c r="BE225" t="s">
        <v>1296</v>
      </c>
      <c r="BF225" t="s">
        <v>1580</v>
      </c>
      <c r="BG225" t="s">
        <v>237</v>
      </c>
      <c r="BH225" t="s">
        <v>1206</v>
      </c>
      <c r="BI225" t="s">
        <v>1206</v>
      </c>
      <c r="BJ225" t="s">
        <v>1581</v>
      </c>
    </row>
    <row r="226" spans="1:62" x14ac:dyDescent="0.25">
      <c r="A226" t="s">
        <v>1177</v>
      </c>
      <c r="B226">
        <v>100215</v>
      </c>
      <c r="C226">
        <v>100215</v>
      </c>
      <c r="D226" s="112" t="s">
        <v>2649</v>
      </c>
      <c r="E226" t="s">
        <v>1119</v>
      </c>
      <c r="F226" t="s">
        <v>1178</v>
      </c>
      <c r="G226" t="s">
        <v>1620</v>
      </c>
      <c r="H226" s="135" t="s">
        <v>1609</v>
      </c>
      <c r="I226">
        <v>12</v>
      </c>
      <c r="J226" t="s">
        <v>1279</v>
      </c>
      <c r="K226">
        <v>12174</v>
      </c>
      <c r="L226" t="s">
        <v>1571</v>
      </c>
      <c r="M226">
        <v>12174239</v>
      </c>
      <c r="N226" t="s">
        <v>1572</v>
      </c>
      <c r="O226">
        <v>12174239647</v>
      </c>
      <c r="P226" t="s">
        <v>1610</v>
      </c>
      <c r="Q226" s="135" t="s">
        <v>1611</v>
      </c>
      <c r="R226" t="s">
        <v>1612</v>
      </c>
      <c r="S226" s="135" t="s">
        <v>1609</v>
      </c>
      <c r="T226" t="s">
        <v>1613</v>
      </c>
      <c r="U226" t="s">
        <v>1237</v>
      </c>
      <c r="V226" t="s">
        <v>1238</v>
      </c>
      <c r="W226">
        <v>130</v>
      </c>
      <c r="X226" t="s">
        <v>1189</v>
      </c>
      <c r="Y226">
        <v>48</v>
      </c>
      <c r="Z226">
        <v>6240</v>
      </c>
      <c r="AA226" t="s">
        <v>28</v>
      </c>
      <c r="AB226" t="s">
        <v>1190</v>
      </c>
      <c r="AC226">
        <v>130</v>
      </c>
      <c r="AD226" t="s">
        <v>1191</v>
      </c>
      <c r="AE226" t="s">
        <v>1192</v>
      </c>
      <c r="AF226" t="s">
        <v>1193</v>
      </c>
      <c r="AG226" t="s">
        <v>1194</v>
      </c>
      <c r="AH226" t="s">
        <v>1195</v>
      </c>
      <c r="AI226" t="s">
        <v>1202</v>
      </c>
      <c r="AJ226" t="s">
        <v>1291</v>
      </c>
      <c r="AK226" t="s">
        <v>1292</v>
      </c>
      <c r="AL226" t="s">
        <v>1291</v>
      </c>
      <c r="AM226" t="s">
        <v>1577</v>
      </c>
      <c r="AN226" t="s">
        <v>1201</v>
      </c>
      <c r="AO226" t="s">
        <v>1292</v>
      </c>
      <c r="AP226" t="s">
        <v>1578</v>
      </c>
      <c r="AQ226" t="s">
        <v>1203</v>
      </c>
      <c r="AR226" t="s">
        <v>1201</v>
      </c>
      <c r="AS226" t="s">
        <v>1203</v>
      </c>
      <c r="AU226" t="s">
        <v>1204</v>
      </c>
      <c r="AW226" t="b">
        <v>0</v>
      </c>
      <c r="AY226" t="b">
        <v>1</v>
      </c>
      <c r="BA226" t="s">
        <v>1579</v>
      </c>
      <c r="BB226" t="s">
        <v>1206</v>
      </c>
      <c r="BC226" t="s">
        <v>1206</v>
      </c>
      <c r="BD226" t="s">
        <v>1207</v>
      </c>
      <c r="BE226" t="s">
        <v>1296</v>
      </c>
      <c r="BF226" t="s">
        <v>1580</v>
      </c>
      <c r="BG226" t="s">
        <v>237</v>
      </c>
      <c r="BH226" t="s">
        <v>1206</v>
      </c>
      <c r="BI226" t="s">
        <v>1206</v>
      </c>
      <c r="BJ226" t="s">
        <v>1581</v>
      </c>
    </row>
    <row r="227" spans="1:62" x14ac:dyDescent="0.25">
      <c r="A227" t="s">
        <v>1177</v>
      </c>
      <c r="B227">
        <v>100233</v>
      </c>
      <c r="C227">
        <v>100233</v>
      </c>
      <c r="D227" s="112" t="s">
        <v>2650</v>
      </c>
      <c r="E227" t="s">
        <v>1119</v>
      </c>
      <c r="F227" t="s">
        <v>1178</v>
      </c>
      <c r="G227" t="s">
        <v>1621</v>
      </c>
      <c r="H227" s="135" t="s">
        <v>1622</v>
      </c>
      <c r="I227">
        <v>12</v>
      </c>
      <c r="J227" t="s">
        <v>1279</v>
      </c>
      <c r="K227">
        <v>12174</v>
      </c>
      <c r="L227" t="s">
        <v>1571</v>
      </c>
      <c r="M227">
        <v>12174239</v>
      </c>
      <c r="N227" t="s">
        <v>1572</v>
      </c>
      <c r="O227">
        <v>12174239647</v>
      </c>
      <c r="P227" t="s">
        <v>1610</v>
      </c>
      <c r="Q227" s="135" t="s">
        <v>1623</v>
      </c>
      <c r="R227" t="s">
        <v>1624</v>
      </c>
      <c r="S227" s="135" t="s">
        <v>1622</v>
      </c>
      <c r="T227" t="s">
        <v>1625</v>
      </c>
      <c r="U227" t="s">
        <v>1230</v>
      </c>
      <c r="V227" t="s">
        <v>1231</v>
      </c>
      <c r="W227">
        <v>15</v>
      </c>
      <c r="X227" t="s">
        <v>1342</v>
      </c>
      <c r="Y227">
        <v>24</v>
      </c>
      <c r="Z227">
        <v>360</v>
      </c>
      <c r="AA227" t="s">
        <v>28</v>
      </c>
      <c r="AB227" t="s">
        <v>1190</v>
      </c>
      <c r="AC227">
        <v>15</v>
      </c>
      <c r="AD227" t="s">
        <v>1232</v>
      </c>
      <c r="AE227" t="s">
        <v>1192</v>
      </c>
      <c r="AF227" t="s">
        <v>1193</v>
      </c>
      <c r="AG227" t="s">
        <v>1194</v>
      </c>
      <c r="AH227" t="s">
        <v>1195</v>
      </c>
      <c r="AI227" t="s">
        <v>1202</v>
      </c>
      <c r="AJ227" t="s">
        <v>1291</v>
      </c>
      <c r="AK227" t="s">
        <v>1292</v>
      </c>
      <c r="AL227" t="s">
        <v>1291</v>
      </c>
      <c r="AM227" t="s">
        <v>1577</v>
      </c>
      <c r="AN227" t="s">
        <v>1201</v>
      </c>
      <c r="AO227" t="s">
        <v>1292</v>
      </c>
      <c r="AP227" t="s">
        <v>1578</v>
      </c>
      <c r="AQ227" t="s">
        <v>1203</v>
      </c>
      <c r="AR227" t="s">
        <v>1201</v>
      </c>
      <c r="AS227" t="s">
        <v>1203</v>
      </c>
      <c r="AU227" t="s">
        <v>1204</v>
      </c>
      <c r="AW227" t="b">
        <v>0</v>
      </c>
      <c r="AY227" t="b">
        <v>1</v>
      </c>
      <c r="BA227" t="s">
        <v>1626</v>
      </c>
      <c r="BB227" t="s">
        <v>1206</v>
      </c>
      <c r="BC227" t="s">
        <v>1206</v>
      </c>
      <c r="BD227" t="s">
        <v>1207</v>
      </c>
      <c r="BE227" t="s">
        <v>1296</v>
      </c>
      <c r="BF227" t="s">
        <v>1580</v>
      </c>
      <c r="BG227" t="s">
        <v>280</v>
      </c>
      <c r="BH227" t="s">
        <v>1206</v>
      </c>
      <c r="BI227" t="s">
        <v>1206</v>
      </c>
      <c r="BJ227" t="s">
        <v>1627</v>
      </c>
    </row>
    <row r="228" spans="1:62" x14ac:dyDescent="0.25">
      <c r="A228" t="s">
        <v>1177</v>
      </c>
      <c r="B228">
        <v>100971</v>
      </c>
      <c r="C228" t="s">
        <v>1258</v>
      </c>
      <c r="D228" s="112" t="s">
        <v>2651</v>
      </c>
      <c r="E228" t="s">
        <v>1119</v>
      </c>
      <c r="F228" t="s">
        <v>1178</v>
      </c>
      <c r="G228" t="s">
        <v>1621</v>
      </c>
      <c r="H228" s="135" t="s">
        <v>1628</v>
      </c>
      <c r="I228">
        <v>12</v>
      </c>
      <c r="J228" t="s">
        <v>1279</v>
      </c>
      <c r="K228">
        <v>12174</v>
      </c>
      <c r="L228" t="s">
        <v>1571</v>
      </c>
      <c r="M228">
        <v>12174239</v>
      </c>
      <c r="N228" t="s">
        <v>1572</v>
      </c>
      <c r="O228">
        <v>12174239647</v>
      </c>
      <c r="P228" t="s">
        <v>1610</v>
      </c>
      <c r="Q228" s="135" t="s">
        <v>1623</v>
      </c>
      <c r="R228" t="s">
        <v>1624</v>
      </c>
      <c r="S228" s="135" t="s">
        <v>1628</v>
      </c>
      <c r="T228" t="s">
        <v>1629</v>
      </c>
      <c r="U228" t="s">
        <v>1230</v>
      </c>
      <c r="V228" t="s">
        <v>1231</v>
      </c>
      <c r="W228">
        <v>15</v>
      </c>
      <c r="X228" t="s">
        <v>1342</v>
      </c>
      <c r="Y228">
        <v>288</v>
      </c>
      <c r="Z228">
        <v>4320</v>
      </c>
      <c r="AA228" t="s">
        <v>28</v>
      </c>
      <c r="AB228" t="s">
        <v>1190</v>
      </c>
      <c r="AC228">
        <v>15</v>
      </c>
      <c r="AD228" t="s">
        <v>1232</v>
      </c>
      <c r="AE228" t="s">
        <v>1192</v>
      </c>
      <c r="AF228" t="s">
        <v>1193</v>
      </c>
      <c r="AG228" t="s">
        <v>1194</v>
      </c>
      <c r="AH228" t="s">
        <v>1195</v>
      </c>
      <c r="AI228" t="s">
        <v>1202</v>
      </c>
      <c r="AJ228" t="s">
        <v>1291</v>
      </c>
      <c r="AK228" t="s">
        <v>1292</v>
      </c>
      <c r="AL228" t="s">
        <v>1291</v>
      </c>
      <c r="AM228" t="s">
        <v>1577</v>
      </c>
      <c r="AN228" t="s">
        <v>1201</v>
      </c>
      <c r="AO228" t="s">
        <v>1292</v>
      </c>
      <c r="AP228" t="s">
        <v>1578</v>
      </c>
      <c r="AQ228" t="s">
        <v>1203</v>
      </c>
      <c r="AR228" t="s">
        <v>1201</v>
      </c>
      <c r="AS228" t="s">
        <v>1203</v>
      </c>
      <c r="AU228" t="s">
        <v>1204</v>
      </c>
      <c r="AW228" t="b">
        <v>0</v>
      </c>
      <c r="AY228" t="b">
        <v>1</v>
      </c>
      <c r="BA228" t="s">
        <v>1626</v>
      </c>
      <c r="BB228" t="s">
        <v>1206</v>
      </c>
      <c r="BC228" t="s">
        <v>1206</v>
      </c>
      <c r="BD228" t="s">
        <v>1207</v>
      </c>
      <c r="BE228" t="s">
        <v>1296</v>
      </c>
      <c r="BF228" t="s">
        <v>1580</v>
      </c>
      <c r="BG228" t="s">
        <v>280</v>
      </c>
      <c r="BH228" t="s">
        <v>1206</v>
      </c>
      <c r="BI228" t="s">
        <v>1206</v>
      </c>
      <c r="BJ228" t="s">
        <v>1627</v>
      </c>
    </row>
    <row r="229" spans="1:62" x14ac:dyDescent="0.25">
      <c r="A229" t="s">
        <v>1177</v>
      </c>
      <c r="B229">
        <v>100983</v>
      </c>
      <c r="C229" t="s">
        <v>1258</v>
      </c>
      <c r="D229" s="112" t="s">
        <v>2652</v>
      </c>
      <c r="E229" t="s">
        <v>1119</v>
      </c>
      <c r="F229" t="s">
        <v>1178</v>
      </c>
      <c r="G229" t="s">
        <v>1621</v>
      </c>
      <c r="H229" s="135" t="s">
        <v>1628</v>
      </c>
      <c r="I229">
        <v>12</v>
      </c>
      <c r="J229" t="s">
        <v>1279</v>
      </c>
      <c r="K229">
        <v>12174</v>
      </c>
      <c r="L229" t="s">
        <v>1571</v>
      </c>
      <c r="M229">
        <v>12174239</v>
      </c>
      <c r="N229" t="s">
        <v>1572</v>
      </c>
      <c r="O229">
        <v>12174239647</v>
      </c>
      <c r="P229" t="s">
        <v>1610</v>
      </c>
      <c r="Q229" s="135" t="s">
        <v>1623</v>
      </c>
      <c r="R229" t="s">
        <v>1624</v>
      </c>
      <c r="S229" s="135" t="s">
        <v>1628</v>
      </c>
      <c r="T229" t="s">
        <v>1629</v>
      </c>
      <c r="U229" t="s">
        <v>1230</v>
      </c>
      <c r="V229" t="s">
        <v>1231</v>
      </c>
      <c r="W229">
        <v>15</v>
      </c>
      <c r="X229" t="s">
        <v>1342</v>
      </c>
      <c r="Y229">
        <v>288</v>
      </c>
      <c r="Z229">
        <v>4320</v>
      </c>
      <c r="AA229" t="s">
        <v>28</v>
      </c>
      <c r="AB229" t="s">
        <v>1190</v>
      </c>
      <c r="AC229">
        <v>15</v>
      </c>
      <c r="AD229" t="s">
        <v>1232</v>
      </c>
      <c r="AE229" t="s">
        <v>1192</v>
      </c>
      <c r="AF229" t="s">
        <v>1193</v>
      </c>
      <c r="AG229" t="s">
        <v>1194</v>
      </c>
      <c r="AH229" t="s">
        <v>1195</v>
      </c>
      <c r="AI229" t="s">
        <v>1202</v>
      </c>
      <c r="AJ229" t="s">
        <v>1291</v>
      </c>
      <c r="AK229" t="s">
        <v>1292</v>
      </c>
      <c r="AL229" t="s">
        <v>1291</v>
      </c>
      <c r="AM229" t="s">
        <v>1577</v>
      </c>
      <c r="AN229" t="s">
        <v>1201</v>
      </c>
      <c r="AO229" t="s">
        <v>1292</v>
      </c>
      <c r="AP229" t="s">
        <v>1578</v>
      </c>
      <c r="AQ229" t="s">
        <v>1203</v>
      </c>
      <c r="AR229" t="s">
        <v>1201</v>
      </c>
      <c r="AS229" t="s">
        <v>1203</v>
      </c>
      <c r="AU229" t="s">
        <v>1204</v>
      </c>
      <c r="AW229" t="b">
        <v>0</v>
      </c>
      <c r="AY229" t="b">
        <v>1</v>
      </c>
      <c r="BA229" t="s">
        <v>1626</v>
      </c>
      <c r="BB229" t="s">
        <v>1206</v>
      </c>
      <c r="BC229" t="s">
        <v>1206</v>
      </c>
      <c r="BD229" t="s">
        <v>1207</v>
      </c>
      <c r="BE229" t="s">
        <v>1296</v>
      </c>
      <c r="BF229" t="s">
        <v>1580</v>
      </c>
      <c r="BG229" t="s">
        <v>280</v>
      </c>
      <c r="BH229" t="s">
        <v>1206</v>
      </c>
      <c r="BI229" t="s">
        <v>1206</v>
      </c>
      <c r="BJ229" t="s">
        <v>1627</v>
      </c>
    </row>
    <row r="230" spans="1:62" x14ac:dyDescent="0.25">
      <c r="A230" t="s">
        <v>1177</v>
      </c>
      <c r="B230">
        <v>100265</v>
      </c>
      <c r="C230">
        <v>100265</v>
      </c>
      <c r="D230" s="112" t="s">
        <v>2653</v>
      </c>
      <c r="E230" t="s">
        <v>1119</v>
      </c>
      <c r="F230" t="s">
        <v>1178</v>
      </c>
      <c r="G230" t="s">
        <v>1621</v>
      </c>
      <c r="H230" t="s">
        <v>1630</v>
      </c>
      <c r="I230">
        <v>12</v>
      </c>
      <c r="J230" t="s">
        <v>1279</v>
      </c>
      <c r="K230">
        <v>12174</v>
      </c>
      <c r="L230" t="s">
        <v>1571</v>
      </c>
      <c r="M230">
        <v>12174239</v>
      </c>
      <c r="N230" t="s">
        <v>1572</v>
      </c>
      <c r="O230">
        <v>12174239647</v>
      </c>
      <c r="P230" t="s">
        <v>1610</v>
      </c>
      <c r="Q230" t="s">
        <v>1631</v>
      </c>
      <c r="R230" t="s">
        <v>1632</v>
      </c>
      <c r="S230" t="s">
        <v>1630</v>
      </c>
      <c r="T230" t="s">
        <v>1633</v>
      </c>
      <c r="U230" t="s">
        <v>1230</v>
      </c>
      <c r="V230" t="s">
        <v>1231</v>
      </c>
      <c r="W230">
        <v>18</v>
      </c>
      <c r="X230" t="s">
        <v>1342</v>
      </c>
      <c r="Y230">
        <v>24</v>
      </c>
      <c r="Z230">
        <v>432</v>
      </c>
      <c r="AA230" t="s">
        <v>28</v>
      </c>
      <c r="AB230" t="s">
        <v>1190</v>
      </c>
      <c r="AC230">
        <v>18</v>
      </c>
      <c r="AD230" t="s">
        <v>1232</v>
      </c>
      <c r="AE230" t="s">
        <v>1192</v>
      </c>
      <c r="AF230" t="s">
        <v>1193</v>
      </c>
      <c r="AG230" t="s">
        <v>1194</v>
      </c>
      <c r="AH230" t="s">
        <v>1195</v>
      </c>
      <c r="AI230" t="s">
        <v>1202</v>
      </c>
      <c r="AJ230" t="s">
        <v>1291</v>
      </c>
      <c r="AK230" t="s">
        <v>1292</v>
      </c>
      <c r="AL230" t="s">
        <v>1291</v>
      </c>
      <c r="AM230" t="s">
        <v>1577</v>
      </c>
      <c r="AN230" t="s">
        <v>1201</v>
      </c>
      <c r="AO230" t="s">
        <v>1292</v>
      </c>
      <c r="AP230" t="s">
        <v>1578</v>
      </c>
      <c r="AQ230" t="s">
        <v>1203</v>
      </c>
      <c r="AR230" t="s">
        <v>1201</v>
      </c>
      <c r="AS230" t="s">
        <v>1203</v>
      </c>
      <c r="AU230" t="s">
        <v>1204</v>
      </c>
      <c r="AW230" t="b">
        <v>0</v>
      </c>
      <c r="AY230" t="b">
        <v>1</v>
      </c>
      <c r="BA230" t="s">
        <v>1626</v>
      </c>
      <c r="BB230" t="s">
        <v>1206</v>
      </c>
      <c r="BC230" t="s">
        <v>1206</v>
      </c>
      <c r="BD230" t="s">
        <v>1207</v>
      </c>
      <c r="BE230" t="s">
        <v>1296</v>
      </c>
      <c r="BF230" t="s">
        <v>1580</v>
      </c>
      <c r="BG230" t="s">
        <v>280</v>
      </c>
      <c r="BH230" t="s">
        <v>1206</v>
      </c>
      <c r="BI230" t="s">
        <v>1206</v>
      </c>
      <c r="BJ230" t="s">
        <v>1627</v>
      </c>
    </row>
    <row r="231" spans="1:62" x14ac:dyDescent="0.25">
      <c r="A231" t="s">
        <v>1177</v>
      </c>
      <c r="B231">
        <v>100999</v>
      </c>
      <c r="C231">
        <v>100999</v>
      </c>
      <c r="D231" s="112" t="s">
        <v>2654</v>
      </c>
      <c r="E231" t="s">
        <v>1119</v>
      </c>
      <c r="F231" t="s">
        <v>1178</v>
      </c>
      <c r="G231" t="s">
        <v>1621</v>
      </c>
      <c r="H231" t="s">
        <v>1634</v>
      </c>
      <c r="I231">
        <v>12</v>
      </c>
      <c r="J231" t="s">
        <v>1279</v>
      </c>
      <c r="K231">
        <v>12174</v>
      </c>
      <c r="L231" t="s">
        <v>1571</v>
      </c>
      <c r="M231">
        <v>12174239</v>
      </c>
      <c r="N231" t="s">
        <v>1572</v>
      </c>
      <c r="O231">
        <v>12174239647</v>
      </c>
      <c r="P231" t="s">
        <v>1610</v>
      </c>
      <c r="Q231" t="s">
        <v>1631</v>
      </c>
      <c r="R231" t="s">
        <v>1632</v>
      </c>
      <c r="S231" t="s">
        <v>1634</v>
      </c>
      <c r="T231" t="s">
        <v>1635</v>
      </c>
      <c r="U231" t="s">
        <v>1230</v>
      </c>
      <c r="V231" t="s">
        <v>1231</v>
      </c>
      <c r="W231">
        <v>18</v>
      </c>
      <c r="X231" t="s">
        <v>1342</v>
      </c>
      <c r="Y231">
        <v>30</v>
      </c>
      <c r="Z231">
        <v>540</v>
      </c>
      <c r="AA231" t="s">
        <v>28</v>
      </c>
      <c r="AB231" t="s">
        <v>1190</v>
      </c>
      <c r="AC231">
        <v>18</v>
      </c>
      <c r="AD231" t="s">
        <v>1232</v>
      </c>
      <c r="AE231" t="s">
        <v>1192</v>
      </c>
      <c r="AF231" t="s">
        <v>1193</v>
      </c>
      <c r="AG231" t="s">
        <v>1194</v>
      </c>
      <c r="AH231" t="s">
        <v>1195</v>
      </c>
      <c r="AI231" t="s">
        <v>1202</v>
      </c>
      <c r="AJ231" t="s">
        <v>1291</v>
      </c>
      <c r="AK231" t="s">
        <v>1292</v>
      </c>
      <c r="AL231" t="s">
        <v>1291</v>
      </c>
      <c r="AM231" t="s">
        <v>1577</v>
      </c>
      <c r="AN231" t="s">
        <v>1201</v>
      </c>
      <c r="AO231" t="s">
        <v>1292</v>
      </c>
      <c r="AP231" t="s">
        <v>1578</v>
      </c>
      <c r="AQ231" t="s">
        <v>1203</v>
      </c>
      <c r="AR231" t="s">
        <v>1201</v>
      </c>
      <c r="AS231" t="s">
        <v>1203</v>
      </c>
      <c r="AU231" t="s">
        <v>1204</v>
      </c>
      <c r="AW231" t="b">
        <v>0</v>
      </c>
      <c r="AY231" t="b">
        <v>1</v>
      </c>
      <c r="BA231" t="s">
        <v>1626</v>
      </c>
      <c r="BB231" t="s">
        <v>1206</v>
      </c>
      <c r="BC231" t="s">
        <v>1206</v>
      </c>
      <c r="BD231" t="s">
        <v>1207</v>
      </c>
      <c r="BE231" t="s">
        <v>1296</v>
      </c>
      <c r="BF231" t="s">
        <v>1580</v>
      </c>
      <c r="BG231" t="s">
        <v>280</v>
      </c>
      <c r="BH231" t="s">
        <v>1206</v>
      </c>
      <c r="BI231" t="s">
        <v>1206</v>
      </c>
      <c r="BJ231" t="s">
        <v>1627</v>
      </c>
    </row>
    <row r="232" spans="1:62" x14ac:dyDescent="0.25">
      <c r="A232" t="s">
        <v>1177</v>
      </c>
      <c r="B232">
        <v>100992</v>
      </c>
      <c r="C232">
        <v>100992</v>
      </c>
      <c r="D232" s="112" t="s">
        <v>2655</v>
      </c>
      <c r="E232" t="s">
        <v>1119</v>
      </c>
      <c r="F232" t="s">
        <v>1178</v>
      </c>
      <c r="G232" t="s">
        <v>1636</v>
      </c>
      <c r="H232" s="135" t="s">
        <v>1637</v>
      </c>
      <c r="I232">
        <v>12</v>
      </c>
      <c r="J232" t="s">
        <v>1279</v>
      </c>
      <c r="K232">
        <v>12174</v>
      </c>
      <c r="L232" t="s">
        <v>1571</v>
      </c>
      <c r="M232">
        <v>12174239</v>
      </c>
      <c r="N232" t="s">
        <v>1572</v>
      </c>
      <c r="O232">
        <v>12174239647</v>
      </c>
      <c r="P232" t="s">
        <v>1610</v>
      </c>
      <c r="Q232" s="135" t="s">
        <v>1638</v>
      </c>
      <c r="R232" t="s">
        <v>1639</v>
      </c>
      <c r="S232" s="135" t="s">
        <v>1637</v>
      </c>
      <c r="T232" t="s">
        <v>1640</v>
      </c>
      <c r="U232" t="s">
        <v>1310</v>
      </c>
      <c r="V232" t="s">
        <v>1311</v>
      </c>
      <c r="W232">
        <v>250</v>
      </c>
      <c r="X232" t="s">
        <v>1342</v>
      </c>
      <c r="Y232">
        <v>24</v>
      </c>
      <c r="Z232">
        <v>6000</v>
      </c>
      <c r="AA232" t="s">
        <v>28</v>
      </c>
      <c r="AB232" t="s">
        <v>1190</v>
      </c>
      <c r="AC232">
        <v>250</v>
      </c>
      <c r="AD232" t="s">
        <v>1191</v>
      </c>
      <c r="AE232" t="s">
        <v>1192</v>
      </c>
      <c r="AF232" t="s">
        <v>1193</v>
      </c>
      <c r="AG232" t="s">
        <v>1194</v>
      </c>
      <c r="AH232" t="s">
        <v>1195</v>
      </c>
      <c r="AI232" t="s">
        <v>1202</v>
      </c>
      <c r="AJ232" t="s">
        <v>1291</v>
      </c>
      <c r="AK232" t="s">
        <v>1292</v>
      </c>
      <c r="AL232" t="s">
        <v>1291</v>
      </c>
      <c r="AM232" t="s">
        <v>1577</v>
      </c>
      <c r="AN232" t="s">
        <v>1201</v>
      </c>
      <c r="AO232" t="s">
        <v>1292</v>
      </c>
      <c r="AP232" t="s">
        <v>1578</v>
      </c>
      <c r="AQ232" t="s">
        <v>1203</v>
      </c>
      <c r="AR232" t="s">
        <v>1201</v>
      </c>
      <c r="AS232" t="s">
        <v>1203</v>
      </c>
      <c r="AU232" t="s">
        <v>1204</v>
      </c>
      <c r="AW232" t="b">
        <v>0</v>
      </c>
      <c r="AY232" t="b">
        <v>0</v>
      </c>
      <c r="BA232" t="s">
        <v>1579</v>
      </c>
      <c r="BB232" t="s">
        <v>1206</v>
      </c>
      <c r="BC232" t="s">
        <v>1206</v>
      </c>
      <c r="BD232" t="s">
        <v>1207</v>
      </c>
      <c r="BE232" t="s">
        <v>1296</v>
      </c>
      <c r="BF232" t="s">
        <v>1580</v>
      </c>
      <c r="BG232" t="s">
        <v>237</v>
      </c>
      <c r="BH232" t="s">
        <v>1206</v>
      </c>
      <c r="BI232" t="s">
        <v>1206</v>
      </c>
      <c r="BJ232" t="s">
        <v>1581</v>
      </c>
    </row>
    <row r="233" spans="1:62" x14ac:dyDescent="0.25">
      <c r="A233" t="s">
        <v>1177</v>
      </c>
      <c r="B233">
        <v>100238</v>
      </c>
      <c r="C233">
        <v>100238</v>
      </c>
      <c r="D233" s="112" t="s">
        <v>2656</v>
      </c>
      <c r="E233" t="s">
        <v>1119</v>
      </c>
      <c r="F233" t="s">
        <v>1178</v>
      </c>
      <c r="G233" t="s">
        <v>1636</v>
      </c>
      <c r="H233" s="135" t="s">
        <v>1637</v>
      </c>
      <c r="I233">
        <v>12</v>
      </c>
      <c r="J233" t="s">
        <v>1279</v>
      </c>
      <c r="K233">
        <v>12174</v>
      </c>
      <c r="L233" t="s">
        <v>1571</v>
      </c>
      <c r="M233">
        <v>12174239</v>
      </c>
      <c r="N233" t="s">
        <v>1572</v>
      </c>
      <c r="O233">
        <v>12174239647</v>
      </c>
      <c r="P233" t="s">
        <v>1610</v>
      </c>
      <c r="Q233" s="135" t="s">
        <v>1638</v>
      </c>
      <c r="R233" t="s">
        <v>1639</v>
      </c>
      <c r="S233" s="135" t="s">
        <v>1637</v>
      </c>
      <c r="T233" t="s">
        <v>1640</v>
      </c>
      <c r="U233" t="s">
        <v>1310</v>
      </c>
      <c r="V233" t="s">
        <v>1311</v>
      </c>
      <c r="W233">
        <v>250</v>
      </c>
      <c r="X233" t="s">
        <v>1342</v>
      </c>
      <c r="Y233">
        <v>24</v>
      </c>
      <c r="Z233">
        <v>6000</v>
      </c>
      <c r="AA233" t="s">
        <v>28</v>
      </c>
      <c r="AB233" t="s">
        <v>1190</v>
      </c>
      <c r="AC233">
        <v>250</v>
      </c>
      <c r="AD233" t="s">
        <v>1191</v>
      </c>
      <c r="AE233" t="s">
        <v>1192</v>
      </c>
      <c r="AF233" t="s">
        <v>1193</v>
      </c>
      <c r="AG233" t="s">
        <v>1194</v>
      </c>
      <c r="AH233" t="s">
        <v>1195</v>
      </c>
      <c r="AI233" t="s">
        <v>1202</v>
      </c>
      <c r="AJ233" t="s">
        <v>1291</v>
      </c>
      <c r="AK233" t="s">
        <v>1292</v>
      </c>
      <c r="AL233" t="s">
        <v>1291</v>
      </c>
      <c r="AM233" t="s">
        <v>1577</v>
      </c>
      <c r="AN233" t="s">
        <v>1201</v>
      </c>
      <c r="AO233" t="s">
        <v>1292</v>
      </c>
      <c r="AP233" t="s">
        <v>1578</v>
      </c>
      <c r="AQ233" t="s">
        <v>1203</v>
      </c>
      <c r="AR233" t="s">
        <v>1201</v>
      </c>
      <c r="AS233" t="s">
        <v>1203</v>
      </c>
      <c r="AU233" t="s">
        <v>1204</v>
      </c>
      <c r="AW233" t="b">
        <v>0</v>
      </c>
      <c r="AY233" t="b">
        <v>0</v>
      </c>
      <c r="BA233" t="s">
        <v>1579</v>
      </c>
      <c r="BB233" t="s">
        <v>1206</v>
      </c>
      <c r="BC233" t="s">
        <v>1206</v>
      </c>
      <c r="BD233" t="s">
        <v>1207</v>
      </c>
      <c r="BE233" t="s">
        <v>1296</v>
      </c>
      <c r="BF233" t="s">
        <v>1580</v>
      </c>
      <c r="BG233" t="s">
        <v>237</v>
      </c>
      <c r="BH233" t="s">
        <v>1206</v>
      </c>
      <c r="BI233" t="s">
        <v>1206</v>
      </c>
      <c r="BJ233" t="s">
        <v>1581</v>
      </c>
    </row>
    <row r="234" spans="1:62" x14ac:dyDescent="0.25">
      <c r="A234" t="s">
        <v>1177</v>
      </c>
      <c r="B234">
        <v>100229</v>
      </c>
      <c r="C234">
        <v>100229</v>
      </c>
      <c r="D234" s="112" t="s">
        <v>2657</v>
      </c>
      <c r="E234" t="s">
        <v>1119</v>
      </c>
      <c r="F234" t="s">
        <v>1178</v>
      </c>
      <c r="G234" t="s">
        <v>1641</v>
      </c>
      <c r="H234" t="s">
        <v>1642</v>
      </c>
      <c r="I234">
        <v>12</v>
      </c>
      <c r="J234" t="s">
        <v>1279</v>
      </c>
      <c r="K234">
        <v>12174</v>
      </c>
      <c r="L234" t="s">
        <v>1571</v>
      </c>
      <c r="M234">
        <v>12174239</v>
      </c>
      <c r="N234" t="s">
        <v>1572</v>
      </c>
      <c r="O234">
        <v>12174239647</v>
      </c>
      <c r="P234" t="s">
        <v>1610</v>
      </c>
      <c r="Q234" t="s">
        <v>1643</v>
      </c>
      <c r="R234" t="s">
        <v>1644</v>
      </c>
      <c r="S234" t="s">
        <v>1642</v>
      </c>
      <c r="T234" t="s">
        <v>1645</v>
      </c>
      <c r="U234" t="s">
        <v>1286</v>
      </c>
      <c r="V234" t="s">
        <v>1287</v>
      </c>
      <c r="W234">
        <v>6</v>
      </c>
      <c r="X234" t="s">
        <v>1288</v>
      </c>
      <c r="Y234">
        <v>1</v>
      </c>
      <c r="Z234">
        <v>6</v>
      </c>
      <c r="AA234" t="s">
        <v>28</v>
      </c>
      <c r="AB234" t="s">
        <v>1190</v>
      </c>
      <c r="AC234">
        <v>6000</v>
      </c>
      <c r="AD234" t="s">
        <v>1289</v>
      </c>
      <c r="AE234" t="s">
        <v>1290</v>
      </c>
      <c r="AF234" t="s">
        <v>1193</v>
      </c>
      <c r="AG234" t="s">
        <v>1194</v>
      </c>
      <c r="AH234" t="s">
        <v>1195</v>
      </c>
      <c r="AI234" t="s">
        <v>1202</v>
      </c>
      <c r="AJ234" t="s">
        <v>1291</v>
      </c>
      <c r="AK234" t="s">
        <v>1292</v>
      </c>
      <c r="AL234" t="s">
        <v>1291</v>
      </c>
      <c r="AM234" t="s">
        <v>1577</v>
      </c>
      <c r="AN234" t="s">
        <v>1201</v>
      </c>
      <c r="AO234" t="s">
        <v>1292</v>
      </c>
      <c r="AP234" t="s">
        <v>1578</v>
      </c>
      <c r="AQ234" t="s">
        <v>1203</v>
      </c>
      <c r="AR234" t="s">
        <v>1201</v>
      </c>
      <c r="AS234" t="s">
        <v>1203</v>
      </c>
      <c r="AU234" t="s">
        <v>1204</v>
      </c>
      <c r="AW234" t="b">
        <v>0</v>
      </c>
      <c r="AY234" t="b">
        <v>0</v>
      </c>
      <c r="BA234" t="s">
        <v>1579</v>
      </c>
      <c r="BB234" t="s">
        <v>1206</v>
      </c>
      <c r="BC234" t="s">
        <v>1206</v>
      </c>
      <c r="BD234" t="s">
        <v>1207</v>
      </c>
      <c r="BE234" t="s">
        <v>1296</v>
      </c>
      <c r="BF234" t="s">
        <v>1580</v>
      </c>
      <c r="BG234" t="s">
        <v>237</v>
      </c>
      <c r="BH234" t="s">
        <v>1206</v>
      </c>
      <c r="BI234" t="s">
        <v>1206</v>
      </c>
      <c r="BJ234" t="s">
        <v>1581</v>
      </c>
    </row>
    <row r="235" spans="1:62" x14ac:dyDescent="0.25">
      <c r="A235" t="s">
        <v>1177</v>
      </c>
      <c r="B235">
        <v>100228</v>
      </c>
      <c r="C235">
        <v>100228</v>
      </c>
      <c r="D235" s="112" t="s">
        <v>2658</v>
      </c>
      <c r="E235" t="s">
        <v>1119</v>
      </c>
      <c r="F235" t="s">
        <v>1178</v>
      </c>
      <c r="G235" t="s">
        <v>1646</v>
      </c>
      <c r="H235" s="135" t="s">
        <v>1647</v>
      </c>
      <c r="I235">
        <v>12</v>
      </c>
      <c r="J235" t="s">
        <v>1279</v>
      </c>
      <c r="K235">
        <v>12174</v>
      </c>
      <c r="L235" t="s">
        <v>1571</v>
      </c>
      <c r="M235">
        <v>12174239</v>
      </c>
      <c r="N235" t="s">
        <v>1572</v>
      </c>
      <c r="O235">
        <v>12174239647</v>
      </c>
      <c r="P235" t="s">
        <v>1610</v>
      </c>
      <c r="Q235" s="135" t="s">
        <v>1648</v>
      </c>
      <c r="R235" t="s">
        <v>1649</v>
      </c>
      <c r="S235" s="135" t="s">
        <v>1647</v>
      </c>
      <c r="T235" t="s">
        <v>1650</v>
      </c>
      <c r="U235" t="s">
        <v>1286</v>
      </c>
      <c r="V235" t="s">
        <v>1287</v>
      </c>
      <c r="W235">
        <v>25</v>
      </c>
      <c r="X235" t="s">
        <v>1288</v>
      </c>
      <c r="Y235">
        <v>1</v>
      </c>
      <c r="Z235">
        <v>25</v>
      </c>
      <c r="AA235" t="s">
        <v>28</v>
      </c>
      <c r="AB235" t="s">
        <v>1190</v>
      </c>
      <c r="AC235">
        <v>25000</v>
      </c>
      <c r="AD235" t="s">
        <v>1289</v>
      </c>
      <c r="AE235" t="s">
        <v>1290</v>
      </c>
      <c r="AF235" t="s">
        <v>1193</v>
      </c>
      <c r="AG235" t="s">
        <v>1194</v>
      </c>
      <c r="AH235" t="s">
        <v>1195</v>
      </c>
      <c r="AI235" t="s">
        <v>1202</v>
      </c>
      <c r="AJ235" t="s">
        <v>1291</v>
      </c>
      <c r="AK235" t="s">
        <v>1292</v>
      </c>
      <c r="AL235" t="s">
        <v>1291</v>
      </c>
      <c r="AM235" t="s">
        <v>1577</v>
      </c>
      <c r="AN235" t="s">
        <v>1201</v>
      </c>
      <c r="AO235" t="s">
        <v>1292</v>
      </c>
      <c r="AP235" t="s">
        <v>1578</v>
      </c>
      <c r="AQ235" t="s">
        <v>1203</v>
      </c>
      <c r="AR235" t="s">
        <v>1201</v>
      </c>
      <c r="AS235" t="s">
        <v>1203</v>
      </c>
      <c r="AU235" t="s">
        <v>1204</v>
      </c>
      <c r="AW235" t="b">
        <v>0</v>
      </c>
      <c r="AY235" t="b">
        <v>0</v>
      </c>
      <c r="BA235" t="s">
        <v>1579</v>
      </c>
      <c r="BB235" t="s">
        <v>1206</v>
      </c>
      <c r="BC235" t="s">
        <v>1206</v>
      </c>
      <c r="BD235" t="s">
        <v>1207</v>
      </c>
      <c r="BE235" t="s">
        <v>1296</v>
      </c>
      <c r="BF235" t="s">
        <v>1580</v>
      </c>
      <c r="BG235" t="s">
        <v>237</v>
      </c>
      <c r="BH235" t="s">
        <v>1206</v>
      </c>
      <c r="BI235" t="s">
        <v>1206</v>
      </c>
      <c r="BJ235" t="s">
        <v>1581</v>
      </c>
    </row>
    <row r="236" spans="1:62" x14ac:dyDescent="0.25">
      <c r="A236" t="s">
        <v>1177</v>
      </c>
      <c r="B236">
        <v>100234</v>
      </c>
      <c r="C236">
        <v>100234</v>
      </c>
      <c r="D236" s="112" t="s">
        <v>2659</v>
      </c>
      <c r="E236" t="s">
        <v>1119</v>
      </c>
      <c r="F236" t="s">
        <v>1178</v>
      </c>
      <c r="G236" t="s">
        <v>1651</v>
      </c>
      <c r="H236" s="135" t="s">
        <v>1609</v>
      </c>
      <c r="I236">
        <v>12</v>
      </c>
      <c r="J236" t="s">
        <v>1279</v>
      </c>
      <c r="K236">
        <v>12174</v>
      </c>
      <c r="L236" t="s">
        <v>1571</v>
      </c>
      <c r="M236">
        <v>12174239</v>
      </c>
      <c r="N236" t="s">
        <v>1572</v>
      </c>
      <c r="O236">
        <v>12174239647</v>
      </c>
      <c r="P236" t="s">
        <v>1610</v>
      </c>
      <c r="Q236" s="135" t="s">
        <v>1611</v>
      </c>
      <c r="R236" t="s">
        <v>1612</v>
      </c>
      <c r="S236" s="135" t="s">
        <v>1609</v>
      </c>
      <c r="T236" t="s">
        <v>1613</v>
      </c>
      <c r="U236" t="s">
        <v>1237</v>
      </c>
      <c r="V236" t="s">
        <v>1238</v>
      </c>
      <c r="W236">
        <v>130</v>
      </c>
      <c r="X236" t="s">
        <v>1189</v>
      </c>
      <c r="Y236">
        <v>48</v>
      </c>
      <c r="Z236">
        <v>6240</v>
      </c>
      <c r="AA236" t="s">
        <v>28</v>
      </c>
      <c r="AB236" t="s">
        <v>1190</v>
      </c>
      <c r="AC236">
        <v>130</v>
      </c>
      <c r="AD236" t="s">
        <v>1191</v>
      </c>
      <c r="AE236" t="s">
        <v>1192</v>
      </c>
      <c r="AF236" t="s">
        <v>1193</v>
      </c>
      <c r="AG236" t="s">
        <v>1194</v>
      </c>
      <c r="AH236" t="s">
        <v>1195</v>
      </c>
      <c r="AI236" t="s">
        <v>1202</v>
      </c>
      <c r="AJ236" t="s">
        <v>1291</v>
      </c>
      <c r="AK236" t="s">
        <v>1292</v>
      </c>
      <c r="AL236" t="s">
        <v>1291</v>
      </c>
      <c r="AM236" t="s">
        <v>1577</v>
      </c>
      <c r="AN236" t="s">
        <v>1201</v>
      </c>
      <c r="AO236" t="s">
        <v>1292</v>
      </c>
      <c r="AP236" t="s">
        <v>1578</v>
      </c>
      <c r="AQ236" t="s">
        <v>1203</v>
      </c>
      <c r="AR236" t="s">
        <v>1201</v>
      </c>
      <c r="AS236" t="s">
        <v>1203</v>
      </c>
      <c r="AU236" t="s">
        <v>1204</v>
      </c>
      <c r="AW236" t="b">
        <v>0</v>
      </c>
      <c r="AY236" t="b">
        <v>0</v>
      </c>
      <c r="BA236" t="s">
        <v>1579</v>
      </c>
      <c r="BB236" t="s">
        <v>1206</v>
      </c>
      <c r="BC236" t="s">
        <v>1206</v>
      </c>
      <c r="BD236" t="s">
        <v>1207</v>
      </c>
      <c r="BE236" t="s">
        <v>1296</v>
      </c>
      <c r="BF236" t="s">
        <v>1580</v>
      </c>
      <c r="BG236" t="s">
        <v>237</v>
      </c>
      <c r="BH236" t="s">
        <v>1206</v>
      </c>
      <c r="BI236" t="s">
        <v>1206</v>
      </c>
      <c r="BJ236" t="s">
        <v>1581</v>
      </c>
    </row>
    <row r="237" spans="1:62" x14ac:dyDescent="0.25">
      <c r="A237" t="s">
        <v>1177</v>
      </c>
      <c r="B237">
        <v>100998</v>
      </c>
      <c r="C237">
        <v>100998</v>
      </c>
      <c r="D237" s="112" t="s">
        <v>2660</v>
      </c>
      <c r="E237" t="s">
        <v>1119</v>
      </c>
      <c r="F237" t="s">
        <v>1178</v>
      </c>
      <c r="G237" t="s">
        <v>1651</v>
      </c>
      <c r="H237" s="135" t="s">
        <v>1609</v>
      </c>
      <c r="I237">
        <v>12</v>
      </c>
      <c r="J237" t="s">
        <v>1279</v>
      </c>
      <c r="K237">
        <v>12174</v>
      </c>
      <c r="L237" t="s">
        <v>1571</v>
      </c>
      <c r="M237">
        <v>12174239</v>
      </c>
      <c r="N237" t="s">
        <v>1572</v>
      </c>
      <c r="O237">
        <v>12174239647</v>
      </c>
      <c r="P237" t="s">
        <v>1610</v>
      </c>
      <c r="Q237" s="135" t="s">
        <v>1611</v>
      </c>
      <c r="R237" t="s">
        <v>1612</v>
      </c>
      <c r="S237" s="135" t="s">
        <v>1609</v>
      </c>
      <c r="T237" t="s">
        <v>1613</v>
      </c>
      <c r="U237" t="s">
        <v>1237</v>
      </c>
      <c r="V237" t="s">
        <v>1238</v>
      </c>
      <c r="W237">
        <v>130</v>
      </c>
      <c r="X237" t="s">
        <v>1189</v>
      </c>
      <c r="Y237">
        <v>48</v>
      </c>
      <c r="Z237">
        <v>6240</v>
      </c>
      <c r="AA237" t="s">
        <v>28</v>
      </c>
      <c r="AB237" t="s">
        <v>1190</v>
      </c>
      <c r="AC237">
        <v>130</v>
      </c>
      <c r="AD237" t="s">
        <v>1191</v>
      </c>
      <c r="AE237" t="s">
        <v>1192</v>
      </c>
      <c r="AF237" t="s">
        <v>1193</v>
      </c>
      <c r="AG237" t="s">
        <v>1194</v>
      </c>
      <c r="AH237" t="s">
        <v>1195</v>
      </c>
      <c r="AI237" t="s">
        <v>1202</v>
      </c>
      <c r="AJ237" t="s">
        <v>1291</v>
      </c>
      <c r="AK237" t="s">
        <v>1292</v>
      </c>
      <c r="AL237" t="s">
        <v>1291</v>
      </c>
      <c r="AM237" t="s">
        <v>1577</v>
      </c>
      <c r="AN237" t="s">
        <v>1201</v>
      </c>
      <c r="AO237" t="s">
        <v>1292</v>
      </c>
      <c r="AP237" t="s">
        <v>1578</v>
      </c>
      <c r="AQ237" t="s">
        <v>1203</v>
      </c>
      <c r="AR237" t="s">
        <v>1201</v>
      </c>
      <c r="AS237" t="s">
        <v>1203</v>
      </c>
      <c r="AU237" t="s">
        <v>1204</v>
      </c>
      <c r="AW237" t="b">
        <v>0</v>
      </c>
      <c r="AY237" t="b">
        <v>0</v>
      </c>
      <c r="BA237" t="s">
        <v>1579</v>
      </c>
      <c r="BB237" t="s">
        <v>1206</v>
      </c>
      <c r="BC237" t="s">
        <v>1206</v>
      </c>
      <c r="BD237" t="s">
        <v>1207</v>
      </c>
      <c r="BE237" t="s">
        <v>1296</v>
      </c>
      <c r="BF237" t="s">
        <v>1580</v>
      </c>
      <c r="BG237" t="s">
        <v>237</v>
      </c>
      <c r="BH237" t="s">
        <v>1206</v>
      </c>
      <c r="BI237" t="s">
        <v>1206</v>
      </c>
      <c r="BJ237" t="s">
        <v>1581</v>
      </c>
    </row>
    <row r="238" spans="1:62" x14ac:dyDescent="0.25">
      <c r="A238" t="s">
        <v>1177</v>
      </c>
      <c r="B238">
        <v>100997</v>
      </c>
      <c r="C238">
        <v>100997</v>
      </c>
      <c r="D238" s="112" t="s">
        <v>2661</v>
      </c>
      <c r="E238" t="s">
        <v>1119</v>
      </c>
      <c r="F238" t="s">
        <v>1178</v>
      </c>
      <c r="G238" t="s">
        <v>1651</v>
      </c>
      <c r="H238" s="135" t="s">
        <v>1609</v>
      </c>
      <c r="I238">
        <v>12</v>
      </c>
      <c r="J238" t="s">
        <v>1279</v>
      </c>
      <c r="K238">
        <v>12174</v>
      </c>
      <c r="L238" t="s">
        <v>1571</v>
      </c>
      <c r="M238">
        <v>12174239</v>
      </c>
      <c r="N238" t="s">
        <v>1572</v>
      </c>
      <c r="O238">
        <v>12174239647</v>
      </c>
      <c r="P238" t="s">
        <v>1610</v>
      </c>
      <c r="Q238" s="135" t="s">
        <v>1611</v>
      </c>
      <c r="R238" t="s">
        <v>1612</v>
      </c>
      <c r="S238" s="135" t="s">
        <v>1609</v>
      </c>
      <c r="T238" t="s">
        <v>1613</v>
      </c>
      <c r="U238" t="s">
        <v>1237</v>
      </c>
      <c r="V238" t="s">
        <v>1238</v>
      </c>
      <c r="W238">
        <v>130</v>
      </c>
      <c r="X238" t="s">
        <v>1189</v>
      </c>
      <c r="Y238">
        <v>48</v>
      </c>
      <c r="Z238">
        <v>6240</v>
      </c>
      <c r="AA238" t="s">
        <v>28</v>
      </c>
      <c r="AB238" t="s">
        <v>1190</v>
      </c>
      <c r="AC238">
        <v>130</v>
      </c>
      <c r="AD238" t="s">
        <v>1191</v>
      </c>
      <c r="AE238" t="s">
        <v>1192</v>
      </c>
      <c r="AF238" t="s">
        <v>1193</v>
      </c>
      <c r="AG238" t="s">
        <v>1194</v>
      </c>
      <c r="AH238" t="s">
        <v>1195</v>
      </c>
      <c r="AI238" t="s">
        <v>1202</v>
      </c>
      <c r="AJ238" t="s">
        <v>1291</v>
      </c>
      <c r="AK238" t="s">
        <v>1292</v>
      </c>
      <c r="AL238" t="s">
        <v>1291</v>
      </c>
      <c r="AM238" t="s">
        <v>1577</v>
      </c>
      <c r="AN238" t="s">
        <v>1201</v>
      </c>
      <c r="AO238" t="s">
        <v>1292</v>
      </c>
      <c r="AP238" t="s">
        <v>1578</v>
      </c>
      <c r="AQ238" t="s">
        <v>1203</v>
      </c>
      <c r="AR238" t="s">
        <v>1201</v>
      </c>
      <c r="AS238" t="s">
        <v>1203</v>
      </c>
      <c r="AU238" t="s">
        <v>1204</v>
      </c>
      <c r="AW238" t="b">
        <v>0</v>
      </c>
      <c r="AY238" t="b">
        <v>0</v>
      </c>
      <c r="BA238" t="s">
        <v>1579</v>
      </c>
      <c r="BB238" t="s">
        <v>1206</v>
      </c>
      <c r="BC238" t="s">
        <v>1206</v>
      </c>
      <c r="BD238" t="s">
        <v>1207</v>
      </c>
      <c r="BE238" t="s">
        <v>1296</v>
      </c>
      <c r="BF238" t="s">
        <v>1580</v>
      </c>
      <c r="BG238" t="s">
        <v>237</v>
      </c>
      <c r="BH238" t="s">
        <v>1206</v>
      </c>
      <c r="BI238" t="s">
        <v>1206</v>
      </c>
      <c r="BJ238" t="s">
        <v>1581</v>
      </c>
    </row>
    <row r="239" spans="1:62" x14ac:dyDescent="0.25">
      <c r="A239" t="s">
        <v>1177</v>
      </c>
      <c r="B239">
        <v>100237</v>
      </c>
      <c r="C239">
        <v>100237</v>
      </c>
      <c r="D239" s="112" t="s">
        <v>2662</v>
      </c>
      <c r="E239" t="s">
        <v>1119</v>
      </c>
      <c r="F239" t="s">
        <v>1178</v>
      </c>
      <c r="G239" t="s">
        <v>1651</v>
      </c>
      <c r="H239" s="135" t="s">
        <v>1609</v>
      </c>
      <c r="I239">
        <v>12</v>
      </c>
      <c r="J239" t="s">
        <v>1279</v>
      </c>
      <c r="K239">
        <v>12174</v>
      </c>
      <c r="L239" t="s">
        <v>1571</v>
      </c>
      <c r="M239">
        <v>12174239</v>
      </c>
      <c r="N239" t="s">
        <v>1572</v>
      </c>
      <c r="O239">
        <v>12174239647</v>
      </c>
      <c r="P239" t="s">
        <v>1610</v>
      </c>
      <c r="Q239" s="135" t="s">
        <v>1611</v>
      </c>
      <c r="R239" t="s">
        <v>1612</v>
      </c>
      <c r="S239" s="135" t="s">
        <v>1609</v>
      </c>
      <c r="T239" t="s">
        <v>1613</v>
      </c>
      <c r="U239" t="s">
        <v>1237</v>
      </c>
      <c r="V239" t="s">
        <v>1238</v>
      </c>
      <c r="W239">
        <v>130</v>
      </c>
      <c r="X239" t="s">
        <v>1189</v>
      </c>
      <c r="Y239">
        <v>48</v>
      </c>
      <c r="Z239">
        <v>6240</v>
      </c>
      <c r="AA239" t="s">
        <v>28</v>
      </c>
      <c r="AB239" t="s">
        <v>1190</v>
      </c>
      <c r="AC239">
        <v>130</v>
      </c>
      <c r="AD239" t="s">
        <v>1191</v>
      </c>
      <c r="AE239" t="s">
        <v>1192</v>
      </c>
      <c r="AF239" t="s">
        <v>1193</v>
      </c>
      <c r="AG239" t="s">
        <v>1194</v>
      </c>
      <c r="AH239" t="s">
        <v>1195</v>
      </c>
      <c r="AI239" t="s">
        <v>1202</v>
      </c>
      <c r="AJ239" t="s">
        <v>1291</v>
      </c>
      <c r="AK239" t="s">
        <v>1292</v>
      </c>
      <c r="AL239" t="s">
        <v>1291</v>
      </c>
      <c r="AM239" t="s">
        <v>1577</v>
      </c>
      <c r="AN239" t="s">
        <v>1201</v>
      </c>
      <c r="AO239" t="s">
        <v>1292</v>
      </c>
      <c r="AP239" t="s">
        <v>1578</v>
      </c>
      <c r="AQ239" t="s">
        <v>1203</v>
      </c>
      <c r="AR239" t="s">
        <v>1201</v>
      </c>
      <c r="AS239" t="s">
        <v>1203</v>
      </c>
      <c r="AU239" t="s">
        <v>1204</v>
      </c>
      <c r="AW239" t="b">
        <v>0</v>
      </c>
      <c r="AY239" t="b">
        <v>0</v>
      </c>
      <c r="BA239" t="s">
        <v>1579</v>
      </c>
      <c r="BB239" t="s">
        <v>1206</v>
      </c>
      <c r="BC239" t="s">
        <v>1206</v>
      </c>
      <c r="BD239" t="s">
        <v>1207</v>
      </c>
      <c r="BE239" t="s">
        <v>1296</v>
      </c>
      <c r="BF239" t="s">
        <v>1580</v>
      </c>
      <c r="BG239" t="s">
        <v>237</v>
      </c>
      <c r="BH239" t="s">
        <v>1206</v>
      </c>
      <c r="BI239" t="s">
        <v>1206</v>
      </c>
      <c r="BJ239" t="s">
        <v>1581</v>
      </c>
    </row>
    <row r="240" spans="1:62" x14ac:dyDescent="0.25">
      <c r="A240" t="s">
        <v>1177</v>
      </c>
      <c r="B240">
        <v>100226</v>
      </c>
      <c r="C240">
        <v>100226</v>
      </c>
      <c r="D240" s="112" t="s">
        <v>2663</v>
      </c>
      <c r="E240" t="s">
        <v>1119</v>
      </c>
      <c r="F240" t="s">
        <v>1178</v>
      </c>
      <c r="G240" t="s">
        <v>1652</v>
      </c>
      <c r="H240" t="s">
        <v>1653</v>
      </c>
      <c r="I240">
        <v>12</v>
      </c>
      <c r="J240" t="s">
        <v>1279</v>
      </c>
      <c r="K240">
        <v>12174</v>
      </c>
      <c r="L240" t="s">
        <v>1571</v>
      </c>
      <c r="M240">
        <v>12174239</v>
      </c>
      <c r="N240" t="s">
        <v>1572</v>
      </c>
      <c r="O240">
        <v>12174239647</v>
      </c>
      <c r="P240" t="s">
        <v>1610</v>
      </c>
      <c r="Q240" t="s">
        <v>1654</v>
      </c>
      <c r="R240" t="s">
        <v>1655</v>
      </c>
      <c r="S240" t="s">
        <v>1653</v>
      </c>
      <c r="T240" t="s">
        <v>1656</v>
      </c>
      <c r="U240" t="s">
        <v>1237</v>
      </c>
      <c r="V240" t="s">
        <v>1238</v>
      </c>
      <c r="W240">
        <v>600</v>
      </c>
      <c r="X240" t="s">
        <v>1189</v>
      </c>
      <c r="Y240">
        <v>12</v>
      </c>
      <c r="Z240">
        <v>7200</v>
      </c>
      <c r="AA240" t="s">
        <v>28</v>
      </c>
      <c r="AB240" t="s">
        <v>1190</v>
      </c>
      <c r="AC240">
        <v>600</v>
      </c>
      <c r="AD240" t="s">
        <v>1289</v>
      </c>
      <c r="AE240" t="s">
        <v>1290</v>
      </c>
      <c r="AF240" t="s">
        <v>1193</v>
      </c>
      <c r="AG240" t="s">
        <v>1194</v>
      </c>
      <c r="AH240" t="s">
        <v>1195</v>
      </c>
      <c r="AI240" t="s">
        <v>1202</v>
      </c>
      <c r="AJ240" t="s">
        <v>1291</v>
      </c>
      <c r="AK240" t="s">
        <v>1292</v>
      </c>
      <c r="AL240" t="s">
        <v>1291</v>
      </c>
      <c r="AM240" t="s">
        <v>1577</v>
      </c>
      <c r="AN240" t="s">
        <v>1201</v>
      </c>
      <c r="AO240" t="s">
        <v>1292</v>
      </c>
      <c r="AP240" t="s">
        <v>1578</v>
      </c>
      <c r="AQ240" t="s">
        <v>1203</v>
      </c>
      <c r="AR240" t="s">
        <v>1201</v>
      </c>
      <c r="AS240" t="s">
        <v>1203</v>
      </c>
      <c r="AU240" t="s">
        <v>1204</v>
      </c>
      <c r="AW240" t="b">
        <v>0</v>
      </c>
      <c r="AY240" t="b">
        <v>0</v>
      </c>
      <c r="BA240" t="s">
        <v>1579</v>
      </c>
      <c r="BB240" t="s">
        <v>1206</v>
      </c>
      <c r="BC240" t="s">
        <v>1206</v>
      </c>
      <c r="BD240" t="s">
        <v>1207</v>
      </c>
      <c r="BE240" t="s">
        <v>1296</v>
      </c>
      <c r="BF240" t="s">
        <v>1580</v>
      </c>
      <c r="BG240" t="s">
        <v>237</v>
      </c>
      <c r="BH240" t="s">
        <v>1206</v>
      </c>
      <c r="BI240" t="s">
        <v>1206</v>
      </c>
      <c r="BJ240" t="s">
        <v>1581</v>
      </c>
    </row>
    <row r="241" spans="1:62" x14ac:dyDescent="0.25">
      <c r="A241" t="s">
        <v>1177</v>
      </c>
      <c r="B241">
        <v>100240</v>
      </c>
      <c r="C241">
        <v>100240</v>
      </c>
      <c r="D241" s="112" t="s">
        <v>2664</v>
      </c>
      <c r="E241" t="s">
        <v>1119</v>
      </c>
      <c r="F241" t="s">
        <v>1178</v>
      </c>
      <c r="G241" t="s">
        <v>1657</v>
      </c>
      <c r="H241" s="135" t="s">
        <v>1658</v>
      </c>
      <c r="I241">
        <v>12</v>
      </c>
      <c r="J241" t="s">
        <v>1279</v>
      </c>
      <c r="K241">
        <v>12174</v>
      </c>
      <c r="L241" t="s">
        <v>1571</v>
      </c>
      <c r="M241">
        <v>12174239</v>
      </c>
      <c r="N241" t="s">
        <v>1572</v>
      </c>
      <c r="O241">
        <v>12174239647</v>
      </c>
      <c r="P241" t="s">
        <v>1610</v>
      </c>
      <c r="Q241" s="135" t="s">
        <v>1659</v>
      </c>
      <c r="R241" t="s">
        <v>1660</v>
      </c>
      <c r="S241" s="135" t="s">
        <v>1658</v>
      </c>
      <c r="T241" t="s">
        <v>1661</v>
      </c>
      <c r="U241" t="s">
        <v>1310</v>
      </c>
      <c r="V241" t="s">
        <v>1311</v>
      </c>
      <c r="W241">
        <v>62</v>
      </c>
      <c r="X241" t="s">
        <v>1342</v>
      </c>
      <c r="Y241">
        <v>48</v>
      </c>
      <c r="Z241">
        <v>2976</v>
      </c>
      <c r="AA241" t="s">
        <v>28</v>
      </c>
      <c r="AB241" t="s">
        <v>1190</v>
      </c>
      <c r="AC241">
        <v>62</v>
      </c>
      <c r="AD241" t="s">
        <v>1191</v>
      </c>
      <c r="AE241" t="s">
        <v>1192</v>
      </c>
      <c r="AF241" t="s">
        <v>1193</v>
      </c>
      <c r="AG241" t="s">
        <v>1194</v>
      </c>
      <c r="AH241" t="s">
        <v>1195</v>
      </c>
      <c r="AI241" t="s">
        <v>1202</v>
      </c>
      <c r="AJ241" t="s">
        <v>1291</v>
      </c>
      <c r="AK241" t="s">
        <v>1292</v>
      </c>
      <c r="AL241" t="s">
        <v>1291</v>
      </c>
      <c r="AM241" t="s">
        <v>1577</v>
      </c>
      <c r="AN241" t="s">
        <v>1201</v>
      </c>
      <c r="AO241" t="s">
        <v>1292</v>
      </c>
      <c r="AP241" t="s">
        <v>1578</v>
      </c>
      <c r="AQ241" t="s">
        <v>1203</v>
      </c>
      <c r="AR241" t="s">
        <v>1201</v>
      </c>
      <c r="AS241" t="s">
        <v>1203</v>
      </c>
      <c r="AU241" t="s">
        <v>1204</v>
      </c>
      <c r="AW241" t="b">
        <v>0</v>
      </c>
      <c r="AY241" t="b">
        <v>0</v>
      </c>
      <c r="BA241" t="s">
        <v>1579</v>
      </c>
      <c r="BB241" t="s">
        <v>1206</v>
      </c>
      <c r="BC241" t="s">
        <v>1206</v>
      </c>
      <c r="BD241" t="s">
        <v>1207</v>
      </c>
      <c r="BE241" t="s">
        <v>1296</v>
      </c>
      <c r="BF241" t="s">
        <v>1580</v>
      </c>
      <c r="BG241" t="s">
        <v>237</v>
      </c>
      <c r="BH241" t="s">
        <v>1206</v>
      </c>
      <c r="BI241" t="s">
        <v>1206</v>
      </c>
      <c r="BJ241" t="s">
        <v>1581</v>
      </c>
    </row>
    <row r="242" spans="1:62" x14ac:dyDescent="0.25">
      <c r="A242" t="s">
        <v>1177</v>
      </c>
      <c r="B242">
        <v>101001</v>
      </c>
      <c r="C242">
        <v>101001</v>
      </c>
      <c r="D242" s="112" t="s">
        <v>2665</v>
      </c>
      <c r="E242" t="s">
        <v>1119</v>
      </c>
      <c r="F242" t="s">
        <v>1178</v>
      </c>
      <c r="G242" t="s">
        <v>1657</v>
      </c>
      <c r="H242" s="135" t="s">
        <v>1662</v>
      </c>
      <c r="I242">
        <v>12</v>
      </c>
      <c r="J242" t="s">
        <v>1279</v>
      </c>
      <c r="K242">
        <v>12174</v>
      </c>
      <c r="L242" t="s">
        <v>1571</v>
      </c>
      <c r="M242">
        <v>12174239</v>
      </c>
      <c r="N242" t="s">
        <v>1572</v>
      </c>
      <c r="O242">
        <v>12174239647</v>
      </c>
      <c r="P242" t="s">
        <v>1610</v>
      </c>
      <c r="Q242" s="135" t="s">
        <v>1659</v>
      </c>
      <c r="R242" t="s">
        <v>1660</v>
      </c>
      <c r="S242" s="135" t="s">
        <v>1662</v>
      </c>
      <c r="T242" t="s">
        <v>1663</v>
      </c>
      <c r="U242" t="s">
        <v>1310</v>
      </c>
      <c r="V242" t="s">
        <v>1311</v>
      </c>
      <c r="W242">
        <v>62</v>
      </c>
      <c r="X242" t="s">
        <v>1342</v>
      </c>
      <c r="Y242">
        <v>60</v>
      </c>
      <c r="Z242">
        <v>3720</v>
      </c>
      <c r="AA242" t="s">
        <v>28</v>
      </c>
      <c r="AB242" t="s">
        <v>1190</v>
      </c>
      <c r="AC242">
        <v>62</v>
      </c>
      <c r="AD242" t="s">
        <v>1191</v>
      </c>
      <c r="AE242" t="s">
        <v>1192</v>
      </c>
      <c r="AF242" t="s">
        <v>1193</v>
      </c>
      <c r="AG242" t="s">
        <v>1194</v>
      </c>
      <c r="AH242" t="s">
        <v>1195</v>
      </c>
      <c r="AI242" t="s">
        <v>1202</v>
      </c>
      <c r="AJ242" t="s">
        <v>1291</v>
      </c>
      <c r="AK242" t="s">
        <v>1292</v>
      </c>
      <c r="AL242" t="s">
        <v>1291</v>
      </c>
      <c r="AM242" t="s">
        <v>1577</v>
      </c>
      <c r="AN242" t="s">
        <v>1201</v>
      </c>
      <c r="AO242" t="s">
        <v>1292</v>
      </c>
      <c r="AP242" t="s">
        <v>1578</v>
      </c>
      <c r="AQ242" t="s">
        <v>1203</v>
      </c>
      <c r="AR242" t="s">
        <v>1201</v>
      </c>
      <c r="AS242" t="s">
        <v>1203</v>
      </c>
      <c r="AU242" t="s">
        <v>1204</v>
      </c>
      <c r="AW242" t="b">
        <v>0</v>
      </c>
      <c r="AY242" t="b">
        <v>0</v>
      </c>
      <c r="BA242" t="s">
        <v>1579</v>
      </c>
      <c r="BB242" t="s">
        <v>1206</v>
      </c>
      <c r="BC242" t="s">
        <v>1206</v>
      </c>
      <c r="BD242" t="s">
        <v>1207</v>
      </c>
      <c r="BE242" t="s">
        <v>1296</v>
      </c>
      <c r="BF242" t="s">
        <v>1580</v>
      </c>
      <c r="BG242" t="s">
        <v>237</v>
      </c>
      <c r="BH242" t="s">
        <v>1206</v>
      </c>
      <c r="BI242" t="s">
        <v>1206</v>
      </c>
      <c r="BJ242" t="s">
        <v>1581</v>
      </c>
    </row>
    <row r="243" spans="1:62" x14ac:dyDescent="0.25">
      <c r="A243" t="s">
        <v>1177</v>
      </c>
      <c r="B243">
        <v>100991</v>
      </c>
      <c r="C243">
        <v>100991</v>
      </c>
      <c r="D243" s="112" t="s">
        <v>2666</v>
      </c>
      <c r="E243" t="s">
        <v>1119</v>
      </c>
      <c r="F243" t="s">
        <v>1178</v>
      </c>
      <c r="G243" t="s">
        <v>1664</v>
      </c>
      <c r="H243" s="135" t="s">
        <v>1665</v>
      </c>
      <c r="I243">
        <v>12</v>
      </c>
      <c r="J243" t="s">
        <v>1279</v>
      </c>
      <c r="K243">
        <v>12174</v>
      </c>
      <c r="L243" t="s">
        <v>1571</v>
      </c>
      <c r="M243">
        <v>12174239</v>
      </c>
      <c r="N243" t="s">
        <v>1572</v>
      </c>
      <c r="O243">
        <v>12174239647</v>
      </c>
      <c r="P243" t="s">
        <v>1610</v>
      </c>
      <c r="Q243" s="135" t="s">
        <v>1666</v>
      </c>
      <c r="R243" t="s">
        <v>1667</v>
      </c>
      <c r="S243" s="135" t="s">
        <v>1665</v>
      </c>
      <c r="T243" t="s">
        <v>1668</v>
      </c>
      <c r="U243" t="s">
        <v>1310</v>
      </c>
      <c r="V243" t="s">
        <v>1311</v>
      </c>
      <c r="W243">
        <v>600</v>
      </c>
      <c r="X243" t="s">
        <v>1342</v>
      </c>
      <c r="Y243">
        <v>12</v>
      </c>
      <c r="Z243">
        <v>7200</v>
      </c>
      <c r="AA243" t="s">
        <v>28</v>
      </c>
      <c r="AB243" t="s">
        <v>1190</v>
      </c>
      <c r="AC243">
        <v>600</v>
      </c>
      <c r="AD243" t="s">
        <v>1289</v>
      </c>
      <c r="AE243" t="s">
        <v>1290</v>
      </c>
      <c r="AF243" t="s">
        <v>1193</v>
      </c>
      <c r="AG243" t="s">
        <v>1194</v>
      </c>
      <c r="AH243" t="s">
        <v>1195</v>
      </c>
      <c r="AI243" t="s">
        <v>1202</v>
      </c>
      <c r="AJ243" t="s">
        <v>1291</v>
      </c>
      <c r="AK243" t="s">
        <v>1292</v>
      </c>
      <c r="AL243" t="s">
        <v>1291</v>
      </c>
      <c r="AM243" t="s">
        <v>1577</v>
      </c>
      <c r="AN243" t="s">
        <v>1201</v>
      </c>
      <c r="AO243" t="s">
        <v>1292</v>
      </c>
      <c r="AP243" t="s">
        <v>1578</v>
      </c>
      <c r="AQ243" t="s">
        <v>1203</v>
      </c>
      <c r="AR243" t="s">
        <v>1201</v>
      </c>
      <c r="AS243" t="s">
        <v>1203</v>
      </c>
      <c r="AU243" t="s">
        <v>1204</v>
      </c>
      <c r="AW243" t="b">
        <v>0</v>
      </c>
      <c r="AY243" t="b">
        <v>0</v>
      </c>
      <c r="BA243" t="s">
        <v>1579</v>
      </c>
      <c r="BB243" t="s">
        <v>1206</v>
      </c>
      <c r="BC243" t="s">
        <v>1206</v>
      </c>
      <c r="BD243" t="s">
        <v>1207</v>
      </c>
      <c r="BE243" t="s">
        <v>1296</v>
      </c>
      <c r="BF243" t="s">
        <v>1580</v>
      </c>
      <c r="BG243" t="s">
        <v>237</v>
      </c>
      <c r="BH243" t="s">
        <v>1206</v>
      </c>
      <c r="BI243" t="s">
        <v>1206</v>
      </c>
      <c r="BJ243" t="s">
        <v>1581</v>
      </c>
    </row>
    <row r="244" spans="1:62" x14ac:dyDescent="0.25">
      <c r="A244" t="s">
        <v>1177</v>
      </c>
      <c r="B244">
        <v>100994</v>
      </c>
      <c r="C244">
        <v>100994</v>
      </c>
      <c r="D244" s="112" t="s">
        <v>2667</v>
      </c>
      <c r="E244" t="s">
        <v>1119</v>
      </c>
      <c r="F244" t="s">
        <v>1178</v>
      </c>
      <c r="G244" t="s">
        <v>1664</v>
      </c>
      <c r="H244" s="135" t="s">
        <v>1665</v>
      </c>
      <c r="I244">
        <v>12</v>
      </c>
      <c r="J244" t="s">
        <v>1279</v>
      </c>
      <c r="K244">
        <v>12174</v>
      </c>
      <c r="L244" t="s">
        <v>1571</v>
      </c>
      <c r="M244">
        <v>12174239</v>
      </c>
      <c r="N244" t="s">
        <v>1572</v>
      </c>
      <c r="O244">
        <v>12174239647</v>
      </c>
      <c r="P244" t="s">
        <v>1610</v>
      </c>
      <c r="Q244" s="135" t="s">
        <v>1666</v>
      </c>
      <c r="R244" t="s">
        <v>1667</v>
      </c>
      <c r="S244" s="135" t="s">
        <v>1665</v>
      </c>
      <c r="T244" t="s">
        <v>1668</v>
      </c>
      <c r="U244" t="s">
        <v>1310</v>
      </c>
      <c r="V244" t="s">
        <v>1311</v>
      </c>
      <c r="W244">
        <v>600</v>
      </c>
      <c r="X244" t="s">
        <v>1342</v>
      </c>
      <c r="Y244">
        <v>12</v>
      </c>
      <c r="Z244">
        <v>7200</v>
      </c>
      <c r="AA244" t="s">
        <v>28</v>
      </c>
      <c r="AB244" t="s">
        <v>1190</v>
      </c>
      <c r="AC244">
        <v>600</v>
      </c>
      <c r="AD244" t="s">
        <v>1289</v>
      </c>
      <c r="AE244" t="s">
        <v>1290</v>
      </c>
      <c r="AF244" t="s">
        <v>1193</v>
      </c>
      <c r="AG244" t="s">
        <v>1194</v>
      </c>
      <c r="AH244" t="s">
        <v>1195</v>
      </c>
      <c r="AI244" t="s">
        <v>1202</v>
      </c>
      <c r="AJ244" t="s">
        <v>1291</v>
      </c>
      <c r="AK244" t="s">
        <v>1292</v>
      </c>
      <c r="AL244" t="s">
        <v>1291</v>
      </c>
      <c r="AM244" t="s">
        <v>1577</v>
      </c>
      <c r="AN244" t="s">
        <v>1201</v>
      </c>
      <c r="AO244" t="s">
        <v>1292</v>
      </c>
      <c r="AP244" t="s">
        <v>1578</v>
      </c>
      <c r="AQ244" t="s">
        <v>1203</v>
      </c>
      <c r="AR244" t="s">
        <v>1201</v>
      </c>
      <c r="AS244" t="s">
        <v>1203</v>
      </c>
      <c r="AU244" t="s">
        <v>1204</v>
      </c>
      <c r="AW244" t="b">
        <v>0</v>
      </c>
      <c r="AY244" t="b">
        <v>0</v>
      </c>
      <c r="BA244" t="s">
        <v>1579</v>
      </c>
      <c r="BB244" t="s">
        <v>1206</v>
      </c>
      <c r="BC244" t="s">
        <v>1206</v>
      </c>
      <c r="BD244" t="s">
        <v>1207</v>
      </c>
      <c r="BE244" t="s">
        <v>1296</v>
      </c>
      <c r="BF244" t="s">
        <v>1580</v>
      </c>
      <c r="BG244" t="s">
        <v>237</v>
      </c>
      <c r="BH244" t="s">
        <v>1206</v>
      </c>
      <c r="BI244" t="s">
        <v>1206</v>
      </c>
      <c r="BJ244" t="s">
        <v>1581</v>
      </c>
    </row>
    <row r="245" spans="1:62" x14ac:dyDescent="0.25">
      <c r="A245" t="s">
        <v>1177</v>
      </c>
      <c r="B245">
        <v>100245</v>
      </c>
      <c r="C245">
        <v>100245</v>
      </c>
      <c r="D245" s="112" t="s">
        <v>2668</v>
      </c>
      <c r="E245" t="s">
        <v>1119</v>
      </c>
      <c r="F245" t="s">
        <v>1178</v>
      </c>
      <c r="G245" t="s">
        <v>1664</v>
      </c>
      <c r="H245" t="s">
        <v>1669</v>
      </c>
      <c r="I245">
        <v>12</v>
      </c>
      <c r="J245" t="s">
        <v>1279</v>
      </c>
      <c r="K245">
        <v>12174</v>
      </c>
      <c r="L245" t="s">
        <v>1571</v>
      </c>
      <c r="M245">
        <v>12174239</v>
      </c>
      <c r="N245" t="s">
        <v>1572</v>
      </c>
      <c r="O245">
        <v>12174239647</v>
      </c>
      <c r="P245" t="s">
        <v>1610</v>
      </c>
      <c r="Q245" t="s">
        <v>1670</v>
      </c>
      <c r="R245" t="s">
        <v>1671</v>
      </c>
      <c r="S245" t="s">
        <v>1669</v>
      </c>
      <c r="T245" t="s">
        <v>1672</v>
      </c>
      <c r="U245" t="s">
        <v>1310</v>
      </c>
      <c r="V245" t="s">
        <v>1311</v>
      </c>
      <c r="W245">
        <v>685</v>
      </c>
      <c r="X245" t="s">
        <v>1342</v>
      </c>
      <c r="Y245">
        <v>12</v>
      </c>
      <c r="Z245">
        <v>8220</v>
      </c>
      <c r="AA245" t="s">
        <v>28</v>
      </c>
      <c r="AB245" t="s">
        <v>1190</v>
      </c>
      <c r="AC245">
        <v>685</v>
      </c>
      <c r="AD245" t="s">
        <v>1289</v>
      </c>
      <c r="AE245" t="s">
        <v>1290</v>
      </c>
      <c r="AF245" t="s">
        <v>1193</v>
      </c>
      <c r="AG245" t="s">
        <v>1194</v>
      </c>
      <c r="AH245" t="s">
        <v>1195</v>
      </c>
      <c r="AI245" t="s">
        <v>1202</v>
      </c>
      <c r="AJ245" t="s">
        <v>1291</v>
      </c>
      <c r="AK245" t="s">
        <v>1292</v>
      </c>
      <c r="AL245" t="s">
        <v>1291</v>
      </c>
      <c r="AM245" t="s">
        <v>1577</v>
      </c>
      <c r="AN245" t="s">
        <v>1201</v>
      </c>
      <c r="AO245" t="s">
        <v>1292</v>
      </c>
      <c r="AP245" t="s">
        <v>1578</v>
      </c>
      <c r="AQ245" t="s">
        <v>1203</v>
      </c>
      <c r="AR245" t="s">
        <v>1201</v>
      </c>
      <c r="AS245" t="s">
        <v>1203</v>
      </c>
      <c r="AU245" t="s">
        <v>1204</v>
      </c>
      <c r="AW245" t="b">
        <v>0</v>
      </c>
      <c r="AY245" t="b">
        <v>0</v>
      </c>
      <c r="BA245" t="s">
        <v>1579</v>
      </c>
      <c r="BB245" t="s">
        <v>1206</v>
      </c>
      <c r="BC245" t="s">
        <v>1206</v>
      </c>
      <c r="BD245" t="s">
        <v>1207</v>
      </c>
      <c r="BE245" t="s">
        <v>1296</v>
      </c>
      <c r="BF245" t="s">
        <v>1580</v>
      </c>
      <c r="BG245" t="s">
        <v>237</v>
      </c>
      <c r="BH245" t="s">
        <v>1206</v>
      </c>
      <c r="BI245" t="s">
        <v>1206</v>
      </c>
      <c r="BJ245" t="s">
        <v>1581</v>
      </c>
    </row>
    <row r="246" spans="1:62" x14ac:dyDescent="0.25">
      <c r="A246" t="s">
        <v>1177</v>
      </c>
      <c r="B246">
        <v>100242</v>
      </c>
      <c r="C246">
        <v>100242</v>
      </c>
      <c r="D246" s="112" t="s">
        <v>2669</v>
      </c>
      <c r="E246" t="s">
        <v>1119</v>
      </c>
      <c r="F246" t="s">
        <v>1178</v>
      </c>
      <c r="G246" t="s">
        <v>1664</v>
      </c>
      <c r="H246" s="135" t="s">
        <v>1665</v>
      </c>
      <c r="I246">
        <v>12</v>
      </c>
      <c r="J246" t="s">
        <v>1279</v>
      </c>
      <c r="K246">
        <v>12174</v>
      </c>
      <c r="L246" t="s">
        <v>1571</v>
      </c>
      <c r="M246">
        <v>12174239</v>
      </c>
      <c r="N246" t="s">
        <v>1572</v>
      </c>
      <c r="O246">
        <v>12174239647</v>
      </c>
      <c r="P246" t="s">
        <v>1610</v>
      </c>
      <c r="Q246" s="135" t="s">
        <v>1666</v>
      </c>
      <c r="R246" t="s">
        <v>1667</v>
      </c>
      <c r="S246" s="135" t="s">
        <v>1665</v>
      </c>
      <c r="T246" t="s">
        <v>1668</v>
      </c>
      <c r="U246" t="s">
        <v>1310</v>
      </c>
      <c r="V246" t="s">
        <v>1311</v>
      </c>
      <c r="W246">
        <v>600</v>
      </c>
      <c r="X246" t="s">
        <v>1342</v>
      </c>
      <c r="Y246">
        <v>12</v>
      </c>
      <c r="Z246">
        <v>7200</v>
      </c>
      <c r="AA246" t="s">
        <v>28</v>
      </c>
      <c r="AB246" t="s">
        <v>1190</v>
      </c>
      <c r="AC246">
        <v>600</v>
      </c>
      <c r="AD246" t="s">
        <v>1289</v>
      </c>
      <c r="AE246" t="s">
        <v>1290</v>
      </c>
      <c r="AF246" t="s">
        <v>1193</v>
      </c>
      <c r="AG246" t="s">
        <v>1194</v>
      </c>
      <c r="AH246" t="s">
        <v>1195</v>
      </c>
      <c r="AI246" t="s">
        <v>1202</v>
      </c>
      <c r="AJ246" t="s">
        <v>1291</v>
      </c>
      <c r="AK246" t="s">
        <v>1292</v>
      </c>
      <c r="AL246" t="s">
        <v>1291</v>
      </c>
      <c r="AM246" t="s">
        <v>1577</v>
      </c>
      <c r="AN246" t="s">
        <v>1201</v>
      </c>
      <c r="AO246" t="s">
        <v>1292</v>
      </c>
      <c r="AP246" t="s">
        <v>1578</v>
      </c>
      <c r="AQ246" t="s">
        <v>1203</v>
      </c>
      <c r="AR246" t="s">
        <v>1201</v>
      </c>
      <c r="AS246" t="s">
        <v>1203</v>
      </c>
      <c r="AU246" t="s">
        <v>1204</v>
      </c>
      <c r="AW246" t="b">
        <v>0</v>
      </c>
      <c r="AY246" t="b">
        <v>0</v>
      </c>
      <c r="BA246" t="s">
        <v>1579</v>
      </c>
      <c r="BB246" t="s">
        <v>1206</v>
      </c>
      <c r="BC246" t="s">
        <v>1206</v>
      </c>
      <c r="BD246" t="s">
        <v>1207</v>
      </c>
      <c r="BE246" t="s">
        <v>1296</v>
      </c>
      <c r="BF246" t="s">
        <v>1580</v>
      </c>
      <c r="BG246" t="s">
        <v>237</v>
      </c>
      <c r="BH246" t="s">
        <v>1206</v>
      </c>
      <c r="BI246" t="s">
        <v>1206</v>
      </c>
      <c r="BJ246" t="s">
        <v>1581</v>
      </c>
    </row>
    <row r="247" spans="1:62" x14ac:dyDescent="0.25">
      <c r="A247" t="s">
        <v>1177</v>
      </c>
      <c r="B247">
        <v>100990</v>
      </c>
      <c r="C247">
        <v>100990</v>
      </c>
      <c r="D247" s="112" t="s">
        <v>2670</v>
      </c>
      <c r="E247" t="s">
        <v>1119</v>
      </c>
      <c r="F247" t="s">
        <v>1178</v>
      </c>
      <c r="G247" t="s">
        <v>1664</v>
      </c>
      <c r="H247" s="135" t="s">
        <v>1665</v>
      </c>
      <c r="I247">
        <v>12</v>
      </c>
      <c r="J247" t="s">
        <v>1279</v>
      </c>
      <c r="K247">
        <v>12174</v>
      </c>
      <c r="L247" t="s">
        <v>1571</v>
      </c>
      <c r="M247">
        <v>12174239</v>
      </c>
      <c r="N247" t="s">
        <v>1572</v>
      </c>
      <c r="O247">
        <v>12174239647</v>
      </c>
      <c r="P247" t="s">
        <v>1610</v>
      </c>
      <c r="Q247" s="135" t="s">
        <v>1666</v>
      </c>
      <c r="R247" t="s">
        <v>1667</v>
      </c>
      <c r="S247" s="135" t="s">
        <v>1665</v>
      </c>
      <c r="T247" t="s">
        <v>1668</v>
      </c>
      <c r="U247" t="s">
        <v>1310</v>
      </c>
      <c r="V247" t="s">
        <v>1311</v>
      </c>
      <c r="W247">
        <v>600</v>
      </c>
      <c r="X247" t="s">
        <v>1342</v>
      </c>
      <c r="Y247">
        <v>12</v>
      </c>
      <c r="Z247">
        <v>7200</v>
      </c>
      <c r="AA247" t="s">
        <v>28</v>
      </c>
      <c r="AB247" t="s">
        <v>1190</v>
      </c>
      <c r="AC247">
        <v>600</v>
      </c>
      <c r="AD247" t="s">
        <v>1289</v>
      </c>
      <c r="AE247" t="s">
        <v>1290</v>
      </c>
      <c r="AF247" t="s">
        <v>1193</v>
      </c>
      <c r="AG247" t="s">
        <v>1194</v>
      </c>
      <c r="AH247" t="s">
        <v>1195</v>
      </c>
      <c r="AI247" t="s">
        <v>1202</v>
      </c>
      <c r="AJ247" t="s">
        <v>1291</v>
      </c>
      <c r="AK247" t="s">
        <v>1292</v>
      </c>
      <c r="AL247" t="s">
        <v>1291</v>
      </c>
      <c r="AM247" t="s">
        <v>1577</v>
      </c>
      <c r="AN247" t="s">
        <v>1201</v>
      </c>
      <c r="AO247" t="s">
        <v>1292</v>
      </c>
      <c r="AP247" t="s">
        <v>1578</v>
      </c>
      <c r="AQ247" t="s">
        <v>1203</v>
      </c>
      <c r="AR247" t="s">
        <v>1201</v>
      </c>
      <c r="AS247" t="s">
        <v>1203</v>
      </c>
      <c r="AU247" t="s">
        <v>1204</v>
      </c>
      <c r="AW247" t="b">
        <v>0</v>
      </c>
      <c r="AY247" t="b">
        <v>0</v>
      </c>
      <c r="BA247" t="s">
        <v>1579</v>
      </c>
      <c r="BB247" t="s">
        <v>1206</v>
      </c>
      <c r="BC247" t="s">
        <v>1206</v>
      </c>
      <c r="BD247" t="s">
        <v>1207</v>
      </c>
      <c r="BE247" t="s">
        <v>1296</v>
      </c>
      <c r="BF247" t="s">
        <v>1580</v>
      </c>
      <c r="BG247" t="s">
        <v>237</v>
      </c>
      <c r="BH247" t="s">
        <v>1206</v>
      </c>
      <c r="BI247" t="s">
        <v>1206</v>
      </c>
      <c r="BJ247" t="s">
        <v>1581</v>
      </c>
    </row>
    <row r="248" spans="1:62" x14ac:dyDescent="0.25">
      <c r="A248" t="s">
        <v>1177</v>
      </c>
      <c r="B248">
        <v>109002</v>
      </c>
      <c r="C248">
        <v>109002</v>
      </c>
      <c r="D248" s="112" t="s">
        <v>2671</v>
      </c>
      <c r="E248" t="s">
        <v>1119</v>
      </c>
      <c r="F248" t="s">
        <v>1178</v>
      </c>
      <c r="G248" t="s">
        <v>1664</v>
      </c>
      <c r="H248" s="135" t="s">
        <v>1665</v>
      </c>
      <c r="I248">
        <v>12</v>
      </c>
      <c r="J248" t="s">
        <v>1279</v>
      </c>
      <c r="K248">
        <v>12174</v>
      </c>
      <c r="L248" t="s">
        <v>1571</v>
      </c>
      <c r="M248">
        <v>12174239</v>
      </c>
      <c r="N248" t="s">
        <v>1572</v>
      </c>
      <c r="O248">
        <v>12174239647</v>
      </c>
      <c r="P248" t="s">
        <v>1610</v>
      </c>
      <c r="Q248" s="135" t="s">
        <v>1666</v>
      </c>
      <c r="R248" t="s">
        <v>1667</v>
      </c>
      <c r="S248" s="135" t="s">
        <v>1665</v>
      </c>
      <c r="T248" t="s">
        <v>1668</v>
      </c>
      <c r="U248" t="s">
        <v>1310</v>
      </c>
      <c r="V248" t="s">
        <v>1311</v>
      </c>
      <c r="W248">
        <v>600</v>
      </c>
      <c r="X248" t="s">
        <v>1342</v>
      </c>
      <c r="Y248">
        <v>12</v>
      </c>
      <c r="Z248">
        <v>7200</v>
      </c>
      <c r="AA248" t="s">
        <v>28</v>
      </c>
      <c r="AB248" t="s">
        <v>1190</v>
      </c>
      <c r="AC248">
        <v>600</v>
      </c>
      <c r="AD248" t="s">
        <v>1289</v>
      </c>
      <c r="AE248" t="s">
        <v>1290</v>
      </c>
      <c r="AF248" t="s">
        <v>1193</v>
      </c>
      <c r="AG248" t="s">
        <v>1194</v>
      </c>
      <c r="AH248" t="s">
        <v>1195</v>
      </c>
      <c r="AI248" t="s">
        <v>1202</v>
      </c>
      <c r="AJ248" t="s">
        <v>1291</v>
      </c>
      <c r="AK248" t="s">
        <v>1292</v>
      </c>
      <c r="AL248" t="s">
        <v>1291</v>
      </c>
      <c r="AM248" t="s">
        <v>1577</v>
      </c>
      <c r="AN248" t="s">
        <v>1201</v>
      </c>
      <c r="AO248" t="s">
        <v>1292</v>
      </c>
      <c r="AP248" t="s">
        <v>1578</v>
      </c>
      <c r="AQ248" t="s">
        <v>1203</v>
      </c>
      <c r="AR248" t="s">
        <v>1201</v>
      </c>
      <c r="AS248" t="s">
        <v>1203</v>
      </c>
      <c r="AU248" t="s">
        <v>1204</v>
      </c>
      <c r="AW248" t="b">
        <v>0</v>
      </c>
      <c r="AY248" t="b">
        <v>0</v>
      </c>
      <c r="BA248" t="s">
        <v>1579</v>
      </c>
      <c r="BB248" t="s">
        <v>1206</v>
      </c>
      <c r="BC248" t="s">
        <v>1206</v>
      </c>
      <c r="BD248" t="s">
        <v>1207</v>
      </c>
      <c r="BE248" t="s">
        <v>1296</v>
      </c>
      <c r="BF248" t="s">
        <v>1580</v>
      </c>
      <c r="BG248" t="s">
        <v>237</v>
      </c>
      <c r="BH248" t="s">
        <v>1206</v>
      </c>
      <c r="BI248" t="s">
        <v>1206</v>
      </c>
      <c r="BJ248" t="s">
        <v>1581</v>
      </c>
    </row>
    <row r="249" spans="1:62" x14ac:dyDescent="0.25">
      <c r="A249" t="s">
        <v>1177</v>
      </c>
      <c r="B249">
        <v>100227</v>
      </c>
      <c r="C249">
        <v>100227</v>
      </c>
      <c r="D249" s="112" t="s">
        <v>2672</v>
      </c>
      <c r="E249" t="s">
        <v>1119</v>
      </c>
      <c r="F249" t="s">
        <v>1178</v>
      </c>
      <c r="G249" t="s">
        <v>1673</v>
      </c>
      <c r="H249" t="s">
        <v>1674</v>
      </c>
      <c r="I249">
        <v>12</v>
      </c>
      <c r="J249" t="s">
        <v>1279</v>
      </c>
      <c r="K249">
        <v>12174</v>
      </c>
      <c r="L249" t="s">
        <v>1571</v>
      </c>
      <c r="M249">
        <v>12174239</v>
      </c>
      <c r="N249" t="s">
        <v>1572</v>
      </c>
      <c r="O249">
        <v>12174239647</v>
      </c>
      <c r="P249" t="s">
        <v>1610</v>
      </c>
      <c r="Q249" t="s">
        <v>1675</v>
      </c>
      <c r="R249" t="s">
        <v>1676</v>
      </c>
      <c r="S249" t="s">
        <v>1674</v>
      </c>
      <c r="T249" t="s">
        <v>1677</v>
      </c>
      <c r="U249" t="s">
        <v>1187</v>
      </c>
      <c r="V249" t="s">
        <v>1188</v>
      </c>
      <c r="W249">
        <v>620</v>
      </c>
      <c r="X249" t="s">
        <v>1189</v>
      </c>
      <c r="Y249">
        <v>12</v>
      </c>
      <c r="Z249">
        <v>7440</v>
      </c>
      <c r="AA249" t="s">
        <v>28</v>
      </c>
      <c r="AB249" t="s">
        <v>1190</v>
      </c>
      <c r="AC249">
        <v>620</v>
      </c>
      <c r="AD249" t="s">
        <v>1289</v>
      </c>
      <c r="AE249" t="s">
        <v>1290</v>
      </c>
      <c r="AF249" t="s">
        <v>1193</v>
      </c>
      <c r="AG249" t="s">
        <v>1194</v>
      </c>
      <c r="AH249" t="s">
        <v>1195</v>
      </c>
      <c r="AI249" t="s">
        <v>1202</v>
      </c>
      <c r="AJ249" t="s">
        <v>1291</v>
      </c>
      <c r="AK249" t="s">
        <v>1292</v>
      </c>
      <c r="AL249" t="s">
        <v>1291</v>
      </c>
      <c r="AM249" t="s">
        <v>1577</v>
      </c>
      <c r="AN249" t="s">
        <v>1201</v>
      </c>
      <c r="AO249" t="s">
        <v>1292</v>
      </c>
      <c r="AP249" t="s">
        <v>1578</v>
      </c>
      <c r="AQ249" t="s">
        <v>1203</v>
      </c>
      <c r="AR249" t="s">
        <v>1201</v>
      </c>
      <c r="AS249" t="s">
        <v>1203</v>
      </c>
      <c r="AU249" t="s">
        <v>1204</v>
      </c>
      <c r="AW249" t="b">
        <v>0</v>
      </c>
      <c r="AY249" t="b">
        <v>0</v>
      </c>
      <c r="BA249" t="s">
        <v>1579</v>
      </c>
      <c r="BB249" t="s">
        <v>1206</v>
      </c>
      <c r="BC249" t="s">
        <v>1206</v>
      </c>
      <c r="BD249" t="s">
        <v>1207</v>
      </c>
      <c r="BE249" t="s">
        <v>1296</v>
      </c>
      <c r="BF249" t="s">
        <v>1580</v>
      </c>
      <c r="BG249" t="s">
        <v>237</v>
      </c>
      <c r="BH249" t="s">
        <v>1206</v>
      </c>
      <c r="BI249" t="s">
        <v>1206</v>
      </c>
      <c r="BJ249" t="s">
        <v>1581</v>
      </c>
    </row>
    <row r="250" spans="1:62" x14ac:dyDescent="0.25">
      <c r="A250" t="s">
        <v>1177</v>
      </c>
      <c r="B250">
        <v>100972</v>
      </c>
      <c r="C250" t="s">
        <v>1258</v>
      </c>
      <c r="D250" s="112" t="s">
        <v>2673</v>
      </c>
      <c r="E250" t="s">
        <v>1119</v>
      </c>
      <c r="F250" t="s">
        <v>1178</v>
      </c>
      <c r="G250" t="s">
        <v>1678</v>
      </c>
      <c r="H250" s="135" t="s">
        <v>1679</v>
      </c>
      <c r="I250">
        <v>12</v>
      </c>
      <c r="J250" t="s">
        <v>1279</v>
      </c>
      <c r="K250">
        <v>12174</v>
      </c>
      <c r="L250" t="s">
        <v>1571</v>
      </c>
      <c r="M250">
        <v>12174239</v>
      </c>
      <c r="N250" t="s">
        <v>1572</v>
      </c>
      <c r="O250">
        <v>12174239647</v>
      </c>
      <c r="P250" t="s">
        <v>1610</v>
      </c>
      <c r="Q250" s="135" t="s">
        <v>1623</v>
      </c>
      <c r="R250" t="s">
        <v>1624</v>
      </c>
      <c r="S250" s="135" t="s">
        <v>1679</v>
      </c>
      <c r="T250" t="s">
        <v>1680</v>
      </c>
      <c r="U250" t="s">
        <v>1230</v>
      </c>
      <c r="V250" t="s">
        <v>1231</v>
      </c>
      <c r="W250">
        <v>15</v>
      </c>
      <c r="X250" t="s">
        <v>1342</v>
      </c>
      <c r="Y250">
        <v>192</v>
      </c>
      <c r="Z250">
        <v>2880</v>
      </c>
      <c r="AA250" t="s">
        <v>28</v>
      </c>
      <c r="AB250" t="s">
        <v>1190</v>
      </c>
      <c r="AC250">
        <v>15</v>
      </c>
      <c r="AD250" t="s">
        <v>1232</v>
      </c>
      <c r="AE250" t="s">
        <v>1192</v>
      </c>
      <c r="AF250" t="s">
        <v>1193</v>
      </c>
      <c r="AG250" t="s">
        <v>1194</v>
      </c>
      <c r="AH250" t="s">
        <v>1195</v>
      </c>
      <c r="AI250" t="s">
        <v>1202</v>
      </c>
      <c r="AJ250" t="s">
        <v>1291</v>
      </c>
      <c r="AK250" t="s">
        <v>1292</v>
      </c>
      <c r="AL250" t="s">
        <v>1291</v>
      </c>
      <c r="AM250" t="s">
        <v>1577</v>
      </c>
      <c r="AN250" t="s">
        <v>1201</v>
      </c>
      <c r="AO250" t="s">
        <v>1292</v>
      </c>
      <c r="AP250" t="s">
        <v>1578</v>
      </c>
      <c r="AQ250" t="s">
        <v>1203</v>
      </c>
      <c r="AR250" t="s">
        <v>1201</v>
      </c>
      <c r="AS250" t="s">
        <v>1203</v>
      </c>
      <c r="AU250" t="s">
        <v>1204</v>
      </c>
      <c r="AW250" t="b">
        <v>0</v>
      </c>
      <c r="AY250" t="b">
        <v>1</v>
      </c>
      <c r="BA250" t="s">
        <v>1626</v>
      </c>
      <c r="BB250" t="s">
        <v>1206</v>
      </c>
      <c r="BC250" t="s">
        <v>1206</v>
      </c>
      <c r="BD250" t="s">
        <v>1207</v>
      </c>
      <c r="BE250" t="s">
        <v>1296</v>
      </c>
      <c r="BF250" t="s">
        <v>1580</v>
      </c>
      <c r="BG250" t="s">
        <v>280</v>
      </c>
      <c r="BH250" t="s">
        <v>1206</v>
      </c>
      <c r="BI250" t="s">
        <v>1206</v>
      </c>
      <c r="BJ250" t="s">
        <v>1627</v>
      </c>
    </row>
    <row r="251" spans="1:62" x14ac:dyDescent="0.25">
      <c r="A251" t="s">
        <v>1177</v>
      </c>
      <c r="B251">
        <v>100251</v>
      </c>
      <c r="C251">
        <v>100251</v>
      </c>
      <c r="D251" s="112" t="s">
        <v>2674</v>
      </c>
      <c r="E251" t="s">
        <v>1119</v>
      </c>
      <c r="F251" t="s">
        <v>1178</v>
      </c>
      <c r="G251" t="s">
        <v>1678</v>
      </c>
      <c r="H251" s="135" t="s">
        <v>1681</v>
      </c>
      <c r="I251">
        <v>12</v>
      </c>
      <c r="J251" t="s">
        <v>1279</v>
      </c>
      <c r="K251">
        <v>12174</v>
      </c>
      <c r="L251" t="s">
        <v>1571</v>
      </c>
      <c r="M251">
        <v>12174239</v>
      </c>
      <c r="N251" t="s">
        <v>1572</v>
      </c>
      <c r="O251">
        <v>12174239647</v>
      </c>
      <c r="P251" t="s">
        <v>1610</v>
      </c>
      <c r="Q251" s="135" t="s">
        <v>1623</v>
      </c>
      <c r="R251" t="s">
        <v>1624</v>
      </c>
      <c r="S251" s="135" t="s">
        <v>1681</v>
      </c>
      <c r="T251" t="s">
        <v>1682</v>
      </c>
      <c r="U251" t="s">
        <v>1230</v>
      </c>
      <c r="V251" t="s">
        <v>1231</v>
      </c>
      <c r="W251">
        <v>15</v>
      </c>
      <c r="X251" t="s">
        <v>1342</v>
      </c>
      <c r="Y251">
        <v>16</v>
      </c>
      <c r="Z251">
        <v>240</v>
      </c>
      <c r="AA251" t="s">
        <v>28</v>
      </c>
      <c r="AB251" t="s">
        <v>1190</v>
      </c>
      <c r="AC251">
        <v>15</v>
      </c>
      <c r="AD251" t="s">
        <v>1232</v>
      </c>
      <c r="AE251" t="s">
        <v>1192</v>
      </c>
      <c r="AF251" t="s">
        <v>1193</v>
      </c>
      <c r="AG251" t="s">
        <v>1194</v>
      </c>
      <c r="AH251" t="s">
        <v>1195</v>
      </c>
      <c r="AI251" t="s">
        <v>1202</v>
      </c>
      <c r="AJ251" t="s">
        <v>1291</v>
      </c>
      <c r="AK251" t="s">
        <v>1292</v>
      </c>
      <c r="AL251" t="s">
        <v>1291</v>
      </c>
      <c r="AM251" t="s">
        <v>1577</v>
      </c>
      <c r="AN251" t="s">
        <v>1201</v>
      </c>
      <c r="AO251" t="s">
        <v>1292</v>
      </c>
      <c r="AP251" t="s">
        <v>1578</v>
      </c>
      <c r="AQ251" t="s">
        <v>1203</v>
      </c>
      <c r="AR251" t="s">
        <v>1201</v>
      </c>
      <c r="AS251" t="s">
        <v>1203</v>
      </c>
      <c r="AU251" t="s">
        <v>1204</v>
      </c>
      <c r="AW251" t="b">
        <v>0</v>
      </c>
      <c r="AY251" t="b">
        <v>1</v>
      </c>
      <c r="BA251" t="s">
        <v>1626</v>
      </c>
      <c r="BB251" t="s">
        <v>1206</v>
      </c>
      <c r="BC251" t="s">
        <v>1206</v>
      </c>
      <c r="BD251" t="s">
        <v>1207</v>
      </c>
      <c r="BE251" t="s">
        <v>1296</v>
      </c>
      <c r="BF251" t="s">
        <v>1580</v>
      </c>
      <c r="BG251" t="s">
        <v>280</v>
      </c>
      <c r="BH251" t="s">
        <v>1206</v>
      </c>
      <c r="BI251" t="s">
        <v>1206</v>
      </c>
      <c r="BJ251" t="s">
        <v>1627</v>
      </c>
    </row>
    <row r="252" spans="1:62" x14ac:dyDescent="0.25">
      <c r="A252" t="s">
        <v>1177</v>
      </c>
      <c r="B252">
        <v>100984</v>
      </c>
      <c r="C252" t="s">
        <v>1258</v>
      </c>
      <c r="D252" s="112" t="s">
        <v>2675</v>
      </c>
      <c r="E252" t="s">
        <v>1119</v>
      </c>
      <c r="F252" t="s">
        <v>1178</v>
      </c>
      <c r="G252" t="s">
        <v>1678</v>
      </c>
      <c r="H252" s="135" t="s">
        <v>1679</v>
      </c>
      <c r="I252">
        <v>12</v>
      </c>
      <c r="J252" t="s">
        <v>1279</v>
      </c>
      <c r="K252">
        <v>12174</v>
      </c>
      <c r="L252" t="s">
        <v>1571</v>
      </c>
      <c r="M252">
        <v>12174239</v>
      </c>
      <c r="N252" t="s">
        <v>1572</v>
      </c>
      <c r="O252">
        <v>12174239647</v>
      </c>
      <c r="P252" t="s">
        <v>1610</v>
      </c>
      <c r="Q252" s="135" t="s">
        <v>1623</v>
      </c>
      <c r="R252" t="s">
        <v>1624</v>
      </c>
      <c r="S252" s="135" t="s">
        <v>1679</v>
      </c>
      <c r="T252" t="s">
        <v>1680</v>
      </c>
      <c r="U252" t="s">
        <v>1230</v>
      </c>
      <c r="V252" t="s">
        <v>1231</v>
      </c>
      <c r="W252">
        <v>15</v>
      </c>
      <c r="X252" t="s">
        <v>1342</v>
      </c>
      <c r="Y252">
        <v>192</v>
      </c>
      <c r="Z252">
        <v>2880</v>
      </c>
      <c r="AA252" t="s">
        <v>28</v>
      </c>
      <c r="AB252" t="s">
        <v>1190</v>
      </c>
      <c r="AC252">
        <v>15</v>
      </c>
      <c r="AD252" t="s">
        <v>1232</v>
      </c>
      <c r="AE252" t="s">
        <v>1192</v>
      </c>
      <c r="AF252" t="s">
        <v>1193</v>
      </c>
      <c r="AG252" t="s">
        <v>1194</v>
      </c>
      <c r="AH252" t="s">
        <v>1195</v>
      </c>
      <c r="AI252" t="s">
        <v>1202</v>
      </c>
      <c r="AJ252" t="s">
        <v>1291</v>
      </c>
      <c r="AK252" t="s">
        <v>1292</v>
      </c>
      <c r="AL252" t="s">
        <v>1291</v>
      </c>
      <c r="AM252" t="s">
        <v>1577</v>
      </c>
      <c r="AN252" t="s">
        <v>1201</v>
      </c>
      <c r="AO252" t="s">
        <v>1292</v>
      </c>
      <c r="AP252" t="s">
        <v>1578</v>
      </c>
      <c r="AQ252" t="s">
        <v>1203</v>
      </c>
      <c r="AR252" t="s">
        <v>1201</v>
      </c>
      <c r="AS252" t="s">
        <v>1203</v>
      </c>
      <c r="AU252" t="s">
        <v>1204</v>
      </c>
      <c r="AW252" t="b">
        <v>0</v>
      </c>
      <c r="AY252" t="b">
        <v>1</v>
      </c>
      <c r="BA252" t="s">
        <v>1626</v>
      </c>
      <c r="BB252" t="s">
        <v>1206</v>
      </c>
      <c r="BC252" t="s">
        <v>1206</v>
      </c>
      <c r="BD252" t="s">
        <v>1207</v>
      </c>
      <c r="BE252" t="s">
        <v>1296</v>
      </c>
      <c r="BF252" t="s">
        <v>1580</v>
      </c>
      <c r="BG252" t="s">
        <v>280</v>
      </c>
      <c r="BH252" t="s">
        <v>1206</v>
      </c>
      <c r="BI252" t="s">
        <v>1206</v>
      </c>
      <c r="BJ252" t="s">
        <v>1627</v>
      </c>
    </row>
    <row r="253" spans="1:62" x14ac:dyDescent="0.25">
      <c r="A253" t="s">
        <v>1177</v>
      </c>
      <c r="B253">
        <v>100266</v>
      </c>
      <c r="C253">
        <v>100266</v>
      </c>
      <c r="D253" s="112" t="s">
        <v>2676</v>
      </c>
      <c r="E253" t="s">
        <v>1119</v>
      </c>
      <c r="F253" t="s">
        <v>1178</v>
      </c>
      <c r="G253" t="s">
        <v>1678</v>
      </c>
      <c r="H253" t="s">
        <v>1683</v>
      </c>
      <c r="I253">
        <v>12</v>
      </c>
      <c r="J253" t="s">
        <v>1279</v>
      </c>
      <c r="K253">
        <v>12174</v>
      </c>
      <c r="L253" t="s">
        <v>1571</v>
      </c>
      <c r="M253">
        <v>12174239</v>
      </c>
      <c r="N253" t="s">
        <v>1572</v>
      </c>
      <c r="O253">
        <v>12174239647</v>
      </c>
      <c r="P253" t="s">
        <v>1610</v>
      </c>
      <c r="Q253" t="s">
        <v>1631</v>
      </c>
      <c r="R253" t="s">
        <v>1632</v>
      </c>
      <c r="S253" t="s">
        <v>1683</v>
      </c>
      <c r="T253" t="s">
        <v>1684</v>
      </c>
      <c r="U253" t="s">
        <v>1230</v>
      </c>
      <c r="V253" t="s">
        <v>1231</v>
      </c>
      <c r="W253">
        <v>18</v>
      </c>
      <c r="X253" t="s">
        <v>1342</v>
      </c>
      <c r="Y253">
        <v>16</v>
      </c>
      <c r="Z253">
        <v>288</v>
      </c>
      <c r="AA253" t="s">
        <v>28</v>
      </c>
      <c r="AB253" t="s">
        <v>1190</v>
      </c>
      <c r="AC253">
        <v>18</v>
      </c>
      <c r="AD253" t="s">
        <v>1232</v>
      </c>
      <c r="AE253" t="s">
        <v>1192</v>
      </c>
      <c r="AF253" t="s">
        <v>1193</v>
      </c>
      <c r="AG253" t="s">
        <v>1194</v>
      </c>
      <c r="AH253" t="s">
        <v>1195</v>
      </c>
      <c r="AI253" t="s">
        <v>1202</v>
      </c>
      <c r="AJ253" t="s">
        <v>1291</v>
      </c>
      <c r="AK253" t="s">
        <v>1292</v>
      </c>
      <c r="AL253" t="s">
        <v>1291</v>
      </c>
      <c r="AM253" t="s">
        <v>1577</v>
      </c>
      <c r="AN253" t="s">
        <v>1201</v>
      </c>
      <c r="AO253" t="s">
        <v>1292</v>
      </c>
      <c r="AP253" t="s">
        <v>1578</v>
      </c>
      <c r="AQ253" t="s">
        <v>1203</v>
      </c>
      <c r="AR253" t="s">
        <v>1201</v>
      </c>
      <c r="AS253" t="s">
        <v>1203</v>
      </c>
      <c r="AU253" t="s">
        <v>1204</v>
      </c>
      <c r="AW253" t="b">
        <v>0</v>
      </c>
      <c r="AY253" t="b">
        <v>1</v>
      </c>
      <c r="BA253" t="s">
        <v>1626</v>
      </c>
      <c r="BB253" t="s">
        <v>1206</v>
      </c>
      <c r="BC253" t="s">
        <v>1206</v>
      </c>
      <c r="BD253" t="s">
        <v>1207</v>
      </c>
      <c r="BE253" t="s">
        <v>1296</v>
      </c>
      <c r="BF253" t="s">
        <v>1580</v>
      </c>
      <c r="BG253" t="s">
        <v>280</v>
      </c>
      <c r="BH253" t="s">
        <v>1206</v>
      </c>
      <c r="BI253" t="s">
        <v>1206</v>
      </c>
      <c r="BJ253" t="s">
        <v>1627</v>
      </c>
    </row>
    <row r="254" spans="1:62" x14ac:dyDescent="0.25">
      <c r="A254" t="s">
        <v>1177</v>
      </c>
      <c r="B254">
        <v>101000</v>
      </c>
      <c r="C254">
        <v>101000</v>
      </c>
      <c r="D254" s="112" t="s">
        <v>2677</v>
      </c>
      <c r="E254" t="s">
        <v>1119</v>
      </c>
      <c r="F254" t="s">
        <v>1178</v>
      </c>
      <c r="G254" t="s">
        <v>1678</v>
      </c>
      <c r="H254" t="s">
        <v>1685</v>
      </c>
      <c r="I254">
        <v>12</v>
      </c>
      <c r="J254" t="s">
        <v>1279</v>
      </c>
      <c r="K254">
        <v>12174</v>
      </c>
      <c r="L254" t="s">
        <v>1571</v>
      </c>
      <c r="M254">
        <v>12174239</v>
      </c>
      <c r="N254" t="s">
        <v>1572</v>
      </c>
      <c r="O254">
        <v>12174239647</v>
      </c>
      <c r="P254" t="s">
        <v>1610</v>
      </c>
      <c r="Q254" t="s">
        <v>1631</v>
      </c>
      <c r="R254" t="s">
        <v>1632</v>
      </c>
      <c r="S254" t="s">
        <v>1685</v>
      </c>
      <c r="T254" t="s">
        <v>1686</v>
      </c>
      <c r="U254" t="s">
        <v>1230</v>
      </c>
      <c r="V254" t="s">
        <v>1231</v>
      </c>
      <c r="W254">
        <v>18</v>
      </c>
      <c r="X254" t="s">
        <v>1342</v>
      </c>
      <c r="Y254">
        <v>20</v>
      </c>
      <c r="Z254">
        <v>360</v>
      </c>
      <c r="AA254" t="s">
        <v>28</v>
      </c>
      <c r="AB254" t="s">
        <v>1190</v>
      </c>
      <c r="AC254">
        <v>18</v>
      </c>
      <c r="AD254" t="s">
        <v>1232</v>
      </c>
      <c r="AE254" t="s">
        <v>1192</v>
      </c>
      <c r="AF254" t="s">
        <v>1193</v>
      </c>
      <c r="AG254" t="s">
        <v>1194</v>
      </c>
      <c r="AH254" t="s">
        <v>1195</v>
      </c>
      <c r="AI254" t="s">
        <v>1202</v>
      </c>
      <c r="AJ254" t="s">
        <v>1291</v>
      </c>
      <c r="AK254" t="s">
        <v>1292</v>
      </c>
      <c r="AL254" t="s">
        <v>1291</v>
      </c>
      <c r="AM254" t="s">
        <v>1577</v>
      </c>
      <c r="AN254" t="s">
        <v>1201</v>
      </c>
      <c r="AO254" t="s">
        <v>1292</v>
      </c>
      <c r="AP254" t="s">
        <v>1578</v>
      </c>
      <c r="AQ254" t="s">
        <v>1203</v>
      </c>
      <c r="AR254" t="s">
        <v>1201</v>
      </c>
      <c r="AS254" t="s">
        <v>1203</v>
      </c>
      <c r="AU254" t="s">
        <v>1204</v>
      </c>
      <c r="AW254" t="b">
        <v>0</v>
      </c>
      <c r="AY254" t="b">
        <v>1</v>
      </c>
      <c r="BA254" t="s">
        <v>1626</v>
      </c>
      <c r="BB254" t="s">
        <v>1206</v>
      </c>
      <c r="BC254" t="s">
        <v>1206</v>
      </c>
      <c r="BD254" t="s">
        <v>1207</v>
      </c>
      <c r="BE254" t="s">
        <v>1296</v>
      </c>
      <c r="BF254" t="s">
        <v>1580</v>
      </c>
      <c r="BG254" t="s">
        <v>280</v>
      </c>
      <c r="BH254" t="s">
        <v>1206</v>
      </c>
      <c r="BI254" t="s">
        <v>1206</v>
      </c>
      <c r="BJ254" t="s">
        <v>1627</v>
      </c>
    </row>
    <row r="255" spans="1:62" x14ac:dyDescent="0.25">
      <c r="A255" t="s">
        <v>1177</v>
      </c>
      <c r="B255">
        <v>100267</v>
      </c>
      <c r="C255">
        <v>100267</v>
      </c>
      <c r="D255" s="112" t="s">
        <v>2678</v>
      </c>
      <c r="E255" t="s">
        <v>1119</v>
      </c>
      <c r="F255" t="s">
        <v>1178</v>
      </c>
      <c r="G255" t="s">
        <v>1687</v>
      </c>
      <c r="H255" s="135" t="s">
        <v>1688</v>
      </c>
      <c r="I255">
        <v>12</v>
      </c>
      <c r="J255" t="s">
        <v>1279</v>
      </c>
      <c r="K255">
        <v>12174</v>
      </c>
      <c r="L255" t="s">
        <v>1571</v>
      </c>
      <c r="M255">
        <v>12174239</v>
      </c>
      <c r="N255" t="s">
        <v>1572</v>
      </c>
      <c r="O255">
        <v>12174239647</v>
      </c>
      <c r="P255" t="s">
        <v>1610</v>
      </c>
      <c r="Q255" s="135" t="s">
        <v>1689</v>
      </c>
      <c r="R255" t="s">
        <v>1690</v>
      </c>
      <c r="S255" s="135" t="s">
        <v>1688</v>
      </c>
      <c r="T255" t="s">
        <v>1691</v>
      </c>
      <c r="U255" t="s">
        <v>1310</v>
      </c>
      <c r="V255" t="s">
        <v>1311</v>
      </c>
      <c r="W255">
        <v>825</v>
      </c>
      <c r="X255" t="s">
        <v>1342</v>
      </c>
      <c r="Y255">
        <v>12</v>
      </c>
      <c r="Z255">
        <v>9900</v>
      </c>
      <c r="AA255" t="s">
        <v>28</v>
      </c>
      <c r="AB255" t="s">
        <v>1190</v>
      </c>
      <c r="AC255">
        <v>825</v>
      </c>
      <c r="AD255" t="s">
        <v>1289</v>
      </c>
      <c r="AE255" t="s">
        <v>1290</v>
      </c>
      <c r="AF255" t="s">
        <v>1193</v>
      </c>
      <c r="AG255" t="s">
        <v>1194</v>
      </c>
      <c r="AH255" t="s">
        <v>1195</v>
      </c>
      <c r="AI255" t="s">
        <v>1202</v>
      </c>
      <c r="AJ255" t="s">
        <v>1291</v>
      </c>
      <c r="AK255" t="s">
        <v>1292</v>
      </c>
      <c r="AL255" t="s">
        <v>1291</v>
      </c>
      <c r="AM255" t="s">
        <v>1577</v>
      </c>
      <c r="AN255" t="s">
        <v>1201</v>
      </c>
      <c r="AO255" t="s">
        <v>1292</v>
      </c>
      <c r="AP255" t="s">
        <v>1578</v>
      </c>
      <c r="AQ255" t="s">
        <v>1203</v>
      </c>
      <c r="AR255" t="s">
        <v>1201</v>
      </c>
      <c r="AS255" t="s">
        <v>1203</v>
      </c>
      <c r="AU255" t="s">
        <v>1204</v>
      </c>
      <c r="AW255" t="b">
        <v>0</v>
      </c>
      <c r="AY255" t="b">
        <v>0</v>
      </c>
      <c r="BA255" t="s">
        <v>1579</v>
      </c>
      <c r="BB255" t="s">
        <v>1206</v>
      </c>
      <c r="BC255" t="s">
        <v>1206</v>
      </c>
      <c r="BD255" t="s">
        <v>1207</v>
      </c>
      <c r="BE255" t="s">
        <v>1296</v>
      </c>
      <c r="BF255" t="s">
        <v>1580</v>
      </c>
      <c r="BG255" t="s">
        <v>237</v>
      </c>
      <c r="BH255" t="s">
        <v>1206</v>
      </c>
      <c r="BI255" t="s">
        <v>1206</v>
      </c>
      <c r="BJ255" t="s">
        <v>1581</v>
      </c>
    </row>
    <row r="256" spans="1:62" x14ac:dyDescent="0.25">
      <c r="A256" t="s">
        <v>1177</v>
      </c>
      <c r="B256">
        <v>100239</v>
      </c>
      <c r="C256">
        <v>100239</v>
      </c>
      <c r="D256" s="112" t="s">
        <v>2679</v>
      </c>
      <c r="E256" t="s">
        <v>1119</v>
      </c>
      <c r="F256" t="s">
        <v>1178</v>
      </c>
      <c r="G256" t="s">
        <v>1687</v>
      </c>
      <c r="H256" s="135" t="s">
        <v>1688</v>
      </c>
      <c r="I256">
        <v>12</v>
      </c>
      <c r="J256" t="s">
        <v>1279</v>
      </c>
      <c r="K256">
        <v>12174</v>
      </c>
      <c r="L256" t="s">
        <v>1571</v>
      </c>
      <c r="M256">
        <v>12174239</v>
      </c>
      <c r="N256" t="s">
        <v>1572</v>
      </c>
      <c r="O256">
        <v>12174239647</v>
      </c>
      <c r="P256" t="s">
        <v>1610</v>
      </c>
      <c r="Q256" s="135" t="s">
        <v>1689</v>
      </c>
      <c r="R256" t="s">
        <v>1690</v>
      </c>
      <c r="S256" s="135" t="s">
        <v>1688</v>
      </c>
      <c r="T256" t="s">
        <v>1691</v>
      </c>
      <c r="U256" t="s">
        <v>1310</v>
      </c>
      <c r="V256" t="s">
        <v>1311</v>
      </c>
      <c r="W256">
        <v>825</v>
      </c>
      <c r="X256" t="s">
        <v>1342</v>
      </c>
      <c r="Y256">
        <v>12</v>
      </c>
      <c r="Z256">
        <v>9900</v>
      </c>
      <c r="AA256" t="s">
        <v>28</v>
      </c>
      <c r="AB256" t="s">
        <v>1190</v>
      </c>
      <c r="AC256">
        <v>825</v>
      </c>
      <c r="AD256" t="s">
        <v>1289</v>
      </c>
      <c r="AE256" t="s">
        <v>1290</v>
      </c>
      <c r="AF256" t="s">
        <v>1193</v>
      </c>
      <c r="AG256" t="s">
        <v>1194</v>
      </c>
      <c r="AH256" t="s">
        <v>1195</v>
      </c>
      <c r="AI256" t="s">
        <v>1202</v>
      </c>
      <c r="AJ256" t="s">
        <v>1291</v>
      </c>
      <c r="AK256" t="s">
        <v>1292</v>
      </c>
      <c r="AL256" t="s">
        <v>1291</v>
      </c>
      <c r="AM256" t="s">
        <v>1577</v>
      </c>
      <c r="AN256" t="s">
        <v>1201</v>
      </c>
      <c r="AO256" t="s">
        <v>1292</v>
      </c>
      <c r="AP256" t="s">
        <v>1578</v>
      </c>
      <c r="AQ256" t="s">
        <v>1203</v>
      </c>
      <c r="AR256" t="s">
        <v>1201</v>
      </c>
      <c r="AS256" t="s">
        <v>1203</v>
      </c>
      <c r="AU256" t="s">
        <v>1204</v>
      </c>
      <c r="AW256" t="b">
        <v>0</v>
      </c>
      <c r="AY256" t="b">
        <v>0</v>
      </c>
      <c r="BA256" t="s">
        <v>1579</v>
      </c>
      <c r="BB256" t="s">
        <v>1206</v>
      </c>
      <c r="BC256" t="s">
        <v>1206</v>
      </c>
      <c r="BD256" t="s">
        <v>1207</v>
      </c>
      <c r="BE256" t="s">
        <v>1296</v>
      </c>
      <c r="BF256" t="s">
        <v>1580</v>
      </c>
      <c r="BG256" t="s">
        <v>237</v>
      </c>
      <c r="BH256" t="s">
        <v>1206</v>
      </c>
      <c r="BI256" t="s">
        <v>1206</v>
      </c>
      <c r="BJ256" t="s">
        <v>1581</v>
      </c>
    </row>
    <row r="257" spans="1:62" x14ac:dyDescent="0.25">
      <c r="A257" t="s">
        <v>1177</v>
      </c>
      <c r="B257">
        <v>100252</v>
      </c>
      <c r="C257">
        <v>100252</v>
      </c>
      <c r="D257" s="112" t="s">
        <v>2680</v>
      </c>
      <c r="E257" t="s">
        <v>1119</v>
      </c>
      <c r="F257" t="s">
        <v>1178</v>
      </c>
      <c r="G257" t="s">
        <v>1687</v>
      </c>
      <c r="H257" s="135" t="s">
        <v>1688</v>
      </c>
      <c r="I257">
        <v>12</v>
      </c>
      <c r="J257" t="s">
        <v>1279</v>
      </c>
      <c r="K257">
        <v>12174</v>
      </c>
      <c r="L257" t="s">
        <v>1571</v>
      </c>
      <c r="M257">
        <v>12174239</v>
      </c>
      <c r="N257" t="s">
        <v>1572</v>
      </c>
      <c r="O257">
        <v>12174239647</v>
      </c>
      <c r="P257" t="s">
        <v>1610</v>
      </c>
      <c r="Q257" s="135" t="s">
        <v>1689</v>
      </c>
      <c r="R257" t="s">
        <v>1690</v>
      </c>
      <c r="S257" s="135" t="s">
        <v>1688</v>
      </c>
      <c r="T257" t="s">
        <v>1691</v>
      </c>
      <c r="U257" t="s">
        <v>1310</v>
      </c>
      <c r="V257" t="s">
        <v>1311</v>
      </c>
      <c r="W257">
        <v>825</v>
      </c>
      <c r="X257" t="s">
        <v>1342</v>
      </c>
      <c r="Y257">
        <v>12</v>
      </c>
      <c r="Z257">
        <v>9900</v>
      </c>
      <c r="AA257" t="s">
        <v>28</v>
      </c>
      <c r="AB257" t="s">
        <v>1190</v>
      </c>
      <c r="AC257">
        <v>825</v>
      </c>
      <c r="AD257" t="s">
        <v>1289</v>
      </c>
      <c r="AE257" t="s">
        <v>1290</v>
      </c>
      <c r="AF257" t="s">
        <v>1193</v>
      </c>
      <c r="AG257" t="s">
        <v>1194</v>
      </c>
      <c r="AH257" t="s">
        <v>1195</v>
      </c>
      <c r="AI257" t="s">
        <v>1202</v>
      </c>
      <c r="AJ257" t="s">
        <v>1291</v>
      </c>
      <c r="AK257" t="s">
        <v>1292</v>
      </c>
      <c r="AL257" t="s">
        <v>1291</v>
      </c>
      <c r="AM257" t="s">
        <v>1577</v>
      </c>
      <c r="AN257" t="s">
        <v>1201</v>
      </c>
      <c r="AO257" t="s">
        <v>1292</v>
      </c>
      <c r="AP257" t="s">
        <v>1578</v>
      </c>
      <c r="AQ257" t="s">
        <v>1203</v>
      </c>
      <c r="AR257" t="s">
        <v>1201</v>
      </c>
      <c r="AS257" t="s">
        <v>1203</v>
      </c>
      <c r="AU257" t="s">
        <v>1204</v>
      </c>
      <c r="AW257" t="b">
        <v>0</v>
      </c>
      <c r="AY257" t="b">
        <v>0</v>
      </c>
      <c r="BA257" t="s">
        <v>1579</v>
      </c>
      <c r="BB257" t="s">
        <v>1206</v>
      </c>
      <c r="BC257" t="s">
        <v>1206</v>
      </c>
      <c r="BD257" t="s">
        <v>1207</v>
      </c>
      <c r="BE257" t="s">
        <v>1296</v>
      </c>
      <c r="BF257" t="s">
        <v>1580</v>
      </c>
      <c r="BG257" t="s">
        <v>237</v>
      </c>
      <c r="BH257" t="s">
        <v>1206</v>
      </c>
      <c r="BI257" t="s">
        <v>1206</v>
      </c>
      <c r="BJ257" t="s">
        <v>1581</v>
      </c>
    </row>
    <row r="258" spans="1:62" x14ac:dyDescent="0.25">
      <c r="A258" t="s">
        <v>1177</v>
      </c>
      <c r="B258">
        <v>100993</v>
      </c>
      <c r="C258">
        <v>100993</v>
      </c>
      <c r="D258" s="112" t="s">
        <v>2681</v>
      </c>
      <c r="E258" t="s">
        <v>1119</v>
      </c>
      <c r="F258" t="s">
        <v>1178</v>
      </c>
      <c r="G258" t="s">
        <v>1687</v>
      </c>
      <c r="H258" s="135" t="s">
        <v>1688</v>
      </c>
      <c r="I258">
        <v>12</v>
      </c>
      <c r="J258" t="s">
        <v>1279</v>
      </c>
      <c r="K258">
        <v>12174</v>
      </c>
      <c r="L258" t="s">
        <v>1571</v>
      </c>
      <c r="M258">
        <v>12174239</v>
      </c>
      <c r="N258" t="s">
        <v>1572</v>
      </c>
      <c r="O258">
        <v>12174239647</v>
      </c>
      <c r="P258" t="s">
        <v>1610</v>
      </c>
      <c r="Q258" s="135" t="s">
        <v>1689</v>
      </c>
      <c r="R258" t="s">
        <v>1690</v>
      </c>
      <c r="S258" s="135" t="s">
        <v>1688</v>
      </c>
      <c r="T258" t="s">
        <v>1691</v>
      </c>
      <c r="U258" t="s">
        <v>1310</v>
      </c>
      <c r="V258" t="s">
        <v>1311</v>
      </c>
      <c r="W258">
        <v>825</v>
      </c>
      <c r="X258" t="s">
        <v>1342</v>
      </c>
      <c r="Y258">
        <v>12</v>
      </c>
      <c r="Z258">
        <v>9900</v>
      </c>
      <c r="AA258" t="s">
        <v>28</v>
      </c>
      <c r="AB258" t="s">
        <v>1190</v>
      </c>
      <c r="AC258">
        <v>825</v>
      </c>
      <c r="AD258" t="s">
        <v>1289</v>
      </c>
      <c r="AE258" t="s">
        <v>1290</v>
      </c>
      <c r="AF258" t="s">
        <v>1193</v>
      </c>
      <c r="AG258" t="s">
        <v>1194</v>
      </c>
      <c r="AH258" t="s">
        <v>1195</v>
      </c>
      <c r="AI258" t="s">
        <v>1202</v>
      </c>
      <c r="AJ258" t="s">
        <v>1291</v>
      </c>
      <c r="AK258" t="s">
        <v>1292</v>
      </c>
      <c r="AL258" t="s">
        <v>1291</v>
      </c>
      <c r="AM258" t="s">
        <v>1577</v>
      </c>
      <c r="AN258" t="s">
        <v>1201</v>
      </c>
      <c r="AO258" t="s">
        <v>1292</v>
      </c>
      <c r="AP258" t="s">
        <v>1578</v>
      </c>
      <c r="AQ258" t="s">
        <v>1203</v>
      </c>
      <c r="AR258" t="s">
        <v>1201</v>
      </c>
      <c r="AS258" t="s">
        <v>1203</v>
      </c>
      <c r="AU258" t="s">
        <v>1204</v>
      </c>
      <c r="AW258" t="b">
        <v>0</v>
      </c>
      <c r="AY258" t="b">
        <v>0</v>
      </c>
      <c r="BA258" t="s">
        <v>1579</v>
      </c>
      <c r="BB258" t="s">
        <v>1206</v>
      </c>
      <c r="BC258" t="s">
        <v>1206</v>
      </c>
      <c r="BD258" t="s">
        <v>1207</v>
      </c>
      <c r="BE258" t="s">
        <v>1296</v>
      </c>
      <c r="BF258" t="s">
        <v>1580</v>
      </c>
      <c r="BG258" t="s">
        <v>237</v>
      </c>
      <c r="BH258" t="s">
        <v>1206</v>
      </c>
      <c r="BI258" t="s">
        <v>1206</v>
      </c>
      <c r="BJ258" t="s">
        <v>1581</v>
      </c>
    </row>
    <row r="259" spans="1:62" x14ac:dyDescent="0.25">
      <c r="A259" t="s">
        <v>1177</v>
      </c>
      <c r="B259">
        <v>100241</v>
      </c>
      <c r="C259">
        <v>100241</v>
      </c>
      <c r="D259" s="112" t="s">
        <v>2682</v>
      </c>
      <c r="E259" t="s">
        <v>1119</v>
      </c>
      <c r="F259" t="s">
        <v>1178</v>
      </c>
      <c r="G259" t="s">
        <v>1692</v>
      </c>
      <c r="H259" s="135" t="s">
        <v>1693</v>
      </c>
      <c r="I259">
        <v>12</v>
      </c>
      <c r="J259" t="s">
        <v>1279</v>
      </c>
      <c r="K259">
        <v>12174</v>
      </c>
      <c r="L259" t="s">
        <v>1571</v>
      </c>
      <c r="M259">
        <v>12174239</v>
      </c>
      <c r="N259" t="s">
        <v>1572</v>
      </c>
      <c r="O259">
        <v>12174239647</v>
      </c>
      <c r="P259" t="s">
        <v>1610</v>
      </c>
      <c r="Q259" s="135" t="s">
        <v>1694</v>
      </c>
      <c r="R259" t="s">
        <v>1695</v>
      </c>
      <c r="S259" s="135" t="s">
        <v>1693</v>
      </c>
      <c r="T259" t="s">
        <v>1696</v>
      </c>
      <c r="U259" t="s">
        <v>1310</v>
      </c>
      <c r="V259" t="s">
        <v>1311</v>
      </c>
      <c r="W259">
        <v>450</v>
      </c>
      <c r="X259" t="s">
        <v>1342</v>
      </c>
      <c r="Y259">
        <v>12</v>
      </c>
      <c r="Z259">
        <v>5400</v>
      </c>
      <c r="AA259" t="s">
        <v>28</v>
      </c>
      <c r="AB259" t="s">
        <v>1190</v>
      </c>
      <c r="AC259">
        <v>450</v>
      </c>
      <c r="AD259" t="s">
        <v>1191</v>
      </c>
      <c r="AE259" t="s">
        <v>1192</v>
      </c>
      <c r="AF259" t="s">
        <v>1193</v>
      </c>
      <c r="AG259" t="s">
        <v>1194</v>
      </c>
      <c r="AH259" t="s">
        <v>1195</v>
      </c>
      <c r="AI259" t="s">
        <v>1202</v>
      </c>
      <c r="AJ259" t="s">
        <v>1291</v>
      </c>
      <c r="AK259" t="s">
        <v>1292</v>
      </c>
      <c r="AL259" t="s">
        <v>1291</v>
      </c>
      <c r="AM259" t="s">
        <v>1577</v>
      </c>
      <c r="AN259" t="s">
        <v>1201</v>
      </c>
      <c r="AO259" t="s">
        <v>1292</v>
      </c>
      <c r="AP259" t="s">
        <v>1578</v>
      </c>
      <c r="AQ259" t="s">
        <v>1203</v>
      </c>
      <c r="AR259" t="s">
        <v>1201</v>
      </c>
      <c r="AS259" t="s">
        <v>1203</v>
      </c>
      <c r="AU259" t="s">
        <v>1204</v>
      </c>
      <c r="AW259" t="b">
        <v>0</v>
      </c>
      <c r="AY259" t="b">
        <v>0</v>
      </c>
      <c r="BA259" t="s">
        <v>1579</v>
      </c>
      <c r="BB259" t="s">
        <v>1206</v>
      </c>
      <c r="BC259" t="s">
        <v>1206</v>
      </c>
      <c r="BD259" t="s">
        <v>1207</v>
      </c>
      <c r="BE259" t="s">
        <v>1296</v>
      </c>
      <c r="BF259" t="s">
        <v>1580</v>
      </c>
      <c r="BG259" t="s">
        <v>237</v>
      </c>
      <c r="BH259" t="s">
        <v>1206</v>
      </c>
      <c r="BI259" t="s">
        <v>1206</v>
      </c>
      <c r="BJ259" t="s">
        <v>1581</v>
      </c>
    </row>
    <row r="260" spans="1:62" x14ac:dyDescent="0.25">
      <c r="A260" t="s">
        <v>1177</v>
      </c>
      <c r="B260">
        <v>100236</v>
      </c>
      <c r="C260">
        <v>100236</v>
      </c>
      <c r="D260" s="112" t="s">
        <v>2683</v>
      </c>
      <c r="E260" t="s">
        <v>1119</v>
      </c>
      <c r="F260" t="s">
        <v>1178</v>
      </c>
      <c r="G260" t="s">
        <v>1697</v>
      </c>
      <c r="H260" t="s">
        <v>1615</v>
      </c>
      <c r="I260">
        <v>12</v>
      </c>
      <c r="J260" t="s">
        <v>1279</v>
      </c>
      <c r="K260">
        <v>12174</v>
      </c>
      <c r="L260" t="s">
        <v>1571</v>
      </c>
      <c r="M260">
        <v>12174239</v>
      </c>
      <c r="N260" t="s">
        <v>1572</v>
      </c>
      <c r="O260">
        <v>12174239647</v>
      </c>
      <c r="P260" t="s">
        <v>1610</v>
      </c>
      <c r="Q260" t="s">
        <v>1616</v>
      </c>
      <c r="R260" t="s">
        <v>1617</v>
      </c>
      <c r="S260" t="s">
        <v>1615</v>
      </c>
      <c r="T260" t="s">
        <v>1618</v>
      </c>
      <c r="U260" t="s">
        <v>1237</v>
      </c>
      <c r="V260" t="s">
        <v>1238</v>
      </c>
      <c r="W260">
        <v>275</v>
      </c>
      <c r="X260" t="s">
        <v>1189</v>
      </c>
      <c r="Y260">
        <v>24</v>
      </c>
      <c r="Z260">
        <v>6600</v>
      </c>
      <c r="AA260" t="s">
        <v>28</v>
      </c>
      <c r="AB260" t="s">
        <v>1190</v>
      </c>
      <c r="AC260">
        <v>275</v>
      </c>
      <c r="AD260" t="s">
        <v>1191</v>
      </c>
      <c r="AE260" t="s">
        <v>1192</v>
      </c>
      <c r="AF260" t="s">
        <v>1193</v>
      </c>
      <c r="AG260" t="s">
        <v>1194</v>
      </c>
      <c r="AH260" t="s">
        <v>1195</v>
      </c>
      <c r="AI260" t="s">
        <v>1202</v>
      </c>
      <c r="AJ260" t="s">
        <v>1291</v>
      </c>
      <c r="AK260" t="s">
        <v>1292</v>
      </c>
      <c r="AL260" t="s">
        <v>1291</v>
      </c>
      <c r="AM260" t="s">
        <v>1577</v>
      </c>
      <c r="AN260" t="s">
        <v>1201</v>
      </c>
      <c r="AO260" t="s">
        <v>1292</v>
      </c>
      <c r="AP260" t="s">
        <v>1578</v>
      </c>
      <c r="AQ260" t="s">
        <v>1203</v>
      </c>
      <c r="AR260" t="s">
        <v>1201</v>
      </c>
      <c r="AS260" t="s">
        <v>1203</v>
      </c>
      <c r="AU260" t="s">
        <v>1204</v>
      </c>
      <c r="AW260" t="b">
        <v>0</v>
      </c>
      <c r="AY260" t="b">
        <v>0</v>
      </c>
      <c r="BA260" t="s">
        <v>1579</v>
      </c>
      <c r="BB260" t="s">
        <v>1206</v>
      </c>
      <c r="BC260" t="s">
        <v>1206</v>
      </c>
      <c r="BD260" t="s">
        <v>1207</v>
      </c>
      <c r="BE260" t="s">
        <v>1296</v>
      </c>
      <c r="BF260" t="s">
        <v>1580</v>
      </c>
      <c r="BG260" t="s">
        <v>237</v>
      </c>
      <c r="BH260" t="s">
        <v>1206</v>
      </c>
      <c r="BI260" t="s">
        <v>1206</v>
      </c>
      <c r="BJ260" t="s">
        <v>1581</v>
      </c>
    </row>
    <row r="261" spans="1:62" x14ac:dyDescent="0.25">
      <c r="A261" t="s">
        <v>1177</v>
      </c>
      <c r="B261">
        <v>101003</v>
      </c>
      <c r="C261">
        <v>101003</v>
      </c>
      <c r="D261" s="112" t="s">
        <v>2684</v>
      </c>
      <c r="E261" t="s">
        <v>1119</v>
      </c>
      <c r="F261" t="s">
        <v>1178</v>
      </c>
      <c r="G261" t="s">
        <v>1698</v>
      </c>
      <c r="H261" s="135" t="s">
        <v>1662</v>
      </c>
      <c r="I261">
        <v>12</v>
      </c>
      <c r="J261" t="s">
        <v>1279</v>
      </c>
      <c r="K261">
        <v>12174</v>
      </c>
      <c r="L261" t="s">
        <v>1571</v>
      </c>
      <c r="M261">
        <v>12174239</v>
      </c>
      <c r="N261" t="s">
        <v>1572</v>
      </c>
      <c r="O261">
        <v>12174239647</v>
      </c>
      <c r="P261" t="s">
        <v>1610</v>
      </c>
      <c r="Q261" s="135" t="s">
        <v>1659</v>
      </c>
      <c r="R261" t="s">
        <v>1660</v>
      </c>
      <c r="S261" s="135" t="s">
        <v>1662</v>
      </c>
      <c r="T261" t="s">
        <v>1663</v>
      </c>
      <c r="U261" t="s">
        <v>1310</v>
      </c>
      <c r="V261" t="s">
        <v>1311</v>
      </c>
      <c r="W261">
        <v>62</v>
      </c>
      <c r="X261" t="s">
        <v>1342</v>
      </c>
      <c r="Y261">
        <v>60</v>
      </c>
      <c r="Z261">
        <v>3720</v>
      </c>
      <c r="AA261" t="s">
        <v>28</v>
      </c>
      <c r="AB261" t="s">
        <v>1190</v>
      </c>
      <c r="AC261">
        <v>62</v>
      </c>
      <c r="AD261" t="s">
        <v>1191</v>
      </c>
      <c r="AE261" t="s">
        <v>1192</v>
      </c>
      <c r="AF261" t="s">
        <v>1193</v>
      </c>
      <c r="AG261" t="s">
        <v>1194</v>
      </c>
      <c r="AH261" t="s">
        <v>1195</v>
      </c>
      <c r="AI261" t="s">
        <v>1202</v>
      </c>
      <c r="AJ261" t="s">
        <v>1291</v>
      </c>
      <c r="AK261" t="s">
        <v>1292</v>
      </c>
      <c r="AL261" t="s">
        <v>1291</v>
      </c>
      <c r="AM261" t="s">
        <v>1577</v>
      </c>
      <c r="AN261" t="s">
        <v>1201</v>
      </c>
      <c r="AO261" t="s">
        <v>1292</v>
      </c>
      <c r="AP261" t="s">
        <v>1578</v>
      </c>
      <c r="AQ261" t="s">
        <v>1203</v>
      </c>
      <c r="AR261" t="s">
        <v>1201</v>
      </c>
      <c r="AS261" t="s">
        <v>1203</v>
      </c>
      <c r="AU261" t="s">
        <v>1204</v>
      </c>
      <c r="AW261" t="b">
        <v>0</v>
      </c>
      <c r="AY261" t="b">
        <v>0</v>
      </c>
      <c r="BA261" t="s">
        <v>1579</v>
      </c>
      <c r="BB261" t="s">
        <v>1206</v>
      </c>
      <c r="BC261" t="s">
        <v>1206</v>
      </c>
      <c r="BD261" t="s">
        <v>1207</v>
      </c>
      <c r="BE261" t="s">
        <v>1296</v>
      </c>
      <c r="BF261" t="s">
        <v>1580</v>
      </c>
      <c r="BG261" t="s">
        <v>237</v>
      </c>
      <c r="BH261" t="s">
        <v>1206</v>
      </c>
      <c r="BI261" t="s">
        <v>1206</v>
      </c>
      <c r="BJ261" t="s">
        <v>1581</v>
      </c>
    </row>
    <row r="262" spans="1:62" x14ac:dyDescent="0.25">
      <c r="A262" t="s">
        <v>1177</v>
      </c>
      <c r="B262">
        <v>100988</v>
      </c>
      <c r="C262">
        <v>100988</v>
      </c>
      <c r="D262" s="112" t="s">
        <v>2685</v>
      </c>
      <c r="E262" t="s">
        <v>1119</v>
      </c>
      <c r="F262" t="s">
        <v>1178</v>
      </c>
      <c r="G262" t="s">
        <v>1698</v>
      </c>
      <c r="H262" s="135" t="s">
        <v>1699</v>
      </c>
      <c r="I262">
        <v>12</v>
      </c>
      <c r="J262" t="s">
        <v>1279</v>
      </c>
      <c r="K262">
        <v>12174</v>
      </c>
      <c r="L262" t="s">
        <v>1571</v>
      </c>
      <c r="M262">
        <v>12174239</v>
      </c>
      <c r="N262" t="s">
        <v>1572</v>
      </c>
      <c r="O262">
        <v>12174239647</v>
      </c>
      <c r="P262" t="s">
        <v>1610</v>
      </c>
      <c r="Q262" s="135" t="s">
        <v>1659</v>
      </c>
      <c r="R262" t="s">
        <v>1660</v>
      </c>
      <c r="S262" s="135" t="s">
        <v>1699</v>
      </c>
      <c r="T262" t="s">
        <v>1700</v>
      </c>
      <c r="U262" t="s">
        <v>1310</v>
      </c>
      <c r="V262" t="s">
        <v>1311</v>
      </c>
      <c r="W262">
        <v>62</v>
      </c>
      <c r="X262" t="s">
        <v>1342</v>
      </c>
      <c r="Y262">
        <v>24</v>
      </c>
      <c r="Z262">
        <v>1488</v>
      </c>
      <c r="AA262" t="s">
        <v>28</v>
      </c>
      <c r="AB262" t="s">
        <v>1190</v>
      </c>
      <c r="AC262">
        <v>62</v>
      </c>
      <c r="AD262" t="s">
        <v>1191</v>
      </c>
      <c r="AE262" t="s">
        <v>1192</v>
      </c>
      <c r="AF262" t="s">
        <v>1193</v>
      </c>
      <c r="AG262" t="s">
        <v>1194</v>
      </c>
      <c r="AH262" t="s">
        <v>1195</v>
      </c>
      <c r="AI262" t="s">
        <v>1202</v>
      </c>
      <c r="AJ262" t="s">
        <v>1291</v>
      </c>
      <c r="AK262" t="s">
        <v>1292</v>
      </c>
      <c r="AL262" t="s">
        <v>1291</v>
      </c>
      <c r="AM262" t="s">
        <v>1577</v>
      </c>
      <c r="AN262" t="s">
        <v>1201</v>
      </c>
      <c r="AO262" t="s">
        <v>1292</v>
      </c>
      <c r="AP262" t="s">
        <v>1578</v>
      </c>
      <c r="AQ262" t="s">
        <v>1203</v>
      </c>
      <c r="AR262" t="s">
        <v>1201</v>
      </c>
      <c r="AS262" t="s">
        <v>1203</v>
      </c>
      <c r="AU262" t="s">
        <v>1204</v>
      </c>
      <c r="AW262" t="b">
        <v>0</v>
      </c>
      <c r="AY262" t="b">
        <v>0</v>
      </c>
      <c r="BA262" t="s">
        <v>1579</v>
      </c>
      <c r="BB262" t="s">
        <v>1206</v>
      </c>
      <c r="BC262" t="s">
        <v>1206</v>
      </c>
      <c r="BD262" t="s">
        <v>1207</v>
      </c>
      <c r="BE262" t="s">
        <v>1296</v>
      </c>
      <c r="BF262" t="s">
        <v>1580</v>
      </c>
      <c r="BG262" t="s">
        <v>237</v>
      </c>
      <c r="BH262" t="s">
        <v>1206</v>
      </c>
      <c r="BI262" t="s">
        <v>1206</v>
      </c>
      <c r="BJ262" t="s">
        <v>1581</v>
      </c>
    </row>
    <row r="263" spans="1:62" x14ac:dyDescent="0.25">
      <c r="A263" t="s">
        <v>1177</v>
      </c>
      <c r="B263">
        <v>101002</v>
      </c>
      <c r="C263">
        <v>101002</v>
      </c>
      <c r="D263" s="112" t="s">
        <v>2686</v>
      </c>
      <c r="E263" t="s">
        <v>1119</v>
      </c>
      <c r="F263" t="s">
        <v>1178</v>
      </c>
      <c r="G263" t="s">
        <v>1698</v>
      </c>
      <c r="H263" s="135" t="s">
        <v>1701</v>
      </c>
      <c r="I263">
        <v>12</v>
      </c>
      <c r="J263" t="s">
        <v>1279</v>
      </c>
      <c r="K263">
        <v>12174</v>
      </c>
      <c r="L263" t="s">
        <v>1571</v>
      </c>
      <c r="M263">
        <v>12174239</v>
      </c>
      <c r="N263" t="s">
        <v>1572</v>
      </c>
      <c r="O263">
        <v>12174239647</v>
      </c>
      <c r="P263" t="s">
        <v>1610</v>
      </c>
      <c r="Q263" s="135" t="s">
        <v>1659</v>
      </c>
      <c r="R263" t="s">
        <v>1660</v>
      </c>
      <c r="S263" s="135" t="s">
        <v>1701</v>
      </c>
      <c r="T263" t="s">
        <v>1702</v>
      </c>
      <c r="U263" t="s">
        <v>1310</v>
      </c>
      <c r="V263" t="s">
        <v>1311</v>
      </c>
      <c r="W263">
        <v>62</v>
      </c>
      <c r="X263" t="s">
        <v>1342</v>
      </c>
      <c r="Y263">
        <v>72</v>
      </c>
      <c r="Z263">
        <v>4464</v>
      </c>
      <c r="AA263" t="s">
        <v>28</v>
      </c>
      <c r="AB263" t="s">
        <v>1190</v>
      </c>
      <c r="AC263">
        <v>62</v>
      </c>
      <c r="AD263" t="s">
        <v>1191</v>
      </c>
      <c r="AE263" t="s">
        <v>1192</v>
      </c>
      <c r="AF263" t="s">
        <v>1193</v>
      </c>
      <c r="AG263" t="s">
        <v>1194</v>
      </c>
      <c r="AH263" t="s">
        <v>1195</v>
      </c>
      <c r="AI263" t="s">
        <v>1202</v>
      </c>
      <c r="AJ263" t="s">
        <v>1291</v>
      </c>
      <c r="AK263" t="s">
        <v>1292</v>
      </c>
      <c r="AL263" t="s">
        <v>1291</v>
      </c>
      <c r="AM263" t="s">
        <v>1577</v>
      </c>
      <c r="AN263" t="s">
        <v>1201</v>
      </c>
      <c r="AO263" t="s">
        <v>1292</v>
      </c>
      <c r="AP263" t="s">
        <v>1578</v>
      </c>
      <c r="AQ263" t="s">
        <v>1203</v>
      </c>
      <c r="AR263" t="s">
        <v>1201</v>
      </c>
      <c r="AS263" t="s">
        <v>1203</v>
      </c>
      <c r="AU263" t="s">
        <v>1204</v>
      </c>
      <c r="AW263" t="b">
        <v>0</v>
      </c>
      <c r="AY263" t="b">
        <v>0</v>
      </c>
      <c r="BA263" t="s">
        <v>1579</v>
      </c>
      <c r="BB263" t="s">
        <v>1206</v>
      </c>
      <c r="BC263" t="s">
        <v>1206</v>
      </c>
      <c r="BD263" t="s">
        <v>1207</v>
      </c>
      <c r="BE263" t="s">
        <v>1296</v>
      </c>
      <c r="BF263" t="s">
        <v>1580</v>
      </c>
      <c r="BG263" t="s">
        <v>237</v>
      </c>
      <c r="BH263" t="s">
        <v>1206</v>
      </c>
      <c r="BI263" t="s">
        <v>1206</v>
      </c>
      <c r="BJ263" t="s">
        <v>1581</v>
      </c>
    </row>
    <row r="264" spans="1:62" x14ac:dyDescent="0.25">
      <c r="A264" t="s">
        <v>1177</v>
      </c>
      <c r="B264">
        <v>100262</v>
      </c>
      <c r="C264">
        <v>100262</v>
      </c>
      <c r="D264" s="112" t="s">
        <v>2687</v>
      </c>
      <c r="E264" t="s">
        <v>1119</v>
      </c>
      <c r="F264" t="s">
        <v>1178</v>
      </c>
      <c r="G264" t="s">
        <v>1698</v>
      </c>
      <c r="H264" s="135" t="s">
        <v>1658</v>
      </c>
      <c r="I264">
        <v>12</v>
      </c>
      <c r="J264" t="s">
        <v>1279</v>
      </c>
      <c r="K264">
        <v>12174</v>
      </c>
      <c r="L264" t="s">
        <v>1571</v>
      </c>
      <c r="M264">
        <v>12174239</v>
      </c>
      <c r="N264" t="s">
        <v>1572</v>
      </c>
      <c r="O264">
        <v>12174239647</v>
      </c>
      <c r="P264" t="s">
        <v>1610</v>
      </c>
      <c r="Q264" s="135" t="s">
        <v>1659</v>
      </c>
      <c r="R264" t="s">
        <v>1660</v>
      </c>
      <c r="S264" s="135" t="s">
        <v>1658</v>
      </c>
      <c r="T264" t="s">
        <v>1661</v>
      </c>
      <c r="U264" t="s">
        <v>1310</v>
      </c>
      <c r="V264" t="s">
        <v>1311</v>
      </c>
      <c r="W264">
        <v>62</v>
      </c>
      <c r="X264" t="s">
        <v>1342</v>
      </c>
      <c r="Y264">
        <v>48</v>
      </c>
      <c r="Z264">
        <v>2976</v>
      </c>
      <c r="AA264" t="s">
        <v>28</v>
      </c>
      <c r="AB264" t="s">
        <v>1190</v>
      </c>
      <c r="AC264">
        <v>62</v>
      </c>
      <c r="AD264" t="s">
        <v>1191</v>
      </c>
      <c r="AE264" t="s">
        <v>1192</v>
      </c>
      <c r="AF264" t="s">
        <v>1193</v>
      </c>
      <c r="AG264" t="s">
        <v>1194</v>
      </c>
      <c r="AH264" t="s">
        <v>1195</v>
      </c>
      <c r="AI264" t="s">
        <v>1202</v>
      </c>
      <c r="AJ264" t="s">
        <v>1291</v>
      </c>
      <c r="AK264" t="s">
        <v>1292</v>
      </c>
      <c r="AL264" t="s">
        <v>1291</v>
      </c>
      <c r="AM264" t="s">
        <v>1577</v>
      </c>
      <c r="AN264" t="s">
        <v>1201</v>
      </c>
      <c r="AO264" t="s">
        <v>1292</v>
      </c>
      <c r="AP264" t="s">
        <v>1578</v>
      </c>
      <c r="AQ264" t="s">
        <v>1203</v>
      </c>
      <c r="AR264" t="s">
        <v>1201</v>
      </c>
      <c r="AS264" t="s">
        <v>1203</v>
      </c>
      <c r="AU264" t="s">
        <v>1204</v>
      </c>
      <c r="AW264" t="b">
        <v>0</v>
      </c>
      <c r="AY264" t="b">
        <v>0</v>
      </c>
      <c r="BA264" t="s">
        <v>1579</v>
      </c>
      <c r="BB264" t="s">
        <v>1206</v>
      </c>
      <c r="BC264" t="s">
        <v>1206</v>
      </c>
      <c r="BD264" t="s">
        <v>1207</v>
      </c>
      <c r="BE264" t="s">
        <v>1296</v>
      </c>
      <c r="BF264" t="s">
        <v>1580</v>
      </c>
      <c r="BG264" t="s">
        <v>237</v>
      </c>
      <c r="BH264" t="s">
        <v>1206</v>
      </c>
      <c r="BI264" t="s">
        <v>1206</v>
      </c>
      <c r="BJ264" t="s">
        <v>1581</v>
      </c>
    </row>
    <row r="265" spans="1:62" x14ac:dyDescent="0.25">
      <c r="A265" t="s">
        <v>1177</v>
      </c>
      <c r="B265">
        <v>810397</v>
      </c>
      <c r="C265" t="s">
        <v>1258</v>
      </c>
      <c r="D265" s="112" t="s">
        <v>2688</v>
      </c>
      <c r="E265" t="s">
        <v>1119</v>
      </c>
      <c r="F265" t="s">
        <v>1178</v>
      </c>
      <c r="G265" t="s">
        <v>1703</v>
      </c>
      <c r="H265" s="135" t="s">
        <v>1704</v>
      </c>
      <c r="I265">
        <v>12</v>
      </c>
      <c r="J265" t="s">
        <v>1279</v>
      </c>
      <c r="K265">
        <v>12174</v>
      </c>
      <c r="L265" t="s">
        <v>1571</v>
      </c>
      <c r="M265">
        <v>12174239</v>
      </c>
      <c r="N265" t="s">
        <v>1572</v>
      </c>
      <c r="O265">
        <v>12174239647</v>
      </c>
      <c r="P265" t="s">
        <v>1610</v>
      </c>
      <c r="Q265" s="135" t="s">
        <v>1705</v>
      </c>
      <c r="R265" t="s">
        <v>1706</v>
      </c>
      <c r="S265" s="135" t="s">
        <v>1704</v>
      </c>
      <c r="T265" t="s">
        <v>1707</v>
      </c>
      <c r="U265" t="s">
        <v>1237</v>
      </c>
      <c r="V265" t="s">
        <v>1238</v>
      </c>
      <c r="W265">
        <v>132</v>
      </c>
      <c r="X265" t="s">
        <v>1189</v>
      </c>
      <c r="Y265">
        <v>48</v>
      </c>
      <c r="Z265">
        <v>6336</v>
      </c>
      <c r="AA265" t="s">
        <v>28</v>
      </c>
      <c r="AB265" t="s">
        <v>1190</v>
      </c>
      <c r="AC265">
        <v>132</v>
      </c>
      <c r="AD265" t="s">
        <v>1191</v>
      </c>
      <c r="AE265" t="s">
        <v>1192</v>
      </c>
      <c r="AF265" t="s">
        <v>1193</v>
      </c>
      <c r="AG265" t="s">
        <v>1194</v>
      </c>
      <c r="AH265" t="s">
        <v>1195</v>
      </c>
      <c r="AI265" t="s">
        <v>1202</v>
      </c>
      <c r="AJ265" t="s">
        <v>1291</v>
      </c>
      <c r="AK265" t="s">
        <v>1292</v>
      </c>
      <c r="AL265" t="s">
        <v>1291</v>
      </c>
      <c r="AM265" t="s">
        <v>1577</v>
      </c>
      <c r="AN265" t="s">
        <v>1201</v>
      </c>
      <c r="AO265" t="s">
        <v>1292</v>
      </c>
      <c r="AP265" t="s">
        <v>1578</v>
      </c>
      <c r="AQ265" t="s">
        <v>1203</v>
      </c>
      <c r="AR265" t="s">
        <v>1201</v>
      </c>
      <c r="AS265" t="s">
        <v>1203</v>
      </c>
      <c r="AU265" t="s">
        <v>1204</v>
      </c>
      <c r="AW265" t="b">
        <v>0</v>
      </c>
      <c r="AY265" t="b">
        <v>0</v>
      </c>
      <c r="BA265" t="s">
        <v>1579</v>
      </c>
      <c r="BB265" t="s">
        <v>1206</v>
      </c>
      <c r="BC265" t="s">
        <v>1206</v>
      </c>
      <c r="BD265" t="s">
        <v>1207</v>
      </c>
      <c r="BE265" t="s">
        <v>1296</v>
      </c>
      <c r="BF265" t="s">
        <v>1580</v>
      </c>
      <c r="BG265" t="s">
        <v>237</v>
      </c>
      <c r="BH265" t="s">
        <v>1206</v>
      </c>
      <c r="BI265" t="s">
        <v>1206</v>
      </c>
      <c r="BJ265" t="s">
        <v>1581</v>
      </c>
    </row>
    <row r="266" spans="1:62" x14ac:dyDescent="0.25">
      <c r="A266" t="s">
        <v>1177</v>
      </c>
      <c r="B266">
        <v>810399</v>
      </c>
      <c r="C266" t="s">
        <v>1258</v>
      </c>
      <c r="D266" s="112" t="s">
        <v>2689</v>
      </c>
      <c r="E266" t="s">
        <v>1119</v>
      </c>
      <c r="F266" t="s">
        <v>1178</v>
      </c>
      <c r="G266" t="s">
        <v>1708</v>
      </c>
      <c r="H266" s="135" t="s">
        <v>1704</v>
      </c>
      <c r="I266">
        <v>12</v>
      </c>
      <c r="J266" t="s">
        <v>1279</v>
      </c>
      <c r="K266">
        <v>12174</v>
      </c>
      <c r="L266" t="s">
        <v>1571</v>
      </c>
      <c r="M266">
        <v>12174239</v>
      </c>
      <c r="N266" t="s">
        <v>1572</v>
      </c>
      <c r="O266">
        <v>12174239647</v>
      </c>
      <c r="P266" t="s">
        <v>1610</v>
      </c>
      <c r="Q266" s="135" t="s">
        <v>1705</v>
      </c>
      <c r="R266" t="s">
        <v>1706</v>
      </c>
      <c r="S266" s="135" t="s">
        <v>1704</v>
      </c>
      <c r="T266" t="s">
        <v>1707</v>
      </c>
      <c r="U266" t="s">
        <v>1237</v>
      </c>
      <c r="V266" t="s">
        <v>1238</v>
      </c>
      <c r="W266">
        <v>132</v>
      </c>
      <c r="X266" t="s">
        <v>1189</v>
      </c>
      <c r="Y266">
        <v>48</v>
      </c>
      <c r="Z266">
        <v>6336</v>
      </c>
      <c r="AA266" t="s">
        <v>28</v>
      </c>
      <c r="AB266" t="s">
        <v>1190</v>
      </c>
      <c r="AC266">
        <v>132</v>
      </c>
      <c r="AD266" t="s">
        <v>1191</v>
      </c>
      <c r="AE266" t="s">
        <v>1192</v>
      </c>
      <c r="AF266" t="s">
        <v>1193</v>
      </c>
      <c r="AG266" t="s">
        <v>1194</v>
      </c>
      <c r="AH266" t="s">
        <v>1195</v>
      </c>
      <c r="AI266" t="s">
        <v>1202</v>
      </c>
      <c r="AJ266" t="s">
        <v>1291</v>
      </c>
      <c r="AK266" t="s">
        <v>1292</v>
      </c>
      <c r="AL266" t="s">
        <v>1291</v>
      </c>
      <c r="AM266" t="s">
        <v>1577</v>
      </c>
      <c r="AN266" t="s">
        <v>1201</v>
      </c>
      <c r="AO266" t="s">
        <v>1292</v>
      </c>
      <c r="AP266" t="s">
        <v>1578</v>
      </c>
      <c r="AQ266" t="s">
        <v>1203</v>
      </c>
      <c r="AR266" t="s">
        <v>1201</v>
      </c>
      <c r="AS266" t="s">
        <v>1203</v>
      </c>
      <c r="AU266" t="s">
        <v>1204</v>
      </c>
      <c r="AW266" t="b">
        <v>0</v>
      </c>
      <c r="AY266" t="b">
        <v>0</v>
      </c>
      <c r="BA266" t="s">
        <v>1579</v>
      </c>
      <c r="BB266" t="s">
        <v>1206</v>
      </c>
      <c r="BC266" t="s">
        <v>1206</v>
      </c>
      <c r="BD266" t="s">
        <v>1207</v>
      </c>
      <c r="BE266" t="s">
        <v>1296</v>
      </c>
      <c r="BF266" t="s">
        <v>1580</v>
      </c>
      <c r="BG266" t="s">
        <v>237</v>
      </c>
      <c r="BH266" t="s">
        <v>1206</v>
      </c>
      <c r="BI266" t="s">
        <v>1206</v>
      </c>
      <c r="BJ266" t="s">
        <v>1581</v>
      </c>
    </row>
    <row r="267" spans="1:62" x14ac:dyDescent="0.25">
      <c r="A267" t="s">
        <v>1177</v>
      </c>
      <c r="B267">
        <v>810414</v>
      </c>
      <c r="C267" t="s">
        <v>1258</v>
      </c>
      <c r="D267" s="112" t="s">
        <v>2690</v>
      </c>
      <c r="E267" t="s">
        <v>1119</v>
      </c>
      <c r="F267" t="s">
        <v>1178</v>
      </c>
      <c r="G267" t="s">
        <v>1709</v>
      </c>
      <c r="H267" t="s">
        <v>1653</v>
      </c>
      <c r="I267">
        <v>12</v>
      </c>
      <c r="J267" t="s">
        <v>1279</v>
      </c>
      <c r="K267">
        <v>12174</v>
      </c>
      <c r="L267" t="s">
        <v>1571</v>
      </c>
      <c r="M267">
        <v>12174239</v>
      </c>
      <c r="N267" t="s">
        <v>1572</v>
      </c>
      <c r="O267">
        <v>12174239647</v>
      </c>
      <c r="P267" t="s">
        <v>1610</v>
      </c>
      <c r="Q267" t="s">
        <v>1654</v>
      </c>
      <c r="R267" t="s">
        <v>1655</v>
      </c>
      <c r="S267" t="s">
        <v>1653</v>
      </c>
      <c r="T267" t="s">
        <v>1656</v>
      </c>
      <c r="U267" t="s">
        <v>1237</v>
      </c>
      <c r="V267" t="s">
        <v>1238</v>
      </c>
      <c r="W267">
        <v>600</v>
      </c>
      <c r="X267" t="s">
        <v>1189</v>
      </c>
      <c r="Y267">
        <v>12</v>
      </c>
      <c r="Z267">
        <v>7200</v>
      </c>
      <c r="AA267" t="s">
        <v>28</v>
      </c>
      <c r="AB267" t="s">
        <v>1190</v>
      </c>
      <c r="AC267">
        <v>600</v>
      </c>
      <c r="AD267" t="s">
        <v>1289</v>
      </c>
      <c r="AE267" t="s">
        <v>1290</v>
      </c>
      <c r="AF267" t="s">
        <v>1193</v>
      </c>
      <c r="AG267" t="s">
        <v>1194</v>
      </c>
      <c r="AH267" t="s">
        <v>1195</v>
      </c>
      <c r="AI267" t="s">
        <v>1202</v>
      </c>
      <c r="AJ267" t="s">
        <v>1291</v>
      </c>
      <c r="AK267" t="s">
        <v>1292</v>
      </c>
      <c r="AL267" t="s">
        <v>1291</v>
      </c>
      <c r="AM267" t="s">
        <v>1577</v>
      </c>
      <c r="AN267" t="s">
        <v>1201</v>
      </c>
      <c r="AO267" t="s">
        <v>1292</v>
      </c>
      <c r="AP267" t="s">
        <v>1578</v>
      </c>
      <c r="AQ267" t="s">
        <v>1203</v>
      </c>
      <c r="AR267" t="s">
        <v>1201</v>
      </c>
      <c r="AS267" t="s">
        <v>1203</v>
      </c>
      <c r="AU267" t="s">
        <v>1204</v>
      </c>
      <c r="AW267" t="b">
        <v>0</v>
      </c>
      <c r="AY267" t="b">
        <v>0</v>
      </c>
      <c r="BA267" t="s">
        <v>1579</v>
      </c>
      <c r="BB267" t="s">
        <v>1206</v>
      </c>
      <c r="BC267" t="s">
        <v>1206</v>
      </c>
      <c r="BD267" t="s">
        <v>1207</v>
      </c>
      <c r="BE267" t="s">
        <v>1296</v>
      </c>
      <c r="BF267" t="s">
        <v>1580</v>
      </c>
      <c r="BG267" t="s">
        <v>237</v>
      </c>
      <c r="BH267" t="s">
        <v>1206</v>
      </c>
      <c r="BI267" t="s">
        <v>1206</v>
      </c>
      <c r="BJ267" t="s">
        <v>1581</v>
      </c>
    </row>
    <row r="268" spans="1:62" x14ac:dyDescent="0.25">
      <c r="A268" t="s">
        <v>1177</v>
      </c>
      <c r="B268">
        <v>810377</v>
      </c>
      <c r="C268" t="s">
        <v>1258</v>
      </c>
      <c r="D268" s="112" t="s">
        <v>2691</v>
      </c>
      <c r="E268" t="s">
        <v>1119</v>
      </c>
      <c r="F268" t="s">
        <v>1178</v>
      </c>
      <c r="G268" t="s">
        <v>1710</v>
      </c>
      <c r="H268" s="135" t="s">
        <v>1704</v>
      </c>
      <c r="I268">
        <v>12</v>
      </c>
      <c r="J268" t="s">
        <v>1279</v>
      </c>
      <c r="K268">
        <v>12174</v>
      </c>
      <c r="L268" t="s">
        <v>1571</v>
      </c>
      <c r="M268">
        <v>12174239</v>
      </c>
      <c r="N268" t="s">
        <v>1572</v>
      </c>
      <c r="O268">
        <v>12174239647</v>
      </c>
      <c r="P268" t="s">
        <v>1610</v>
      </c>
      <c r="Q268" s="135" t="s">
        <v>1705</v>
      </c>
      <c r="R268" t="s">
        <v>1706</v>
      </c>
      <c r="S268" s="135" t="s">
        <v>1704</v>
      </c>
      <c r="T268" t="s">
        <v>1707</v>
      </c>
      <c r="U268" t="s">
        <v>1237</v>
      </c>
      <c r="V268" t="s">
        <v>1238</v>
      </c>
      <c r="W268">
        <v>132</v>
      </c>
      <c r="X268" t="s">
        <v>1189</v>
      </c>
      <c r="Y268">
        <v>48</v>
      </c>
      <c r="Z268">
        <v>6336</v>
      </c>
      <c r="AA268" t="s">
        <v>28</v>
      </c>
      <c r="AB268" t="s">
        <v>1190</v>
      </c>
      <c r="AC268">
        <v>132</v>
      </c>
      <c r="AD268" t="s">
        <v>1191</v>
      </c>
      <c r="AE268" t="s">
        <v>1192</v>
      </c>
      <c r="AF268" t="s">
        <v>1193</v>
      </c>
      <c r="AG268" t="s">
        <v>1194</v>
      </c>
      <c r="AH268" t="s">
        <v>1195</v>
      </c>
      <c r="AI268" t="s">
        <v>1202</v>
      </c>
      <c r="AJ268" t="s">
        <v>1291</v>
      </c>
      <c r="AK268" t="s">
        <v>1292</v>
      </c>
      <c r="AL268" t="s">
        <v>1291</v>
      </c>
      <c r="AM268" t="s">
        <v>1577</v>
      </c>
      <c r="AN268" t="s">
        <v>1201</v>
      </c>
      <c r="AO268" t="s">
        <v>1292</v>
      </c>
      <c r="AP268" t="s">
        <v>1578</v>
      </c>
      <c r="AQ268" t="s">
        <v>1203</v>
      </c>
      <c r="AR268" t="s">
        <v>1201</v>
      </c>
      <c r="AS268" t="s">
        <v>1203</v>
      </c>
      <c r="AU268" t="s">
        <v>1204</v>
      </c>
      <c r="AW268" t="b">
        <v>0</v>
      </c>
      <c r="AY268" t="b">
        <v>0</v>
      </c>
      <c r="BA268" t="s">
        <v>1579</v>
      </c>
      <c r="BB268" t="s">
        <v>1206</v>
      </c>
      <c r="BC268" t="s">
        <v>1206</v>
      </c>
      <c r="BD268" t="s">
        <v>1207</v>
      </c>
      <c r="BE268" t="s">
        <v>1296</v>
      </c>
      <c r="BF268" t="s">
        <v>1580</v>
      </c>
      <c r="BG268" t="s">
        <v>237</v>
      </c>
      <c r="BH268" t="s">
        <v>1206</v>
      </c>
      <c r="BI268" t="s">
        <v>1206</v>
      </c>
      <c r="BJ268" t="s">
        <v>1581</v>
      </c>
    </row>
    <row r="269" spans="1:62" x14ac:dyDescent="0.25">
      <c r="A269" t="s">
        <v>1177</v>
      </c>
      <c r="B269">
        <v>810378</v>
      </c>
      <c r="C269" t="s">
        <v>1258</v>
      </c>
      <c r="D269" s="112" t="s">
        <v>2692</v>
      </c>
      <c r="E269" t="s">
        <v>1119</v>
      </c>
      <c r="F269" t="s">
        <v>1178</v>
      </c>
      <c r="G269" t="s">
        <v>1711</v>
      </c>
      <c r="H269" t="s">
        <v>1674</v>
      </c>
      <c r="I269">
        <v>12</v>
      </c>
      <c r="J269" t="s">
        <v>1279</v>
      </c>
      <c r="K269">
        <v>12174</v>
      </c>
      <c r="L269" t="s">
        <v>1571</v>
      </c>
      <c r="M269">
        <v>12174239</v>
      </c>
      <c r="N269" t="s">
        <v>1572</v>
      </c>
      <c r="O269">
        <v>12174239647</v>
      </c>
      <c r="P269" t="s">
        <v>1610</v>
      </c>
      <c r="Q269" t="s">
        <v>1675</v>
      </c>
      <c r="R269" t="s">
        <v>1676</v>
      </c>
      <c r="S269" t="s">
        <v>1674</v>
      </c>
      <c r="T269" t="s">
        <v>1677</v>
      </c>
      <c r="U269" t="s">
        <v>1187</v>
      </c>
      <c r="V269" t="s">
        <v>1188</v>
      </c>
      <c r="W269">
        <v>620</v>
      </c>
      <c r="X269" t="s">
        <v>1189</v>
      </c>
      <c r="Y269">
        <v>12</v>
      </c>
      <c r="Z269">
        <v>7440</v>
      </c>
      <c r="AA269" t="s">
        <v>28</v>
      </c>
      <c r="AB269" t="s">
        <v>1190</v>
      </c>
      <c r="AC269">
        <v>620</v>
      </c>
      <c r="AD269" t="s">
        <v>1289</v>
      </c>
      <c r="AE269" t="s">
        <v>1290</v>
      </c>
      <c r="AF269" t="s">
        <v>1193</v>
      </c>
      <c r="AG269" t="s">
        <v>1194</v>
      </c>
      <c r="AH269" t="s">
        <v>1195</v>
      </c>
      <c r="AI269" t="s">
        <v>1202</v>
      </c>
      <c r="AJ269" t="s">
        <v>1291</v>
      </c>
      <c r="AK269" t="s">
        <v>1292</v>
      </c>
      <c r="AL269" t="s">
        <v>1291</v>
      </c>
      <c r="AM269" t="s">
        <v>1577</v>
      </c>
      <c r="AN269" t="s">
        <v>1201</v>
      </c>
      <c r="AO269" t="s">
        <v>1292</v>
      </c>
      <c r="AP269" t="s">
        <v>1578</v>
      </c>
      <c r="AQ269" t="s">
        <v>1203</v>
      </c>
      <c r="AR269" t="s">
        <v>1201</v>
      </c>
      <c r="AS269" t="s">
        <v>1203</v>
      </c>
      <c r="AU269" t="s">
        <v>1204</v>
      </c>
      <c r="AW269" t="b">
        <v>0</v>
      </c>
      <c r="AY269" t="b">
        <v>0</v>
      </c>
      <c r="BA269" t="s">
        <v>1579</v>
      </c>
      <c r="BB269" t="s">
        <v>1206</v>
      </c>
      <c r="BC269" t="s">
        <v>1206</v>
      </c>
      <c r="BD269" t="s">
        <v>1207</v>
      </c>
      <c r="BE269" t="s">
        <v>1296</v>
      </c>
      <c r="BF269" t="s">
        <v>1580</v>
      </c>
      <c r="BG269" t="s">
        <v>237</v>
      </c>
      <c r="BH269" t="s">
        <v>1206</v>
      </c>
      <c r="BI269" t="s">
        <v>1206</v>
      </c>
      <c r="BJ269" t="s">
        <v>1581</v>
      </c>
    </row>
    <row r="270" spans="1:62" x14ac:dyDescent="0.25">
      <c r="A270" t="s">
        <v>1177</v>
      </c>
      <c r="B270">
        <v>810395</v>
      </c>
      <c r="C270" t="s">
        <v>1258</v>
      </c>
      <c r="D270" s="112" t="s">
        <v>2693</v>
      </c>
      <c r="E270" t="s">
        <v>1119</v>
      </c>
      <c r="F270" t="s">
        <v>1178</v>
      </c>
      <c r="G270" t="s">
        <v>1712</v>
      </c>
      <c r="H270" s="135" t="s">
        <v>1704</v>
      </c>
      <c r="I270">
        <v>12</v>
      </c>
      <c r="J270" t="s">
        <v>1279</v>
      </c>
      <c r="K270">
        <v>12174</v>
      </c>
      <c r="L270" t="s">
        <v>1571</v>
      </c>
      <c r="M270">
        <v>12174239</v>
      </c>
      <c r="N270" t="s">
        <v>1572</v>
      </c>
      <c r="O270">
        <v>12174239647</v>
      </c>
      <c r="P270" t="s">
        <v>1610</v>
      </c>
      <c r="Q270" s="135" t="s">
        <v>1705</v>
      </c>
      <c r="R270" t="s">
        <v>1706</v>
      </c>
      <c r="S270" s="135" t="s">
        <v>1704</v>
      </c>
      <c r="T270" t="s">
        <v>1707</v>
      </c>
      <c r="U270" t="s">
        <v>1237</v>
      </c>
      <c r="V270" t="s">
        <v>1238</v>
      </c>
      <c r="W270">
        <v>132</v>
      </c>
      <c r="X270" t="s">
        <v>1189</v>
      </c>
      <c r="Y270">
        <v>48</v>
      </c>
      <c r="Z270">
        <v>6336</v>
      </c>
      <c r="AA270" t="s">
        <v>28</v>
      </c>
      <c r="AB270" t="s">
        <v>1190</v>
      </c>
      <c r="AC270">
        <v>132</v>
      </c>
      <c r="AD270" t="s">
        <v>1191</v>
      </c>
      <c r="AE270" t="s">
        <v>1192</v>
      </c>
      <c r="AF270" t="s">
        <v>1193</v>
      </c>
      <c r="AG270" t="s">
        <v>1194</v>
      </c>
      <c r="AH270" t="s">
        <v>1195</v>
      </c>
      <c r="AI270" t="s">
        <v>1202</v>
      </c>
      <c r="AJ270" t="s">
        <v>1291</v>
      </c>
      <c r="AK270" t="s">
        <v>1292</v>
      </c>
      <c r="AL270" t="s">
        <v>1291</v>
      </c>
      <c r="AM270" t="s">
        <v>1577</v>
      </c>
      <c r="AN270" t="s">
        <v>1201</v>
      </c>
      <c r="AO270" t="s">
        <v>1292</v>
      </c>
      <c r="AP270" t="s">
        <v>1578</v>
      </c>
      <c r="AQ270" t="s">
        <v>1203</v>
      </c>
      <c r="AR270" t="s">
        <v>1201</v>
      </c>
      <c r="AS270" t="s">
        <v>1203</v>
      </c>
      <c r="AU270" t="s">
        <v>1204</v>
      </c>
      <c r="AW270" t="b">
        <v>0</v>
      </c>
      <c r="AY270" t="b">
        <v>0</v>
      </c>
      <c r="BA270" t="s">
        <v>1579</v>
      </c>
      <c r="BB270" t="s">
        <v>1206</v>
      </c>
      <c r="BC270" t="s">
        <v>1206</v>
      </c>
      <c r="BD270" t="s">
        <v>1207</v>
      </c>
      <c r="BE270" t="s">
        <v>1296</v>
      </c>
      <c r="BF270" t="s">
        <v>1580</v>
      </c>
      <c r="BG270" t="s">
        <v>237</v>
      </c>
      <c r="BH270" t="s">
        <v>1206</v>
      </c>
      <c r="BI270" t="s">
        <v>1206</v>
      </c>
      <c r="BJ270" t="s">
        <v>1581</v>
      </c>
    </row>
    <row r="271" spans="1:62" x14ac:dyDescent="0.25">
      <c r="A271" t="s">
        <v>1177</v>
      </c>
      <c r="B271">
        <v>810431</v>
      </c>
      <c r="C271" t="s">
        <v>1258</v>
      </c>
      <c r="D271" s="112" t="s">
        <v>2694</v>
      </c>
      <c r="E271" t="s">
        <v>1119</v>
      </c>
      <c r="F271" t="s">
        <v>1178</v>
      </c>
      <c r="G271" t="s">
        <v>1713</v>
      </c>
      <c r="H271" t="s">
        <v>1653</v>
      </c>
      <c r="I271">
        <v>12</v>
      </c>
      <c r="J271" t="s">
        <v>1279</v>
      </c>
      <c r="K271">
        <v>12174</v>
      </c>
      <c r="L271" t="s">
        <v>1571</v>
      </c>
      <c r="M271">
        <v>12174239</v>
      </c>
      <c r="N271" t="s">
        <v>1572</v>
      </c>
      <c r="O271">
        <v>12174239647</v>
      </c>
      <c r="P271" t="s">
        <v>1610</v>
      </c>
      <c r="Q271" t="s">
        <v>1654</v>
      </c>
      <c r="R271" t="s">
        <v>1655</v>
      </c>
      <c r="S271" t="s">
        <v>1653</v>
      </c>
      <c r="T271" t="s">
        <v>1656</v>
      </c>
      <c r="U271" t="s">
        <v>1237</v>
      </c>
      <c r="V271" t="s">
        <v>1238</v>
      </c>
      <c r="W271">
        <v>600</v>
      </c>
      <c r="X271" t="s">
        <v>1189</v>
      </c>
      <c r="Y271">
        <v>12</v>
      </c>
      <c r="Z271">
        <v>7200</v>
      </c>
      <c r="AA271" t="s">
        <v>28</v>
      </c>
      <c r="AB271" t="s">
        <v>1190</v>
      </c>
      <c r="AC271">
        <v>600</v>
      </c>
      <c r="AD271" t="s">
        <v>1289</v>
      </c>
      <c r="AE271" t="s">
        <v>1290</v>
      </c>
      <c r="AF271" t="s">
        <v>1193</v>
      </c>
      <c r="AG271" t="s">
        <v>1194</v>
      </c>
      <c r="AH271" t="s">
        <v>1195</v>
      </c>
      <c r="AI271" t="s">
        <v>1202</v>
      </c>
      <c r="AJ271" t="s">
        <v>1291</v>
      </c>
      <c r="AK271" t="s">
        <v>1292</v>
      </c>
      <c r="AL271" t="s">
        <v>1291</v>
      </c>
      <c r="AM271" t="s">
        <v>1577</v>
      </c>
      <c r="AN271" t="s">
        <v>1201</v>
      </c>
      <c r="AO271" t="s">
        <v>1292</v>
      </c>
      <c r="AP271" t="s">
        <v>1578</v>
      </c>
      <c r="AQ271" t="s">
        <v>1203</v>
      </c>
      <c r="AR271" t="s">
        <v>1201</v>
      </c>
      <c r="AS271" t="s">
        <v>1203</v>
      </c>
      <c r="AU271" t="s">
        <v>1204</v>
      </c>
      <c r="AW271" t="b">
        <v>0</v>
      </c>
      <c r="AY271" t="b">
        <v>0</v>
      </c>
      <c r="BA271" t="s">
        <v>1579</v>
      </c>
      <c r="BB271" t="s">
        <v>1206</v>
      </c>
      <c r="BC271" t="s">
        <v>1206</v>
      </c>
      <c r="BD271" t="s">
        <v>1207</v>
      </c>
      <c r="BE271" t="s">
        <v>1296</v>
      </c>
      <c r="BF271" t="s">
        <v>1580</v>
      </c>
      <c r="BG271" t="s">
        <v>237</v>
      </c>
      <c r="BH271" t="s">
        <v>1206</v>
      </c>
      <c r="BI271" t="s">
        <v>1206</v>
      </c>
      <c r="BJ271" t="s">
        <v>1581</v>
      </c>
    </row>
    <row r="272" spans="1:62" x14ac:dyDescent="0.25">
      <c r="A272" t="s">
        <v>1177</v>
      </c>
      <c r="B272">
        <v>810398</v>
      </c>
      <c r="C272" t="s">
        <v>1258</v>
      </c>
      <c r="D272" s="112" t="s">
        <v>2695</v>
      </c>
      <c r="E272" t="s">
        <v>1119</v>
      </c>
      <c r="F272" t="s">
        <v>1178</v>
      </c>
      <c r="G272" t="s">
        <v>1714</v>
      </c>
      <c r="H272" s="135" t="s">
        <v>1704</v>
      </c>
      <c r="I272">
        <v>12</v>
      </c>
      <c r="J272" t="s">
        <v>1279</v>
      </c>
      <c r="K272">
        <v>12174</v>
      </c>
      <c r="L272" t="s">
        <v>1571</v>
      </c>
      <c r="M272">
        <v>12174239</v>
      </c>
      <c r="N272" t="s">
        <v>1572</v>
      </c>
      <c r="O272">
        <v>12174239647</v>
      </c>
      <c r="P272" t="s">
        <v>1610</v>
      </c>
      <c r="Q272" s="135" t="s">
        <v>1705</v>
      </c>
      <c r="R272" t="s">
        <v>1706</v>
      </c>
      <c r="S272" s="135" t="s">
        <v>1704</v>
      </c>
      <c r="T272" t="s">
        <v>1707</v>
      </c>
      <c r="U272" t="s">
        <v>1237</v>
      </c>
      <c r="V272" t="s">
        <v>1238</v>
      </c>
      <c r="W272">
        <v>132</v>
      </c>
      <c r="X272" t="s">
        <v>1189</v>
      </c>
      <c r="Y272">
        <v>48</v>
      </c>
      <c r="Z272">
        <v>6336</v>
      </c>
      <c r="AA272" t="s">
        <v>28</v>
      </c>
      <c r="AB272" t="s">
        <v>1190</v>
      </c>
      <c r="AC272">
        <v>132</v>
      </c>
      <c r="AD272" t="s">
        <v>1191</v>
      </c>
      <c r="AE272" t="s">
        <v>1192</v>
      </c>
      <c r="AF272" t="s">
        <v>1193</v>
      </c>
      <c r="AG272" t="s">
        <v>1194</v>
      </c>
      <c r="AH272" t="s">
        <v>1195</v>
      </c>
      <c r="AI272" t="s">
        <v>1202</v>
      </c>
      <c r="AJ272" t="s">
        <v>1291</v>
      </c>
      <c r="AK272" t="s">
        <v>1292</v>
      </c>
      <c r="AL272" t="s">
        <v>1291</v>
      </c>
      <c r="AM272" t="s">
        <v>1577</v>
      </c>
      <c r="AN272" t="s">
        <v>1201</v>
      </c>
      <c r="AO272" t="s">
        <v>1292</v>
      </c>
      <c r="AP272" t="s">
        <v>1578</v>
      </c>
      <c r="AQ272" t="s">
        <v>1203</v>
      </c>
      <c r="AR272" t="s">
        <v>1201</v>
      </c>
      <c r="AS272" t="s">
        <v>1203</v>
      </c>
      <c r="AU272" t="s">
        <v>1204</v>
      </c>
      <c r="AW272" t="b">
        <v>0</v>
      </c>
      <c r="AY272" t="b">
        <v>0</v>
      </c>
      <c r="BA272" t="s">
        <v>1579</v>
      </c>
      <c r="BB272" t="s">
        <v>1206</v>
      </c>
      <c r="BC272" t="s">
        <v>1206</v>
      </c>
      <c r="BD272" t="s">
        <v>1207</v>
      </c>
      <c r="BE272" t="s">
        <v>1296</v>
      </c>
      <c r="BF272" t="s">
        <v>1580</v>
      </c>
      <c r="BG272" t="s">
        <v>237</v>
      </c>
      <c r="BH272" t="s">
        <v>1206</v>
      </c>
      <c r="BI272" t="s">
        <v>1206</v>
      </c>
      <c r="BJ272" t="s">
        <v>1581</v>
      </c>
    </row>
    <row r="273" spans="1:62" x14ac:dyDescent="0.25">
      <c r="A273" t="s">
        <v>1177</v>
      </c>
      <c r="B273">
        <v>810434</v>
      </c>
      <c r="C273" t="s">
        <v>1258</v>
      </c>
      <c r="D273" s="112" t="s">
        <v>2696</v>
      </c>
      <c r="E273" t="s">
        <v>1119</v>
      </c>
      <c r="F273" t="s">
        <v>1178</v>
      </c>
      <c r="G273" t="s">
        <v>1715</v>
      </c>
      <c r="H273" t="s">
        <v>1674</v>
      </c>
      <c r="I273">
        <v>12</v>
      </c>
      <c r="J273" t="s">
        <v>1279</v>
      </c>
      <c r="K273">
        <v>12174</v>
      </c>
      <c r="L273" t="s">
        <v>1571</v>
      </c>
      <c r="M273">
        <v>12174239</v>
      </c>
      <c r="N273" t="s">
        <v>1572</v>
      </c>
      <c r="O273">
        <v>12174239647</v>
      </c>
      <c r="P273" t="s">
        <v>1610</v>
      </c>
      <c r="Q273" t="s">
        <v>1675</v>
      </c>
      <c r="R273" t="s">
        <v>1676</v>
      </c>
      <c r="S273" t="s">
        <v>1674</v>
      </c>
      <c r="T273" t="s">
        <v>1677</v>
      </c>
      <c r="U273" t="s">
        <v>1187</v>
      </c>
      <c r="V273" t="s">
        <v>1188</v>
      </c>
      <c r="W273">
        <v>620</v>
      </c>
      <c r="X273" t="s">
        <v>1189</v>
      </c>
      <c r="Y273">
        <v>12</v>
      </c>
      <c r="Z273">
        <v>7440</v>
      </c>
      <c r="AA273" t="s">
        <v>28</v>
      </c>
      <c r="AB273" t="s">
        <v>1190</v>
      </c>
      <c r="AC273">
        <v>620</v>
      </c>
      <c r="AD273" t="s">
        <v>1289</v>
      </c>
      <c r="AE273" t="s">
        <v>1290</v>
      </c>
      <c r="AF273" t="s">
        <v>1193</v>
      </c>
      <c r="AG273" t="s">
        <v>1194</v>
      </c>
      <c r="AH273" t="s">
        <v>1195</v>
      </c>
      <c r="AI273" t="s">
        <v>1202</v>
      </c>
      <c r="AJ273" t="s">
        <v>1291</v>
      </c>
      <c r="AK273" t="s">
        <v>1292</v>
      </c>
      <c r="AL273" t="s">
        <v>1291</v>
      </c>
      <c r="AM273" t="s">
        <v>1577</v>
      </c>
      <c r="AN273" t="s">
        <v>1201</v>
      </c>
      <c r="AO273" t="s">
        <v>1292</v>
      </c>
      <c r="AP273" t="s">
        <v>1578</v>
      </c>
      <c r="AQ273" t="s">
        <v>1203</v>
      </c>
      <c r="AR273" t="s">
        <v>1201</v>
      </c>
      <c r="AS273" t="s">
        <v>1203</v>
      </c>
      <c r="AU273" t="s">
        <v>1204</v>
      </c>
      <c r="AW273" t="b">
        <v>0</v>
      </c>
      <c r="AY273" t="b">
        <v>0</v>
      </c>
      <c r="BA273" t="s">
        <v>1579</v>
      </c>
      <c r="BB273" t="s">
        <v>1206</v>
      </c>
      <c r="BC273" t="s">
        <v>1206</v>
      </c>
      <c r="BD273" t="s">
        <v>1207</v>
      </c>
      <c r="BE273" t="s">
        <v>1296</v>
      </c>
      <c r="BF273" t="s">
        <v>1580</v>
      </c>
      <c r="BG273" t="s">
        <v>237</v>
      </c>
      <c r="BH273" t="s">
        <v>1206</v>
      </c>
      <c r="BI273" t="s">
        <v>1206</v>
      </c>
      <c r="BJ273" t="s">
        <v>1581</v>
      </c>
    </row>
    <row r="274" spans="1:62" x14ac:dyDescent="0.25">
      <c r="A274" t="s">
        <v>1177</v>
      </c>
      <c r="B274">
        <v>810394</v>
      </c>
      <c r="C274" t="s">
        <v>1258</v>
      </c>
      <c r="D274" s="112" t="s">
        <v>2697</v>
      </c>
      <c r="E274" t="s">
        <v>1119</v>
      </c>
      <c r="F274" t="s">
        <v>1178</v>
      </c>
      <c r="G274" t="s">
        <v>1716</v>
      </c>
      <c r="H274" s="135" t="s">
        <v>1704</v>
      </c>
      <c r="I274">
        <v>12</v>
      </c>
      <c r="J274" t="s">
        <v>1279</v>
      </c>
      <c r="K274">
        <v>12174</v>
      </c>
      <c r="L274" t="s">
        <v>1571</v>
      </c>
      <c r="M274">
        <v>12174239</v>
      </c>
      <c r="N274" t="s">
        <v>1572</v>
      </c>
      <c r="O274">
        <v>12174239647</v>
      </c>
      <c r="P274" t="s">
        <v>1610</v>
      </c>
      <c r="Q274" s="135" t="s">
        <v>1705</v>
      </c>
      <c r="R274" t="s">
        <v>1706</v>
      </c>
      <c r="S274" s="135" t="s">
        <v>1704</v>
      </c>
      <c r="T274" t="s">
        <v>1707</v>
      </c>
      <c r="U274" t="s">
        <v>1237</v>
      </c>
      <c r="V274" t="s">
        <v>1238</v>
      </c>
      <c r="W274">
        <v>132</v>
      </c>
      <c r="X274" t="s">
        <v>1189</v>
      </c>
      <c r="Y274">
        <v>48</v>
      </c>
      <c r="Z274">
        <v>6336</v>
      </c>
      <c r="AA274" t="s">
        <v>28</v>
      </c>
      <c r="AB274" t="s">
        <v>1190</v>
      </c>
      <c r="AC274">
        <v>132</v>
      </c>
      <c r="AD274" t="s">
        <v>1191</v>
      </c>
      <c r="AE274" t="s">
        <v>1192</v>
      </c>
      <c r="AF274" t="s">
        <v>1193</v>
      </c>
      <c r="AG274" t="s">
        <v>1194</v>
      </c>
      <c r="AH274" t="s">
        <v>1195</v>
      </c>
      <c r="AI274" t="s">
        <v>1202</v>
      </c>
      <c r="AJ274" t="s">
        <v>1291</v>
      </c>
      <c r="AK274" t="s">
        <v>1292</v>
      </c>
      <c r="AL274" t="s">
        <v>1291</v>
      </c>
      <c r="AM274" t="s">
        <v>1577</v>
      </c>
      <c r="AN274" t="s">
        <v>1201</v>
      </c>
      <c r="AO274" t="s">
        <v>1292</v>
      </c>
      <c r="AP274" t="s">
        <v>1578</v>
      </c>
      <c r="AQ274" t="s">
        <v>1203</v>
      </c>
      <c r="AR274" t="s">
        <v>1201</v>
      </c>
      <c r="AS274" t="s">
        <v>1203</v>
      </c>
      <c r="AU274" t="s">
        <v>1204</v>
      </c>
      <c r="AW274" t="b">
        <v>0</v>
      </c>
      <c r="AY274" t="b">
        <v>0</v>
      </c>
      <c r="BA274" t="s">
        <v>1579</v>
      </c>
      <c r="BB274" t="s">
        <v>1206</v>
      </c>
      <c r="BC274" t="s">
        <v>1206</v>
      </c>
      <c r="BD274" t="s">
        <v>1207</v>
      </c>
      <c r="BE274" t="s">
        <v>1296</v>
      </c>
      <c r="BF274" t="s">
        <v>1580</v>
      </c>
      <c r="BG274" t="s">
        <v>237</v>
      </c>
      <c r="BH274" t="s">
        <v>1206</v>
      </c>
      <c r="BI274" t="s">
        <v>1206</v>
      </c>
      <c r="BJ274" t="s">
        <v>1581</v>
      </c>
    </row>
    <row r="275" spans="1:62" x14ac:dyDescent="0.25">
      <c r="A275" t="s">
        <v>1177</v>
      </c>
      <c r="B275">
        <v>810442</v>
      </c>
      <c r="C275" t="s">
        <v>1258</v>
      </c>
      <c r="D275" s="112" t="s">
        <v>2698</v>
      </c>
      <c r="E275" t="s">
        <v>1119</v>
      </c>
      <c r="F275" t="s">
        <v>1178</v>
      </c>
      <c r="G275" t="s">
        <v>1717</v>
      </c>
      <c r="H275" t="s">
        <v>1718</v>
      </c>
      <c r="I275">
        <v>12</v>
      </c>
      <c r="J275" t="s">
        <v>1279</v>
      </c>
      <c r="K275">
        <v>12174</v>
      </c>
      <c r="L275" t="s">
        <v>1571</v>
      </c>
      <c r="M275">
        <v>12174239</v>
      </c>
      <c r="N275" t="s">
        <v>1572</v>
      </c>
      <c r="O275">
        <v>12174239647</v>
      </c>
      <c r="P275" t="s">
        <v>1610</v>
      </c>
      <c r="Q275" t="s">
        <v>1719</v>
      </c>
      <c r="R275" t="s">
        <v>1720</v>
      </c>
      <c r="S275" t="s">
        <v>1718</v>
      </c>
      <c r="T275" t="s">
        <v>1721</v>
      </c>
      <c r="U275" t="s">
        <v>1187</v>
      </c>
      <c r="V275" t="s">
        <v>1188</v>
      </c>
      <c r="W275">
        <v>320</v>
      </c>
      <c r="X275" t="s">
        <v>1189</v>
      </c>
      <c r="Y275">
        <v>24</v>
      </c>
      <c r="Z275">
        <v>7680</v>
      </c>
      <c r="AA275" t="s">
        <v>28</v>
      </c>
      <c r="AB275" t="s">
        <v>1190</v>
      </c>
      <c r="AC275">
        <v>320</v>
      </c>
      <c r="AD275" t="s">
        <v>1191</v>
      </c>
      <c r="AE275" t="s">
        <v>1192</v>
      </c>
      <c r="AF275" t="s">
        <v>1193</v>
      </c>
      <c r="AG275" t="s">
        <v>1194</v>
      </c>
      <c r="AH275" t="s">
        <v>1195</v>
      </c>
      <c r="AI275" t="s">
        <v>1202</v>
      </c>
      <c r="AJ275" t="s">
        <v>1291</v>
      </c>
      <c r="AK275" t="s">
        <v>1292</v>
      </c>
      <c r="AL275" t="s">
        <v>1291</v>
      </c>
      <c r="AM275" t="s">
        <v>1577</v>
      </c>
      <c r="AN275" t="s">
        <v>1201</v>
      </c>
      <c r="AO275" t="s">
        <v>1292</v>
      </c>
      <c r="AP275" t="s">
        <v>1578</v>
      </c>
      <c r="AQ275" t="s">
        <v>1203</v>
      </c>
      <c r="AR275" t="s">
        <v>1201</v>
      </c>
      <c r="AS275" t="s">
        <v>1203</v>
      </c>
      <c r="AU275" t="s">
        <v>1204</v>
      </c>
      <c r="AW275" t="b">
        <v>0</v>
      </c>
      <c r="AY275" t="b">
        <v>0</v>
      </c>
      <c r="BA275" t="s">
        <v>1579</v>
      </c>
      <c r="BB275" t="s">
        <v>1206</v>
      </c>
      <c r="BC275" t="s">
        <v>1206</v>
      </c>
      <c r="BD275" t="s">
        <v>1207</v>
      </c>
      <c r="BE275" t="s">
        <v>1296</v>
      </c>
      <c r="BF275" t="s">
        <v>1580</v>
      </c>
      <c r="BG275" t="s">
        <v>237</v>
      </c>
      <c r="BH275" t="s">
        <v>1206</v>
      </c>
      <c r="BI275" t="s">
        <v>1206</v>
      </c>
      <c r="BJ275" t="s">
        <v>1581</v>
      </c>
    </row>
    <row r="276" spans="1:62" x14ac:dyDescent="0.25">
      <c r="A276" t="s">
        <v>1177</v>
      </c>
      <c r="B276">
        <v>810443</v>
      </c>
      <c r="C276" t="s">
        <v>1258</v>
      </c>
      <c r="D276" s="112" t="s">
        <v>2699</v>
      </c>
      <c r="E276" t="s">
        <v>1119</v>
      </c>
      <c r="F276" t="s">
        <v>1178</v>
      </c>
      <c r="G276" t="s">
        <v>1722</v>
      </c>
      <c r="H276" t="s">
        <v>1674</v>
      </c>
      <c r="I276">
        <v>12</v>
      </c>
      <c r="J276" t="s">
        <v>1279</v>
      </c>
      <c r="K276">
        <v>12174</v>
      </c>
      <c r="L276" t="s">
        <v>1571</v>
      </c>
      <c r="M276">
        <v>12174239</v>
      </c>
      <c r="N276" t="s">
        <v>1572</v>
      </c>
      <c r="O276">
        <v>12174239647</v>
      </c>
      <c r="P276" t="s">
        <v>1610</v>
      </c>
      <c r="Q276" t="s">
        <v>1675</v>
      </c>
      <c r="R276" t="s">
        <v>1676</v>
      </c>
      <c r="S276" t="s">
        <v>1674</v>
      </c>
      <c r="T276" t="s">
        <v>1677</v>
      </c>
      <c r="U276" t="s">
        <v>1187</v>
      </c>
      <c r="V276" t="s">
        <v>1188</v>
      </c>
      <c r="W276">
        <v>620</v>
      </c>
      <c r="X276" t="s">
        <v>1189</v>
      </c>
      <c r="Y276">
        <v>12</v>
      </c>
      <c r="Z276">
        <v>7440</v>
      </c>
      <c r="AA276" t="s">
        <v>28</v>
      </c>
      <c r="AB276" t="s">
        <v>1190</v>
      </c>
      <c r="AC276">
        <v>620</v>
      </c>
      <c r="AD276" t="s">
        <v>1289</v>
      </c>
      <c r="AE276" t="s">
        <v>1290</v>
      </c>
      <c r="AF276" t="s">
        <v>1193</v>
      </c>
      <c r="AG276" t="s">
        <v>1194</v>
      </c>
      <c r="AH276" t="s">
        <v>1195</v>
      </c>
      <c r="AI276" t="s">
        <v>1202</v>
      </c>
      <c r="AJ276" t="s">
        <v>1291</v>
      </c>
      <c r="AK276" t="s">
        <v>1292</v>
      </c>
      <c r="AL276" t="s">
        <v>1291</v>
      </c>
      <c r="AM276" t="s">
        <v>1577</v>
      </c>
      <c r="AN276" t="s">
        <v>1201</v>
      </c>
      <c r="AO276" t="s">
        <v>1292</v>
      </c>
      <c r="AP276" t="s">
        <v>1578</v>
      </c>
      <c r="AQ276" t="s">
        <v>1203</v>
      </c>
      <c r="AR276" t="s">
        <v>1201</v>
      </c>
      <c r="AS276" t="s">
        <v>1203</v>
      </c>
      <c r="AU276" t="s">
        <v>1204</v>
      </c>
      <c r="AW276" t="b">
        <v>0</v>
      </c>
      <c r="AY276" t="b">
        <v>0</v>
      </c>
      <c r="BA276" t="s">
        <v>1579</v>
      </c>
      <c r="BB276" t="s">
        <v>1206</v>
      </c>
      <c r="BC276" t="s">
        <v>1206</v>
      </c>
      <c r="BD276" t="s">
        <v>1207</v>
      </c>
      <c r="BE276" t="s">
        <v>1296</v>
      </c>
      <c r="BF276" t="s">
        <v>1580</v>
      </c>
      <c r="BG276" t="s">
        <v>237</v>
      </c>
      <c r="BH276" t="s">
        <v>1206</v>
      </c>
      <c r="BI276" t="s">
        <v>1206</v>
      </c>
      <c r="BJ276" t="s">
        <v>1581</v>
      </c>
    </row>
    <row r="277" spans="1:62" x14ac:dyDescent="0.25">
      <c r="A277" t="s">
        <v>1177</v>
      </c>
      <c r="B277">
        <v>810400</v>
      </c>
      <c r="C277" t="s">
        <v>1258</v>
      </c>
      <c r="D277" s="112" t="s">
        <v>2700</v>
      </c>
      <c r="E277" t="s">
        <v>1119</v>
      </c>
      <c r="F277" t="s">
        <v>1178</v>
      </c>
      <c r="G277" t="s">
        <v>1723</v>
      </c>
      <c r="H277" s="135" t="s">
        <v>1704</v>
      </c>
      <c r="I277">
        <v>12</v>
      </c>
      <c r="J277" t="s">
        <v>1279</v>
      </c>
      <c r="K277">
        <v>12174</v>
      </c>
      <c r="L277" t="s">
        <v>1571</v>
      </c>
      <c r="M277">
        <v>12174239</v>
      </c>
      <c r="N277" t="s">
        <v>1572</v>
      </c>
      <c r="O277">
        <v>12174239647</v>
      </c>
      <c r="P277" t="s">
        <v>1610</v>
      </c>
      <c r="Q277" s="135" t="s">
        <v>1705</v>
      </c>
      <c r="R277" t="s">
        <v>1706</v>
      </c>
      <c r="S277" s="135" t="s">
        <v>1704</v>
      </c>
      <c r="T277" t="s">
        <v>1707</v>
      </c>
      <c r="U277" t="s">
        <v>1237</v>
      </c>
      <c r="V277" t="s">
        <v>1238</v>
      </c>
      <c r="W277">
        <v>132</v>
      </c>
      <c r="X277" t="s">
        <v>1189</v>
      </c>
      <c r="Y277">
        <v>48</v>
      </c>
      <c r="Z277">
        <v>6336</v>
      </c>
      <c r="AA277" t="s">
        <v>28</v>
      </c>
      <c r="AB277" t="s">
        <v>1190</v>
      </c>
      <c r="AC277">
        <v>132</v>
      </c>
      <c r="AD277" t="s">
        <v>1191</v>
      </c>
      <c r="AE277" t="s">
        <v>1192</v>
      </c>
      <c r="AF277" t="s">
        <v>1193</v>
      </c>
      <c r="AG277" t="s">
        <v>1194</v>
      </c>
      <c r="AH277" t="s">
        <v>1195</v>
      </c>
      <c r="AI277" t="s">
        <v>1202</v>
      </c>
      <c r="AJ277" t="s">
        <v>1291</v>
      </c>
      <c r="AK277" t="s">
        <v>1292</v>
      </c>
      <c r="AL277" t="s">
        <v>1291</v>
      </c>
      <c r="AM277" t="s">
        <v>1577</v>
      </c>
      <c r="AN277" t="s">
        <v>1201</v>
      </c>
      <c r="AO277" t="s">
        <v>1292</v>
      </c>
      <c r="AP277" t="s">
        <v>1578</v>
      </c>
      <c r="AQ277" t="s">
        <v>1203</v>
      </c>
      <c r="AR277" t="s">
        <v>1201</v>
      </c>
      <c r="AS277" t="s">
        <v>1203</v>
      </c>
      <c r="AU277" t="s">
        <v>1204</v>
      </c>
      <c r="AW277" t="b">
        <v>0</v>
      </c>
      <c r="AY277" t="b">
        <v>0</v>
      </c>
      <c r="BA277" t="s">
        <v>1579</v>
      </c>
      <c r="BB277" t="s">
        <v>1206</v>
      </c>
      <c r="BC277" t="s">
        <v>1206</v>
      </c>
      <c r="BD277" t="s">
        <v>1207</v>
      </c>
      <c r="BE277" t="s">
        <v>1296</v>
      </c>
      <c r="BF277" t="s">
        <v>1580</v>
      </c>
      <c r="BG277" t="s">
        <v>237</v>
      </c>
      <c r="BH277" t="s">
        <v>1206</v>
      </c>
      <c r="BI277" t="s">
        <v>1206</v>
      </c>
      <c r="BJ277" t="s">
        <v>1581</v>
      </c>
    </row>
    <row r="278" spans="1:62" x14ac:dyDescent="0.25">
      <c r="A278" t="s">
        <v>1177</v>
      </c>
      <c r="B278">
        <v>810432</v>
      </c>
      <c r="C278" t="s">
        <v>1258</v>
      </c>
      <c r="D278" s="112" t="s">
        <v>2701</v>
      </c>
      <c r="E278" t="s">
        <v>1119</v>
      </c>
      <c r="F278" t="s">
        <v>1178</v>
      </c>
      <c r="G278" t="s">
        <v>1724</v>
      </c>
      <c r="H278" s="135" t="s">
        <v>1725</v>
      </c>
      <c r="I278">
        <v>12</v>
      </c>
      <c r="J278" t="s">
        <v>1279</v>
      </c>
      <c r="K278">
        <v>12174</v>
      </c>
      <c r="L278" t="s">
        <v>1571</v>
      </c>
      <c r="M278">
        <v>12174239</v>
      </c>
      <c r="N278" t="s">
        <v>1572</v>
      </c>
      <c r="O278">
        <v>12174239647</v>
      </c>
      <c r="P278" t="s">
        <v>1610</v>
      </c>
      <c r="Q278" s="135" t="s">
        <v>1726</v>
      </c>
      <c r="R278" t="s">
        <v>1727</v>
      </c>
      <c r="S278" s="135" t="s">
        <v>1725</v>
      </c>
      <c r="T278" t="s">
        <v>1728</v>
      </c>
      <c r="U278" t="s">
        <v>1286</v>
      </c>
      <c r="V278" t="s">
        <v>1287</v>
      </c>
      <c r="W278">
        <v>4.4000000000000004</v>
      </c>
      <c r="X278" t="s">
        <v>1729</v>
      </c>
      <c r="Y278">
        <v>3</v>
      </c>
      <c r="Z278">
        <v>13.2</v>
      </c>
      <c r="AA278" t="s">
        <v>28</v>
      </c>
      <c r="AB278" t="s">
        <v>1190</v>
      </c>
      <c r="AC278">
        <v>4400</v>
      </c>
      <c r="AD278" t="s">
        <v>1289</v>
      </c>
      <c r="AE278" t="s">
        <v>1290</v>
      </c>
      <c r="AF278" t="s">
        <v>1193</v>
      </c>
      <c r="AG278" t="s">
        <v>1194</v>
      </c>
      <c r="AH278" t="s">
        <v>1195</v>
      </c>
      <c r="AI278" t="s">
        <v>1202</v>
      </c>
      <c r="AJ278" t="s">
        <v>1291</v>
      </c>
      <c r="AK278" t="s">
        <v>1292</v>
      </c>
      <c r="AL278" t="s">
        <v>1291</v>
      </c>
      <c r="AM278" t="s">
        <v>1577</v>
      </c>
      <c r="AN278" t="s">
        <v>1201</v>
      </c>
      <c r="AO278" t="s">
        <v>1292</v>
      </c>
      <c r="AP278" t="s">
        <v>1578</v>
      </c>
      <c r="AQ278" t="s">
        <v>1203</v>
      </c>
      <c r="AR278" t="s">
        <v>1201</v>
      </c>
      <c r="AS278" t="s">
        <v>1203</v>
      </c>
      <c r="AU278" t="s">
        <v>1204</v>
      </c>
      <c r="AW278" t="b">
        <v>0</v>
      </c>
      <c r="AY278" t="b">
        <v>0</v>
      </c>
      <c r="BA278" t="s">
        <v>1579</v>
      </c>
      <c r="BB278" t="s">
        <v>1206</v>
      </c>
      <c r="BC278" t="s">
        <v>1206</v>
      </c>
      <c r="BD278" t="s">
        <v>1207</v>
      </c>
      <c r="BE278" t="s">
        <v>1296</v>
      </c>
      <c r="BF278" t="s">
        <v>1580</v>
      </c>
      <c r="BG278" t="s">
        <v>237</v>
      </c>
      <c r="BH278" t="s">
        <v>1206</v>
      </c>
      <c r="BI278" t="s">
        <v>1206</v>
      </c>
      <c r="BJ278" t="s">
        <v>1581</v>
      </c>
    </row>
    <row r="279" spans="1:62" x14ac:dyDescent="0.25">
      <c r="A279" t="s">
        <v>1177</v>
      </c>
      <c r="B279">
        <v>810441</v>
      </c>
      <c r="C279" t="s">
        <v>1258</v>
      </c>
      <c r="D279" s="112" t="s">
        <v>2702</v>
      </c>
      <c r="E279" t="s">
        <v>1119</v>
      </c>
      <c r="F279" t="s">
        <v>1178</v>
      </c>
      <c r="G279" t="s">
        <v>1730</v>
      </c>
      <c r="H279" s="135" t="s">
        <v>1704</v>
      </c>
      <c r="I279">
        <v>12</v>
      </c>
      <c r="J279" t="s">
        <v>1279</v>
      </c>
      <c r="K279">
        <v>12174</v>
      </c>
      <c r="L279" t="s">
        <v>1571</v>
      </c>
      <c r="M279">
        <v>12174239</v>
      </c>
      <c r="N279" t="s">
        <v>1572</v>
      </c>
      <c r="O279">
        <v>12174239647</v>
      </c>
      <c r="P279" t="s">
        <v>1610</v>
      </c>
      <c r="Q279" s="135" t="s">
        <v>1705</v>
      </c>
      <c r="R279" t="s">
        <v>1706</v>
      </c>
      <c r="S279" s="135" t="s">
        <v>1704</v>
      </c>
      <c r="T279" t="s">
        <v>1707</v>
      </c>
      <c r="U279" t="s">
        <v>1237</v>
      </c>
      <c r="V279" t="s">
        <v>1238</v>
      </c>
      <c r="W279">
        <v>132</v>
      </c>
      <c r="X279" t="s">
        <v>1189</v>
      </c>
      <c r="Y279">
        <v>48</v>
      </c>
      <c r="Z279">
        <v>6336</v>
      </c>
      <c r="AA279" t="s">
        <v>28</v>
      </c>
      <c r="AB279" t="s">
        <v>1190</v>
      </c>
      <c r="AC279">
        <v>132</v>
      </c>
      <c r="AD279" t="s">
        <v>1191</v>
      </c>
      <c r="AE279" t="s">
        <v>1192</v>
      </c>
      <c r="AF279" t="s">
        <v>1193</v>
      </c>
      <c r="AG279" t="s">
        <v>1194</v>
      </c>
      <c r="AH279" t="s">
        <v>1195</v>
      </c>
      <c r="AI279" t="s">
        <v>1202</v>
      </c>
      <c r="AJ279" t="s">
        <v>1291</v>
      </c>
      <c r="AK279" t="s">
        <v>1292</v>
      </c>
      <c r="AL279" t="s">
        <v>1291</v>
      </c>
      <c r="AM279" t="s">
        <v>1577</v>
      </c>
      <c r="AN279" t="s">
        <v>1201</v>
      </c>
      <c r="AO279" t="s">
        <v>1292</v>
      </c>
      <c r="AP279" t="s">
        <v>1578</v>
      </c>
      <c r="AQ279" t="s">
        <v>1203</v>
      </c>
      <c r="AR279" t="s">
        <v>1201</v>
      </c>
      <c r="AS279" t="s">
        <v>1203</v>
      </c>
      <c r="AU279" t="s">
        <v>1204</v>
      </c>
      <c r="AW279" t="b">
        <v>0</v>
      </c>
      <c r="AY279" t="b">
        <v>0</v>
      </c>
      <c r="BA279" t="s">
        <v>1579</v>
      </c>
      <c r="BB279" t="s">
        <v>1206</v>
      </c>
      <c r="BC279" t="s">
        <v>1206</v>
      </c>
      <c r="BD279" t="s">
        <v>1207</v>
      </c>
      <c r="BE279" t="s">
        <v>1296</v>
      </c>
      <c r="BF279" t="s">
        <v>1580</v>
      </c>
      <c r="BG279" t="s">
        <v>237</v>
      </c>
      <c r="BH279" t="s">
        <v>1206</v>
      </c>
      <c r="BI279" t="s">
        <v>1206</v>
      </c>
      <c r="BJ279" t="s">
        <v>1581</v>
      </c>
    </row>
    <row r="280" spans="1:62" x14ac:dyDescent="0.25">
      <c r="A280" t="s">
        <v>1177</v>
      </c>
      <c r="B280">
        <v>810430</v>
      </c>
      <c r="C280" t="s">
        <v>1258</v>
      </c>
      <c r="D280" s="112" t="s">
        <v>2703</v>
      </c>
      <c r="E280" t="s">
        <v>1119</v>
      </c>
      <c r="F280" t="s">
        <v>1178</v>
      </c>
      <c r="G280" t="s">
        <v>1731</v>
      </c>
      <c r="H280" s="135" t="s">
        <v>1704</v>
      </c>
      <c r="I280">
        <v>12</v>
      </c>
      <c r="J280" t="s">
        <v>1279</v>
      </c>
      <c r="K280">
        <v>12174</v>
      </c>
      <c r="L280" t="s">
        <v>1571</v>
      </c>
      <c r="M280">
        <v>12174239</v>
      </c>
      <c r="N280" t="s">
        <v>1572</v>
      </c>
      <c r="O280">
        <v>12174239647</v>
      </c>
      <c r="P280" t="s">
        <v>1610</v>
      </c>
      <c r="Q280" s="135" t="s">
        <v>1705</v>
      </c>
      <c r="R280" t="s">
        <v>1706</v>
      </c>
      <c r="S280" s="135" t="s">
        <v>1704</v>
      </c>
      <c r="T280" t="s">
        <v>1707</v>
      </c>
      <c r="U280" t="s">
        <v>1237</v>
      </c>
      <c r="V280" t="s">
        <v>1238</v>
      </c>
      <c r="W280">
        <v>132</v>
      </c>
      <c r="X280" t="s">
        <v>1189</v>
      </c>
      <c r="Y280">
        <v>48</v>
      </c>
      <c r="Z280">
        <v>6336</v>
      </c>
      <c r="AA280" t="s">
        <v>28</v>
      </c>
      <c r="AB280" t="s">
        <v>1190</v>
      </c>
      <c r="AC280">
        <v>132</v>
      </c>
      <c r="AD280" t="s">
        <v>1191</v>
      </c>
      <c r="AE280" t="s">
        <v>1192</v>
      </c>
      <c r="AF280" t="s">
        <v>1193</v>
      </c>
      <c r="AG280" t="s">
        <v>1194</v>
      </c>
      <c r="AH280" t="s">
        <v>1195</v>
      </c>
      <c r="AI280" t="s">
        <v>1202</v>
      </c>
      <c r="AJ280" t="s">
        <v>1291</v>
      </c>
      <c r="AK280" t="s">
        <v>1292</v>
      </c>
      <c r="AL280" t="s">
        <v>1291</v>
      </c>
      <c r="AM280" t="s">
        <v>1577</v>
      </c>
      <c r="AN280" t="s">
        <v>1201</v>
      </c>
      <c r="AO280" t="s">
        <v>1292</v>
      </c>
      <c r="AP280" t="s">
        <v>1578</v>
      </c>
      <c r="AQ280" t="s">
        <v>1203</v>
      </c>
      <c r="AR280" t="s">
        <v>1201</v>
      </c>
      <c r="AS280" t="s">
        <v>1203</v>
      </c>
      <c r="AU280" t="s">
        <v>1204</v>
      </c>
      <c r="AW280" t="b">
        <v>0</v>
      </c>
      <c r="AY280" t="b">
        <v>0</v>
      </c>
      <c r="BA280" t="s">
        <v>1579</v>
      </c>
      <c r="BB280" t="s">
        <v>1206</v>
      </c>
      <c r="BC280" t="s">
        <v>1206</v>
      </c>
      <c r="BD280" t="s">
        <v>1207</v>
      </c>
      <c r="BE280" t="s">
        <v>1296</v>
      </c>
      <c r="BF280" t="s">
        <v>1580</v>
      </c>
      <c r="BG280" t="s">
        <v>237</v>
      </c>
      <c r="BH280" t="s">
        <v>1206</v>
      </c>
      <c r="BI280" t="s">
        <v>1206</v>
      </c>
      <c r="BJ280" t="s">
        <v>1581</v>
      </c>
    </row>
    <row r="281" spans="1:62" x14ac:dyDescent="0.25">
      <c r="A281" t="s">
        <v>1177</v>
      </c>
      <c r="B281">
        <v>810413</v>
      </c>
      <c r="C281" t="s">
        <v>1258</v>
      </c>
      <c r="D281" s="112" t="s">
        <v>2704</v>
      </c>
      <c r="E281" t="s">
        <v>1119</v>
      </c>
      <c r="F281" t="s">
        <v>1178</v>
      </c>
      <c r="G281" t="s">
        <v>1732</v>
      </c>
      <c r="H281" s="135" t="s">
        <v>1704</v>
      </c>
      <c r="I281">
        <v>12</v>
      </c>
      <c r="J281" t="s">
        <v>1279</v>
      </c>
      <c r="K281">
        <v>12174</v>
      </c>
      <c r="L281" t="s">
        <v>1571</v>
      </c>
      <c r="M281">
        <v>12174239</v>
      </c>
      <c r="N281" t="s">
        <v>1572</v>
      </c>
      <c r="O281">
        <v>12174239647</v>
      </c>
      <c r="P281" t="s">
        <v>1610</v>
      </c>
      <c r="Q281" s="135" t="s">
        <v>1705</v>
      </c>
      <c r="R281" t="s">
        <v>1706</v>
      </c>
      <c r="S281" s="135" t="s">
        <v>1704</v>
      </c>
      <c r="T281" t="s">
        <v>1707</v>
      </c>
      <c r="U281" t="s">
        <v>1237</v>
      </c>
      <c r="V281" t="s">
        <v>1238</v>
      </c>
      <c r="W281">
        <v>132</v>
      </c>
      <c r="X281" t="s">
        <v>1189</v>
      </c>
      <c r="Y281">
        <v>48</v>
      </c>
      <c r="Z281">
        <v>6336</v>
      </c>
      <c r="AA281" t="s">
        <v>28</v>
      </c>
      <c r="AB281" t="s">
        <v>1190</v>
      </c>
      <c r="AC281">
        <v>132</v>
      </c>
      <c r="AD281" t="s">
        <v>1191</v>
      </c>
      <c r="AE281" t="s">
        <v>1192</v>
      </c>
      <c r="AF281" t="s">
        <v>1193</v>
      </c>
      <c r="AG281" t="s">
        <v>1194</v>
      </c>
      <c r="AH281" t="s">
        <v>1195</v>
      </c>
      <c r="AI281" t="s">
        <v>1202</v>
      </c>
      <c r="AJ281" t="s">
        <v>1291</v>
      </c>
      <c r="AK281" t="s">
        <v>1292</v>
      </c>
      <c r="AL281" t="s">
        <v>1291</v>
      </c>
      <c r="AM281" t="s">
        <v>1577</v>
      </c>
      <c r="AN281" t="s">
        <v>1201</v>
      </c>
      <c r="AO281" t="s">
        <v>1292</v>
      </c>
      <c r="AP281" t="s">
        <v>1578</v>
      </c>
      <c r="AQ281" t="s">
        <v>1203</v>
      </c>
      <c r="AR281" t="s">
        <v>1201</v>
      </c>
      <c r="AS281" t="s">
        <v>1203</v>
      </c>
      <c r="AU281" t="s">
        <v>1204</v>
      </c>
      <c r="AW281" t="b">
        <v>0</v>
      </c>
      <c r="AY281" t="b">
        <v>0</v>
      </c>
      <c r="BA281" t="s">
        <v>1579</v>
      </c>
      <c r="BB281" t="s">
        <v>1206</v>
      </c>
      <c r="BC281" t="s">
        <v>1206</v>
      </c>
      <c r="BD281" t="s">
        <v>1207</v>
      </c>
      <c r="BE281" t="s">
        <v>1296</v>
      </c>
      <c r="BF281" t="s">
        <v>1580</v>
      </c>
      <c r="BG281" t="s">
        <v>237</v>
      </c>
      <c r="BH281" t="s">
        <v>1206</v>
      </c>
      <c r="BI281" t="s">
        <v>1206</v>
      </c>
      <c r="BJ281" t="s">
        <v>1581</v>
      </c>
    </row>
    <row r="282" spans="1:62" x14ac:dyDescent="0.25">
      <c r="A282" t="s">
        <v>1177</v>
      </c>
      <c r="B282">
        <v>810433</v>
      </c>
      <c r="C282" t="s">
        <v>1258</v>
      </c>
      <c r="D282" s="112" t="s">
        <v>2705</v>
      </c>
      <c r="E282" t="s">
        <v>1119</v>
      </c>
      <c r="F282" t="s">
        <v>1178</v>
      </c>
      <c r="G282" t="s">
        <v>1733</v>
      </c>
      <c r="H282" s="135" t="s">
        <v>1704</v>
      </c>
      <c r="I282">
        <v>12</v>
      </c>
      <c r="J282" t="s">
        <v>1279</v>
      </c>
      <c r="K282">
        <v>12174</v>
      </c>
      <c r="L282" t="s">
        <v>1571</v>
      </c>
      <c r="M282">
        <v>12174239</v>
      </c>
      <c r="N282" t="s">
        <v>1572</v>
      </c>
      <c r="O282">
        <v>12174239647</v>
      </c>
      <c r="P282" t="s">
        <v>1610</v>
      </c>
      <c r="Q282" s="135" t="s">
        <v>1705</v>
      </c>
      <c r="R282" t="s">
        <v>1706</v>
      </c>
      <c r="S282" s="135" t="s">
        <v>1704</v>
      </c>
      <c r="T282" t="s">
        <v>1707</v>
      </c>
      <c r="U282" t="s">
        <v>1237</v>
      </c>
      <c r="V282" t="s">
        <v>1238</v>
      </c>
      <c r="W282">
        <v>132</v>
      </c>
      <c r="X282" t="s">
        <v>1189</v>
      </c>
      <c r="Y282">
        <v>48</v>
      </c>
      <c r="Z282">
        <v>6336</v>
      </c>
      <c r="AA282" t="s">
        <v>28</v>
      </c>
      <c r="AB282" t="s">
        <v>1190</v>
      </c>
      <c r="AC282">
        <v>132</v>
      </c>
      <c r="AD282" t="s">
        <v>1191</v>
      </c>
      <c r="AE282" t="s">
        <v>1192</v>
      </c>
      <c r="AF282" t="s">
        <v>1193</v>
      </c>
      <c r="AG282" t="s">
        <v>1194</v>
      </c>
      <c r="AH282" t="s">
        <v>1195</v>
      </c>
      <c r="AI282" t="s">
        <v>1202</v>
      </c>
      <c r="AJ282" t="s">
        <v>1291</v>
      </c>
      <c r="AK282" t="s">
        <v>1292</v>
      </c>
      <c r="AL282" t="s">
        <v>1291</v>
      </c>
      <c r="AM282" t="s">
        <v>1577</v>
      </c>
      <c r="AN282" t="s">
        <v>1201</v>
      </c>
      <c r="AO282" t="s">
        <v>1292</v>
      </c>
      <c r="AP282" t="s">
        <v>1578</v>
      </c>
      <c r="AQ282" t="s">
        <v>1203</v>
      </c>
      <c r="AR282" t="s">
        <v>1201</v>
      </c>
      <c r="AS282" t="s">
        <v>1203</v>
      </c>
      <c r="AU282" t="s">
        <v>1204</v>
      </c>
      <c r="AW282" t="b">
        <v>0</v>
      </c>
      <c r="AY282" t="b">
        <v>0</v>
      </c>
      <c r="BA282" t="s">
        <v>1579</v>
      </c>
      <c r="BB282" t="s">
        <v>1206</v>
      </c>
      <c r="BC282" t="s">
        <v>1206</v>
      </c>
      <c r="BD282" t="s">
        <v>1207</v>
      </c>
      <c r="BE282" t="s">
        <v>1296</v>
      </c>
      <c r="BF282" t="s">
        <v>1580</v>
      </c>
      <c r="BG282" t="s">
        <v>237</v>
      </c>
      <c r="BH282" t="s">
        <v>1206</v>
      </c>
      <c r="BI282" t="s">
        <v>1206</v>
      </c>
      <c r="BJ282" t="s">
        <v>1581</v>
      </c>
    </row>
    <row r="283" spans="1:62" x14ac:dyDescent="0.25">
      <c r="A283" t="s">
        <v>1177</v>
      </c>
      <c r="B283">
        <v>810439</v>
      </c>
      <c r="C283" t="s">
        <v>1258</v>
      </c>
      <c r="D283" s="112" t="s">
        <v>2706</v>
      </c>
      <c r="E283" t="s">
        <v>1119</v>
      </c>
      <c r="F283" t="s">
        <v>1178</v>
      </c>
      <c r="G283" t="s">
        <v>1734</v>
      </c>
      <c r="H283" t="s">
        <v>1718</v>
      </c>
      <c r="I283">
        <v>12</v>
      </c>
      <c r="J283" t="s">
        <v>1279</v>
      </c>
      <c r="K283">
        <v>12174</v>
      </c>
      <c r="L283" t="s">
        <v>1571</v>
      </c>
      <c r="M283">
        <v>12174239</v>
      </c>
      <c r="N283" t="s">
        <v>1572</v>
      </c>
      <c r="O283">
        <v>12174239647</v>
      </c>
      <c r="P283" t="s">
        <v>1610</v>
      </c>
      <c r="Q283" t="s">
        <v>1719</v>
      </c>
      <c r="R283" t="s">
        <v>1720</v>
      </c>
      <c r="S283" t="s">
        <v>1718</v>
      </c>
      <c r="T283" t="s">
        <v>1721</v>
      </c>
      <c r="U283" t="s">
        <v>1187</v>
      </c>
      <c r="V283" t="s">
        <v>1188</v>
      </c>
      <c r="W283">
        <v>320</v>
      </c>
      <c r="X283" t="s">
        <v>1189</v>
      </c>
      <c r="Y283">
        <v>24</v>
      </c>
      <c r="Z283">
        <v>7680</v>
      </c>
      <c r="AA283" t="s">
        <v>28</v>
      </c>
      <c r="AB283" t="s">
        <v>1190</v>
      </c>
      <c r="AC283">
        <v>320</v>
      </c>
      <c r="AD283" t="s">
        <v>1191</v>
      </c>
      <c r="AE283" t="s">
        <v>1192</v>
      </c>
      <c r="AF283" t="s">
        <v>1193</v>
      </c>
      <c r="AG283" t="s">
        <v>1194</v>
      </c>
      <c r="AH283" t="s">
        <v>1195</v>
      </c>
      <c r="AI283" t="s">
        <v>1202</v>
      </c>
      <c r="AJ283" t="s">
        <v>1291</v>
      </c>
      <c r="AK283" t="s">
        <v>1292</v>
      </c>
      <c r="AL283" t="s">
        <v>1291</v>
      </c>
      <c r="AM283" t="s">
        <v>1577</v>
      </c>
      <c r="AN283" t="s">
        <v>1201</v>
      </c>
      <c r="AO283" t="s">
        <v>1292</v>
      </c>
      <c r="AP283" t="s">
        <v>1578</v>
      </c>
      <c r="AQ283" t="s">
        <v>1203</v>
      </c>
      <c r="AR283" t="s">
        <v>1201</v>
      </c>
      <c r="AS283" t="s">
        <v>1203</v>
      </c>
      <c r="AU283" t="s">
        <v>1204</v>
      </c>
      <c r="AW283" t="b">
        <v>0</v>
      </c>
      <c r="AY283" t="b">
        <v>0</v>
      </c>
      <c r="BA283" t="s">
        <v>1579</v>
      </c>
      <c r="BB283" t="s">
        <v>1206</v>
      </c>
      <c r="BC283" t="s">
        <v>1206</v>
      </c>
      <c r="BD283" t="s">
        <v>1207</v>
      </c>
      <c r="BE283" t="s">
        <v>1296</v>
      </c>
      <c r="BF283" t="s">
        <v>1580</v>
      </c>
      <c r="BG283" t="s">
        <v>237</v>
      </c>
      <c r="BH283" t="s">
        <v>1206</v>
      </c>
      <c r="BI283" t="s">
        <v>1206</v>
      </c>
      <c r="BJ283" t="s">
        <v>1581</v>
      </c>
    </row>
    <row r="284" spans="1:62" x14ac:dyDescent="0.25">
      <c r="A284" t="s">
        <v>1177</v>
      </c>
      <c r="B284">
        <v>810440</v>
      </c>
      <c r="C284" t="s">
        <v>1258</v>
      </c>
      <c r="D284" s="112" t="s">
        <v>2707</v>
      </c>
      <c r="E284" t="s">
        <v>1119</v>
      </c>
      <c r="F284" t="s">
        <v>1178</v>
      </c>
      <c r="G284" t="s">
        <v>1735</v>
      </c>
      <c r="H284" t="s">
        <v>1674</v>
      </c>
      <c r="I284">
        <v>12</v>
      </c>
      <c r="J284" t="s">
        <v>1279</v>
      </c>
      <c r="K284">
        <v>12174</v>
      </c>
      <c r="L284" t="s">
        <v>1571</v>
      </c>
      <c r="M284">
        <v>12174239</v>
      </c>
      <c r="N284" t="s">
        <v>1572</v>
      </c>
      <c r="O284">
        <v>12174239647</v>
      </c>
      <c r="P284" t="s">
        <v>1610</v>
      </c>
      <c r="Q284" t="s">
        <v>1675</v>
      </c>
      <c r="R284" t="s">
        <v>1676</v>
      </c>
      <c r="S284" t="s">
        <v>1674</v>
      </c>
      <c r="T284" t="s">
        <v>1677</v>
      </c>
      <c r="U284" t="s">
        <v>1187</v>
      </c>
      <c r="V284" t="s">
        <v>1188</v>
      </c>
      <c r="W284">
        <v>620</v>
      </c>
      <c r="X284" t="s">
        <v>1189</v>
      </c>
      <c r="Y284">
        <v>12</v>
      </c>
      <c r="Z284">
        <v>7440</v>
      </c>
      <c r="AA284" t="s">
        <v>28</v>
      </c>
      <c r="AB284" t="s">
        <v>1190</v>
      </c>
      <c r="AC284">
        <v>620</v>
      </c>
      <c r="AD284" t="s">
        <v>1289</v>
      </c>
      <c r="AE284" t="s">
        <v>1290</v>
      </c>
      <c r="AF284" t="s">
        <v>1193</v>
      </c>
      <c r="AG284" t="s">
        <v>1194</v>
      </c>
      <c r="AH284" t="s">
        <v>1195</v>
      </c>
      <c r="AI284" t="s">
        <v>1202</v>
      </c>
      <c r="AJ284" t="s">
        <v>1291</v>
      </c>
      <c r="AK284" t="s">
        <v>1292</v>
      </c>
      <c r="AL284" t="s">
        <v>1291</v>
      </c>
      <c r="AM284" t="s">
        <v>1577</v>
      </c>
      <c r="AN284" t="s">
        <v>1201</v>
      </c>
      <c r="AO284" t="s">
        <v>1292</v>
      </c>
      <c r="AP284" t="s">
        <v>1578</v>
      </c>
      <c r="AQ284" t="s">
        <v>1203</v>
      </c>
      <c r="AR284" t="s">
        <v>1201</v>
      </c>
      <c r="AS284" t="s">
        <v>1203</v>
      </c>
      <c r="AU284" t="s">
        <v>1204</v>
      </c>
      <c r="AW284" t="b">
        <v>0</v>
      </c>
      <c r="AY284" t="b">
        <v>0</v>
      </c>
      <c r="BA284" t="s">
        <v>1579</v>
      </c>
      <c r="BB284" t="s">
        <v>1206</v>
      </c>
      <c r="BC284" t="s">
        <v>1206</v>
      </c>
      <c r="BD284" t="s">
        <v>1207</v>
      </c>
      <c r="BE284" t="s">
        <v>1296</v>
      </c>
      <c r="BF284" t="s">
        <v>1580</v>
      </c>
      <c r="BG284" t="s">
        <v>237</v>
      </c>
      <c r="BH284" t="s">
        <v>1206</v>
      </c>
      <c r="BI284" t="s">
        <v>1206</v>
      </c>
      <c r="BJ284" t="s">
        <v>1581</v>
      </c>
    </row>
    <row r="285" spans="1:62" x14ac:dyDescent="0.25">
      <c r="A285" t="s">
        <v>1177</v>
      </c>
      <c r="B285">
        <v>810444</v>
      </c>
      <c r="C285" t="s">
        <v>1258</v>
      </c>
      <c r="D285" s="112" t="s">
        <v>2708</v>
      </c>
      <c r="E285" t="s">
        <v>1119</v>
      </c>
      <c r="F285" t="s">
        <v>1178</v>
      </c>
      <c r="G285" t="s">
        <v>1736</v>
      </c>
      <c r="H285" t="s">
        <v>1615</v>
      </c>
      <c r="I285">
        <v>12</v>
      </c>
      <c r="J285" t="s">
        <v>1279</v>
      </c>
      <c r="K285">
        <v>12174</v>
      </c>
      <c r="L285" t="s">
        <v>1571</v>
      </c>
      <c r="M285">
        <v>12174239</v>
      </c>
      <c r="N285" t="s">
        <v>1572</v>
      </c>
      <c r="O285">
        <v>12174239647</v>
      </c>
      <c r="P285" t="s">
        <v>1610</v>
      </c>
      <c r="Q285" t="s">
        <v>1616</v>
      </c>
      <c r="R285" t="s">
        <v>1617</v>
      </c>
      <c r="S285" t="s">
        <v>1615</v>
      </c>
      <c r="T285" t="s">
        <v>1618</v>
      </c>
      <c r="U285" t="s">
        <v>1237</v>
      </c>
      <c r="V285" t="s">
        <v>1238</v>
      </c>
      <c r="W285">
        <v>275</v>
      </c>
      <c r="X285" t="s">
        <v>1189</v>
      </c>
      <c r="Y285">
        <v>24</v>
      </c>
      <c r="Z285">
        <v>6600</v>
      </c>
      <c r="AA285" t="s">
        <v>28</v>
      </c>
      <c r="AB285" t="s">
        <v>1190</v>
      </c>
      <c r="AC285">
        <v>275</v>
      </c>
      <c r="AD285" t="s">
        <v>1191</v>
      </c>
      <c r="AE285" t="s">
        <v>1192</v>
      </c>
      <c r="AF285" t="s">
        <v>1193</v>
      </c>
      <c r="AG285" t="s">
        <v>1194</v>
      </c>
      <c r="AH285" t="s">
        <v>1195</v>
      </c>
      <c r="AI285" t="s">
        <v>1202</v>
      </c>
      <c r="AJ285" t="s">
        <v>1291</v>
      </c>
      <c r="AK285" t="s">
        <v>1292</v>
      </c>
      <c r="AL285" t="s">
        <v>1291</v>
      </c>
      <c r="AM285" t="s">
        <v>1321</v>
      </c>
      <c r="AN285" t="s">
        <v>1201</v>
      </c>
      <c r="AO285" t="s">
        <v>1292</v>
      </c>
      <c r="AP285" t="s">
        <v>1322</v>
      </c>
      <c r="AQ285" t="s">
        <v>1203</v>
      </c>
      <c r="AR285" t="s">
        <v>1201</v>
      </c>
      <c r="AS285" t="s">
        <v>1203</v>
      </c>
      <c r="AU285" t="s">
        <v>1204</v>
      </c>
      <c r="AW285" t="b">
        <v>0</v>
      </c>
      <c r="AY285" t="b">
        <v>0</v>
      </c>
      <c r="BA285" t="s">
        <v>1579</v>
      </c>
      <c r="BB285" t="s">
        <v>1206</v>
      </c>
      <c r="BC285" t="s">
        <v>1206</v>
      </c>
      <c r="BD285" t="s">
        <v>1207</v>
      </c>
      <c r="BE285" t="s">
        <v>1296</v>
      </c>
      <c r="BF285" t="s">
        <v>1580</v>
      </c>
      <c r="BG285" t="s">
        <v>237</v>
      </c>
      <c r="BH285" t="s">
        <v>1206</v>
      </c>
      <c r="BI285" t="s">
        <v>1206</v>
      </c>
      <c r="BJ285" t="s">
        <v>1581</v>
      </c>
    </row>
    <row r="286" spans="1:62" x14ac:dyDescent="0.25">
      <c r="A286" t="s">
        <v>1177</v>
      </c>
      <c r="B286">
        <v>810335</v>
      </c>
      <c r="C286" t="s">
        <v>1258</v>
      </c>
      <c r="D286" s="112" t="s">
        <v>2709</v>
      </c>
      <c r="E286" t="s">
        <v>1119</v>
      </c>
      <c r="F286" t="s">
        <v>1178</v>
      </c>
      <c r="G286" t="s">
        <v>1737</v>
      </c>
      <c r="H286" t="s">
        <v>1738</v>
      </c>
      <c r="I286">
        <v>12</v>
      </c>
      <c r="J286" t="s">
        <v>1279</v>
      </c>
      <c r="K286">
        <v>12174</v>
      </c>
      <c r="L286" t="s">
        <v>1571</v>
      </c>
      <c r="M286">
        <v>12174239</v>
      </c>
      <c r="N286" t="s">
        <v>1572</v>
      </c>
      <c r="O286">
        <v>12174239647</v>
      </c>
      <c r="P286" t="s">
        <v>1610</v>
      </c>
      <c r="Q286" t="s">
        <v>1616</v>
      </c>
      <c r="R286" t="s">
        <v>1617</v>
      </c>
      <c r="S286" t="s">
        <v>1738</v>
      </c>
      <c r="T286" t="s">
        <v>1739</v>
      </c>
      <c r="U286" t="s">
        <v>1237</v>
      </c>
      <c r="V286" t="s">
        <v>1238</v>
      </c>
      <c r="W286">
        <v>275</v>
      </c>
      <c r="X286" t="s">
        <v>1189</v>
      </c>
      <c r="Y286">
        <v>12</v>
      </c>
      <c r="Z286">
        <v>3300</v>
      </c>
      <c r="AA286" t="s">
        <v>28</v>
      </c>
      <c r="AB286" t="s">
        <v>1190</v>
      </c>
      <c r="AC286">
        <v>275</v>
      </c>
      <c r="AD286" t="s">
        <v>1191</v>
      </c>
      <c r="AE286" t="s">
        <v>1192</v>
      </c>
      <c r="AF286" t="s">
        <v>1193</v>
      </c>
      <c r="AG286" t="s">
        <v>1194</v>
      </c>
      <c r="AH286" t="s">
        <v>1195</v>
      </c>
      <c r="AI286" t="s">
        <v>1202</v>
      </c>
      <c r="AJ286" t="s">
        <v>1291</v>
      </c>
      <c r="AK286" t="s">
        <v>1292</v>
      </c>
      <c r="AL286" t="s">
        <v>1291</v>
      </c>
      <c r="AM286" t="s">
        <v>1321</v>
      </c>
      <c r="AN286" t="s">
        <v>1201</v>
      </c>
      <c r="AO286" t="s">
        <v>1292</v>
      </c>
      <c r="AP286" t="s">
        <v>1322</v>
      </c>
      <c r="AQ286" t="s">
        <v>1203</v>
      </c>
      <c r="AR286" t="s">
        <v>1201</v>
      </c>
      <c r="AS286" t="s">
        <v>1203</v>
      </c>
      <c r="AU286" t="s">
        <v>1204</v>
      </c>
      <c r="AW286" t="b">
        <v>0</v>
      </c>
      <c r="AY286" t="b">
        <v>0</v>
      </c>
      <c r="BA286" t="s">
        <v>1579</v>
      </c>
      <c r="BB286" t="s">
        <v>1206</v>
      </c>
      <c r="BC286" t="s">
        <v>1206</v>
      </c>
      <c r="BD286" t="s">
        <v>1207</v>
      </c>
      <c r="BE286" t="s">
        <v>1296</v>
      </c>
      <c r="BF286" t="s">
        <v>1580</v>
      </c>
      <c r="BG286" t="s">
        <v>237</v>
      </c>
      <c r="BH286" t="s">
        <v>1206</v>
      </c>
      <c r="BI286" t="s">
        <v>1206</v>
      </c>
      <c r="BJ286" t="s">
        <v>1581</v>
      </c>
    </row>
    <row r="287" spans="1:62" x14ac:dyDescent="0.25">
      <c r="A287" t="s">
        <v>1177</v>
      </c>
      <c r="B287">
        <v>100200</v>
      </c>
      <c r="C287" t="s">
        <v>1258</v>
      </c>
      <c r="D287" s="112" t="s">
        <v>2710</v>
      </c>
      <c r="E287" t="s">
        <v>1119</v>
      </c>
      <c r="F287" t="s">
        <v>1178</v>
      </c>
      <c r="G287" t="s">
        <v>1740</v>
      </c>
      <c r="H287" t="s">
        <v>1741</v>
      </c>
      <c r="I287">
        <v>12</v>
      </c>
      <c r="J287" t="s">
        <v>1279</v>
      </c>
      <c r="K287">
        <v>12174</v>
      </c>
      <c r="L287" t="s">
        <v>1571</v>
      </c>
      <c r="M287">
        <v>12174239</v>
      </c>
      <c r="N287" t="s">
        <v>1572</v>
      </c>
      <c r="O287">
        <v>12174239647</v>
      </c>
      <c r="P287" t="s">
        <v>1610</v>
      </c>
      <c r="Q287" t="s">
        <v>1742</v>
      </c>
      <c r="R287" t="s">
        <v>1743</v>
      </c>
      <c r="S287" t="s">
        <v>1741</v>
      </c>
      <c r="T287" t="s">
        <v>1744</v>
      </c>
      <c r="U287" t="s">
        <v>1237</v>
      </c>
      <c r="V287" t="s">
        <v>1238</v>
      </c>
      <c r="W287">
        <v>135</v>
      </c>
      <c r="X287" t="s">
        <v>1189</v>
      </c>
      <c r="Y287">
        <v>48</v>
      </c>
      <c r="Z287">
        <v>6480</v>
      </c>
      <c r="AA287" t="s">
        <v>28</v>
      </c>
      <c r="AB287" t="s">
        <v>1190</v>
      </c>
      <c r="AC287">
        <v>135</v>
      </c>
      <c r="AD287" t="s">
        <v>1191</v>
      </c>
      <c r="AE287" t="s">
        <v>1192</v>
      </c>
      <c r="AF287" t="s">
        <v>1193</v>
      </c>
      <c r="AG287" t="s">
        <v>1194</v>
      </c>
      <c r="AH287" t="s">
        <v>1195</v>
      </c>
      <c r="AI287" t="s">
        <v>1202</v>
      </c>
      <c r="AJ287" t="s">
        <v>1291</v>
      </c>
      <c r="AK287" t="s">
        <v>1292</v>
      </c>
      <c r="AL287" t="s">
        <v>1291</v>
      </c>
      <c r="AM287" t="s">
        <v>1318</v>
      </c>
      <c r="AN287" t="s">
        <v>1201</v>
      </c>
      <c r="AO287" t="s">
        <v>1292</v>
      </c>
      <c r="AP287" t="s">
        <v>1319</v>
      </c>
      <c r="AQ287" t="s">
        <v>1203</v>
      </c>
      <c r="AR287" t="s">
        <v>1201</v>
      </c>
      <c r="AS287" t="s">
        <v>1203</v>
      </c>
      <c r="AU287" t="s">
        <v>1204</v>
      </c>
      <c r="AW287" t="b">
        <v>0</v>
      </c>
      <c r="AY287" t="b">
        <v>0</v>
      </c>
      <c r="BA287" t="s">
        <v>1579</v>
      </c>
      <c r="BB287" t="s">
        <v>1206</v>
      </c>
      <c r="BC287" t="s">
        <v>1206</v>
      </c>
      <c r="BD287" t="s">
        <v>1207</v>
      </c>
      <c r="BE287" t="s">
        <v>1296</v>
      </c>
      <c r="BF287" t="s">
        <v>1580</v>
      </c>
      <c r="BG287" t="s">
        <v>237</v>
      </c>
      <c r="BH287" t="s">
        <v>1206</v>
      </c>
      <c r="BI287" t="s">
        <v>1206</v>
      </c>
      <c r="BJ287" t="s">
        <v>1581</v>
      </c>
    </row>
    <row r="288" spans="1:62" x14ac:dyDescent="0.25">
      <c r="A288" t="s">
        <v>1177</v>
      </c>
      <c r="B288">
        <v>100208</v>
      </c>
      <c r="C288">
        <v>100208</v>
      </c>
      <c r="D288" s="112" t="s">
        <v>2711</v>
      </c>
      <c r="E288" t="s">
        <v>1119</v>
      </c>
      <c r="F288" t="s">
        <v>1178</v>
      </c>
      <c r="G288" t="s">
        <v>1745</v>
      </c>
      <c r="H288" s="135" t="s">
        <v>1746</v>
      </c>
      <c r="I288">
        <v>12</v>
      </c>
      <c r="J288" t="s">
        <v>1279</v>
      </c>
      <c r="K288">
        <v>12174</v>
      </c>
      <c r="L288" t="s">
        <v>1571</v>
      </c>
      <c r="M288">
        <v>12174239</v>
      </c>
      <c r="N288" t="s">
        <v>1572</v>
      </c>
      <c r="O288">
        <v>12174239647</v>
      </c>
      <c r="P288" t="s">
        <v>1610</v>
      </c>
      <c r="Q288" s="135" t="s">
        <v>1747</v>
      </c>
      <c r="R288" t="s">
        <v>1748</v>
      </c>
      <c r="S288" s="135" t="s">
        <v>1746</v>
      </c>
      <c r="T288" t="s">
        <v>1749</v>
      </c>
      <c r="U288" t="s">
        <v>1310</v>
      </c>
      <c r="V288" t="s">
        <v>1311</v>
      </c>
      <c r="W288">
        <v>60</v>
      </c>
      <c r="X288" t="s">
        <v>1342</v>
      </c>
      <c r="Y288">
        <v>48</v>
      </c>
      <c r="Z288">
        <v>2880</v>
      </c>
      <c r="AA288" t="s">
        <v>28</v>
      </c>
      <c r="AB288" t="s">
        <v>1190</v>
      </c>
      <c r="AC288">
        <v>60</v>
      </c>
      <c r="AD288" t="s">
        <v>1191</v>
      </c>
      <c r="AE288" t="s">
        <v>1192</v>
      </c>
      <c r="AF288" t="s">
        <v>1193</v>
      </c>
      <c r="AG288" t="s">
        <v>1194</v>
      </c>
      <c r="AH288" t="s">
        <v>1195</v>
      </c>
      <c r="AI288" t="s">
        <v>1202</v>
      </c>
      <c r="AJ288" t="s">
        <v>1291</v>
      </c>
      <c r="AK288" t="s">
        <v>1292</v>
      </c>
      <c r="AL288" t="s">
        <v>1291</v>
      </c>
      <c r="AM288" t="s">
        <v>1318</v>
      </c>
      <c r="AN288" t="s">
        <v>1201</v>
      </c>
      <c r="AO288" t="s">
        <v>1292</v>
      </c>
      <c r="AP288" t="s">
        <v>1319</v>
      </c>
      <c r="AQ288" t="s">
        <v>1203</v>
      </c>
      <c r="AR288" t="s">
        <v>1201</v>
      </c>
      <c r="AS288" t="s">
        <v>1203</v>
      </c>
      <c r="AU288" t="s">
        <v>1204</v>
      </c>
      <c r="AW288" t="b">
        <v>0</v>
      </c>
      <c r="AY288" t="b">
        <v>0</v>
      </c>
      <c r="BA288" t="s">
        <v>1579</v>
      </c>
      <c r="BB288" t="s">
        <v>1206</v>
      </c>
      <c r="BC288" t="s">
        <v>1206</v>
      </c>
      <c r="BD288" t="s">
        <v>1207</v>
      </c>
      <c r="BE288" t="s">
        <v>1296</v>
      </c>
      <c r="BF288" t="s">
        <v>1580</v>
      </c>
      <c r="BG288" t="s">
        <v>237</v>
      </c>
      <c r="BH288" t="s">
        <v>1206</v>
      </c>
      <c r="BI288" t="s">
        <v>1206</v>
      </c>
      <c r="BJ288" t="s">
        <v>1581</v>
      </c>
    </row>
    <row r="289" spans="1:62" x14ac:dyDescent="0.25">
      <c r="A289" t="s">
        <v>1177</v>
      </c>
      <c r="B289">
        <v>100204</v>
      </c>
      <c r="C289">
        <v>100204</v>
      </c>
      <c r="D289" s="112" t="s">
        <v>2712</v>
      </c>
      <c r="E289" t="s">
        <v>1119</v>
      </c>
      <c r="F289" t="s">
        <v>1178</v>
      </c>
      <c r="G289" t="s">
        <v>277</v>
      </c>
      <c r="H289" s="135" t="s">
        <v>1750</v>
      </c>
      <c r="I289">
        <v>12</v>
      </c>
      <c r="J289" t="s">
        <v>1279</v>
      </c>
      <c r="K289">
        <v>12174</v>
      </c>
      <c r="L289" t="s">
        <v>1571</v>
      </c>
      <c r="M289">
        <v>12174239</v>
      </c>
      <c r="N289" t="s">
        <v>1572</v>
      </c>
      <c r="O289">
        <v>12174239647</v>
      </c>
      <c r="P289" t="s">
        <v>1610</v>
      </c>
      <c r="Q289" s="135" t="s">
        <v>1751</v>
      </c>
      <c r="R289" t="s">
        <v>1752</v>
      </c>
      <c r="S289" s="135" t="s">
        <v>1750</v>
      </c>
      <c r="T289" t="s">
        <v>1753</v>
      </c>
      <c r="U289" t="s">
        <v>1310</v>
      </c>
      <c r="V289" t="s">
        <v>1311</v>
      </c>
      <c r="W289">
        <v>70</v>
      </c>
      <c r="X289" t="s">
        <v>1342</v>
      </c>
      <c r="Y289">
        <v>48</v>
      </c>
      <c r="Z289">
        <v>3360</v>
      </c>
      <c r="AA289" t="s">
        <v>28</v>
      </c>
      <c r="AB289" t="s">
        <v>1190</v>
      </c>
      <c r="AC289">
        <v>70</v>
      </c>
      <c r="AD289" t="s">
        <v>1191</v>
      </c>
      <c r="AE289" t="s">
        <v>1192</v>
      </c>
      <c r="AF289" t="s">
        <v>1193</v>
      </c>
      <c r="AG289" t="s">
        <v>1194</v>
      </c>
      <c r="AH289" t="s">
        <v>1195</v>
      </c>
      <c r="AI289" t="s">
        <v>1202</v>
      </c>
      <c r="AJ289" t="s">
        <v>1291</v>
      </c>
      <c r="AK289" t="s">
        <v>1292</v>
      </c>
      <c r="AL289" t="s">
        <v>1291</v>
      </c>
      <c r="AM289" t="s">
        <v>1318</v>
      </c>
      <c r="AN289" t="s">
        <v>1201</v>
      </c>
      <c r="AO289" t="s">
        <v>1292</v>
      </c>
      <c r="AP289" t="s">
        <v>1319</v>
      </c>
      <c r="AQ289" t="s">
        <v>1203</v>
      </c>
      <c r="AR289" t="s">
        <v>1201</v>
      </c>
      <c r="AS289" t="s">
        <v>1203</v>
      </c>
      <c r="AU289" t="s">
        <v>1204</v>
      </c>
      <c r="AW289" t="b">
        <v>0</v>
      </c>
      <c r="AY289" t="b">
        <v>0</v>
      </c>
      <c r="BA289" t="s">
        <v>1579</v>
      </c>
      <c r="BB289" t="s">
        <v>1206</v>
      </c>
      <c r="BC289" t="s">
        <v>1206</v>
      </c>
      <c r="BD289" t="s">
        <v>1207</v>
      </c>
      <c r="BE289" t="s">
        <v>1296</v>
      </c>
      <c r="BF289" t="s">
        <v>1580</v>
      </c>
      <c r="BG289" t="s">
        <v>237</v>
      </c>
      <c r="BH289" t="s">
        <v>1206</v>
      </c>
      <c r="BI289" t="s">
        <v>1206</v>
      </c>
      <c r="BJ289" t="s">
        <v>1581</v>
      </c>
    </row>
    <row r="290" spans="1:62" x14ac:dyDescent="0.25">
      <c r="A290" t="s">
        <v>1177</v>
      </c>
      <c r="B290">
        <v>100203</v>
      </c>
      <c r="C290">
        <v>100203</v>
      </c>
      <c r="D290" s="112" t="s">
        <v>2713</v>
      </c>
      <c r="E290" t="s">
        <v>1119</v>
      </c>
      <c r="F290" t="s">
        <v>1178</v>
      </c>
      <c r="G290" t="s">
        <v>279</v>
      </c>
      <c r="H290" t="s">
        <v>1741</v>
      </c>
      <c r="I290">
        <v>12</v>
      </c>
      <c r="J290" t="s">
        <v>1279</v>
      </c>
      <c r="K290">
        <v>12174</v>
      </c>
      <c r="L290" t="s">
        <v>1571</v>
      </c>
      <c r="M290">
        <v>12174239</v>
      </c>
      <c r="N290" t="s">
        <v>1572</v>
      </c>
      <c r="O290">
        <v>12174239647</v>
      </c>
      <c r="P290" t="s">
        <v>1610</v>
      </c>
      <c r="Q290" t="s">
        <v>1742</v>
      </c>
      <c r="R290" t="s">
        <v>1743</v>
      </c>
      <c r="S290" t="s">
        <v>1741</v>
      </c>
      <c r="T290" t="s">
        <v>1744</v>
      </c>
      <c r="U290" t="s">
        <v>1237</v>
      </c>
      <c r="V290" t="s">
        <v>1238</v>
      </c>
      <c r="W290">
        <v>135</v>
      </c>
      <c r="X290" t="s">
        <v>1189</v>
      </c>
      <c r="Y290">
        <v>48</v>
      </c>
      <c r="Z290">
        <v>6480</v>
      </c>
      <c r="AA290" t="s">
        <v>28</v>
      </c>
      <c r="AB290" t="s">
        <v>1190</v>
      </c>
      <c r="AC290">
        <v>135</v>
      </c>
      <c r="AD290" t="s">
        <v>1191</v>
      </c>
      <c r="AE290" t="s">
        <v>1192</v>
      </c>
      <c r="AF290" t="s">
        <v>1193</v>
      </c>
      <c r="AG290" t="s">
        <v>1194</v>
      </c>
      <c r="AH290" t="s">
        <v>1195</v>
      </c>
      <c r="AI290" t="s">
        <v>1202</v>
      </c>
      <c r="AJ290" t="s">
        <v>1291</v>
      </c>
      <c r="AK290" t="s">
        <v>1292</v>
      </c>
      <c r="AL290" t="s">
        <v>1291</v>
      </c>
      <c r="AM290" t="s">
        <v>1318</v>
      </c>
      <c r="AN290" t="s">
        <v>1201</v>
      </c>
      <c r="AO290" t="s">
        <v>1292</v>
      </c>
      <c r="AP290" t="s">
        <v>1319</v>
      </c>
      <c r="AQ290" t="s">
        <v>1203</v>
      </c>
      <c r="AR290" t="s">
        <v>1201</v>
      </c>
      <c r="AS290" t="s">
        <v>1203</v>
      </c>
      <c r="AU290" t="s">
        <v>1204</v>
      </c>
      <c r="AW290" t="b">
        <v>0</v>
      </c>
      <c r="AY290" t="b">
        <v>0</v>
      </c>
      <c r="BA290" t="s">
        <v>1579</v>
      </c>
      <c r="BB290" t="s">
        <v>1206</v>
      </c>
      <c r="BC290" t="s">
        <v>1206</v>
      </c>
      <c r="BD290" t="s">
        <v>1207</v>
      </c>
      <c r="BE290" t="s">
        <v>1296</v>
      </c>
      <c r="BF290" t="s">
        <v>1580</v>
      </c>
      <c r="BG290" t="s">
        <v>237</v>
      </c>
      <c r="BH290" t="s">
        <v>1206</v>
      </c>
      <c r="BI290" t="s">
        <v>1206</v>
      </c>
      <c r="BJ290" t="s">
        <v>1581</v>
      </c>
    </row>
    <row r="291" spans="1:62" x14ac:dyDescent="0.25">
      <c r="A291" t="s">
        <v>1177</v>
      </c>
      <c r="B291">
        <v>100982</v>
      </c>
      <c r="C291">
        <v>100982</v>
      </c>
      <c r="D291" s="112" t="s">
        <v>2714</v>
      </c>
      <c r="E291" t="s">
        <v>1119</v>
      </c>
      <c r="F291" t="s">
        <v>1178</v>
      </c>
      <c r="G291" t="s">
        <v>1754</v>
      </c>
      <c r="H291" s="135" t="s">
        <v>1755</v>
      </c>
      <c r="I291">
        <v>12</v>
      </c>
      <c r="J291" t="s">
        <v>1279</v>
      </c>
      <c r="K291">
        <v>12174</v>
      </c>
      <c r="L291" t="s">
        <v>1571</v>
      </c>
      <c r="M291">
        <v>12174239</v>
      </c>
      <c r="N291" t="s">
        <v>1572</v>
      </c>
      <c r="O291">
        <v>12174239647</v>
      </c>
      <c r="P291" t="s">
        <v>1610</v>
      </c>
      <c r="Q291" s="135" t="s">
        <v>1756</v>
      </c>
      <c r="R291" t="s">
        <v>1757</v>
      </c>
      <c r="S291" s="135" t="s">
        <v>1755</v>
      </c>
      <c r="T291" t="s">
        <v>1758</v>
      </c>
      <c r="U291" t="s">
        <v>1310</v>
      </c>
      <c r="V291" t="s">
        <v>1311</v>
      </c>
      <c r="W291">
        <v>925</v>
      </c>
      <c r="X291" t="s">
        <v>1342</v>
      </c>
      <c r="Y291">
        <v>12</v>
      </c>
      <c r="Z291">
        <v>11100</v>
      </c>
      <c r="AA291" t="s">
        <v>28</v>
      </c>
      <c r="AB291" t="s">
        <v>1190</v>
      </c>
      <c r="AC291">
        <v>925</v>
      </c>
      <c r="AD291" t="s">
        <v>1289</v>
      </c>
      <c r="AE291" t="s">
        <v>1290</v>
      </c>
      <c r="AF291" t="s">
        <v>1193</v>
      </c>
      <c r="AG291" t="s">
        <v>1194</v>
      </c>
      <c r="AH291" t="s">
        <v>1195</v>
      </c>
      <c r="AI291" t="s">
        <v>1202</v>
      </c>
      <c r="AJ291" t="s">
        <v>1291</v>
      </c>
      <c r="AK291" t="s">
        <v>1292</v>
      </c>
      <c r="AL291" t="s">
        <v>1291</v>
      </c>
      <c r="AM291" t="s">
        <v>1577</v>
      </c>
      <c r="AN291" t="s">
        <v>1201</v>
      </c>
      <c r="AO291" t="s">
        <v>1292</v>
      </c>
      <c r="AP291" t="s">
        <v>1578</v>
      </c>
      <c r="AQ291" t="s">
        <v>1203</v>
      </c>
      <c r="AR291" t="s">
        <v>1201</v>
      </c>
      <c r="AS291" t="s">
        <v>1203</v>
      </c>
      <c r="AU291" t="s">
        <v>1204</v>
      </c>
      <c r="AW291" t="b">
        <v>0</v>
      </c>
      <c r="AY291" t="b">
        <v>0</v>
      </c>
      <c r="BA291" t="s">
        <v>1579</v>
      </c>
      <c r="BB291" t="s">
        <v>1206</v>
      </c>
      <c r="BC291" t="s">
        <v>1206</v>
      </c>
      <c r="BD291" t="s">
        <v>1207</v>
      </c>
      <c r="BE291" t="s">
        <v>1296</v>
      </c>
      <c r="BF291" t="s">
        <v>1580</v>
      </c>
      <c r="BG291" t="s">
        <v>237</v>
      </c>
      <c r="BH291" t="s">
        <v>1206</v>
      </c>
      <c r="BI291" t="s">
        <v>1206</v>
      </c>
      <c r="BJ291" t="s">
        <v>1581</v>
      </c>
    </row>
    <row r="292" spans="1:62" x14ac:dyDescent="0.25">
      <c r="A292" t="s">
        <v>1177</v>
      </c>
      <c r="B292">
        <v>100199</v>
      </c>
      <c r="C292" t="s">
        <v>1258</v>
      </c>
      <c r="D292" s="112" t="s">
        <v>2715</v>
      </c>
      <c r="E292" t="s">
        <v>1119</v>
      </c>
      <c r="F292" t="s">
        <v>1178</v>
      </c>
      <c r="G292" t="s">
        <v>1759</v>
      </c>
      <c r="H292" t="s">
        <v>1615</v>
      </c>
      <c r="I292">
        <v>12</v>
      </c>
      <c r="J292" t="s">
        <v>1279</v>
      </c>
      <c r="K292">
        <v>12174</v>
      </c>
      <c r="L292" t="s">
        <v>1571</v>
      </c>
      <c r="M292">
        <v>12174239</v>
      </c>
      <c r="N292" t="s">
        <v>1572</v>
      </c>
      <c r="O292">
        <v>12174239647</v>
      </c>
      <c r="P292" t="s">
        <v>1610</v>
      </c>
      <c r="Q292" t="s">
        <v>1616</v>
      </c>
      <c r="R292" t="s">
        <v>1617</v>
      </c>
      <c r="S292" t="s">
        <v>1615</v>
      </c>
      <c r="T292" t="s">
        <v>1618</v>
      </c>
      <c r="U292" t="s">
        <v>1237</v>
      </c>
      <c r="V292" t="s">
        <v>1238</v>
      </c>
      <c r="W292">
        <v>275</v>
      </c>
      <c r="X292" t="s">
        <v>1189</v>
      </c>
      <c r="Y292">
        <v>24</v>
      </c>
      <c r="Z292">
        <v>6600</v>
      </c>
      <c r="AA292" t="s">
        <v>28</v>
      </c>
      <c r="AB292" t="s">
        <v>1190</v>
      </c>
      <c r="AC292">
        <v>275</v>
      </c>
      <c r="AD292" t="s">
        <v>1191</v>
      </c>
      <c r="AE292" t="s">
        <v>1192</v>
      </c>
      <c r="AF292" t="s">
        <v>1193</v>
      </c>
      <c r="AG292" t="s">
        <v>1194</v>
      </c>
      <c r="AH292" t="s">
        <v>1195</v>
      </c>
      <c r="AI292" t="s">
        <v>1202</v>
      </c>
      <c r="AJ292" t="s">
        <v>1291</v>
      </c>
      <c r="AK292" t="s">
        <v>1292</v>
      </c>
      <c r="AL292" t="s">
        <v>1291</v>
      </c>
      <c r="AM292" t="s">
        <v>1293</v>
      </c>
      <c r="AN292" t="s">
        <v>1201</v>
      </c>
      <c r="AO292" t="s">
        <v>1292</v>
      </c>
      <c r="AP292" t="s">
        <v>1294</v>
      </c>
      <c r="AQ292" t="s">
        <v>1203</v>
      </c>
      <c r="AR292" t="s">
        <v>1201</v>
      </c>
      <c r="AS292" t="s">
        <v>1203</v>
      </c>
      <c r="AU292" t="s">
        <v>1204</v>
      </c>
      <c r="AW292" t="b">
        <v>0</v>
      </c>
      <c r="AY292" t="b">
        <v>0</v>
      </c>
      <c r="BA292" t="s">
        <v>1579</v>
      </c>
      <c r="BB292" t="s">
        <v>1206</v>
      </c>
      <c r="BC292" t="s">
        <v>1206</v>
      </c>
      <c r="BD292" t="s">
        <v>1207</v>
      </c>
      <c r="BE292" t="s">
        <v>1296</v>
      </c>
      <c r="BF292" t="s">
        <v>1580</v>
      </c>
      <c r="BG292" t="s">
        <v>237</v>
      </c>
      <c r="BH292" t="s">
        <v>1206</v>
      </c>
      <c r="BI292" t="s">
        <v>1206</v>
      </c>
      <c r="BJ292" t="s">
        <v>1581</v>
      </c>
    </row>
    <row r="293" spans="1:62" x14ac:dyDescent="0.25">
      <c r="A293" t="s">
        <v>1177</v>
      </c>
      <c r="B293">
        <v>100198</v>
      </c>
      <c r="C293" t="s">
        <v>1258</v>
      </c>
      <c r="D293" s="112" t="s">
        <v>2716</v>
      </c>
      <c r="E293" t="s">
        <v>1119</v>
      </c>
      <c r="F293" t="s">
        <v>1178</v>
      </c>
      <c r="G293" t="s">
        <v>1760</v>
      </c>
      <c r="H293" t="s">
        <v>1741</v>
      </c>
      <c r="I293">
        <v>12</v>
      </c>
      <c r="J293" t="s">
        <v>1279</v>
      </c>
      <c r="K293">
        <v>12174</v>
      </c>
      <c r="L293" t="s">
        <v>1571</v>
      </c>
      <c r="M293">
        <v>12174239</v>
      </c>
      <c r="N293" t="s">
        <v>1572</v>
      </c>
      <c r="O293">
        <v>12174239647</v>
      </c>
      <c r="P293" t="s">
        <v>1610</v>
      </c>
      <c r="Q293" t="s">
        <v>1742</v>
      </c>
      <c r="R293" t="s">
        <v>1743</v>
      </c>
      <c r="S293" t="s">
        <v>1741</v>
      </c>
      <c r="T293" t="s">
        <v>1744</v>
      </c>
      <c r="U293" t="s">
        <v>1237</v>
      </c>
      <c r="V293" t="s">
        <v>1238</v>
      </c>
      <c r="W293">
        <v>135</v>
      </c>
      <c r="X293" t="s">
        <v>1189</v>
      </c>
      <c r="Y293">
        <v>48</v>
      </c>
      <c r="Z293">
        <v>6480</v>
      </c>
      <c r="AA293" t="s">
        <v>28</v>
      </c>
      <c r="AB293" t="s">
        <v>1190</v>
      </c>
      <c r="AC293">
        <v>135</v>
      </c>
      <c r="AD293" t="s">
        <v>1191</v>
      </c>
      <c r="AE293" t="s">
        <v>1192</v>
      </c>
      <c r="AF293" t="s">
        <v>1193</v>
      </c>
      <c r="AG293" t="s">
        <v>1194</v>
      </c>
      <c r="AH293" t="s">
        <v>1195</v>
      </c>
      <c r="AI293" t="s">
        <v>1202</v>
      </c>
      <c r="AJ293" t="s">
        <v>1291</v>
      </c>
      <c r="AK293" t="s">
        <v>1292</v>
      </c>
      <c r="AL293" t="s">
        <v>1291</v>
      </c>
      <c r="AM293" t="s">
        <v>1293</v>
      </c>
      <c r="AN293" t="s">
        <v>1201</v>
      </c>
      <c r="AO293" t="s">
        <v>1292</v>
      </c>
      <c r="AP293" t="s">
        <v>1294</v>
      </c>
      <c r="AQ293" t="s">
        <v>1203</v>
      </c>
      <c r="AR293" t="s">
        <v>1201</v>
      </c>
      <c r="AS293" t="s">
        <v>1203</v>
      </c>
      <c r="AU293" t="s">
        <v>1204</v>
      </c>
      <c r="AW293" t="b">
        <v>0</v>
      </c>
      <c r="AY293" t="b">
        <v>0</v>
      </c>
      <c r="BA293" t="s">
        <v>1579</v>
      </c>
      <c r="BB293" t="s">
        <v>1206</v>
      </c>
      <c r="BC293" t="s">
        <v>1206</v>
      </c>
      <c r="BD293" t="s">
        <v>1207</v>
      </c>
      <c r="BE293" t="s">
        <v>1296</v>
      </c>
      <c r="BF293" t="s">
        <v>1580</v>
      </c>
      <c r="BG293" t="s">
        <v>237</v>
      </c>
      <c r="BH293" t="s">
        <v>1206</v>
      </c>
      <c r="BI293" t="s">
        <v>1206</v>
      </c>
      <c r="BJ293" t="s">
        <v>1581</v>
      </c>
    </row>
    <row r="294" spans="1:62" x14ac:dyDescent="0.25">
      <c r="A294" t="s">
        <v>1177</v>
      </c>
      <c r="B294">
        <v>100202</v>
      </c>
      <c r="C294">
        <v>100202</v>
      </c>
      <c r="D294" s="112" t="s">
        <v>2717</v>
      </c>
      <c r="E294" t="s">
        <v>1119</v>
      </c>
      <c r="F294" t="s">
        <v>1178</v>
      </c>
      <c r="G294" t="s">
        <v>276</v>
      </c>
      <c r="H294" t="s">
        <v>1615</v>
      </c>
      <c r="I294">
        <v>12</v>
      </c>
      <c r="J294" t="s">
        <v>1279</v>
      </c>
      <c r="K294">
        <v>12174</v>
      </c>
      <c r="L294" t="s">
        <v>1571</v>
      </c>
      <c r="M294">
        <v>12174239</v>
      </c>
      <c r="N294" t="s">
        <v>1572</v>
      </c>
      <c r="O294">
        <v>12174239647</v>
      </c>
      <c r="P294" t="s">
        <v>1610</v>
      </c>
      <c r="Q294" t="s">
        <v>1616</v>
      </c>
      <c r="R294" t="s">
        <v>1617</v>
      </c>
      <c r="S294" t="s">
        <v>1615</v>
      </c>
      <c r="T294" t="s">
        <v>1618</v>
      </c>
      <c r="U294" t="s">
        <v>1237</v>
      </c>
      <c r="V294" t="s">
        <v>1238</v>
      </c>
      <c r="W294">
        <v>275</v>
      </c>
      <c r="X294" t="s">
        <v>1189</v>
      </c>
      <c r="Y294">
        <v>24</v>
      </c>
      <c r="Z294">
        <v>6600</v>
      </c>
      <c r="AA294" t="s">
        <v>28</v>
      </c>
      <c r="AB294" t="s">
        <v>1190</v>
      </c>
      <c r="AC294">
        <v>275</v>
      </c>
      <c r="AD294" t="s">
        <v>1191</v>
      </c>
      <c r="AE294" t="s">
        <v>1192</v>
      </c>
      <c r="AF294" t="s">
        <v>1193</v>
      </c>
      <c r="AG294" t="s">
        <v>1194</v>
      </c>
      <c r="AH294" t="s">
        <v>1195</v>
      </c>
      <c r="AI294" t="s">
        <v>1202</v>
      </c>
      <c r="AJ294" t="s">
        <v>1291</v>
      </c>
      <c r="AK294" t="s">
        <v>1292</v>
      </c>
      <c r="AL294" t="s">
        <v>1291</v>
      </c>
      <c r="AM294" t="s">
        <v>1293</v>
      </c>
      <c r="AN294" t="s">
        <v>1201</v>
      </c>
      <c r="AO294" t="s">
        <v>1292</v>
      </c>
      <c r="AP294" t="s">
        <v>1294</v>
      </c>
      <c r="AQ294" t="s">
        <v>1203</v>
      </c>
      <c r="AR294" t="s">
        <v>1201</v>
      </c>
      <c r="AS294" t="s">
        <v>1203</v>
      </c>
      <c r="AU294" t="s">
        <v>1204</v>
      </c>
      <c r="AW294" t="b">
        <v>0</v>
      </c>
      <c r="AY294" t="b">
        <v>0</v>
      </c>
      <c r="BA294" t="s">
        <v>1579</v>
      </c>
      <c r="BB294" t="s">
        <v>1206</v>
      </c>
      <c r="BC294" t="s">
        <v>1206</v>
      </c>
      <c r="BD294" t="s">
        <v>1207</v>
      </c>
      <c r="BE294" t="s">
        <v>1296</v>
      </c>
      <c r="BF294" t="s">
        <v>1580</v>
      </c>
      <c r="BG294" t="s">
        <v>237</v>
      </c>
      <c r="BH294" t="s">
        <v>1206</v>
      </c>
      <c r="BI294" t="s">
        <v>1206</v>
      </c>
      <c r="BJ294" t="s">
        <v>1581</v>
      </c>
    </row>
    <row r="295" spans="1:62" x14ac:dyDescent="0.25">
      <c r="A295" t="s">
        <v>1177</v>
      </c>
      <c r="B295">
        <v>100201</v>
      </c>
      <c r="C295">
        <v>100201</v>
      </c>
      <c r="D295" s="112" t="s">
        <v>2718</v>
      </c>
      <c r="E295" t="s">
        <v>1119</v>
      </c>
      <c r="F295" t="s">
        <v>1178</v>
      </c>
      <c r="G295" t="s">
        <v>274</v>
      </c>
      <c r="H295" t="s">
        <v>1741</v>
      </c>
      <c r="I295">
        <v>12</v>
      </c>
      <c r="J295" t="s">
        <v>1279</v>
      </c>
      <c r="K295">
        <v>12174</v>
      </c>
      <c r="L295" t="s">
        <v>1571</v>
      </c>
      <c r="M295">
        <v>12174239</v>
      </c>
      <c r="N295" t="s">
        <v>1572</v>
      </c>
      <c r="O295">
        <v>12174239647</v>
      </c>
      <c r="P295" t="s">
        <v>1610</v>
      </c>
      <c r="Q295" t="s">
        <v>1742</v>
      </c>
      <c r="R295" t="s">
        <v>1743</v>
      </c>
      <c r="S295" t="s">
        <v>1741</v>
      </c>
      <c r="T295" t="s">
        <v>1744</v>
      </c>
      <c r="U295" t="s">
        <v>1237</v>
      </c>
      <c r="V295" t="s">
        <v>1238</v>
      </c>
      <c r="W295">
        <v>135</v>
      </c>
      <c r="X295" t="s">
        <v>1189</v>
      </c>
      <c r="Y295">
        <v>48</v>
      </c>
      <c r="Z295">
        <v>6480</v>
      </c>
      <c r="AA295" t="s">
        <v>28</v>
      </c>
      <c r="AB295" t="s">
        <v>1190</v>
      </c>
      <c r="AC295">
        <v>135</v>
      </c>
      <c r="AD295" t="s">
        <v>1191</v>
      </c>
      <c r="AE295" t="s">
        <v>1192</v>
      </c>
      <c r="AF295" t="s">
        <v>1193</v>
      </c>
      <c r="AG295" t="s">
        <v>1194</v>
      </c>
      <c r="AH295" t="s">
        <v>1195</v>
      </c>
      <c r="AI295" t="s">
        <v>1202</v>
      </c>
      <c r="AJ295" t="s">
        <v>1291</v>
      </c>
      <c r="AK295" t="s">
        <v>1292</v>
      </c>
      <c r="AL295" t="s">
        <v>1291</v>
      </c>
      <c r="AM295" t="s">
        <v>1293</v>
      </c>
      <c r="AN295" t="s">
        <v>1201</v>
      </c>
      <c r="AO295" t="s">
        <v>1292</v>
      </c>
      <c r="AP295" t="s">
        <v>1294</v>
      </c>
      <c r="AQ295" t="s">
        <v>1203</v>
      </c>
      <c r="AR295" t="s">
        <v>1201</v>
      </c>
      <c r="AS295" t="s">
        <v>1203</v>
      </c>
      <c r="AU295" t="s">
        <v>1204</v>
      </c>
      <c r="AW295" t="b">
        <v>0</v>
      </c>
      <c r="AY295" t="b">
        <v>0</v>
      </c>
      <c r="BA295" t="s">
        <v>1579</v>
      </c>
      <c r="BB295" t="s">
        <v>1206</v>
      </c>
      <c r="BC295" t="s">
        <v>1206</v>
      </c>
      <c r="BD295" t="s">
        <v>1207</v>
      </c>
      <c r="BE295" t="s">
        <v>1296</v>
      </c>
      <c r="BF295" t="s">
        <v>1580</v>
      </c>
      <c r="BG295" t="s">
        <v>237</v>
      </c>
      <c r="BH295" t="s">
        <v>1206</v>
      </c>
      <c r="BI295" t="s">
        <v>1206</v>
      </c>
      <c r="BJ295" t="s">
        <v>1581</v>
      </c>
    </row>
    <row r="296" spans="1:62" x14ac:dyDescent="0.25">
      <c r="A296" t="s">
        <v>1177</v>
      </c>
      <c r="B296">
        <v>100136</v>
      </c>
      <c r="C296">
        <v>100136</v>
      </c>
      <c r="D296" s="112" t="s">
        <v>2719</v>
      </c>
      <c r="E296" t="s">
        <v>1119</v>
      </c>
      <c r="F296" t="s">
        <v>1178</v>
      </c>
      <c r="G296" t="s">
        <v>1761</v>
      </c>
      <c r="H296" s="135" t="s">
        <v>1750</v>
      </c>
      <c r="I296">
        <v>12</v>
      </c>
      <c r="J296" t="s">
        <v>1279</v>
      </c>
      <c r="K296">
        <v>12174</v>
      </c>
      <c r="L296" t="s">
        <v>1571</v>
      </c>
      <c r="M296">
        <v>12174239</v>
      </c>
      <c r="N296" t="s">
        <v>1572</v>
      </c>
      <c r="O296">
        <v>12174239647</v>
      </c>
      <c r="P296" t="s">
        <v>1610</v>
      </c>
      <c r="Q296" s="135" t="s">
        <v>1751</v>
      </c>
      <c r="R296" t="s">
        <v>1752</v>
      </c>
      <c r="S296" s="135" t="s">
        <v>1750</v>
      </c>
      <c r="T296" t="s">
        <v>1753</v>
      </c>
      <c r="U296" t="s">
        <v>1310</v>
      </c>
      <c r="V296" t="s">
        <v>1311</v>
      </c>
      <c r="W296">
        <v>70</v>
      </c>
      <c r="X296" t="s">
        <v>1342</v>
      </c>
      <c r="Y296">
        <v>48</v>
      </c>
      <c r="Z296">
        <v>3360</v>
      </c>
      <c r="AA296" t="s">
        <v>28</v>
      </c>
      <c r="AB296" t="s">
        <v>1190</v>
      </c>
      <c r="AC296">
        <v>70</v>
      </c>
      <c r="AD296" t="s">
        <v>1191</v>
      </c>
      <c r="AE296" t="s">
        <v>1192</v>
      </c>
      <c r="AF296" t="s">
        <v>1193</v>
      </c>
      <c r="AG296" t="s">
        <v>1194</v>
      </c>
      <c r="AH296" t="s">
        <v>1195</v>
      </c>
      <c r="AI296" t="s">
        <v>1202</v>
      </c>
      <c r="AJ296" t="s">
        <v>1291</v>
      </c>
      <c r="AK296" t="s">
        <v>1292</v>
      </c>
      <c r="AL296" t="s">
        <v>1291</v>
      </c>
      <c r="AM296" t="s">
        <v>1321</v>
      </c>
      <c r="AN296" t="s">
        <v>1201</v>
      </c>
      <c r="AO296" t="s">
        <v>1292</v>
      </c>
      <c r="AP296" t="s">
        <v>1322</v>
      </c>
      <c r="AQ296" t="s">
        <v>1203</v>
      </c>
      <c r="AR296" t="s">
        <v>1201</v>
      </c>
      <c r="AS296" t="s">
        <v>1203</v>
      </c>
      <c r="AU296" t="s">
        <v>1204</v>
      </c>
      <c r="AW296" t="b">
        <v>0</v>
      </c>
      <c r="AY296" t="b">
        <v>1</v>
      </c>
      <c r="BA296" t="s">
        <v>1579</v>
      </c>
      <c r="BB296" t="s">
        <v>1206</v>
      </c>
      <c r="BC296" t="s">
        <v>1206</v>
      </c>
      <c r="BD296" t="s">
        <v>1207</v>
      </c>
      <c r="BE296" t="s">
        <v>1296</v>
      </c>
      <c r="BF296" t="s">
        <v>1580</v>
      </c>
      <c r="BG296" t="s">
        <v>237</v>
      </c>
      <c r="BH296" t="s">
        <v>1206</v>
      </c>
      <c r="BI296" t="s">
        <v>1206</v>
      </c>
      <c r="BJ296" t="s">
        <v>1581</v>
      </c>
    </row>
    <row r="297" spans="1:62" x14ac:dyDescent="0.25">
      <c r="A297" t="s">
        <v>1177</v>
      </c>
      <c r="B297">
        <v>100138</v>
      </c>
      <c r="C297">
        <v>100138</v>
      </c>
      <c r="D297" s="112" t="s">
        <v>2720</v>
      </c>
      <c r="E297" t="s">
        <v>1119</v>
      </c>
      <c r="F297" t="s">
        <v>1178</v>
      </c>
      <c r="G297" t="s">
        <v>1762</v>
      </c>
      <c r="H297" t="s">
        <v>1741</v>
      </c>
      <c r="I297">
        <v>12</v>
      </c>
      <c r="J297" t="s">
        <v>1279</v>
      </c>
      <c r="K297">
        <v>12174</v>
      </c>
      <c r="L297" t="s">
        <v>1571</v>
      </c>
      <c r="M297">
        <v>12174239</v>
      </c>
      <c r="N297" t="s">
        <v>1572</v>
      </c>
      <c r="O297">
        <v>12174239647</v>
      </c>
      <c r="P297" t="s">
        <v>1610</v>
      </c>
      <c r="Q297" t="s">
        <v>1742</v>
      </c>
      <c r="R297" t="s">
        <v>1743</v>
      </c>
      <c r="S297" t="s">
        <v>1741</v>
      </c>
      <c r="T297" t="s">
        <v>1744</v>
      </c>
      <c r="U297" t="s">
        <v>1237</v>
      </c>
      <c r="V297" t="s">
        <v>1238</v>
      </c>
      <c r="W297">
        <v>135</v>
      </c>
      <c r="X297" t="s">
        <v>1189</v>
      </c>
      <c r="Y297">
        <v>48</v>
      </c>
      <c r="Z297">
        <v>6480</v>
      </c>
      <c r="AA297" t="s">
        <v>28</v>
      </c>
      <c r="AB297" t="s">
        <v>1190</v>
      </c>
      <c r="AC297">
        <v>135</v>
      </c>
      <c r="AD297" t="s">
        <v>1191</v>
      </c>
      <c r="AE297" t="s">
        <v>1192</v>
      </c>
      <c r="AF297" t="s">
        <v>1193</v>
      </c>
      <c r="AG297" t="s">
        <v>1194</v>
      </c>
      <c r="AH297" t="s">
        <v>1195</v>
      </c>
      <c r="AI297" t="s">
        <v>1202</v>
      </c>
      <c r="AJ297" t="s">
        <v>1291</v>
      </c>
      <c r="AK297" t="s">
        <v>1292</v>
      </c>
      <c r="AL297" t="s">
        <v>1291</v>
      </c>
      <c r="AM297" t="s">
        <v>1321</v>
      </c>
      <c r="AN297" t="s">
        <v>1201</v>
      </c>
      <c r="AO297" t="s">
        <v>1292</v>
      </c>
      <c r="AP297" t="s">
        <v>1322</v>
      </c>
      <c r="AQ297" t="s">
        <v>1203</v>
      </c>
      <c r="AR297" t="s">
        <v>1201</v>
      </c>
      <c r="AS297" t="s">
        <v>1203</v>
      </c>
      <c r="AU297" t="s">
        <v>1204</v>
      </c>
      <c r="AW297" t="b">
        <v>0</v>
      </c>
      <c r="AY297" t="b">
        <v>1</v>
      </c>
      <c r="BA297" t="s">
        <v>1579</v>
      </c>
      <c r="BB297" t="s">
        <v>1206</v>
      </c>
      <c r="BC297" t="s">
        <v>1206</v>
      </c>
      <c r="BD297" t="s">
        <v>1207</v>
      </c>
      <c r="BE297" t="s">
        <v>1296</v>
      </c>
      <c r="BF297" t="s">
        <v>1580</v>
      </c>
      <c r="BG297" t="s">
        <v>237</v>
      </c>
      <c r="BH297" t="s">
        <v>1206</v>
      </c>
      <c r="BI297" t="s">
        <v>1206</v>
      </c>
      <c r="BJ297" t="s">
        <v>1581</v>
      </c>
    </row>
    <row r="298" spans="1:62" x14ac:dyDescent="0.25">
      <c r="A298" t="s">
        <v>1177</v>
      </c>
      <c r="B298">
        <v>100194</v>
      </c>
      <c r="C298">
        <v>100194</v>
      </c>
      <c r="D298" s="112" t="s">
        <v>2721</v>
      </c>
      <c r="E298" t="s">
        <v>1119</v>
      </c>
      <c r="F298" t="s">
        <v>1178</v>
      </c>
      <c r="G298" t="s">
        <v>278</v>
      </c>
      <c r="H298" t="s">
        <v>1741</v>
      </c>
      <c r="I298">
        <v>12</v>
      </c>
      <c r="J298" t="s">
        <v>1279</v>
      </c>
      <c r="K298">
        <v>12174</v>
      </c>
      <c r="L298" t="s">
        <v>1571</v>
      </c>
      <c r="M298">
        <v>12174239</v>
      </c>
      <c r="N298" t="s">
        <v>1572</v>
      </c>
      <c r="O298">
        <v>12174239647</v>
      </c>
      <c r="P298" t="s">
        <v>1610</v>
      </c>
      <c r="Q298" t="s">
        <v>1742</v>
      </c>
      <c r="R298" t="s">
        <v>1743</v>
      </c>
      <c r="S298" t="s">
        <v>1741</v>
      </c>
      <c r="T298" t="s">
        <v>1744</v>
      </c>
      <c r="U298" t="s">
        <v>1237</v>
      </c>
      <c r="V298" t="s">
        <v>1238</v>
      </c>
      <c r="W298">
        <v>135</v>
      </c>
      <c r="X298" t="s">
        <v>1189</v>
      </c>
      <c r="Y298">
        <v>48</v>
      </c>
      <c r="Z298">
        <v>6480</v>
      </c>
      <c r="AA298" t="s">
        <v>28</v>
      </c>
      <c r="AB298" t="s">
        <v>1190</v>
      </c>
      <c r="AC298">
        <v>135</v>
      </c>
      <c r="AD298" t="s">
        <v>1191</v>
      </c>
      <c r="AE298" t="s">
        <v>1192</v>
      </c>
      <c r="AF298" t="s">
        <v>1193</v>
      </c>
      <c r="AG298" t="s">
        <v>1194</v>
      </c>
      <c r="AH298" t="s">
        <v>1195</v>
      </c>
      <c r="AI298" t="s">
        <v>1202</v>
      </c>
      <c r="AJ298" t="s">
        <v>1291</v>
      </c>
      <c r="AK298" t="s">
        <v>1292</v>
      </c>
      <c r="AL298" t="s">
        <v>1291</v>
      </c>
      <c r="AM298" t="s">
        <v>1318</v>
      </c>
      <c r="AN298" t="s">
        <v>1201</v>
      </c>
      <c r="AO298" t="s">
        <v>1292</v>
      </c>
      <c r="AP298" t="s">
        <v>1319</v>
      </c>
      <c r="AQ298" t="s">
        <v>1203</v>
      </c>
      <c r="AR298" t="s">
        <v>1201</v>
      </c>
      <c r="AS298" t="s">
        <v>1203</v>
      </c>
      <c r="AU298" t="s">
        <v>1204</v>
      </c>
      <c r="AW298" t="b">
        <v>0</v>
      </c>
      <c r="AY298" t="b">
        <v>1</v>
      </c>
      <c r="BA298" t="s">
        <v>1579</v>
      </c>
      <c r="BB298" t="s">
        <v>1206</v>
      </c>
      <c r="BC298" t="s">
        <v>1206</v>
      </c>
      <c r="BD298" t="s">
        <v>1207</v>
      </c>
      <c r="BE298" t="s">
        <v>1296</v>
      </c>
      <c r="BF298" t="s">
        <v>1580</v>
      </c>
      <c r="BG298" t="s">
        <v>237</v>
      </c>
      <c r="BH298" t="s">
        <v>1206</v>
      </c>
      <c r="BI298" t="s">
        <v>1206</v>
      </c>
      <c r="BJ298" t="s">
        <v>1581</v>
      </c>
    </row>
    <row r="299" spans="1:62" x14ac:dyDescent="0.25">
      <c r="A299" t="s">
        <v>1177</v>
      </c>
      <c r="B299">
        <v>100182</v>
      </c>
      <c r="C299">
        <v>100182</v>
      </c>
      <c r="D299" s="112" t="s">
        <v>2722</v>
      </c>
      <c r="E299" t="s">
        <v>1119</v>
      </c>
      <c r="F299" t="s">
        <v>1178</v>
      </c>
      <c r="G299" t="s">
        <v>1763</v>
      </c>
      <c r="H299" s="135" t="s">
        <v>1750</v>
      </c>
      <c r="I299">
        <v>12</v>
      </c>
      <c r="J299" t="s">
        <v>1279</v>
      </c>
      <c r="K299">
        <v>12174</v>
      </c>
      <c r="L299" t="s">
        <v>1571</v>
      </c>
      <c r="M299">
        <v>12174239</v>
      </c>
      <c r="N299" t="s">
        <v>1572</v>
      </c>
      <c r="O299">
        <v>12174239647</v>
      </c>
      <c r="P299" t="s">
        <v>1610</v>
      </c>
      <c r="Q299" s="135" t="s">
        <v>1751</v>
      </c>
      <c r="R299" t="s">
        <v>1752</v>
      </c>
      <c r="S299" s="135" t="s">
        <v>1750</v>
      </c>
      <c r="T299" t="s">
        <v>1753</v>
      </c>
      <c r="U299" t="s">
        <v>1310</v>
      </c>
      <c r="V299" t="s">
        <v>1311</v>
      </c>
      <c r="W299">
        <v>70</v>
      </c>
      <c r="X299" t="s">
        <v>1342</v>
      </c>
      <c r="Y299">
        <v>48</v>
      </c>
      <c r="Z299">
        <v>3360</v>
      </c>
      <c r="AA299" t="s">
        <v>28</v>
      </c>
      <c r="AB299" t="s">
        <v>1190</v>
      </c>
      <c r="AC299">
        <v>70</v>
      </c>
      <c r="AD299" t="s">
        <v>1191</v>
      </c>
      <c r="AE299" t="s">
        <v>1192</v>
      </c>
      <c r="AF299" t="s">
        <v>1193</v>
      </c>
      <c r="AG299" t="s">
        <v>1194</v>
      </c>
      <c r="AH299" t="s">
        <v>1195</v>
      </c>
      <c r="AI299" t="s">
        <v>1202</v>
      </c>
      <c r="AJ299" t="s">
        <v>1291</v>
      </c>
      <c r="AK299" t="s">
        <v>1292</v>
      </c>
      <c r="AL299" t="s">
        <v>1291</v>
      </c>
      <c r="AM299" t="s">
        <v>1321</v>
      </c>
      <c r="AN299" t="s">
        <v>1201</v>
      </c>
      <c r="AO299" t="s">
        <v>1292</v>
      </c>
      <c r="AP299" t="s">
        <v>1322</v>
      </c>
      <c r="AQ299" t="s">
        <v>1203</v>
      </c>
      <c r="AR299" t="s">
        <v>1201</v>
      </c>
      <c r="AS299" t="s">
        <v>1203</v>
      </c>
      <c r="AU299" t="s">
        <v>1204</v>
      </c>
      <c r="AW299" t="b">
        <v>0</v>
      </c>
      <c r="AY299" t="b">
        <v>1</v>
      </c>
      <c r="BA299" t="s">
        <v>1579</v>
      </c>
      <c r="BB299" t="s">
        <v>1206</v>
      </c>
      <c r="BC299" t="s">
        <v>1206</v>
      </c>
      <c r="BD299" t="s">
        <v>1207</v>
      </c>
      <c r="BE299" t="s">
        <v>1296</v>
      </c>
      <c r="BF299" t="s">
        <v>1580</v>
      </c>
      <c r="BG299" t="s">
        <v>237</v>
      </c>
      <c r="BH299" t="s">
        <v>1206</v>
      </c>
      <c r="BI299" t="s">
        <v>1206</v>
      </c>
      <c r="BJ299" t="s">
        <v>1581</v>
      </c>
    </row>
    <row r="300" spans="1:62" x14ac:dyDescent="0.25">
      <c r="A300" t="s">
        <v>1177</v>
      </c>
      <c r="B300">
        <v>100181</v>
      </c>
      <c r="C300">
        <v>100181</v>
      </c>
      <c r="D300" s="112" t="s">
        <v>2723</v>
      </c>
      <c r="E300" t="s">
        <v>1119</v>
      </c>
      <c r="F300" t="s">
        <v>1178</v>
      </c>
      <c r="G300" t="s">
        <v>265</v>
      </c>
      <c r="H300" s="135" t="s">
        <v>1647</v>
      </c>
      <c r="I300">
        <v>12</v>
      </c>
      <c r="J300" t="s">
        <v>1279</v>
      </c>
      <c r="K300">
        <v>12174</v>
      </c>
      <c r="L300" t="s">
        <v>1571</v>
      </c>
      <c r="M300">
        <v>12174239</v>
      </c>
      <c r="N300" t="s">
        <v>1572</v>
      </c>
      <c r="O300">
        <v>12174239647</v>
      </c>
      <c r="P300" t="s">
        <v>1610</v>
      </c>
      <c r="Q300" s="135" t="s">
        <v>1648</v>
      </c>
      <c r="R300" t="s">
        <v>1649</v>
      </c>
      <c r="S300" s="135" t="s">
        <v>1647</v>
      </c>
      <c r="T300" t="s">
        <v>1650</v>
      </c>
      <c r="U300" t="s">
        <v>1286</v>
      </c>
      <c r="V300" t="s">
        <v>1287</v>
      </c>
      <c r="W300">
        <v>25</v>
      </c>
      <c r="X300" t="s">
        <v>1288</v>
      </c>
      <c r="Y300">
        <v>1</v>
      </c>
      <c r="Z300">
        <v>25</v>
      </c>
      <c r="AA300" t="s">
        <v>28</v>
      </c>
      <c r="AB300" t="s">
        <v>1190</v>
      </c>
      <c r="AC300">
        <v>25000</v>
      </c>
      <c r="AD300" t="s">
        <v>1289</v>
      </c>
      <c r="AE300" t="s">
        <v>1290</v>
      </c>
      <c r="AF300" t="s">
        <v>1193</v>
      </c>
      <c r="AG300" t="s">
        <v>1194</v>
      </c>
      <c r="AH300" t="s">
        <v>1195</v>
      </c>
      <c r="AI300" t="s">
        <v>1202</v>
      </c>
      <c r="AJ300" t="s">
        <v>1291</v>
      </c>
      <c r="AK300" t="s">
        <v>1292</v>
      </c>
      <c r="AL300" t="s">
        <v>1291</v>
      </c>
      <c r="AM300" t="s">
        <v>1577</v>
      </c>
      <c r="AN300" t="s">
        <v>1201</v>
      </c>
      <c r="AO300" t="s">
        <v>1292</v>
      </c>
      <c r="AP300" t="s">
        <v>1578</v>
      </c>
      <c r="AQ300" t="s">
        <v>1203</v>
      </c>
      <c r="AR300" t="s">
        <v>1201</v>
      </c>
      <c r="AS300" t="s">
        <v>1203</v>
      </c>
      <c r="AU300" t="s">
        <v>1204</v>
      </c>
      <c r="AW300" t="b">
        <v>0</v>
      </c>
      <c r="AY300" t="b">
        <v>0</v>
      </c>
      <c r="BA300" t="s">
        <v>1579</v>
      </c>
      <c r="BB300" t="s">
        <v>1206</v>
      </c>
      <c r="BC300" t="s">
        <v>1206</v>
      </c>
      <c r="BD300" t="s">
        <v>1207</v>
      </c>
      <c r="BE300" t="s">
        <v>1296</v>
      </c>
      <c r="BF300" t="s">
        <v>1580</v>
      </c>
      <c r="BG300" t="s">
        <v>237</v>
      </c>
      <c r="BH300" t="s">
        <v>1206</v>
      </c>
      <c r="BI300" t="s">
        <v>1206</v>
      </c>
      <c r="BJ300" t="s">
        <v>1581</v>
      </c>
    </row>
    <row r="301" spans="1:62" x14ac:dyDescent="0.25">
      <c r="A301" t="s">
        <v>1177</v>
      </c>
      <c r="B301">
        <v>100185</v>
      </c>
      <c r="C301">
        <v>100185</v>
      </c>
      <c r="D301" s="112" t="s">
        <v>2724</v>
      </c>
      <c r="E301" t="s">
        <v>1119</v>
      </c>
      <c r="F301" t="s">
        <v>1178</v>
      </c>
      <c r="G301" t="s">
        <v>1764</v>
      </c>
      <c r="H301" t="s">
        <v>1642</v>
      </c>
      <c r="I301">
        <v>12</v>
      </c>
      <c r="J301" t="s">
        <v>1279</v>
      </c>
      <c r="K301">
        <v>12174</v>
      </c>
      <c r="L301" t="s">
        <v>1571</v>
      </c>
      <c r="M301">
        <v>12174239</v>
      </c>
      <c r="N301" t="s">
        <v>1572</v>
      </c>
      <c r="O301">
        <v>12174239647</v>
      </c>
      <c r="P301" t="s">
        <v>1610</v>
      </c>
      <c r="Q301" t="s">
        <v>1643</v>
      </c>
      <c r="R301" t="s">
        <v>1644</v>
      </c>
      <c r="S301" t="s">
        <v>1642</v>
      </c>
      <c r="T301" t="s">
        <v>1645</v>
      </c>
      <c r="U301" t="s">
        <v>1286</v>
      </c>
      <c r="V301" t="s">
        <v>1287</v>
      </c>
      <c r="W301">
        <v>6</v>
      </c>
      <c r="X301" t="s">
        <v>1288</v>
      </c>
      <c r="Y301">
        <v>1</v>
      </c>
      <c r="Z301">
        <v>6</v>
      </c>
      <c r="AA301" t="s">
        <v>28</v>
      </c>
      <c r="AB301" t="s">
        <v>1190</v>
      </c>
      <c r="AC301">
        <v>6000</v>
      </c>
      <c r="AD301" t="s">
        <v>1289</v>
      </c>
      <c r="AE301" t="s">
        <v>1290</v>
      </c>
      <c r="AF301" t="s">
        <v>1193</v>
      </c>
      <c r="AG301" t="s">
        <v>1194</v>
      </c>
      <c r="AH301" t="s">
        <v>1195</v>
      </c>
      <c r="AI301" t="s">
        <v>1202</v>
      </c>
      <c r="AJ301" t="s">
        <v>1291</v>
      </c>
      <c r="AK301" t="s">
        <v>1292</v>
      </c>
      <c r="AL301" t="s">
        <v>1291</v>
      </c>
      <c r="AM301" t="s">
        <v>1577</v>
      </c>
      <c r="AN301" t="s">
        <v>1201</v>
      </c>
      <c r="AO301" t="s">
        <v>1292</v>
      </c>
      <c r="AP301" t="s">
        <v>1578</v>
      </c>
      <c r="AQ301" t="s">
        <v>1203</v>
      </c>
      <c r="AR301" t="s">
        <v>1201</v>
      </c>
      <c r="AS301" t="s">
        <v>1203</v>
      </c>
      <c r="AU301" t="s">
        <v>1204</v>
      </c>
      <c r="AW301" t="b">
        <v>0</v>
      </c>
      <c r="AY301" t="b">
        <v>0</v>
      </c>
      <c r="BA301" t="s">
        <v>1579</v>
      </c>
      <c r="BB301" t="s">
        <v>1206</v>
      </c>
      <c r="BC301" t="s">
        <v>1206</v>
      </c>
      <c r="BD301" t="s">
        <v>1207</v>
      </c>
      <c r="BE301" t="s">
        <v>1296</v>
      </c>
      <c r="BF301" t="s">
        <v>1580</v>
      </c>
      <c r="BG301" t="s">
        <v>237</v>
      </c>
      <c r="BH301" t="s">
        <v>1206</v>
      </c>
      <c r="BI301" t="s">
        <v>1206</v>
      </c>
      <c r="BJ301" t="s">
        <v>1581</v>
      </c>
    </row>
    <row r="302" spans="1:62" x14ac:dyDescent="0.25">
      <c r="A302" t="s">
        <v>1177</v>
      </c>
      <c r="B302">
        <v>100160</v>
      </c>
      <c r="C302">
        <v>100160</v>
      </c>
      <c r="D302" s="112" t="s">
        <v>2725</v>
      </c>
      <c r="E302" t="s">
        <v>1119</v>
      </c>
      <c r="F302" t="s">
        <v>1178</v>
      </c>
      <c r="G302" t="s">
        <v>1765</v>
      </c>
      <c r="H302" s="135" t="s">
        <v>1647</v>
      </c>
      <c r="I302">
        <v>12</v>
      </c>
      <c r="J302" t="s">
        <v>1279</v>
      </c>
      <c r="K302">
        <v>12174</v>
      </c>
      <c r="L302" t="s">
        <v>1571</v>
      </c>
      <c r="M302">
        <v>12174239</v>
      </c>
      <c r="N302" t="s">
        <v>1572</v>
      </c>
      <c r="O302">
        <v>12174239647</v>
      </c>
      <c r="P302" t="s">
        <v>1610</v>
      </c>
      <c r="Q302" s="135" t="s">
        <v>1648</v>
      </c>
      <c r="R302" t="s">
        <v>1649</v>
      </c>
      <c r="S302" s="135" t="s">
        <v>1647</v>
      </c>
      <c r="T302" t="s">
        <v>1650</v>
      </c>
      <c r="U302" t="s">
        <v>1286</v>
      </c>
      <c r="V302" t="s">
        <v>1287</v>
      </c>
      <c r="W302">
        <v>25</v>
      </c>
      <c r="X302" t="s">
        <v>1288</v>
      </c>
      <c r="Y302">
        <v>1</v>
      </c>
      <c r="Z302">
        <v>25</v>
      </c>
      <c r="AA302" t="s">
        <v>28</v>
      </c>
      <c r="AB302" t="s">
        <v>1190</v>
      </c>
      <c r="AC302">
        <v>25000</v>
      </c>
      <c r="AD302" t="s">
        <v>1289</v>
      </c>
      <c r="AE302" t="s">
        <v>1290</v>
      </c>
      <c r="AF302" t="s">
        <v>1193</v>
      </c>
      <c r="AG302" t="s">
        <v>1194</v>
      </c>
      <c r="AH302" t="s">
        <v>1195</v>
      </c>
      <c r="AI302" t="s">
        <v>1202</v>
      </c>
      <c r="AJ302" t="s">
        <v>1291</v>
      </c>
      <c r="AK302" t="s">
        <v>1292</v>
      </c>
      <c r="AL302" t="s">
        <v>1291</v>
      </c>
      <c r="AM302" t="s">
        <v>1577</v>
      </c>
      <c r="AN302" t="s">
        <v>1201</v>
      </c>
      <c r="AO302" t="s">
        <v>1292</v>
      </c>
      <c r="AP302" t="s">
        <v>1578</v>
      </c>
      <c r="AQ302" t="s">
        <v>1203</v>
      </c>
      <c r="AR302" t="s">
        <v>1201</v>
      </c>
      <c r="AS302" t="s">
        <v>1203</v>
      </c>
      <c r="AU302" t="s">
        <v>1204</v>
      </c>
      <c r="AW302" t="b">
        <v>0</v>
      </c>
      <c r="AY302" t="b">
        <v>0</v>
      </c>
      <c r="BA302" t="s">
        <v>1579</v>
      </c>
      <c r="BB302" t="s">
        <v>1206</v>
      </c>
      <c r="BC302" t="s">
        <v>1206</v>
      </c>
      <c r="BD302" t="s">
        <v>1207</v>
      </c>
      <c r="BE302" t="s">
        <v>1296</v>
      </c>
      <c r="BF302" t="s">
        <v>1580</v>
      </c>
      <c r="BG302" t="s">
        <v>237</v>
      </c>
      <c r="BH302" t="s">
        <v>1206</v>
      </c>
      <c r="BI302" t="s">
        <v>1206</v>
      </c>
      <c r="BJ302" t="s">
        <v>1581</v>
      </c>
    </row>
    <row r="303" spans="1:62" x14ac:dyDescent="0.25">
      <c r="A303" t="s">
        <v>1177</v>
      </c>
      <c r="B303">
        <v>100159</v>
      </c>
      <c r="C303">
        <v>100159</v>
      </c>
      <c r="D303" s="112" t="s">
        <v>2726</v>
      </c>
      <c r="E303" t="s">
        <v>1119</v>
      </c>
      <c r="F303" t="s">
        <v>1178</v>
      </c>
      <c r="G303" t="s">
        <v>1766</v>
      </c>
      <c r="H303" t="s">
        <v>1642</v>
      </c>
      <c r="I303">
        <v>12</v>
      </c>
      <c r="J303" t="s">
        <v>1279</v>
      </c>
      <c r="K303">
        <v>12174</v>
      </c>
      <c r="L303" t="s">
        <v>1571</v>
      </c>
      <c r="M303">
        <v>12174239</v>
      </c>
      <c r="N303" t="s">
        <v>1572</v>
      </c>
      <c r="O303">
        <v>12174239647</v>
      </c>
      <c r="P303" t="s">
        <v>1610</v>
      </c>
      <c r="Q303" t="s">
        <v>1643</v>
      </c>
      <c r="R303" t="s">
        <v>1644</v>
      </c>
      <c r="S303" t="s">
        <v>1642</v>
      </c>
      <c r="T303" t="s">
        <v>1645</v>
      </c>
      <c r="U303" t="s">
        <v>1286</v>
      </c>
      <c r="V303" t="s">
        <v>1287</v>
      </c>
      <c r="W303">
        <v>6</v>
      </c>
      <c r="X303" t="s">
        <v>1288</v>
      </c>
      <c r="Y303">
        <v>1</v>
      </c>
      <c r="Z303">
        <v>6</v>
      </c>
      <c r="AA303" t="s">
        <v>28</v>
      </c>
      <c r="AB303" t="s">
        <v>1190</v>
      </c>
      <c r="AC303">
        <v>6000</v>
      </c>
      <c r="AD303" t="s">
        <v>1289</v>
      </c>
      <c r="AE303" t="s">
        <v>1290</v>
      </c>
      <c r="AF303" t="s">
        <v>1193</v>
      </c>
      <c r="AG303" t="s">
        <v>1194</v>
      </c>
      <c r="AH303" t="s">
        <v>1195</v>
      </c>
      <c r="AI303" t="s">
        <v>1202</v>
      </c>
      <c r="AJ303" t="s">
        <v>1291</v>
      </c>
      <c r="AK303" t="s">
        <v>1292</v>
      </c>
      <c r="AL303" t="s">
        <v>1291</v>
      </c>
      <c r="AM303" t="s">
        <v>1577</v>
      </c>
      <c r="AN303" t="s">
        <v>1201</v>
      </c>
      <c r="AO303" t="s">
        <v>1292</v>
      </c>
      <c r="AP303" t="s">
        <v>1578</v>
      </c>
      <c r="AQ303" t="s">
        <v>1203</v>
      </c>
      <c r="AR303" t="s">
        <v>1201</v>
      </c>
      <c r="AS303" t="s">
        <v>1203</v>
      </c>
      <c r="AU303" t="s">
        <v>1204</v>
      </c>
      <c r="AW303" t="b">
        <v>0</v>
      </c>
      <c r="AY303" t="b">
        <v>0</v>
      </c>
      <c r="BA303" t="s">
        <v>1579</v>
      </c>
      <c r="BB303" t="s">
        <v>1206</v>
      </c>
      <c r="BC303" t="s">
        <v>1206</v>
      </c>
      <c r="BD303" t="s">
        <v>1207</v>
      </c>
      <c r="BE303" t="s">
        <v>1296</v>
      </c>
      <c r="BF303" t="s">
        <v>1580</v>
      </c>
      <c r="BG303" t="s">
        <v>237</v>
      </c>
      <c r="BH303" t="s">
        <v>1206</v>
      </c>
      <c r="BI303" t="s">
        <v>1206</v>
      </c>
      <c r="BJ303" t="s">
        <v>1581</v>
      </c>
    </row>
    <row r="304" spans="1:62" x14ac:dyDescent="0.25">
      <c r="A304" t="s">
        <v>1177</v>
      </c>
      <c r="B304">
        <v>100223</v>
      </c>
      <c r="C304">
        <v>100223</v>
      </c>
      <c r="D304" s="112" t="s">
        <v>2727</v>
      </c>
      <c r="E304" t="s">
        <v>1119</v>
      </c>
      <c r="F304" t="s">
        <v>1178</v>
      </c>
      <c r="G304" t="s">
        <v>1767</v>
      </c>
      <c r="H304" s="135" t="s">
        <v>1693</v>
      </c>
      <c r="I304">
        <v>12</v>
      </c>
      <c r="J304" t="s">
        <v>1279</v>
      </c>
      <c r="K304">
        <v>12174</v>
      </c>
      <c r="L304" t="s">
        <v>1571</v>
      </c>
      <c r="M304">
        <v>12174239</v>
      </c>
      <c r="N304" t="s">
        <v>1572</v>
      </c>
      <c r="O304">
        <v>12174239647</v>
      </c>
      <c r="P304" t="s">
        <v>1610</v>
      </c>
      <c r="Q304" s="135" t="s">
        <v>1694</v>
      </c>
      <c r="R304" t="s">
        <v>1695</v>
      </c>
      <c r="S304" s="135" t="s">
        <v>1693</v>
      </c>
      <c r="T304" t="s">
        <v>1696</v>
      </c>
      <c r="U304" t="s">
        <v>1310</v>
      </c>
      <c r="V304" t="s">
        <v>1311</v>
      </c>
      <c r="W304">
        <v>450</v>
      </c>
      <c r="X304" t="s">
        <v>1342</v>
      </c>
      <c r="Y304">
        <v>12</v>
      </c>
      <c r="Z304">
        <v>5400</v>
      </c>
      <c r="AA304" t="s">
        <v>28</v>
      </c>
      <c r="AB304" t="s">
        <v>1190</v>
      </c>
      <c r="AC304">
        <v>450</v>
      </c>
      <c r="AD304" t="s">
        <v>1191</v>
      </c>
      <c r="AE304" t="s">
        <v>1192</v>
      </c>
      <c r="AF304" t="s">
        <v>1193</v>
      </c>
      <c r="AG304" t="s">
        <v>1194</v>
      </c>
      <c r="AH304" t="s">
        <v>1195</v>
      </c>
      <c r="AI304" t="s">
        <v>1202</v>
      </c>
      <c r="AJ304" t="s">
        <v>1291</v>
      </c>
      <c r="AK304" t="s">
        <v>1292</v>
      </c>
      <c r="AL304" t="s">
        <v>1291</v>
      </c>
      <c r="AM304" t="s">
        <v>1577</v>
      </c>
      <c r="AN304" t="s">
        <v>1201</v>
      </c>
      <c r="AO304" t="s">
        <v>1292</v>
      </c>
      <c r="AP304" t="s">
        <v>1578</v>
      </c>
      <c r="AQ304" t="s">
        <v>1203</v>
      </c>
      <c r="AR304" t="s">
        <v>1201</v>
      </c>
      <c r="AS304" t="s">
        <v>1203</v>
      </c>
      <c r="AU304" t="s">
        <v>1204</v>
      </c>
      <c r="AW304" t="b">
        <v>0</v>
      </c>
      <c r="AY304" t="b">
        <v>0</v>
      </c>
      <c r="BA304" t="s">
        <v>1579</v>
      </c>
      <c r="BB304" t="s">
        <v>1206</v>
      </c>
      <c r="BC304" t="s">
        <v>1206</v>
      </c>
      <c r="BD304" t="s">
        <v>1207</v>
      </c>
      <c r="BE304" t="s">
        <v>1296</v>
      </c>
      <c r="BF304" t="s">
        <v>1580</v>
      </c>
      <c r="BG304" t="s">
        <v>237</v>
      </c>
      <c r="BH304" t="s">
        <v>1206</v>
      </c>
      <c r="BI304" t="s">
        <v>1206</v>
      </c>
      <c r="BJ304" t="s">
        <v>1581</v>
      </c>
    </row>
    <row r="305" spans="1:62" x14ac:dyDescent="0.25">
      <c r="A305" t="s">
        <v>1177</v>
      </c>
      <c r="B305">
        <v>100225</v>
      </c>
      <c r="C305">
        <v>100225</v>
      </c>
      <c r="D305" s="112" t="s">
        <v>2728</v>
      </c>
      <c r="E305" t="s">
        <v>1119</v>
      </c>
      <c r="F305" t="s">
        <v>1178</v>
      </c>
      <c r="G305" t="s">
        <v>250</v>
      </c>
      <c r="H305" s="135" t="s">
        <v>1665</v>
      </c>
      <c r="I305">
        <v>12</v>
      </c>
      <c r="J305" t="s">
        <v>1279</v>
      </c>
      <c r="K305">
        <v>12174</v>
      </c>
      <c r="L305" t="s">
        <v>1571</v>
      </c>
      <c r="M305">
        <v>12174239</v>
      </c>
      <c r="N305" t="s">
        <v>1572</v>
      </c>
      <c r="O305">
        <v>12174239647</v>
      </c>
      <c r="P305" t="s">
        <v>1610</v>
      </c>
      <c r="Q305" s="135" t="s">
        <v>1666</v>
      </c>
      <c r="R305" t="s">
        <v>1667</v>
      </c>
      <c r="S305" s="135" t="s">
        <v>1665</v>
      </c>
      <c r="T305" t="s">
        <v>1668</v>
      </c>
      <c r="U305" t="s">
        <v>1310</v>
      </c>
      <c r="V305" t="s">
        <v>1311</v>
      </c>
      <c r="W305">
        <v>600</v>
      </c>
      <c r="X305" t="s">
        <v>1342</v>
      </c>
      <c r="Y305">
        <v>12</v>
      </c>
      <c r="Z305">
        <v>7200</v>
      </c>
      <c r="AA305" t="s">
        <v>28</v>
      </c>
      <c r="AB305" t="s">
        <v>1190</v>
      </c>
      <c r="AC305">
        <v>600</v>
      </c>
      <c r="AD305" t="s">
        <v>1289</v>
      </c>
      <c r="AE305" t="s">
        <v>1290</v>
      </c>
      <c r="AF305" t="s">
        <v>1193</v>
      </c>
      <c r="AG305" t="s">
        <v>1194</v>
      </c>
      <c r="AH305" t="s">
        <v>1195</v>
      </c>
      <c r="AI305" t="s">
        <v>1202</v>
      </c>
      <c r="AJ305" t="s">
        <v>1291</v>
      </c>
      <c r="AK305" t="s">
        <v>1292</v>
      </c>
      <c r="AL305" t="s">
        <v>1291</v>
      </c>
      <c r="AM305" t="s">
        <v>1577</v>
      </c>
      <c r="AN305" t="s">
        <v>1201</v>
      </c>
      <c r="AO305" t="s">
        <v>1292</v>
      </c>
      <c r="AP305" t="s">
        <v>1578</v>
      </c>
      <c r="AQ305" t="s">
        <v>1203</v>
      </c>
      <c r="AR305" t="s">
        <v>1201</v>
      </c>
      <c r="AS305" t="s">
        <v>1203</v>
      </c>
      <c r="AU305" t="s">
        <v>1204</v>
      </c>
      <c r="AW305" t="b">
        <v>0</v>
      </c>
      <c r="AY305" t="b">
        <v>0</v>
      </c>
      <c r="BA305" t="s">
        <v>1579</v>
      </c>
      <c r="BB305" t="s">
        <v>1206</v>
      </c>
      <c r="BC305" t="s">
        <v>1206</v>
      </c>
      <c r="BD305" t="s">
        <v>1207</v>
      </c>
      <c r="BE305" t="s">
        <v>1296</v>
      </c>
      <c r="BF305" t="s">
        <v>1580</v>
      </c>
      <c r="BG305" t="s">
        <v>237</v>
      </c>
      <c r="BH305" t="s">
        <v>1206</v>
      </c>
      <c r="BI305" t="s">
        <v>1206</v>
      </c>
      <c r="BJ305" t="s">
        <v>1581</v>
      </c>
    </row>
    <row r="306" spans="1:62" x14ac:dyDescent="0.25">
      <c r="A306" t="s">
        <v>1177</v>
      </c>
      <c r="B306">
        <v>100176</v>
      </c>
      <c r="C306">
        <v>100176</v>
      </c>
      <c r="D306" s="112" t="s">
        <v>2729</v>
      </c>
      <c r="E306" t="s">
        <v>1119</v>
      </c>
      <c r="F306" t="s">
        <v>1178</v>
      </c>
      <c r="G306" t="s">
        <v>261</v>
      </c>
      <c r="H306" s="135" t="s">
        <v>1768</v>
      </c>
      <c r="I306">
        <v>12</v>
      </c>
      <c r="J306" t="s">
        <v>1279</v>
      </c>
      <c r="K306">
        <v>12174</v>
      </c>
      <c r="L306" t="s">
        <v>1571</v>
      </c>
      <c r="M306">
        <v>12174239</v>
      </c>
      <c r="N306" t="s">
        <v>1572</v>
      </c>
      <c r="O306">
        <v>12174239647</v>
      </c>
      <c r="P306" t="s">
        <v>1610</v>
      </c>
      <c r="Q306" s="135" t="s">
        <v>1769</v>
      </c>
      <c r="R306" t="s">
        <v>1770</v>
      </c>
      <c r="S306" s="135" t="s">
        <v>1768</v>
      </c>
      <c r="T306" t="s">
        <v>1771</v>
      </c>
      <c r="U306" t="s">
        <v>1310</v>
      </c>
      <c r="V306" t="s">
        <v>1311</v>
      </c>
      <c r="W306">
        <v>700</v>
      </c>
      <c r="X306" t="s">
        <v>1189</v>
      </c>
      <c r="Y306">
        <v>12</v>
      </c>
      <c r="Z306">
        <v>8400</v>
      </c>
      <c r="AA306" t="s">
        <v>28</v>
      </c>
      <c r="AB306" t="s">
        <v>1190</v>
      </c>
      <c r="AC306">
        <v>700</v>
      </c>
      <c r="AD306" t="s">
        <v>1289</v>
      </c>
      <c r="AE306" t="s">
        <v>1290</v>
      </c>
      <c r="AF306" t="s">
        <v>1193</v>
      </c>
      <c r="AG306" t="s">
        <v>1194</v>
      </c>
      <c r="AH306" t="s">
        <v>1195</v>
      </c>
      <c r="AI306" t="s">
        <v>1202</v>
      </c>
      <c r="AJ306" t="s">
        <v>1291</v>
      </c>
      <c r="AK306" t="s">
        <v>1292</v>
      </c>
      <c r="AL306" t="s">
        <v>1291</v>
      </c>
      <c r="AM306" t="s">
        <v>1577</v>
      </c>
      <c r="AN306" t="s">
        <v>1201</v>
      </c>
      <c r="AO306" t="s">
        <v>1292</v>
      </c>
      <c r="AP306" t="s">
        <v>1578</v>
      </c>
      <c r="AQ306" t="s">
        <v>1203</v>
      </c>
      <c r="AR306" t="s">
        <v>1201</v>
      </c>
      <c r="AS306" t="s">
        <v>1203</v>
      </c>
      <c r="AU306" t="s">
        <v>1204</v>
      </c>
      <c r="AW306" t="b">
        <v>0</v>
      </c>
      <c r="AY306" t="b">
        <v>0</v>
      </c>
      <c r="BA306" t="s">
        <v>1579</v>
      </c>
      <c r="BB306" t="s">
        <v>1206</v>
      </c>
      <c r="BC306" t="s">
        <v>1206</v>
      </c>
      <c r="BD306" t="s">
        <v>1207</v>
      </c>
      <c r="BE306" t="s">
        <v>1296</v>
      </c>
      <c r="BF306" t="s">
        <v>1580</v>
      </c>
      <c r="BG306" t="s">
        <v>237</v>
      </c>
      <c r="BH306" t="s">
        <v>1206</v>
      </c>
      <c r="BI306" t="s">
        <v>1206</v>
      </c>
      <c r="BJ306" t="s">
        <v>1581</v>
      </c>
    </row>
    <row r="307" spans="1:62" x14ac:dyDescent="0.25">
      <c r="A307" t="s">
        <v>1177</v>
      </c>
      <c r="B307">
        <v>100188</v>
      </c>
      <c r="C307">
        <v>100188</v>
      </c>
      <c r="D307" s="112" t="s">
        <v>2730</v>
      </c>
      <c r="E307" t="s">
        <v>1119</v>
      </c>
      <c r="F307" t="s">
        <v>1178</v>
      </c>
      <c r="G307" t="s">
        <v>262</v>
      </c>
      <c r="H307" s="135" t="s">
        <v>1755</v>
      </c>
      <c r="I307">
        <v>12</v>
      </c>
      <c r="J307" t="s">
        <v>1279</v>
      </c>
      <c r="K307">
        <v>12174</v>
      </c>
      <c r="L307" t="s">
        <v>1571</v>
      </c>
      <c r="M307">
        <v>12174239</v>
      </c>
      <c r="N307" t="s">
        <v>1572</v>
      </c>
      <c r="O307">
        <v>12174239647</v>
      </c>
      <c r="P307" t="s">
        <v>1610</v>
      </c>
      <c r="Q307" s="135" t="s">
        <v>1756</v>
      </c>
      <c r="R307" t="s">
        <v>1757</v>
      </c>
      <c r="S307" s="135" t="s">
        <v>1755</v>
      </c>
      <c r="T307" t="s">
        <v>1758</v>
      </c>
      <c r="U307" t="s">
        <v>1310</v>
      </c>
      <c r="V307" t="s">
        <v>1311</v>
      </c>
      <c r="W307">
        <v>925</v>
      </c>
      <c r="X307" t="s">
        <v>1342</v>
      </c>
      <c r="Y307">
        <v>12</v>
      </c>
      <c r="Z307">
        <v>11100</v>
      </c>
      <c r="AA307" t="s">
        <v>28</v>
      </c>
      <c r="AB307" t="s">
        <v>1190</v>
      </c>
      <c r="AC307">
        <v>925</v>
      </c>
      <c r="AD307" t="s">
        <v>1289</v>
      </c>
      <c r="AE307" t="s">
        <v>1290</v>
      </c>
      <c r="AF307" t="s">
        <v>1193</v>
      </c>
      <c r="AG307" t="s">
        <v>1194</v>
      </c>
      <c r="AH307" t="s">
        <v>1195</v>
      </c>
      <c r="AI307" t="s">
        <v>1202</v>
      </c>
      <c r="AJ307" t="s">
        <v>1291</v>
      </c>
      <c r="AK307" t="s">
        <v>1292</v>
      </c>
      <c r="AL307" t="s">
        <v>1291</v>
      </c>
      <c r="AM307" t="s">
        <v>1577</v>
      </c>
      <c r="AN307" t="s">
        <v>1201</v>
      </c>
      <c r="AO307" t="s">
        <v>1292</v>
      </c>
      <c r="AP307" t="s">
        <v>1578</v>
      </c>
      <c r="AQ307" t="s">
        <v>1203</v>
      </c>
      <c r="AR307" t="s">
        <v>1201</v>
      </c>
      <c r="AS307" t="s">
        <v>1203</v>
      </c>
      <c r="AU307" t="s">
        <v>1204</v>
      </c>
      <c r="AW307" t="b">
        <v>0</v>
      </c>
      <c r="AY307" t="b">
        <v>0</v>
      </c>
      <c r="BA307" t="s">
        <v>1579</v>
      </c>
      <c r="BB307" t="s">
        <v>1206</v>
      </c>
      <c r="BC307" t="s">
        <v>1206</v>
      </c>
      <c r="BD307" t="s">
        <v>1207</v>
      </c>
      <c r="BE307" t="s">
        <v>1296</v>
      </c>
      <c r="BF307" t="s">
        <v>1580</v>
      </c>
      <c r="BG307" t="s">
        <v>237</v>
      </c>
      <c r="BH307" t="s">
        <v>1206</v>
      </c>
      <c r="BI307" t="s">
        <v>1206</v>
      </c>
      <c r="BJ307" t="s">
        <v>1581</v>
      </c>
    </row>
    <row r="308" spans="1:62" x14ac:dyDescent="0.25">
      <c r="A308" t="s">
        <v>1177</v>
      </c>
      <c r="B308">
        <v>100220</v>
      </c>
      <c r="C308">
        <v>100220</v>
      </c>
      <c r="D308" s="112" t="s">
        <v>2731</v>
      </c>
      <c r="E308" t="s">
        <v>1119</v>
      </c>
      <c r="F308" t="s">
        <v>1178</v>
      </c>
      <c r="G308" t="s">
        <v>245</v>
      </c>
      <c r="H308" s="135" t="s">
        <v>1637</v>
      </c>
      <c r="I308">
        <v>12</v>
      </c>
      <c r="J308" t="s">
        <v>1279</v>
      </c>
      <c r="K308">
        <v>12174</v>
      </c>
      <c r="L308" t="s">
        <v>1571</v>
      </c>
      <c r="M308">
        <v>12174239</v>
      </c>
      <c r="N308" t="s">
        <v>1572</v>
      </c>
      <c r="O308">
        <v>12174239647</v>
      </c>
      <c r="P308" t="s">
        <v>1610</v>
      </c>
      <c r="Q308" s="135" t="s">
        <v>1638</v>
      </c>
      <c r="R308" t="s">
        <v>1639</v>
      </c>
      <c r="S308" s="135" t="s">
        <v>1637</v>
      </c>
      <c r="T308" t="s">
        <v>1640</v>
      </c>
      <c r="U308" t="s">
        <v>1310</v>
      </c>
      <c r="V308" t="s">
        <v>1311</v>
      </c>
      <c r="W308">
        <v>250</v>
      </c>
      <c r="X308" t="s">
        <v>1342</v>
      </c>
      <c r="Y308">
        <v>24</v>
      </c>
      <c r="Z308">
        <v>6000</v>
      </c>
      <c r="AA308" t="s">
        <v>28</v>
      </c>
      <c r="AB308" t="s">
        <v>1190</v>
      </c>
      <c r="AC308">
        <v>250</v>
      </c>
      <c r="AD308" t="s">
        <v>1191</v>
      </c>
      <c r="AE308" t="s">
        <v>1192</v>
      </c>
      <c r="AF308" t="s">
        <v>1193</v>
      </c>
      <c r="AG308" t="s">
        <v>1194</v>
      </c>
      <c r="AH308" t="s">
        <v>1195</v>
      </c>
      <c r="AI308" t="s">
        <v>1202</v>
      </c>
      <c r="AJ308" t="s">
        <v>1291</v>
      </c>
      <c r="AK308" t="s">
        <v>1292</v>
      </c>
      <c r="AL308" t="s">
        <v>1291</v>
      </c>
      <c r="AM308" t="s">
        <v>1577</v>
      </c>
      <c r="AN308" t="s">
        <v>1201</v>
      </c>
      <c r="AO308" t="s">
        <v>1292</v>
      </c>
      <c r="AP308" t="s">
        <v>1578</v>
      </c>
      <c r="AQ308" t="s">
        <v>1203</v>
      </c>
      <c r="AR308" t="s">
        <v>1201</v>
      </c>
      <c r="AS308" t="s">
        <v>1203</v>
      </c>
      <c r="AU308" t="s">
        <v>1204</v>
      </c>
      <c r="AW308" t="b">
        <v>0</v>
      </c>
      <c r="AY308" t="b">
        <v>0</v>
      </c>
      <c r="BA308" t="s">
        <v>1579</v>
      </c>
      <c r="BB308" t="s">
        <v>1206</v>
      </c>
      <c r="BC308" t="s">
        <v>1206</v>
      </c>
      <c r="BD308" t="s">
        <v>1207</v>
      </c>
      <c r="BE308" t="s">
        <v>1296</v>
      </c>
      <c r="BF308" t="s">
        <v>1580</v>
      </c>
      <c r="BG308" t="s">
        <v>237</v>
      </c>
      <c r="BH308" t="s">
        <v>1206</v>
      </c>
      <c r="BI308" t="s">
        <v>1206</v>
      </c>
      <c r="BJ308" t="s">
        <v>1581</v>
      </c>
    </row>
    <row r="309" spans="1:62" x14ac:dyDescent="0.25">
      <c r="A309" t="s">
        <v>1177</v>
      </c>
      <c r="B309">
        <v>100172</v>
      </c>
      <c r="C309">
        <v>100172</v>
      </c>
      <c r="D309" s="112" t="s">
        <v>2732</v>
      </c>
      <c r="E309" t="s">
        <v>1119</v>
      </c>
      <c r="F309" t="s">
        <v>1178</v>
      </c>
      <c r="G309" t="s">
        <v>248</v>
      </c>
      <c r="H309" s="135" t="s">
        <v>1772</v>
      </c>
      <c r="I309">
        <v>12</v>
      </c>
      <c r="J309" t="s">
        <v>1279</v>
      </c>
      <c r="K309">
        <v>12174</v>
      </c>
      <c r="L309" t="s">
        <v>1571</v>
      </c>
      <c r="M309">
        <v>12174239</v>
      </c>
      <c r="N309" t="s">
        <v>1572</v>
      </c>
      <c r="O309">
        <v>12174239647</v>
      </c>
      <c r="P309" t="s">
        <v>1610</v>
      </c>
      <c r="Q309" s="135" t="s">
        <v>1773</v>
      </c>
      <c r="R309" t="s">
        <v>1774</v>
      </c>
      <c r="S309" s="135" t="s">
        <v>1772</v>
      </c>
      <c r="T309" t="s">
        <v>1775</v>
      </c>
      <c r="U309" t="s">
        <v>1310</v>
      </c>
      <c r="V309" t="s">
        <v>1311</v>
      </c>
      <c r="W309">
        <v>300</v>
      </c>
      <c r="X309" t="s">
        <v>1342</v>
      </c>
      <c r="Y309">
        <v>24</v>
      </c>
      <c r="Z309">
        <v>7200</v>
      </c>
      <c r="AA309" t="s">
        <v>28</v>
      </c>
      <c r="AB309" t="s">
        <v>1190</v>
      </c>
      <c r="AC309">
        <v>300</v>
      </c>
      <c r="AD309" t="s">
        <v>1191</v>
      </c>
      <c r="AE309" t="s">
        <v>1192</v>
      </c>
      <c r="AF309" t="s">
        <v>1193</v>
      </c>
      <c r="AG309" t="s">
        <v>1194</v>
      </c>
      <c r="AH309" t="s">
        <v>1195</v>
      </c>
      <c r="AI309" t="s">
        <v>1202</v>
      </c>
      <c r="AJ309" t="s">
        <v>1291</v>
      </c>
      <c r="AK309" t="s">
        <v>1292</v>
      </c>
      <c r="AL309" t="s">
        <v>1291</v>
      </c>
      <c r="AM309" t="s">
        <v>1577</v>
      </c>
      <c r="AN309" t="s">
        <v>1201</v>
      </c>
      <c r="AO309" t="s">
        <v>1292</v>
      </c>
      <c r="AP309" t="s">
        <v>1578</v>
      </c>
      <c r="AQ309" t="s">
        <v>1203</v>
      </c>
      <c r="AR309" t="s">
        <v>1201</v>
      </c>
      <c r="AS309" t="s">
        <v>1203</v>
      </c>
      <c r="AU309" t="s">
        <v>1204</v>
      </c>
      <c r="AW309" t="b">
        <v>0</v>
      </c>
      <c r="AY309" t="b">
        <v>0</v>
      </c>
      <c r="BA309" t="s">
        <v>1579</v>
      </c>
      <c r="BB309" t="s">
        <v>1206</v>
      </c>
      <c r="BC309" t="s">
        <v>1206</v>
      </c>
      <c r="BD309" t="s">
        <v>1207</v>
      </c>
      <c r="BE309" t="s">
        <v>1296</v>
      </c>
      <c r="BF309" t="s">
        <v>1580</v>
      </c>
      <c r="BG309" t="s">
        <v>237</v>
      </c>
      <c r="BH309" t="s">
        <v>1206</v>
      </c>
      <c r="BI309" t="s">
        <v>1206</v>
      </c>
      <c r="BJ309" t="s">
        <v>1581</v>
      </c>
    </row>
    <row r="310" spans="1:62" x14ac:dyDescent="0.25">
      <c r="A310" t="s">
        <v>1177</v>
      </c>
      <c r="B310">
        <v>100177</v>
      </c>
      <c r="C310">
        <v>100177</v>
      </c>
      <c r="D310" s="112" t="s">
        <v>2733</v>
      </c>
      <c r="E310" t="s">
        <v>1119</v>
      </c>
      <c r="F310" t="s">
        <v>1178</v>
      </c>
      <c r="G310" t="s">
        <v>1776</v>
      </c>
      <c r="H310" s="135" t="s">
        <v>1777</v>
      </c>
      <c r="I310">
        <v>12</v>
      </c>
      <c r="J310" t="s">
        <v>1279</v>
      </c>
      <c r="K310">
        <v>12174</v>
      </c>
      <c r="L310" t="s">
        <v>1571</v>
      </c>
      <c r="M310">
        <v>12174239</v>
      </c>
      <c r="N310" t="s">
        <v>1572</v>
      </c>
      <c r="O310">
        <v>12174239647</v>
      </c>
      <c r="P310" t="s">
        <v>1610</v>
      </c>
      <c r="Q310" s="135" t="s">
        <v>1778</v>
      </c>
      <c r="R310" t="s">
        <v>1779</v>
      </c>
      <c r="S310" s="135" t="s">
        <v>1777</v>
      </c>
      <c r="T310" t="s">
        <v>1780</v>
      </c>
      <c r="U310" t="s">
        <v>1310</v>
      </c>
      <c r="V310" t="s">
        <v>1311</v>
      </c>
      <c r="W310">
        <v>60</v>
      </c>
      <c r="X310" t="s">
        <v>1189</v>
      </c>
      <c r="Y310">
        <v>48</v>
      </c>
      <c r="Z310">
        <v>2880</v>
      </c>
      <c r="AA310" t="s">
        <v>28</v>
      </c>
      <c r="AB310" t="s">
        <v>1190</v>
      </c>
      <c r="AC310">
        <v>60</v>
      </c>
      <c r="AD310" t="s">
        <v>1191</v>
      </c>
      <c r="AE310" t="s">
        <v>1192</v>
      </c>
      <c r="AF310" t="s">
        <v>1193</v>
      </c>
      <c r="AG310" t="s">
        <v>1194</v>
      </c>
      <c r="AH310" t="s">
        <v>1195</v>
      </c>
      <c r="AI310" t="s">
        <v>1202</v>
      </c>
      <c r="AJ310" t="s">
        <v>1291</v>
      </c>
      <c r="AK310" t="s">
        <v>1292</v>
      </c>
      <c r="AL310" t="s">
        <v>1291</v>
      </c>
      <c r="AM310" t="s">
        <v>1577</v>
      </c>
      <c r="AN310" t="s">
        <v>1201</v>
      </c>
      <c r="AO310" t="s">
        <v>1292</v>
      </c>
      <c r="AP310" t="s">
        <v>1578</v>
      </c>
      <c r="AQ310" t="s">
        <v>1203</v>
      </c>
      <c r="AR310" t="s">
        <v>1201</v>
      </c>
      <c r="AS310" t="s">
        <v>1203</v>
      </c>
      <c r="AU310" t="s">
        <v>1204</v>
      </c>
      <c r="AW310" t="b">
        <v>0</v>
      </c>
      <c r="AY310" t="b">
        <v>0</v>
      </c>
      <c r="BA310" t="s">
        <v>1579</v>
      </c>
      <c r="BB310" t="s">
        <v>1206</v>
      </c>
      <c r="BC310" t="s">
        <v>1206</v>
      </c>
      <c r="BD310" t="s">
        <v>1207</v>
      </c>
      <c r="BE310" t="s">
        <v>1296</v>
      </c>
      <c r="BF310" t="s">
        <v>1580</v>
      </c>
      <c r="BG310" t="s">
        <v>237</v>
      </c>
      <c r="BH310" t="s">
        <v>1206</v>
      </c>
      <c r="BI310" t="s">
        <v>1206</v>
      </c>
      <c r="BJ310" t="s">
        <v>1581</v>
      </c>
    </row>
    <row r="311" spans="1:62" x14ac:dyDescent="0.25">
      <c r="A311" t="s">
        <v>1177</v>
      </c>
      <c r="B311">
        <v>100222</v>
      </c>
      <c r="C311">
        <v>100222</v>
      </c>
      <c r="D311" s="112" t="s">
        <v>2734</v>
      </c>
      <c r="E311" t="s">
        <v>1119</v>
      </c>
      <c r="F311" t="s">
        <v>1178</v>
      </c>
      <c r="G311" t="s">
        <v>239</v>
      </c>
      <c r="H311" s="135" t="s">
        <v>1658</v>
      </c>
      <c r="I311">
        <v>12</v>
      </c>
      <c r="J311" t="s">
        <v>1279</v>
      </c>
      <c r="K311">
        <v>12174</v>
      </c>
      <c r="L311" t="s">
        <v>1571</v>
      </c>
      <c r="M311">
        <v>12174239</v>
      </c>
      <c r="N311" t="s">
        <v>1572</v>
      </c>
      <c r="O311">
        <v>12174239647</v>
      </c>
      <c r="P311" t="s">
        <v>1610</v>
      </c>
      <c r="Q311" s="135" t="s">
        <v>1659</v>
      </c>
      <c r="R311" t="s">
        <v>1660</v>
      </c>
      <c r="S311" s="135" t="s">
        <v>1658</v>
      </c>
      <c r="T311" t="s">
        <v>1661</v>
      </c>
      <c r="U311" t="s">
        <v>1310</v>
      </c>
      <c r="V311" t="s">
        <v>1311</v>
      </c>
      <c r="W311">
        <v>62</v>
      </c>
      <c r="X311" t="s">
        <v>1342</v>
      </c>
      <c r="Y311">
        <v>48</v>
      </c>
      <c r="Z311">
        <v>2976</v>
      </c>
      <c r="AA311" t="s">
        <v>28</v>
      </c>
      <c r="AB311" t="s">
        <v>1190</v>
      </c>
      <c r="AC311">
        <v>62</v>
      </c>
      <c r="AD311" t="s">
        <v>1191</v>
      </c>
      <c r="AE311" t="s">
        <v>1192</v>
      </c>
      <c r="AF311" t="s">
        <v>1193</v>
      </c>
      <c r="AG311" t="s">
        <v>1194</v>
      </c>
      <c r="AH311" t="s">
        <v>1195</v>
      </c>
      <c r="AI311" t="s">
        <v>1202</v>
      </c>
      <c r="AJ311" t="s">
        <v>1291</v>
      </c>
      <c r="AK311" t="s">
        <v>1292</v>
      </c>
      <c r="AL311" t="s">
        <v>1291</v>
      </c>
      <c r="AM311" t="s">
        <v>1577</v>
      </c>
      <c r="AN311" t="s">
        <v>1201</v>
      </c>
      <c r="AO311" t="s">
        <v>1292</v>
      </c>
      <c r="AP311" t="s">
        <v>1578</v>
      </c>
      <c r="AQ311" t="s">
        <v>1203</v>
      </c>
      <c r="AR311" t="s">
        <v>1201</v>
      </c>
      <c r="AS311" t="s">
        <v>1203</v>
      </c>
      <c r="AU311" t="s">
        <v>1204</v>
      </c>
      <c r="AW311" t="b">
        <v>0</v>
      </c>
      <c r="AY311" t="b">
        <v>0</v>
      </c>
      <c r="BA311" t="s">
        <v>1579</v>
      </c>
      <c r="BB311" t="s">
        <v>1206</v>
      </c>
      <c r="BC311" t="s">
        <v>1206</v>
      </c>
      <c r="BD311" t="s">
        <v>1207</v>
      </c>
      <c r="BE311" t="s">
        <v>1296</v>
      </c>
      <c r="BF311" t="s">
        <v>1580</v>
      </c>
      <c r="BG311" t="s">
        <v>237</v>
      </c>
      <c r="BH311" t="s">
        <v>1206</v>
      </c>
      <c r="BI311" t="s">
        <v>1206</v>
      </c>
      <c r="BJ311" t="s">
        <v>1581</v>
      </c>
    </row>
    <row r="312" spans="1:62" x14ac:dyDescent="0.25">
      <c r="A312" t="s">
        <v>1177</v>
      </c>
      <c r="B312">
        <v>100171</v>
      </c>
      <c r="C312">
        <v>100171</v>
      </c>
      <c r="D312" s="112" t="s">
        <v>2735</v>
      </c>
      <c r="E312" t="s">
        <v>1119</v>
      </c>
      <c r="F312" t="s">
        <v>1178</v>
      </c>
      <c r="G312" t="s">
        <v>1781</v>
      </c>
      <c r="H312" s="135" t="s">
        <v>1782</v>
      </c>
      <c r="I312">
        <v>12</v>
      </c>
      <c r="J312" t="s">
        <v>1279</v>
      </c>
      <c r="K312">
        <v>12174</v>
      </c>
      <c r="L312" t="s">
        <v>1571</v>
      </c>
      <c r="M312">
        <v>12174239</v>
      </c>
      <c r="N312" t="s">
        <v>1572</v>
      </c>
      <c r="O312">
        <v>12174239647</v>
      </c>
      <c r="P312" t="s">
        <v>1610</v>
      </c>
      <c r="Q312" s="135" t="s">
        <v>1783</v>
      </c>
      <c r="R312" t="s">
        <v>1784</v>
      </c>
      <c r="S312" s="135" t="s">
        <v>1782</v>
      </c>
      <c r="T312" t="s">
        <v>1785</v>
      </c>
      <c r="U312" t="s">
        <v>1310</v>
      </c>
      <c r="V312" t="s">
        <v>1311</v>
      </c>
      <c r="W312">
        <v>65</v>
      </c>
      <c r="X312" t="s">
        <v>1189</v>
      </c>
      <c r="Y312">
        <v>48</v>
      </c>
      <c r="Z312">
        <v>3120</v>
      </c>
      <c r="AA312" t="s">
        <v>28</v>
      </c>
      <c r="AB312" t="s">
        <v>1190</v>
      </c>
      <c r="AC312">
        <v>65</v>
      </c>
      <c r="AD312" t="s">
        <v>1191</v>
      </c>
      <c r="AE312" t="s">
        <v>1192</v>
      </c>
      <c r="AF312" t="s">
        <v>1193</v>
      </c>
      <c r="AG312" t="s">
        <v>1194</v>
      </c>
      <c r="AH312" t="s">
        <v>1195</v>
      </c>
      <c r="AI312" t="s">
        <v>1202</v>
      </c>
      <c r="AJ312" t="s">
        <v>1291</v>
      </c>
      <c r="AK312" t="s">
        <v>1292</v>
      </c>
      <c r="AL312" t="s">
        <v>1291</v>
      </c>
      <c r="AM312" t="s">
        <v>1577</v>
      </c>
      <c r="AN312" t="s">
        <v>1201</v>
      </c>
      <c r="AO312" t="s">
        <v>1292</v>
      </c>
      <c r="AP312" t="s">
        <v>1578</v>
      </c>
      <c r="AQ312" t="s">
        <v>1203</v>
      </c>
      <c r="AR312" t="s">
        <v>1201</v>
      </c>
      <c r="AS312" t="s">
        <v>1203</v>
      </c>
      <c r="AU312" t="s">
        <v>1204</v>
      </c>
      <c r="AW312" t="b">
        <v>0</v>
      </c>
      <c r="AY312" t="b">
        <v>0</v>
      </c>
      <c r="BA312" t="s">
        <v>1579</v>
      </c>
      <c r="BB312" t="s">
        <v>1206</v>
      </c>
      <c r="BC312" t="s">
        <v>1206</v>
      </c>
      <c r="BD312" t="s">
        <v>1207</v>
      </c>
      <c r="BE312" t="s">
        <v>1296</v>
      </c>
      <c r="BF312" t="s">
        <v>1580</v>
      </c>
      <c r="BG312" t="s">
        <v>237</v>
      </c>
      <c r="BH312" t="s">
        <v>1206</v>
      </c>
      <c r="BI312" t="s">
        <v>1206</v>
      </c>
      <c r="BJ312" t="s">
        <v>1581</v>
      </c>
    </row>
    <row r="313" spans="1:62" x14ac:dyDescent="0.25">
      <c r="A313" t="s">
        <v>1177</v>
      </c>
      <c r="B313">
        <v>100189</v>
      </c>
      <c r="C313">
        <v>100189</v>
      </c>
      <c r="D313" s="112" t="s">
        <v>2736</v>
      </c>
      <c r="E313" t="s">
        <v>1119</v>
      </c>
      <c r="F313" t="s">
        <v>1178</v>
      </c>
      <c r="G313" t="s">
        <v>238</v>
      </c>
      <c r="H313" s="135" t="s">
        <v>1786</v>
      </c>
      <c r="I313">
        <v>12</v>
      </c>
      <c r="J313" t="s">
        <v>1279</v>
      </c>
      <c r="K313">
        <v>12174</v>
      </c>
      <c r="L313" t="s">
        <v>1571</v>
      </c>
      <c r="M313">
        <v>12174239</v>
      </c>
      <c r="N313" t="s">
        <v>1572</v>
      </c>
      <c r="O313">
        <v>12174239647</v>
      </c>
      <c r="P313" t="s">
        <v>1610</v>
      </c>
      <c r="Q313" s="135" t="s">
        <v>1787</v>
      </c>
      <c r="R313" t="s">
        <v>1788</v>
      </c>
      <c r="S313" s="135" t="s">
        <v>1786</v>
      </c>
      <c r="T313" t="s">
        <v>1789</v>
      </c>
      <c r="U313" t="s">
        <v>1310</v>
      </c>
      <c r="V313" t="s">
        <v>1311</v>
      </c>
      <c r="W313">
        <v>75</v>
      </c>
      <c r="X313" t="s">
        <v>1342</v>
      </c>
      <c r="Y313">
        <v>48</v>
      </c>
      <c r="Z313">
        <v>3600</v>
      </c>
      <c r="AA313" t="s">
        <v>28</v>
      </c>
      <c r="AB313" t="s">
        <v>1190</v>
      </c>
      <c r="AC313">
        <v>75</v>
      </c>
      <c r="AD313" t="s">
        <v>1191</v>
      </c>
      <c r="AE313" t="s">
        <v>1192</v>
      </c>
      <c r="AF313" t="s">
        <v>1193</v>
      </c>
      <c r="AG313" t="s">
        <v>1194</v>
      </c>
      <c r="AH313" t="s">
        <v>1195</v>
      </c>
      <c r="AI313" t="s">
        <v>1202</v>
      </c>
      <c r="AJ313" t="s">
        <v>1291</v>
      </c>
      <c r="AK313" t="s">
        <v>1292</v>
      </c>
      <c r="AL313" t="s">
        <v>1291</v>
      </c>
      <c r="AM313" t="s">
        <v>1577</v>
      </c>
      <c r="AN313" t="s">
        <v>1201</v>
      </c>
      <c r="AO313" t="s">
        <v>1292</v>
      </c>
      <c r="AP313" t="s">
        <v>1578</v>
      </c>
      <c r="AQ313" t="s">
        <v>1203</v>
      </c>
      <c r="AR313" t="s">
        <v>1201</v>
      </c>
      <c r="AS313" t="s">
        <v>1203</v>
      </c>
      <c r="AU313" t="s">
        <v>1204</v>
      </c>
      <c r="AW313" t="b">
        <v>0</v>
      </c>
      <c r="AY313" t="b">
        <v>0</v>
      </c>
      <c r="BA313" t="s">
        <v>1579</v>
      </c>
      <c r="BB313" t="s">
        <v>1206</v>
      </c>
      <c r="BC313" t="s">
        <v>1206</v>
      </c>
      <c r="BD313" t="s">
        <v>1207</v>
      </c>
      <c r="BE313" t="s">
        <v>1296</v>
      </c>
      <c r="BF313" t="s">
        <v>1580</v>
      </c>
      <c r="BG313" t="s">
        <v>237</v>
      </c>
      <c r="BH313" t="s">
        <v>1206</v>
      </c>
      <c r="BI313" t="s">
        <v>1206</v>
      </c>
      <c r="BJ313" t="s">
        <v>1581</v>
      </c>
    </row>
    <row r="314" spans="1:62" x14ac:dyDescent="0.25">
      <c r="A314" t="s">
        <v>1177</v>
      </c>
      <c r="B314">
        <v>100206</v>
      </c>
      <c r="C314">
        <v>100206</v>
      </c>
      <c r="D314" s="112" t="s">
        <v>2737</v>
      </c>
      <c r="E314" t="s">
        <v>1119</v>
      </c>
      <c r="F314" t="s">
        <v>1178</v>
      </c>
      <c r="G314" t="s">
        <v>1790</v>
      </c>
      <c r="H314" s="135" t="s">
        <v>1681</v>
      </c>
      <c r="I314">
        <v>12</v>
      </c>
      <c r="J314" t="s">
        <v>1279</v>
      </c>
      <c r="K314">
        <v>12174</v>
      </c>
      <c r="L314" t="s">
        <v>1571</v>
      </c>
      <c r="M314">
        <v>12174239</v>
      </c>
      <c r="N314" t="s">
        <v>1572</v>
      </c>
      <c r="O314">
        <v>12174239647</v>
      </c>
      <c r="P314" t="s">
        <v>1610</v>
      </c>
      <c r="Q314" s="135" t="s">
        <v>1623</v>
      </c>
      <c r="R314" t="s">
        <v>1624</v>
      </c>
      <c r="S314" s="135" t="s">
        <v>1681</v>
      </c>
      <c r="T314" t="s">
        <v>1682</v>
      </c>
      <c r="U314" t="s">
        <v>1230</v>
      </c>
      <c r="V314" t="s">
        <v>1231</v>
      </c>
      <c r="W314">
        <v>15</v>
      </c>
      <c r="X314" t="s">
        <v>1342</v>
      </c>
      <c r="Y314">
        <v>16</v>
      </c>
      <c r="Z314">
        <v>240</v>
      </c>
      <c r="AA314" t="s">
        <v>28</v>
      </c>
      <c r="AB314" t="s">
        <v>1190</v>
      </c>
      <c r="AC314">
        <v>15</v>
      </c>
      <c r="AD314" t="s">
        <v>1232</v>
      </c>
      <c r="AE314" t="s">
        <v>1192</v>
      </c>
      <c r="AF314" t="s">
        <v>1193</v>
      </c>
      <c r="AG314" t="s">
        <v>1194</v>
      </c>
      <c r="AH314" t="s">
        <v>1195</v>
      </c>
      <c r="AI314" t="s">
        <v>1202</v>
      </c>
      <c r="AJ314" t="s">
        <v>1291</v>
      </c>
      <c r="AK314" t="s">
        <v>1292</v>
      </c>
      <c r="AL314" t="s">
        <v>1291</v>
      </c>
      <c r="AM314" t="s">
        <v>1577</v>
      </c>
      <c r="AN314" t="s">
        <v>1201</v>
      </c>
      <c r="AO314" t="s">
        <v>1292</v>
      </c>
      <c r="AP314" t="s">
        <v>1578</v>
      </c>
      <c r="AQ314" t="s">
        <v>1203</v>
      </c>
      <c r="AR314" t="s">
        <v>1201</v>
      </c>
      <c r="AS314" t="s">
        <v>1203</v>
      </c>
      <c r="AU314" t="s">
        <v>1204</v>
      </c>
      <c r="AW314" t="b">
        <v>0</v>
      </c>
      <c r="AY314" t="b">
        <v>1</v>
      </c>
      <c r="BA314" t="s">
        <v>1626</v>
      </c>
      <c r="BB314" t="s">
        <v>1206</v>
      </c>
      <c r="BC314" t="s">
        <v>1206</v>
      </c>
      <c r="BD314" t="s">
        <v>1207</v>
      </c>
      <c r="BE314" t="s">
        <v>1296</v>
      </c>
      <c r="BF314" t="s">
        <v>1580</v>
      </c>
      <c r="BG314" t="s">
        <v>280</v>
      </c>
      <c r="BH314" t="s">
        <v>1206</v>
      </c>
      <c r="BI314" t="s">
        <v>1206</v>
      </c>
      <c r="BJ314" t="s">
        <v>1627</v>
      </c>
    </row>
    <row r="315" spans="1:62" x14ac:dyDescent="0.25">
      <c r="A315" t="s">
        <v>1177</v>
      </c>
      <c r="B315">
        <v>100178</v>
      </c>
      <c r="C315">
        <v>100178</v>
      </c>
      <c r="D315" s="112" t="s">
        <v>2738</v>
      </c>
      <c r="E315" t="s">
        <v>1119</v>
      </c>
      <c r="F315" t="s">
        <v>1178</v>
      </c>
      <c r="G315" t="s">
        <v>1791</v>
      </c>
      <c r="H315" s="135" t="s">
        <v>1792</v>
      </c>
      <c r="I315">
        <v>12</v>
      </c>
      <c r="J315" t="s">
        <v>1279</v>
      </c>
      <c r="K315">
        <v>12174</v>
      </c>
      <c r="L315" t="s">
        <v>1571</v>
      </c>
      <c r="M315">
        <v>12174239</v>
      </c>
      <c r="N315" t="s">
        <v>1572</v>
      </c>
      <c r="O315">
        <v>12174239647</v>
      </c>
      <c r="P315" t="s">
        <v>1610</v>
      </c>
      <c r="Q315" s="135" t="s">
        <v>1793</v>
      </c>
      <c r="R315" t="s">
        <v>1794</v>
      </c>
      <c r="S315" s="135" t="s">
        <v>1792</v>
      </c>
      <c r="T315" t="s">
        <v>1795</v>
      </c>
      <c r="U315" t="s">
        <v>1230</v>
      </c>
      <c r="V315" t="s">
        <v>1231</v>
      </c>
      <c r="W315">
        <v>15</v>
      </c>
      <c r="X315" t="s">
        <v>1189</v>
      </c>
      <c r="Y315">
        <v>16</v>
      </c>
      <c r="Z315">
        <v>240</v>
      </c>
      <c r="AA315" t="s">
        <v>28</v>
      </c>
      <c r="AB315" t="s">
        <v>1190</v>
      </c>
      <c r="AC315">
        <v>15</v>
      </c>
      <c r="AD315" t="s">
        <v>1232</v>
      </c>
      <c r="AE315" t="s">
        <v>1192</v>
      </c>
      <c r="AF315" t="s">
        <v>1193</v>
      </c>
      <c r="AG315" t="s">
        <v>1194</v>
      </c>
      <c r="AH315" t="s">
        <v>1195</v>
      </c>
      <c r="AI315" t="s">
        <v>1202</v>
      </c>
      <c r="AJ315" t="s">
        <v>1291</v>
      </c>
      <c r="AK315" t="s">
        <v>1292</v>
      </c>
      <c r="AL315" t="s">
        <v>1291</v>
      </c>
      <c r="AM315" t="s">
        <v>1577</v>
      </c>
      <c r="AN315" t="s">
        <v>1201</v>
      </c>
      <c r="AO315" t="s">
        <v>1292</v>
      </c>
      <c r="AP315" t="s">
        <v>1578</v>
      </c>
      <c r="AQ315" t="s">
        <v>1203</v>
      </c>
      <c r="AR315" t="s">
        <v>1201</v>
      </c>
      <c r="AS315" t="s">
        <v>1203</v>
      </c>
      <c r="AU315" t="s">
        <v>1204</v>
      </c>
      <c r="AW315" t="b">
        <v>0</v>
      </c>
      <c r="AY315" t="b">
        <v>1</v>
      </c>
      <c r="BA315" t="s">
        <v>1626</v>
      </c>
      <c r="BB315" t="s">
        <v>1206</v>
      </c>
      <c r="BC315" t="s">
        <v>1206</v>
      </c>
      <c r="BD315" t="s">
        <v>1207</v>
      </c>
      <c r="BE315" t="s">
        <v>1296</v>
      </c>
      <c r="BF315" t="s">
        <v>1580</v>
      </c>
      <c r="BG315" t="s">
        <v>280</v>
      </c>
      <c r="BH315" t="s">
        <v>1206</v>
      </c>
      <c r="BI315" t="s">
        <v>1206</v>
      </c>
      <c r="BJ315" t="s">
        <v>1627</v>
      </c>
    </row>
    <row r="316" spans="1:62" x14ac:dyDescent="0.25">
      <c r="A316" t="s">
        <v>1177</v>
      </c>
      <c r="B316">
        <v>100170</v>
      </c>
      <c r="C316">
        <v>100170</v>
      </c>
      <c r="D316" s="112" t="s">
        <v>2739</v>
      </c>
      <c r="E316" t="s">
        <v>1119</v>
      </c>
      <c r="F316" t="s">
        <v>1178</v>
      </c>
      <c r="G316" t="s">
        <v>1796</v>
      </c>
      <c r="H316" s="135" t="s">
        <v>1797</v>
      </c>
      <c r="I316">
        <v>12</v>
      </c>
      <c r="J316" t="s">
        <v>1279</v>
      </c>
      <c r="K316">
        <v>12174</v>
      </c>
      <c r="L316" t="s">
        <v>1571</v>
      </c>
      <c r="M316">
        <v>12174239</v>
      </c>
      <c r="N316" t="s">
        <v>1572</v>
      </c>
      <c r="O316">
        <v>12174239647</v>
      </c>
      <c r="P316" t="s">
        <v>1610</v>
      </c>
      <c r="Q316" s="135" t="s">
        <v>1798</v>
      </c>
      <c r="R316" t="s">
        <v>1799</v>
      </c>
      <c r="S316" s="135" t="s">
        <v>1797</v>
      </c>
      <c r="T316" t="s">
        <v>1800</v>
      </c>
      <c r="U316" t="s">
        <v>1230</v>
      </c>
      <c r="V316" t="s">
        <v>1231</v>
      </c>
      <c r="W316">
        <v>18</v>
      </c>
      <c r="X316" t="s">
        <v>1189</v>
      </c>
      <c r="Y316">
        <v>20</v>
      </c>
      <c r="Z316">
        <v>360</v>
      </c>
      <c r="AA316" t="s">
        <v>28</v>
      </c>
      <c r="AB316" t="s">
        <v>1190</v>
      </c>
      <c r="AC316">
        <v>18</v>
      </c>
      <c r="AD316" t="s">
        <v>1232</v>
      </c>
      <c r="AE316" t="s">
        <v>1192</v>
      </c>
      <c r="AF316" t="s">
        <v>1193</v>
      </c>
      <c r="AG316" t="s">
        <v>1194</v>
      </c>
      <c r="AH316" t="s">
        <v>1195</v>
      </c>
      <c r="AI316" t="s">
        <v>1202</v>
      </c>
      <c r="AJ316" t="s">
        <v>1291</v>
      </c>
      <c r="AK316" t="s">
        <v>1292</v>
      </c>
      <c r="AL316" t="s">
        <v>1291</v>
      </c>
      <c r="AM316" t="s">
        <v>1577</v>
      </c>
      <c r="AN316" t="s">
        <v>1201</v>
      </c>
      <c r="AO316" t="s">
        <v>1292</v>
      </c>
      <c r="AP316" t="s">
        <v>1578</v>
      </c>
      <c r="AQ316" t="s">
        <v>1203</v>
      </c>
      <c r="AR316" t="s">
        <v>1201</v>
      </c>
      <c r="AS316" t="s">
        <v>1203</v>
      </c>
      <c r="AU316" t="s">
        <v>1204</v>
      </c>
      <c r="AW316" t="b">
        <v>0</v>
      </c>
      <c r="AY316" t="b">
        <v>1</v>
      </c>
      <c r="BA316" t="s">
        <v>1626</v>
      </c>
      <c r="BB316" t="s">
        <v>1206</v>
      </c>
      <c r="BC316" t="s">
        <v>1206</v>
      </c>
      <c r="BD316" t="s">
        <v>1207</v>
      </c>
      <c r="BE316" t="s">
        <v>1296</v>
      </c>
      <c r="BF316" t="s">
        <v>1580</v>
      </c>
      <c r="BG316" t="s">
        <v>280</v>
      </c>
      <c r="BH316" t="s">
        <v>1206</v>
      </c>
      <c r="BI316" t="s">
        <v>1206</v>
      </c>
      <c r="BJ316" t="s">
        <v>1627</v>
      </c>
    </row>
    <row r="317" spans="1:62" x14ac:dyDescent="0.25">
      <c r="A317" t="s">
        <v>1177</v>
      </c>
      <c r="B317">
        <v>100205</v>
      </c>
      <c r="C317">
        <v>100205</v>
      </c>
      <c r="D317" s="112" t="s">
        <v>2740</v>
      </c>
      <c r="E317" t="s">
        <v>1119</v>
      </c>
      <c r="F317" t="s">
        <v>1178</v>
      </c>
      <c r="G317" t="s">
        <v>282</v>
      </c>
      <c r="H317" s="135" t="s">
        <v>1622</v>
      </c>
      <c r="I317">
        <v>12</v>
      </c>
      <c r="J317" t="s">
        <v>1279</v>
      </c>
      <c r="K317">
        <v>12174</v>
      </c>
      <c r="L317" t="s">
        <v>1571</v>
      </c>
      <c r="M317">
        <v>12174239</v>
      </c>
      <c r="N317" t="s">
        <v>1572</v>
      </c>
      <c r="O317">
        <v>12174239647</v>
      </c>
      <c r="P317" t="s">
        <v>1610</v>
      </c>
      <c r="Q317" s="135" t="s">
        <v>1623</v>
      </c>
      <c r="R317" t="s">
        <v>1624</v>
      </c>
      <c r="S317" s="135" t="s">
        <v>1622</v>
      </c>
      <c r="T317" t="s">
        <v>1625</v>
      </c>
      <c r="U317" t="s">
        <v>1230</v>
      </c>
      <c r="V317" t="s">
        <v>1231</v>
      </c>
      <c r="W317">
        <v>15</v>
      </c>
      <c r="X317" t="s">
        <v>1342</v>
      </c>
      <c r="Y317">
        <v>24</v>
      </c>
      <c r="Z317">
        <v>360</v>
      </c>
      <c r="AA317" t="s">
        <v>28</v>
      </c>
      <c r="AB317" t="s">
        <v>1190</v>
      </c>
      <c r="AC317">
        <v>15</v>
      </c>
      <c r="AD317" t="s">
        <v>1232</v>
      </c>
      <c r="AE317" t="s">
        <v>1192</v>
      </c>
      <c r="AF317" t="s">
        <v>1193</v>
      </c>
      <c r="AG317" t="s">
        <v>1194</v>
      </c>
      <c r="AH317" t="s">
        <v>1195</v>
      </c>
      <c r="AI317" t="s">
        <v>1202</v>
      </c>
      <c r="AJ317" t="s">
        <v>1291</v>
      </c>
      <c r="AK317" t="s">
        <v>1292</v>
      </c>
      <c r="AL317" t="s">
        <v>1291</v>
      </c>
      <c r="AM317" t="s">
        <v>1577</v>
      </c>
      <c r="AN317" t="s">
        <v>1201</v>
      </c>
      <c r="AO317" t="s">
        <v>1292</v>
      </c>
      <c r="AP317" t="s">
        <v>1578</v>
      </c>
      <c r="AQ317" t="s">
        <v>1203</v>
      </c>
      <c r="AR317" t="s">
        <v>1201</v>
      </c>
      <c r="AS317" t="s">
        <v>1203</v>
      </c>
      <c r="AU317" t="s">
        <v>1204</v>
      </c>
      <c r="AW317" t="b">
        <v>0</v>
      </c>
      <c r="AY317" t="b">
        <v>1</v>
      </c>
      <c r="BA317" t="s">
        <v>1626</v>
      </c>
      <c r="BB317" t="s">
        <v>1206</v>
      </c>
      <c r="BC317" t="s">
        <v>1206</v>
      </c>
      <c r="BD317" t="s">
        <v>1207</v>
      </c>
      <c r="BE317" t="s">
        <v>1296</v>
      </c>
      <c r="BF317" t="s">
        <v>1580</v>
      </c>
      <c r="BG317" t="s">
        <v>280</v>
      </c>
      <c r="BH317" t="s">
        <v>1206</v>
      </c>
      <c r="BI317" t="s">
        <v>1206</v>
      </c>
      <c r="BJ317" t="s">
        <v>1627</v>
      </c>
    </row>
    <row r="318" spans="1:62" x14ac:dyDescent="0.25">
      <c r="A318" t="s">
        <v>1177</v>
      </c>
      <c r="B318">
        <v>100090</v>
      </c>
      <c r="C318">
        <v>100090</v>
      </c>
      <c r="D318" s="112" t="s">
        <v>2741</v>
      </c>
      <c r="E318" t="s">
        <v>1119</v>
      </c>
      <c r="F318" t="s">
        <v>1178</v>
      </c>
      <c r="G318" t="s">
        <v>1801</v>
      </c>
      <c r="H318" t="s">
        <v>1615</v>
      </c>
      <c r="I318">
        <v>12</v>
      </c>
      <c r="J318" t="s">
        <v>1279</v>
      </c>
      <c r="K318">
        <v>12174</v>
      </c>
      <c r="L318" t="s">
        <v>1571</v>
      </c>
      <c r="M318">
        <v>12174239</v>
      </c>
      <c r="N318" t="s">
        <v>1572</v>
      </c>
      <c r="O318">
        <v>12174239647</v>
      </c>
      <c r="P318" t="s">
        <v>1610</v>
      </c>
      <c r="Q318" t="s">
        <v>1616</v>
      </c>
      <c r="R318" t="s">
        <v>1617</v>
      </c>
      <c r="S318" t="s">
        <v>1615</v>
      </c>
      <c r="T318" t="s">
        <v>1618</v>
      </c>
      <c r="U318" t="s">
        <v>1237</v>
      </c>
      <c r="V318" t="s">
        <v>1238</v>
      </c>
      <c r="W318">
        <v>275</v>
      </c>
      <c r="X318" t="s">
        <v>1189</v>
      </c>
      <c r="Y318">
        <v>24</v>
      </c>
      <c r="Z318">
        <v>6600</v>
      </c>
      <c r="AA318" t="s">
        <v>28</v>
      </c>
      <c r="AB318" t="s">
        <v>1190</v>
      </c>
      <c r="AC318">
        <v>275</v>
      </c>
      <c r="AD318" t="s">
        <v>1191</v>
      </c>
      <c r="AE318" t="s">
        <v>1192</v>
      </c>
      <c r="AF318" t="s">
        <v>1193</v>
      </c>
      <c r="AG318" t="s">
        <v>1194</v>
      </c>
      <c r="AH318" t="s">
        <v>1195</v>
      </c>
      <c r="AI318" t="s">
        <v>1202</v>
      </c>
      <c r="AJ318" t="s">
        <v>1291</v>
      </c>
      <c r="AK318" t="s">
        <v>1292</v>
      </c>
      <c r="AL318" t="s">
        <v>1291</v>
      </c>
      <c r="AM318" t="s">
        <v>1321</v>
      </c>
      <c r="AN318" t="s">
        <v>1201</v>
      </c>
      <c r="AO318" t="s">
        <v>1292</v>
      </c>
      <c r="AP318" t="s">
        <v>1322</v>
      </c>
      <c r="AQ318" t="s">
        <v>1203</v>
      </c>
      <c r="AR318" t="s">
        <v>1201</v>
      </c>
      <c r="AS318" t="s">
        <v>1203</v>
      </c>
      <c r="AU318" t="s">
        <v>1204</v>
      </c>
      <c r="AW318" t="b">
        <v>0</v>
      </c>
      <c r="AY318" t="b">
        <v>0</v>
      </c>
      <c r="BA318" t="s">
        <v>1579</v>
      </c>
      <c r="BB318" t="s">
        <v>1206</v>
      </c>
      <c r="BC318" t="s">
        <v>1206</v>
      </c>
      <c r="BD318" t="s">
        <v>1207</v>
      </c>
      <c r="BE318" t="s">
        <v>1296</v>
      </c>
      <c r="BF318" t="s">
        <v>1580</v>
      </c>
      <c r="BG318" t="s">
        <v>237</v>
      </c>
      <c r="BH318" t="s">
        <v>1206</v>
      </c>
      <c r="BI318" t="s">
        <v>1206</v>
      </c>
      <c r="BJ318" t="s">
        <v>1581</v>
      </c>
    </row>
    <row r="319" spans="1:62" x14ac:dyDescent="0.25">
      <c r="A319" t="s">
        <v>1177</v>
      </c>
      <c r="B319">
        <v>100089</v>
      </c>
      <c r="C319">
        <v>100089</v>
      </c>
      <c r="D319" s="112" t="s">
        <v>2742</v>
      </c>
      <c r="E319" t="s">
        <v>1119</v>
      </c>
      <c r="F319" t="s">
        <v>1178</v>
      </c>
      <c r="G319" t="s">
        <v>1802</v>
      </c>
      <c r="H319" t="s">
        <v>1741</v>
      </c>
      <c r="I319">
        <v>12</v>
      </c>
      <c r="J319" t="s">
        <v>1279</v>
      </c>
      <c r="K319">
        <v>12174</v>
      </c>
      <c r="L319" t="s">
        <v>1571</v>
      </c>
      <c r="M319">
        <v>12174239</v>
      </c>
      <c r="N319" t="s">
        <v>1572</v>
      </c>
      <c r="O319">
        <v>12174239647</v>
      </c>
      <c r="P319" t="s">
        <v>1610</v>
      </c>
      <c r="Q319" t="s">
        <v>1742</v>
      </c>
      <c r="R319" t="s">
        <v>1743</v>
      </c>
      <c r="S319" t="s">
        <v>1741</v>
      </c>
      <c r="T319" t="s">
        <v>1744</v>
      </c>
      <c r="U319" t="s">
        <v>1237</v>
      </c>
      <c r="V319" t="s">
        <v>1238</v>
      </c>
      <c r="W319">
        <v>135</v>
      </c>
      <c r="X319" t="s">
        <v>1189</v>
      </c>
      <c r="Y319">
        <v>48</v>
      </c>
      <c r="Z319">
        <v>6480</v>
      </c>
      <c r="AA319" t="s">
        <v>28</v>
      </c>
      <c r="AB319" t="s">
        <v>1190</v>
      </c>
      <c r="AC319">
        <v>135</v>
      </c>
      <c r="AD319" t="s">
        <v>1191</v>
      </c>
      <c r="AE319" t="s">
        <v>1192</v>
      </c>
      <c r="AF319" t="s">
        <v>1193</v>
      </c>
      <c r="AG319" t="s">
        <v>1194</v>
      </c>
      <c r="AH319" t="s">
        <v>1195</v>
      </c>
      <c r="AI319" t="s">
        <v>1202</v>
      </c>
      <c r="AJ319" t="s">
        <v>1291</v>
      </c>
      <c r="AK319" t="s">
        <v>1292</v>
      </c>
      <c r="AL319" t="s">
        <v>1291</v>
      </c>
      <c r="AM319" t="s">
        <v>1321</v>
      </c>
      <c r="AN319" t="s">
        <v>1201</v>
      </c>
      <c r="AO319" t="s">
        <v>1292</v>
      </c>
      <c r="AP319" t="s">
        <v>1322</v>
      </c>
      <c r="AQ319" t="s">
        <v>1203</v>
      </c>
      <c r="AR319" t="s">
        <v>1201</v>
      </c>
      <c r="AS319" t="s">
        <v>1203</v>
      </c>
      <c r="AU319" t="s">
        <v>1204</v>
      </c>
      <c r="AW319" t="b">
        <v>0</v>
      </c>
      <c r="AY319" t="b">
        <v>0</v>
      </c>
      <c r="BA319" t="s">
        <v>1579</v>
      </c>
      <c r="BB319" t="s">
        <v>1206</v>
      </c>
      <c r="BC319" t="s">
        <v>1206</v>
      </c>
      <c r="BD319" t="s">
        <v>1207</v>
      </c>
      <c r="BE319" t="s">
        <v>1296</v>
      </c>
      <c r="BF319" t="s">
        <v>1580</v>
      </c>
      <c r="BG319" t="s">
        <v>237</v>
      </c>
      <c r="BH319" t="s">
        <v>1206</v>
      </c>
      <c r="BI319" t="s">
        <v>1206</v>
      </c>
      <c r="BJ319" t="s">
        <v>1581</v>
      </c>
    </row>
    <row r="320" spans="1:62" x14ac:dyDescent="0.25">
      <c r="A320" t="s">
        <v>1177</v>
      </c>
      <c r="B320">
        <v>100193</v>
      </c>
      <c r="C320">
        <v>100193</v>
      </c>
      <c r="D320" s="112" t="s">
        <v>2743</v>
      </c>
      <c r="E320" t="s">
        <v>1119</v>
      </c>
      <c r="F320" t="s">
        <v>1178</v>
      </c>
      <c r="G320" t="s">
        <v>275</v>
      </c>
      <c r="H320" t="s">
        <v>1615</v>
      </c>
      <c r="I320">
        <v>12</v>
      </c>
      <c r="J320" t="s">
        <v>1279</v>
      </c>
      <c r="K320">
        <v>12174</v>
      </c>
      <c r="L320" t="s">
        <v>1571</v>
      </c>
      <c r="M320">
        <v>12174239</v>
      </c>
      <c r="N320" t="s">
        <v>1572</v>
      </c>
      <c r="O320">
        <v>12174239647</v>
      </c>
      <c r="P320" t="s">
        <v>1610</v>
      </c>
      <c r="Q320" t="s">
        <v>1616</v>
      </c>
      <c r="R320" t="s">
        <v>1617</v>
      </c>
      <c r="S320" t="s">
        <v>1615</v>
      </c>
      <c r="T320" t="s">
        <v>1618</v>
      </c>
      <c r="U320" t="s">
        <v>1237</v>
      </c>
      <c r="V320" t="s">
        <v>1238</v>
      </c>
      <c r="W320">
        <v>275</v>
      </c>
      <c r="X320" t="s">
        <v>1189</v>
      </c>
      <c r="Y320">
        <v>24</v>
      </c>
      <c r="Z320">
        <v>6600</v>
      </c>
      <c r="AA320" t="s">
        <v>28</v>
      </c>
      <c r="AB320" t="s">
        <v>1190</v>
      </c>
      <c r="AC320">
        <v>275</v>
      </c>
      <c r="AD320" t="s">
        <v>1191</v>
      </c>
      <c r="AE320" t="s">
        <v>1192</v>
      </c>
      <c r="AF320" t="s">
        <v>1193</v>
      </c>
      <c r="AG320" t="s">
        <v>1194</v>
      </c>
      <c r="AH320" t="s">
        <v>1195</v>
      </c>
      <c r="AI320" t="s">
        <v>1202</v>
      </c>
      <c r="AJ320" t="s">
        <v>1291</v>
      </c>
      <c r="AK320" t="s">
        <v>1292</v>
      </c>
      <c r="AL320" t="s">
        <v>1291</v>
      </c>
      <c r="AM320" t="s">
        <v>1293</v>
      </c>
      <c r="AN320" t="s">
        <v>1201</v>
      </c>
      <c r="AO320" t="s">
        <v>1292</v>
      </c>
      <c r="AP320" t="s">
        <v>1294</v>
      </c>
      <c r="AQ320" t="s">
        <v>1203</v>
      </c>
      <c r="AR320" t="s">
        <v>1201</v>
      </c>
      <c r="AS320" t="s">
        <v>1203</v>
      </c>
      <c r="AU320" t="s">
        <v>1204</v>
      </c>
      <c r="AW320" t="b">
        <v>0</v>
      </c>
      <c r="AY320" t="b">
        <v>0</v>
      </c>
      <c r="BA320" t="s">
        <v>1579</v>
      </c>
      <c r="BB320" t="s">
        <v>1206</v>
      </c>
      <c r="BC320" t="s">
        <v>1206</v>
      </c>
      <c r="BD320" t="s">
        <v>1207</v>
      </c>
      <c r="BE320" t="s">
        <v>1296</v>
      </c>
      <c r="BF320" t="s">
        <v>1580</v>
      </c>
      <c r="BG320" t="s">
        <v>237</v>
      </c>
      <c r="BH320" t="s">
        <v>1206</v>
      </c>
      <c r="BI320" t="s">
        <v>1206</v>
      </c>
      <c r="BJ320" t="s">
        <v>1581</v>
      </c>
    </row>
    <row r="321" spans="1:62" x14ac:dyDescent="0.25">
      <c r="A321" t="s">
        <v>1177</v>
      </c>
      <c r="B321">
        <v>100192</v>
      </c>
      <c r="C321">
        <v>100192</v>
      </c>
      <c r="D321" s="112" t="s">
        <v>2744</v>
      </c>
      <c r="E321" t="s">
        <v>1119</v>
      </c>
      <c r="F321" t="s">
        <v>1178</v>
      </c>
      <c r="G321" t="s">
        <v>273</v>
      </c>
      <c r="H321" t="s">
        <v>1741</v>
      </c>
      <c r="I321">
        <v>12</v>
      </c>
      <c r="J321" t="s">
        <v>1279</v>
      </c>
      <c r="K321">
        <v>12174</v>
      </c>
      <c r="L321" t="s">
        <v>1571</v>
      </c>
      <c r="M321">
        <v>12174239</v>
      </c>
      <c r="N321" t="s">
        <v>1572</v>
      </c>
      <c r="O321">
        <v>12174239647</v>
      </c>
      <c r="P321" t="s">
        <v>1610</v>
      </c>
      <c r="Q321" t="s">
        <v>1742</v>
      </c>
      <c r="R321" t="s">
        <v>1743</v>
      </c>
      <c r="S321" t="s">
        <v>1741</v>
      </c>
      <c r="T321" t="s">
        <v>1744</v>
      </c>
      <c r="U321" t="s">
        <v>1237</v>
      </c>
      <c r="V321" t="s">
        <v>1238</v>
      </c>
      <c r="W321">
        <v>135</v>
      </c>
      <c r="X321" t="s">
        <v>1189</v>
      </c>
      <c r="Y321">
        <v>48</v>
      </c>
      <c r="Z321">
        <v>6480</v>
      </c>
      <c r="AA321" t="s">
        <v>28</v>
      </c>
      <c r="AB321" t="s">
        <v>1190</v>
      </c>
      <c r="AC321">
        <v>135</v>
      </c>
      <c r="AD321" t="s">
        <v>1191</v>
      </c>
      <c r="AE321" t="s">
        <v>1192</v>
      </c>
      <c r="AF321" t="s">
        <v>1193</v>
      </c>
      <c r="AG321" t="s">
        <v>1194</v>
      </c>
      <c r="AH321" t="s">
        <v>1195</v>
      </c>
      <c r="AI321" t="s">
        <v>1202</v>
      </c>
      <c r="AJ321" t="s">
        <v>1291</v>
      </c>
      <c r="AK321" t="s">
        <v>1292</v>
      </c>
      <c r="AL321" t="s">
        <v>1291</v>
      </c>
      <c r="AM321" t="s">
        <v>1293</v>
      </c>
      <c r="AN321" t="s">
        <v>1201</v>
      </c>
      <c r="AO321" t="s">
        <v>1292</v>
      </c>
      <c r="AP321" t="s">
        <v>1294</v>
      </c>
      <c r="AQ321" t="s">
        <v>1203</v>
      </c>
      <c r="AR321" t="s">
        <v>1201</v>
      </c>
      <c r="AS321" t="s">
        <v>1203</v>
      </c>
      <c r="AU321" t="s">
        <v>1204</v>
      </c>
      <c r="AW321" t="b">
        <v>0</v>
      </c>
      <c r="AY321" t="b">
        <v>0</v>
      </c>
      <c r="BA321" t="s">
        <v>1579</v>
      </c>
      <c r="BB321" t="s">
        <v>1206</v>
      </c>
      <c r="BC321" t="s">
        <v>1206</v>
      </c>
      <c r="BD321" t="s">
        <v>1207</v>
      </c>
      <c r="BE321" t="s">
        <v>1296</v>
      </c>
      <c r="BF321" t="s">
        <v>1580</v>
      </c>
      <c r="BG321" t="s">
        <v>237</v>
      </c>
      <c r="BH321" t="s">
        <v>1206</v>
      </c>
      <c r="BI321" t="s">
        <v>1206</v>
      </c>
      <c r="BJ321" t="s">
        <v>1581</v>
      </c>
    </row>
    <row r="322" spans="1:62" x14ac:dyDescent="0.25">
      <c r="A322" t="s">
        <v>1177</v>
      </c>
      <c r="B322">
        <v>100985</v>
      </c>
      <c r="C322">
        <v>100985</v>
      </c>
      <c r="D322" s="112" t="s">
        <v>2745</v>
      </c>
      <c r="E322" t="s">
        <v>1119</v>
      </c>
      <c r="F322" t="s">
        <v>1178</v>
      </c>
      <c r="G322" t="s">
        <v>1803</v>
      </c>
      <c r="H322" s="135" t="s">
        <v>1681</v>
      </c>
      <c r="I322">
        <v>12</v>
      </c>
      <c r="J322" t="s">
        <v>1279</v>
      </c>
      <c r="K322">
        <v>12174</v>
      </c>
      <c r="L322" t="s">
        <v>1571</v>
      </c>
      <c r="M322">
        <v>12174239</v>
      </c>
      <c r="N322" t="s">
        <v>1572</v>
      </c>
      <c r="O322">
        <v>12174239647</v>
      </c>
      <c r="P322" t="s">
        <v>1610</v>
      </c>
      <c r="Q322" s="135" t="s">
        <v>1623</v>
      </c>
      <c r="R322" t="s">
        <v>1624</v>
      </c>
      <c r="S322" s="135" t="s">
        <v>1681</v>
      </c>
      <c r="T322" t="s">
        <v>1682</v>
      </c>
      <c r="U322" t="s">
        <v>1230</v>
      </c>
      <c r="V322" t="s">
        <v>1231</v>
      </c>
      <c r="W322">
        <v>15</v>
      </c>
      <c r="X322" t="s">
        <v>1342</v>
      </c>
      <c r="Y322">
        <v>16</v>
      </c>
      <c r="Z322">
        <v>240</v>
      </c>
      <c r="AA322" t="s">
        <v>28</v>
      </c>
      <c r="AB322" t="s">
        <v>1190</v>
      </c>
      <c r="AC322">
        <v>15</v>
      </c>
      <c r="AD322" t="s">
        <v>1232</v>
      </c>
      <c r="AE322" t="s">
        <v>1192</v>
      </c>
      <c r="AF322" t="s">
        <v>1193</v>
      </c>
      <c r="AG322" t="s">
        <v>1194</v>
      </c>
      <c r="AH322" t="s">
        <v>1195</v>
      </c>
      <c r="AI322" t="s">
        <v>1202</v>
      </c>
      <c r="AJ322" t="s">
        <v>1291</v>
      </c>
      <c r="AK322" t="s">
        <v>1292</v>
      </c>
      <c r="AL322" t="s">
        <v>1291</v>
      </c>
      <c r="AM322" t="s">
        <v>1577</v>
      </c>
      <c r="AN322" t="s">
        <v>1201</v>
      </c>
      <c r="AO322" t="s">
        <v>1292</v>
      </c>
      <c r="AP322" t="s">
        <v>1578</v>
      </c>
      <c r="AQ322" t="s">
        <v>1203</v>
      </c>
      <c r="AR322" t="s">
        <v>1201</v>
      </c>
      <c r="AS322" t="s">
        <v>1203</v>
      </c>
      <c r="AU322" t="s">
        <v>1204</v>
      </c>
      <c r="AW322" t="b">
        <v>0</v>
      </c>
      <c r="AY322" t="b">
        <v>1</v>
      </c>
      <c r="BA322" t="s">
        <v>1626</v>
      </c>
      <c r="BB322" t="s">
        <v>1206</v>
      </c>
      <c r="BC322" t="s">
        <v>1206</v>
      </c>
      <c r="BD322" t="s">
        <v>1207</v>
      </c>
      <c r="BE322" t="s">
        <v>1296</v>
      </c>
      <c r="BF322" t="s">
        <v>1580</v>
      </c>
      <c r="BG322" t="s">
        <v>280</v>
      </c>
      <c r="BH322" t="s">
        <v>1206</v>
      </c>
      <c r="BI322" t="s">
        <v>1206</v>
      </c>
      <c r="BJ322" t="s">
        <v>1627</v>
      </c>
    </row>
    <row r="323" spans="1:62" x14ac:dyDescent="0.25">
      <c r="A323" t="s">
        <v>1177</v>
      </c>
      <c r="B323">
        <v>100987</v>
      </c>
      <c r="C323">
        <v>100987</v>
      </c>
      <c r="D323" s="112" t="s">
        <v>2746</v>
      </c>
      <c r="E323" t="s">
        <v>1119</v>
      </c>
      <c r="F323" t="s">
        <v>1178</v>
      </c>
      <c r="G323" t="s">
        <v>283</v>
      </c>
      <c r="H323" s="135" t="s">
        <v>1622</v>
      </c>
      <c r="I323">
        <v>12</v>
      </c>
      <c r="J323" t="s">
        <v>1279</v>
      </c>
      <c r="K323">
        <v>12174</v>
      </c>
      <c r="L323" t="s">
        <v>1571</v>
      </c>
      <c r="M323">
        <v>12174239</v>
      </c>
      <c r="N323" t="s">
        <v>1572</v>
      </c>
      <c r="O323">
        <v>12174239647</v>
      </c>
      <c r="P323" t="s">
        <v>1610</v>
      </c>
      <c r="Q323" s="135" t="s">
        <v>1623</v>
      </c>
      <c r="R323" t="s">
        <v>1624</v>
      </c>
      <c r="S323" s="135" t="s">
        <v>1622</v>
      </c>
      <c r="T323" t="s">
        <v>1625</v>
      </c>
      <c r="U323" t="s">
        <v>1230</v>
      </c>
      <c r="V323" t="s">
        <v>1231</v>
      </c>
      <c r="W323">
        <v>15</v>
      </c>
      <c r="X323" t="s">
        <v>1342</v>
      </c>
      <c r="Y323">
        <v>24</v>
      </c>
      <c r="Z323">
        <v>360</v>
      </c>
      <c r="AA323" t="s">
        <v>28</v>
      </c>
      <c r="AB323" t="s">
        <v>1190</v>
      </c>
      <c r="AC323">
        <v>15</v>
      </c>
      <c r="AD323" t="s">
        <v>1232</v>
      </c>
      <c r="AE323" t="s">
        <v>1192</v>
      </c>
      <c r="AF323" t="s">
        <v>1193</v>
      </c>
      <c r="AG323" t="s">
        <v>1194</v>
      </c>
      <c r="AH323" t="s">
        <v>1195</v>
      </c>
      <c r="AI323" t="s">
        <v>1202</v>
      </c>
      <c r="AJ323" t="s">
        <v>1291</v>
      </c>
      <c r="AK323" t="s">
        <v>1292</v>
      </c>
      <c r="AL323" t="s">
        <v>1291</v>
      </c>
      <c r="AM323" t="s">
        <v>1577</v>
      </c>
      <c r="AN323" t="s">
        <v>1201</v>
      </c>
      <c r="AO323" t="s">
        <v>1292</v>
      </c>
      <c r="AP323" t="s">
        <v>1578</v>
      </c>
      <c r="AQ323" t="s">
        <v>1203</v>
      </c>
      <c r="AR323" t="s">
        <v>1201</v>
      </c>
      <c r="AS323" t="s">
        <v>1203</v>
      </c>
      <c r="AU323" t="s">
        <v>1204</v>
      </c>
      <c r="AW323" t="b">
        <v>0</v>
      </c>
      <c r="AY323" t="b">
        <v>0</v>
      </c>
      <c r="BA323" t="s">
        <v>1626</v>
      </c>
      <c r="BB323" t="s">
        <v>1206</v>
      </c>
      <c r="BC323" t="s">
        <v>1206</v>
      </c>
      <c r="BD323" t="s">
        <v>1207</v>
      </c>
      <c r="BE323" t="s">
        <v>1296</v>
      </c>
      <c r="BF323" t="s">
        <v>1580</v>
      </c>
      <c r="BG323" t="s">
        <v>280</v>
      </c>
      <c r="BH323" t="s">
        <v>1206</v>
      </c>
      <c r="BI323" t="s">
        <v>1206</v>
      </c>
      <c r="BJ323" t="s">
        <v>1627</v>
      </c>
    </row>
    <row r="324" spans="1:62" x14ac:dyDescent="0.25">
      <c r="A324" t="s">
        <v>1177</v>
      </c>
      <c r="B324">
        <v>100986</v>
      </c>
      <c r="C324">
        <v>100986</v>
      </c>
      <c r="D324" s="112" t="s">
        <v>2747</v>
      </c>
      <c r="E324" t="s">
        <v>1119</v>
      </c>
      <c r="F324" t="s">
        <v>1178</v>
      </c>
      <c r="G324" t="s">
        <v>241</v>
      </c>
      <c r="H324" s="135" t="s">
        <v>1658</v>
      </c>
      <c r="I324">
        <v>12</v>
      </c>
      <c r="J324" t="s">
        <v>1279</v>
      </c>
      <c r="K324">
        <v>12174</v>
      </c>
      <c r="L324" t="s">
        <v>1571</v>
      </c>
      <c r="M324">
        <v>12174239</v>
      </c>
      <c r="N324" t="s">
        <v>1572</v>
      </c>
      <c r="O324">
        <v>12174239647</v>
      </c>
      <c r="P324" t="s">
        <v>1610</v>
      </c>
      <c r="Q324" s="135" t="s">
        <v>1659</v>
      </c>
      <c r="R324" t="s">
        <v>1660</v>
      </c>
      <c r="S324" s="135" t="s">
        <v>1658</v>
      </c>
      <c r="T324" t="s">
        <v>1661</v>
      </c>
      <c r="U324" t="s">
        <v>1310</v>
      </c>
      <c r="V324" t="s">
        <v>1311</v>
      </c>
      <c r="W324">
        <v>62</v>
      </c>
      <c r="X324" t="s">
        <v>1342</v>
      </c>
      <c r="Y324">
        <v>48</v>
      </c>
      <c r="Z324">
        <v>2976</v>
      </c>
      <c r="AA324" t="s">
        <v>28</v>
      </c>
      <c r="AB324" t="s">
        <v>1190</v>
      </c>
      <c r="AC324">
        <v>62</v>
      </c>
      <c r="AD324" t="s">
        <v>1191</v>
      </c>
      <c r="AE324" t="s">
        <v>1192</v>
      </c>
      <c r="AF324" t="s">
        <v>1193</v>
      </c>
      <c r="AG324" t="s">
        <v>1194</v>
      </c>
      <c r="AH324" t="s">
        <v>1195</v>
      </c>
      <c r="AI324" t="s">
        <v>1202</v>
      </c>
      <c r="AJ324" t="s">
        <v>1291</v>
      </c>
      <c r="AK324" t="s">
        <v>1292</v>
      </c>
      <c r="AL324" t="s">
        <v>1291</v>
      </c>
      <c r="AM324" t="s">
        <v>1577</v>
      </c>
      <c r="AN324" t="s">
        <v>1201</v>
      </c>
      <c r="AO324" t="s">
        <v>1292</v>
      </c>
      <c r="AP324" t="s">
        <v>1578</v>
      </c>
      <c r="AQ324" t="s">
        <v>1203</v>
      </c>
      <c r="AR324" t="s">
        <v>1201</v>
      </c>
      <c r="AS324" t="s">
        <v>1203</v>
      </c>
      <c r="AU324" t="s">
        <v>1204</v>
      </c>
      <c r="AW324" t="b">
        <v>0</v>
      </c>
      <c r="AY324" t="b">
        <v>0</v>
      </c>
      <c r="BA324" t="s">
        <v>1579</v>
      </c>
      <c r="BB324" t="s">
        <v>1206</v>
      </c>
      <c r="BC324" t="s">
        <v>1206</v>
      </c>
      <c r="BD324" t="s">
        <v>1207</v>
      </c>
      <c r="BE324" t="s">
        <v>1296</v>
      </c>
      <c r="BF324" t="s">
        <v>1580</v>
      </c>
      <c r="BG324" t="s">
        <v>237</v>
      </c>
      <c r="BH324" t="s">
        <v>1206</v>
      </c>
      <c r="BI324" t="s">
        <v>1206</v>
      </c>
      <c r="BJ324" t="s">
        <v>1581</v>
      </c>
    </row>
    <row r="325" spans="1:62" x14ac:dyDescent="0.25">
      <c r="A325" t="s">
        <v>1177</v>
      </c>
      <c r="B325">
        <v>100165</v>
      </c>
      <c r="C325">
        <v>100165</v>
      </c>
      <c r="D325" s="112" t="s">
        <v>2748</v>
      </c>
      <c r="E325" t="s">
        <v>1119</v>
      </c>
      <c r="F325" t="s">
        <v>1178</v>
      </c>
      <c r="G325" t="s">
        <v>256</v>
      </c>
      <c r="H325" s="135" t="s">
        <v>1804</v>
      </c>
      <c r="I325">
        <v>12</v>
      </c>
      <c r="J325" t="s">
        <v>1279</v>
      </c>
      <c r="K325">
        <v>12174</v>
      </c>
      <c r="L325" t="s">
        <v>1571</v>
      </c>
      <c r="M325">
        <v>12174239</v>
      </c>
      <c r="N325" t="s">
        <v>1572</v>
      </c>
      <c r="O325">
        <v>12174239647</v>
      </c>
      <c r="P325" t="s">
        <v>1610</v>
      </c>
      <c r="Q325" s="135" t="s">
        <v>1805</v>
      </c>
      <c r="R325" t="s">
        <v>1806</v>
      </c>
      <c r="S325" s="135" t="s">
        <v>1804</v>
      </c>
      <c r="T325" t="s">
        <v>1807</v>
      </c>
      <c r="U325" t="s">
        <v>1310</v>
      </c>
      <c r="V325" t="s">
        <v>1311</v>
      </c>
      <c r="W325">
        <v>520</v>
      </c>
      <c r="X325" t="s">
        <v>1189</v>
      </c>
      <c r="Y325">
        <v>12</v>
      </c>
      <c r="Z325">
        <v>6240</v>
      </c>
      <c r="AA325" t="s">
        <v>28</v>
      </c>
      <c r="AB325" t="s">
        <v>1190</v>
      </c>
      <c r="AC325">
        <v>520</v>
      </c>
      <c r="AD325" t="s">
        <v>1289</v>
      </c>
      <c r="AE325" t="s">
        <v>1290</v>
      </c>
      <c r="AF325" t="s">
        <v>1193</v>
      </c>
      <c r="AG325" t="s">
        <v>1194</v>
      </c>
      <c r="AH325" t="s">
        <v>1195</v>
      </c>
      <c r="AI325" t="s">
        <v>1202</v>
      </c>
      <c r="AJ325" t="s">
        <v>1291</v>
      </c>
      <c r="AK325" t="s">
        <v>1292</v>
      </c>
      <c r="AL325" t="s">
        <v>1291</v>
      </c>
      <c r="AM325" t="s">
        <v>1577</v>
      </c>
      <c r="AN325" t="s">
        <v>1201</v>
      </c>
      <c r="AO325" t="s">
        <v>1292</v>
      </c>
      <c r="AP325" t="s">
        <v>1578</v>
      </c>
      <c r="AQ325" t="s">
        <v>1203</v>
      </c>
      <c r="AR325" t="s">
        <v>1201</v>
      </c>
      <c r="AS325" t="s">
        <v>1203</v>
      </c>
      <c r="AU325" t="s">
        <v>1204</v>
      </c>
      <c r="AW325" t="b">
        <v>0</v>
      </c>
      <c r="AY325" t="b">
        <v>0</v>
      </c>
      <c r="BA325" t="s">
        <v>1579</v>
      </c>
      <c r="BB325" t="s">
        <v>1206</v>
      </c>
      <c r="BC325" t="s">
        <v>1206</v>
      </c>
      <c r="BD325" t="s">
        <v>1207</v>
      </c>
      <c r="BE325" t="s">
        <v>1296</v>
      </c>
      <c r="BF325" t="s">
        <v>1580</v>
      </c>
      <c r="BG325" t="s">
        <v>237</v>
      </c>
      <c r="BH325" t="s">
        <v>1206</v>
      </c>
      <c r="BI325" t="s">
        <v>1206</v>
      </c>
      <c r="BJ325" t="s">
        <v>1581</v>
      </c>
    </row>
    <row r="326" spans="1:62" x14ac:dyDescent="0.25">
      <c r="A326" t="s">
        <v>1177</v>
      </c>
      <c r="B326">
        <v>100158</v>
      </c>
      <c r="C326">
        <v>100158</v>
      </c>
      <c r="D326" s="112" t="s">
        <v>2749</v>
      </c>
      <c r="E326" t="s">
        <v>1119</v>
      </c>
      <c r="F326" t="s">
        <v>1178</v>
      </c>
      <c r="G326" t="s">
        <v>247</v>
      </c>
      <c r="H326" s="135" t="s">
        <v>1808</v>
      </c>
      <c r="I326">
        <v>12</v>
      </c>
      <c r="J326" t="s">
        <v>1279</v>
      </c>
      <c r="K326">
        <v>12174</v>
      </c>
      <c r="L326" t="s">
        <v>1571</v>
      </c>
      <c r="M326">
        <v>12174239</v>
      </c>
      <c r="N326" t="s">
        <v>1572</v>
      </c>
      <c r="O326">
        <v>12174239647</v>
      </c>
      <c r="P326" t="s">
        <v>1610</v>
      </c>
      <c r="Q326" s="135" t="s">
        <v>1809</v>
      </c>
      <c r="R326" t="s">
        <v>1810</v>
      </c>
      <c r="S326" s="135" t="s">
        <v>1808</v>
      </c>
      <c r="T326" t="s">
        <v>1811</v>
      </c>
      <c r="U326" t="s">
        <v>1310</v>
      </c>
      <c r="V326" t="s">
        <v>1311</v>
      </c>
      <c r="W326">
        <v>225</v>
      </c>
      <c r="X326" t="s">
        <v>1189</v>
      </c>
      <c r="Y326">
        <v>24</v>
      </c>
      <c r="Z326">
        <v>5400</v>
      </c>
      <c r="AA326" t="s">
        <v>28</v>
      </c>
      <c r="AB326" t="s">
        <v>1190</v>
      </c>
      <c r="AC326">
        <v>225</v>
      </c>
      <c r="AD326" t="s">
        <v>1191</v>
      </c>
      <c r="AE326" t="s">
        <v>1192</v>
      </c>
      <c r="AF326" t="s">
        <v>1193</v>
      </c>
      <c r="AG326" t="s">
        <v>1194</v>
      </c>
      <c r="AH326" t="s">
        <v>1195</v>
      </c>
      <c r="AI326" t="s">
        <v>1202</v>
      </c>
      <c r="AJ326" t="s">
        <v>1291</v>
      </c>
      <c r="AK326" t="s">
        <v>1292</v>
      </c>
      <c r="AL326" t="s">
        <v>1291</v>
      </c>
      <c r="AM326" t="s">
        <v>1577</v>
      </c>
      <c r="AN326" t="s">
        <v>1201</v>
      </c>
      <c r="AO326" t="s">
        <v>1292</v>
      </c>
      <c r="AP326" t="s">
        <v>1578</v>
      </c>
      <c r="AQ326" t="s">
        <v>1203</v>
      </c>
      <c r="AR326" t="s">
        <v>1201</v>
      </c>
      <c r="AS326" t="s">
        <v>1203</v>
      </c>
      <c r="AU326" t="s">
        <v>1204</v>
      </c>
      <c r="AW326" t="b">
        <v>0</v>
      </c>
      <c r="AY326" t="b">
        <v>0</v>
      </c>
      <c r="BA326" t="s">
        <v>1579</v>
      </c>
      <c r="BB326" t="s">
        <v>1206</v>
      </c>
      <c r="BC326" t="s">
        <v>1206</v>
      </c>
      <c r="BD326" t="s">
        <v>1207</v>
      </c>
      <c r="BE326" t="s">
        <v>1296</v>
      </c>
      <c r="BF326" t="s">
        <v>1580</v>
      </c>
      <c r="BG326" t="s">
        <v>237</v>
      </c>
      <c r="BH326" t="s">
        <v>1206</v>
      </c>
      <c r="BI326" t="s">
        <v>1206</v>
      </c>
      <c r="BJ326" t="s">
        <v>1581</v>
      </c>
    </row>
    <row r="327" spans="1:62" x14ac:dyDescent="0.25">
      <c r="A327" t="s">
        <v>1177</v>
      </c>
      <c r="B327">
        <v>100168</v>
      </c>
      <c r="C327">
        <v>100168</v>
      </c>
      <c r="D327" s="112" t="s">
        <v>2750</v>
      </c>
      <c r="E327" t="s">
        <v>1119</v>
      </c>
      <c r="F327" t="s">
        <v>1178</v>
      </c>
      <c r="G327" t="s">
        <v>281</v>
      </c>
      <c r="H327" s="135" t="s">
        <v>1812</v>
      </c>
      <c r="I327">
        <v>12</v>
      </c>
      <c r="J327" t="s">
        <v>1279</v>
      </c>
      <c r="K327">
        <v>12174</v>
      </c>
      <c r="L327" t="s">
        <v>1571</v>
      </c>
      <c r="M327">
        <v>12174239</v>
      </c>
      <c r="N327" t="s">
        <v>1572</v>
      </c>
      <c r="O327">
        <v>12174239647</v>
      </c>
      <c r="P327" t="s">
        <v>1610</v>
      </c>
      <c r="Q327" s="135" t="s">
        <v>1793</v>
      </c>
      <c r="R327" t="s">
        <v>1794</v>
      </c>
      <c r="S327" s="135" t="s">
        <v>1812</v>
      </c>
      <c r="T327" t="s">
        <v>1813</v>
      </c>
      <c r="U327" t="s">
        <v>1230</v>
      </c>
      <c r="V327" t="s">
        <v>1231</v>
      </c>
      <c r="W327">
        <v>15</v>
      </c>
      <c r="X327" t="s">
        <v>1189</v>
      </c>
      <c r="Y327">
        <v>24</v>
      </c>
      <c r="Z327">
        <v>360</v>
      </c>
      <c r="AA327" t="s">
        <v>28</v>
      </c>
      <c r="AB327" t="s">
        <v>1190</v>
      </c>
      <c r="AC327">
        <v>15</v>
      </c>
      <c r="AD327" t="s">
        <v>1232</v>
      </c>
      <c r="AE327" t="s">
        <v>1192</v>
      </c>
      <c r="AF327" t="s">
        <v>1193</v>
      </c>
      <c r="AG327" t="s">
        <v>1194</v>
      </c>
      <c r="AH327" t="s">
        <v>1195</v>
      </c>
      <c r="AI327" t="s">
        <v>1202</v>
      </c>
      <c r="AJ327" t="s">
        <v>1291</v>
      </c>
      <c r="AK327" t="s">
        <v>1292</v>
      </c>
      <c r="AL327" t="s">
        <v>1291</v>
      </c>
      <c r="AM327" t="s">
        <v>1577</v>
      </c>
      <c r="AN327" t="s">
        <v>1201</v>
      </c>
      <c r="AO327" t="s">
        <v>1292</v>
      </c>
      <c r="AP327" t="s">
        <v>1578</v>
      </c>
      <c r="AQ327" t="s">
        <v>1203</v>
      </c>
      <c r="AR327" t="s">
        <v>1201</v>
      </c>
      <c r="AS327" t="s">
        <v>1203</v>
      </c>
      <c r="AU327" t="s">
        <v>1204</v>
      </c>
      <c r="AW327" t="b">
        <v>0</v>
      </c>
      <c r="AY327" t="b">
        <v>0</v>
      </c>
      <c r="BA327" t="s">
        <v>1626</v>
      </c>
      <c r="BB327" t="s">
        <v>1206</v>
      </c>
      <c r="BC327" t="s">
        <v>1206</v>
      </c>
      <c r="BD327" t="s">
        <v>1207</v>
      </c>
      <c r="BE327" t="s">
        <v>1296</v>
      </c>
      <c r="BF327" t="s">
        <v>1580</v>
      </c>
      <c r="BG327" t="s">
        <v>280</v>
      </c>
      <c r="BH327" t="s">
        <v>1206</v>
      </c>
      <c r="BI327" t="s">
        <v>1206</v>
      </c>
      <c r="BJ327" t="s">
        <v>1627</v>
      </c>
    </row>
    <row r="328" spans="1:62" x14ac:dyDescent="0.25">
      <c r="A328" t="s">
        <v>1177</v>
      </c>
      <c r="B328">
        <v>810344</v>
      </c>
      <c r="C328" t="s">
        <v>1258</v>
      </c>
      <c r="D328" s="112" t="s">
        <v>2751</v>
      </c>
      <c r="E328" t="s">
        <v>1119</v>
      </c>
      <c r="F328" t="s">
        <v>1178</v>
      </c>
      <c r="G328" t="s">
        <v>1814</v>
      </c>
      <c r="H328" t="s">
        <v>1674</v>
      </c>
      <c r="I328">
        <v>12</v>
      </c>
      <c r="J328" t="s">
        <v>1279</v>
      </c>
      <c r="K328">
        <v>12174</v>
      </c>
      <c r="L328" t="s">
        <v>1571</v>
      </c>
      <c r="M328">
        <v>12174239</v>
      </c>
      <c r="N328" t="s">
        <v>1572</v>
      </c>
      <c r="O328">
        <v>12174239647</v>
      </c>
      <c r="P328" t="s">
        <v>1610</v>
      </c>
      <c r="Q328" t="s">
        <v>1675</v>
      </c>
      <c r="R328" t="s">
        <v>1676</v>
      </c>
      <c r="S328" t="s">
        <v>1674</v>
      </c>
      <c r="T328" t="s">
        <v>1677</v>
      </c>
      <c r="U328" t="s">
        <v>1187</v>
      </c>
      <c r="V328" t="s">
        <v>1188</v>
      </c>
      <c r="W328">
        <v>620</v>
      </c>
      <c r="X328" t="s">
        <v>1189</v>
      </c>
      <c r="Y328">
        <v>12</v>
      </c>
      <c r="Z328">
        <v>7440</v>
      </c>
      <c r="AA328" t="s">
        <v>28</v>
      </c>
      <c r="AB328" t="s">
        <v>1190</v>
      </c>
      <c r="AC328">
        <v>620</v>
      </c>
      <c r="AD328" t="s">
        <v>1289</v>
      </c>
      <c r="AE328" t="s">
        <v>1290</v>
      </c>
      <c r="AF328" t="s">
        <v>1193</v>
      </c>
      <c r="AG328" t="s">
        <v>1194</v>
      </c>
      <c r="AH328" t="s">
        <v>1195</v>
      </c>
      <c r="AI328" t="s">
        <v>1202</v>
      </c>
      <c r="AJ328" t="s">
        <v>1291</v>
      </c>
      <c r="AK328" t="s">
        <v>1292</v>
      </c>
      <c r="AL328" t="s">
        <v>1291</v>
      </c>
      <c r="AM328" t="s">
        <v>1577</v>
      </c>
      <c r="AN328" t="s">
        <v>1201</v>
      </c>
      <c r="AO328" t="s">
        <v>1292</v>
      </c>
      <c r="AP328" t="s">
        <v>1578</v>
      </c>
      <c r="AQ328" t="s">
        <v>1203</v>
      </c>
      <c r="AR328" t="s">
        <v>1201</v>
      </c>
      <c r="AS328" t="s">
        <v>1203</v>
      </c>
      <c r="AU328" t="s">
        <v>1204</v>
      </c>
      <c r="AW328" t="b">
        <v>0</v>
      </c>
      <c r="AY328" t="b">
        <v>0</v>
      </c>
      <c r="BA328" t="s">
        <v>1579</v>
      </c>
      <c r="BB328" t="s">
        <v>1206</v>
      </c>
      <c r="BC328" t="s">
        <v>1206</v>
      </c>
      <c r="BD328" t="s">
        <v>1207</v>
      </c>
      <c r="BE328" t="s">
        <v>1296</v>
      </c>
      <c r="BF328" t="s">
        <v>1580</v>
      </c>
      <c r="BG328" t="s">
        <v>237</v>
      </c>
      <c r="BH328" t="s">
        <v>1206</v>
      </c>
      <c r="BI328" t="s">
        <v>1206</v>
      </c>
      <c r="BJ328" t="s">
        <v>1581</v>
      </c>
    </row>
    <row r="329" spans="1:62" x14ac:dyDescent="0.25">
      <c r="A329" t="s">
        <v>1177</v>
      </c>
      <c r="B329">
        <v>810345</v>
      </c>
      <c r="C329" t="s">
        <v>1258</v>
      </c>
      <c r="D329" s="112" t="s">
        <v>2752</v>
      </c>
      <c r="E329" t="s">
        <v>1119</v>
      </c>
      <c r="F329" t="s">
        <v>1178</v>
      </c>
      <c r="G329" t="s">
        <v>1815</v>
      </c>
      <c r="H329" t="s">
        <v>1718</v>
      </c>
      <c r="I329">
        <v>12</v>
      </c>
      <c r="J329" t="s">
        <v>1279</v>
      </c>
      <c r="K329">
        <v>12174</v>
      </c>
      <c r="L329" t="s">
        <v>1571</v>
      </c>
      <c r="M329">
        <v>12174239</v>
      </c>
      <c r="N329" t="s">
        <v>1572</v>
      </c>
      <c r="O329">
        <v>12174239647</v>
      </c>
      <c r="P329" t="s">
        <v>1610</v>
      </c>
      <c r="Q329" t="s">
        <v>1719</v>
      </c>
      <c r="R329" t="s">
        <v>1720</v>
      </c>
      <c r="S329" t="s">
        <v>1718</v>
      </c>
      <c r="T329" t="s">
        <v>1721</v>
      </c>
      <c r="U329" t="s">
        <v>1187</v>
      </c>
      <c r="V329" t="s">
        <v>1188</v>
      </c>
      <c r="W329">
        <v>320</v>
      </c>
      <c r="X329" t="s">
        <v>1189</v>
      </c>
      <c r="Y329">
        <v>24</v>
      </c>
      <c r="Z329">
        <v>7680</v>
      </c>
      <c r="AA329" t="s">
        <v>28</v>
      </c>
      <c r="AB329" t="s">
        <v>1190</v>
      </c>
      <c r="AC329">
        <v>320</v>
      </c>
      <c r="AD329" t="s">
        <v>1191</v>
      </c>
      <c r="AE329" t="s">
        <v>1192</v>
      </c>
      <c r="AF329" t="s">
        <v>1193</v>
      </c>
      <c r="AG329" t="s">
        <v>1194</v>
      </c>
      <c r="AH329" t="s">
        <v>1195</v>
      </c>
      <c r="AI329" t="s">
        <v>1202</v>
      </c>
      <c r="AJ329" t="s">
        <v>1291</v>
      </c>
      <c r="AK329" t="s">
        <v>1292</v>
      </c>
      <c r="AL329" t="s">
        <v>1291</v>
      </c>
      <c r="AM329" t="s">
        <v>1577</v>
      </c>
      <c r="AN329" t="s">
        <v>1201</v>
      </c>
      <c r="AO329" t="s">
        <v>1292</v>
      </c>
      <c r="AP329" t="s">
        <v>1578</v>
      </c>
      <c r="AQ329" t="s">
        <v>1203</v>
      </c>
      <c r="AR329" t="s">
        <v>1201</v>
      </c>
      <c r="AS329" t="s">
        <v>1203</v>
      </c>
      <c r="AU329" t="s">
        <v>1204</v>
      </c>
      <c r="AW329" t="b">
        <v>0</v>
      </c>
      <c r="AY329" t="b">
        <v>0</v>
      </c>
      <c r="BA329" t="s">
        <v>1579</v>
      </c>
      <c r="BB329" t="s">
        <v>1206</v>
      </c>
      <c r="BC329" t="s">
        <v>1206</v>
      </c>
      <c r="BD329" t="s">
        <v>1207</v>
      </c>
      <c r="BE329" t="s">
        <v>1296</v>
      </c>
      <c r="BF329" t="s">
        <v>1580</v>
      </c>
      <c r="BG329" t="s">
        <v>237</v>
      </c>
      <c r="BH329" t="s">
        <v>1206</v>
      </c>
      <c r="BI329" t="s">
        <v>1206</v>
      </c>
      <c r="BJ329" t="s">
        <v>1581</v>
      </c>
    </row>
    <row r="330" spans="1:62" x14ac:dyDescent="0.25">
      <c r="A330" t="s">
        <v>1177</v>
      </c>
      <c r="B330">
        <v>810313</v>
      </c>
      <c r="C330" t="s">
        <v>1258</v>
      </c>
      <c r="D330" s="112" t="s">
        <v>2753</v>
      </c>
      <c r="E330" t="s">
        <v>1119</v>
      </c>
      <c r="F330" t="s">
        <v>1178</v>
      </c>
      <c r="G330" t="s">
        <v>1816</v>
      </c>
      <c r="H330" t="s">
        <v>1674</v>
      </c>
      <c r="I330">
        <v>12</v>
      </c>
      <c r="J330" t="s">
        <v>1279</v>
      </c>
      <c r="K330">
        <v>12174</v>
      </c>
      <c r="L330" t="s">
        <v>1571</v>
      </c>
      <c r="M330">
        <v>12174239</v>
      </c>
      <c r="N330" t="s">
        <v>1572</v>
      </c>
      <c r="O330">
        <v>12174239647</v>
      </c>
      <c r="P330" t="s">
        <v>1610</v>
      </c>
      <c r="Q330" t="s">
        <v>1675</v>
      </c>
      <c r="R330" t="s">
        <v>1676</v>
      </c>
      <c r="S330" t="s">
        <v>1674</v>
      </c>
      <c r="T330" t="s">
        <v>1677</v>
      </c>
      <c r="U330" t="s">
        <v>1187</v>
      </c>
      <c r="V330" t="s">
        <v>1188</v>
      </c>
      <c r="W330">
        <v>620</v>
      </c>
      <c r="X330" t="s">
        <v>1189</v>
      </c>
      <c r="Y330">
        <v>12</v>
      </c>
      <c r="Z330">
        <v>7440</v>
      </c>
      <c r="AA330" t="s">
        <v>28</v>
      </c>
      <c r="AB330" t="s">
        <v>1190</v>
      </c>
      <c r="AC330">
        <v>620</v>
      </c>
      <c r="AD330" t="s">
        <v>1289</v>
      </c>
      <c r="AE330" t="s">
        <v>1290</v>
      </c>
      <c r="AF330" t="s">
        <v>1193</v>
      </c>
      <c r="AG330" t="s">
        <v>1194</v>
      </c>
      <c r="AH330" t="s">
        <v>1195</v>
      </c>
      <c r="AI330" t="s">
        <v>1202</v>
      </c>
      <c r="AJ330" t="s">
        <v>1291</v>
      </c>
      <c r="AK330" t="s">
        <v>1292</v>
      </c>
      <c r="AL330" t="s">
        <v>1291</v>
      </c>
      <c r="AM330" t="s">
        <v>1817</v>
      </c>
      <c r="AN330" t="s">
        <v>1201</v>
      </c>
      <c r="AO330" t="s">
        <v>1292</v>
      </c>
      <c r="AP330" t="s">
        <v>1818</v>
      </c>
      <c r="AQ330" t="s">
        <v>1203</v>
      </c>
      <c r="AR330" t="s">
        <v>1201</v>
      </c>
      <c r="AS330" t="s">
        <v>1203</v>
      </c>
      <c r="AU330" t="s">
        <v>1204</v>
      </c>
      <c r="AW330" t="b">
        <v>0</v>
      </c>
      <c r="AY330" t="b">
        <v>0</v>
      </c>
      <c r="BA330" t="s">
        <v>1579</v>
      </c>
      <c r="BB330" t="s">
        <v>1206</v>
      </c>
      <c r="BC330" t="s">
        <v>1206</v>
      </c>
      <c r="BD330" t="s">
        <v>1207</v>
      </c>
      <c r="BE330" t="s">
        <v>1296</v>
      </c>
      <c r="BF330" t="s">
        <v>1580</v>
      </c>
      <c r="BG330" t="s">
        <v>237</v>
      </c>
      <c r="BH330" t="s">
        <v>1206</v>
      </c>
      <c r="BI330" t="s">
        <v>1206</v>
      </c>
      <c r="BJ330" t="s">
        <v>1581</v>
      </c>
    </row>
    <row r="331" spans="1:62" x14ac:dyDescent="0.25">
      <c r="A331" t="s">
        <v>1177</v>
      </c>
      <c r="B331">
        <v>810318</v>
      </c>
      <c r="C331" t="s">
        <v>1258</v>
      </c>
      <c r="D331" s="112" t="s">
        <v>2754</v>
      </c>
      <c r="E331" t="s">
        <v>1119</v>
      </c>
      <c r="F331" t="s">
        <v>1178</v>
      </c>
      <c r="G331" t="s">
        <v>1819</v>
      </c>
      <c r="H331" t="s">
        <v>1674</v>
      </c>
      <c r="I331">
        <v>12</v>
      </c>
      <c r="J331" t="s">
        <v>1279</v>
      </c>
      <c r="K331">
        <v>12174</v>
      </c>
      <c r="L331" t="s">
        <v>1571</v>
      </c>
      <c r="M331">
        <v>12174239</v>
      </c>
      <c r="N331" t="s">
        <v>1572</v>
      </c>
      <c r="O331">
        <v>12174239647</v>
      </c>
      <c r="P331" t="s">
        <v>1610</v>
      </c>
      <c r="Q331" t="s">
        <v>1675</v>
      </c>
      <c r="R331" t="s">
        <v>1676</v>
      </c>
      <c r="S331" t="s">
        <v>1674</v>
      </c>
      <c r="T331" t="s">
        <v>1677</v>
      </c>
      <c r="U331" t="s">
        <v>1187</v>
      </c>
      <c r="V331" t="s">
        <v>1188</v>
      </c>
      <c r="W331">
        <v>620</v>
      </c>
      <c r="X331" t="s">
        <v>1189</v>
      </c>
      <c r="Y331">
        <v>12</v>
      </c>
      <c r="Z331">
        <v>7440</v>
      </c>
      <c r="AA331" t="s">
        <v>28</v>
      </c>
      <c r="AB331" t="s">
        <v>1190</v>
      </c>
      <c r="AC331">
        <v>620</v>
      </c>
      <c r="AD331" t="s">
        <v>1289</v>
      </c>
      <c r="AE331" t="s">
        <v>1290</v>
      </c>
      <c r="AF331" t="s">
        <v>1193</v>
      </c>
      <c r="AG331" t="s">
        <v>1194</v>
      </c>
      <c r="AH331" t="s">
        <v>1195</v>
      </c>
      <c r="AI331" t="s">
        <v>1202</v>
      </c>
      <c r="AJ331" t="s">
        <v>1291</v>
      </c>
      <c r="AK331" t="s">
        <v>1292</v>
      </c>
      <c r="AL331" t="s">
        <v>1291</v>
      </c>
      <c r="AM331" t="s">
        <v>1817</v>
      </c>
      <c r="AN331" t="s">
        <v>1201</v>
      </c>
      <c r="AO331" t="s">
        <v>1292</v>
      </c>
      <c r="AP331" t="s">
        <v>1818</v>
      </c>
      <c r="AQ331" t="s">
        <v>1203</v>
      </c>
      <c r="AR331" t="s">
        <v>1201</v>
      </c>
      <c r="AS331" t="s">
        <v>1203</v>
      </c>
      <c r="AU331" t="s">
        <v>1204</v>
      </c>
      <c r="AW331" t="b">
        <v>0</v>
      </c>
      <c r="AY331" t="b">
        <v>0</v>
      </c>
      <c r="BA331" t="s">
        <v>1579</v>
      </c>
      <c r="BB331" t="s">
        <v>1206</v>
      </c>
      <c r="BC331" t="s">
        <v>1206</v>
      </c>
      <c r="BD331" t="s">
        <v>1207</v>
      </c>
      <c r="BE331" t="s">
        <v>1296</v>
      </c>
      <c r="BF331" t="s">
        <v>1580</v>
      </c>
      <c r="BG331" t="s">
        <v>237</v>
      </c>
      <c r="BH331" t="s">
        <v>1206</v>
      </c>
      <c r="BI331" t="s">
        <v>1206</v>
      </c>
      <c r="BJ331" t="s">
        <v>1581</v>
      </c>
    </row>
    <row r="332" spans="1:62" x14ac:dyDescent="0.25">
      <c r="A332" t="s">
        <v>1177</v>
      </c>
      <c r="B332">
        <v>810386</v>
      </c>
      <c r="C332" t="s">
        <v>1258</v>
      </c>
      <c r="D332" s="112" t="s">
        <v>2755</v>
      </c>
      <c r="E332" t="s">
        <v>1119</v>
      </c>
      <c r="F332" t="s">
        <v>1178</v>
      </c>
      <c r="G332" t="s">
        <v>1820</v>
      </c>
      <c r="H332" t="s">
        <v>1674</v>
      </c>
      <c r="I332">
        <v>12</v>
      </c>
      <c r="J332" t="s">
        <v>1279</v>
      </c>
      <c r="K332">
        <v>12174</v>
      </c>
      <c r="L332" t="s">
        <v>1571</v>
      </c>
      <c r="M332">
        <v>12174239</v>
      </c>
      <c r="N332" t="s">
        <v>1572</v>
      </c>
      <c r="O332">
        <v>12174239647</v>
      </c>
      <c r="P332" t="s">
        <v>1610</v>
      </c>
      <c r="Q332" t="s">
        <v>1675</v>
      </c>
      <c r="R332" t="s">
        <v>1676</v>
      </c>
      <c r="S332" t="s">
        <v>1674</v>
      </c>
      <c r="T332" t="s">
        <v>1677</v>
      </c>
      <c r="U332" t="s">
        <v>1187</v>
      </c>
      <c r="V332" t="s">
        <v>1188</v>
      </c>
      <c r="W332">
        <v>620</v>
      </c>
      <c r="X332" t="s">
        <v>1189</v>
      </c>
      <c r="Y332">
        <v>12</v>
      </c>
      <c r="Z332">
        <v>7440</v>
      </c>
      <c r="AA332" t="s">
        <v>28</v>
      </c>
      <c r="AB332" t="s">
        <v>1190</v>
      </c>
      <c r="AC332">
        <v>620</v>
      </c>
      <c r="AD332" t="s">
        <v>1289</v>
      </c>
      <c r="AE332" t="s">
        <v>1290</v>
      </c>
      <c r="AF332" t="s">
        <v>1193</v>
      </c>
      <c r="AG332" t="s">
        <v>1194</v>
      </c>
      <c r="AH332" t="s">
        <v>1195</v>
      </c>
      <c r="AI332" t="s">
        <v>1202</v>
      </c>
      <c r="AJ332" t="s">
        <v>1291</v>
      </c>
      <c r="AK332" t="s">
        <v>1292</v>
      </c>
      <c r="AL332" t="s">
        <v>1291</v>
      </c>
      <c r="AM332" t="s">
        <v>1817</v>
      </c>
      <c r="AN332" t="s">
        <v>1201</v>
      </c>
      <c r="AO332" t="s">
        <v>1292</v>
      </c>
      <c r="AP332" t="s">
        <v>1818</v>
      </c>
      <c r="AQ332" t="s">
        <v>1203</v>
      </c>
      <c r="AR332" t="s">
        <v>1201</v>
      </c>
      <c r="AS332" t="s">
        <v>1203</v>
      </c>
      <c r="AU332" t="s">
        <v>1204</v>
      </c>
      <c r="AW332" t="b">
        <v>0</v>
      </c>
      <c r="AY332" t="b">
        <v>0</v>
      </c>
      <c r="BA332" t="s">
        <v>1579</v>
      </c>
      <c r="BB332" t="s">
        <v>1206</v>
      </c>
      <c r="BC332" t="s">
        <v>1206</v>
      </c>
      <c r="BD332" t="s">
        <v>1207</v>
      </c>
      <c r="BE332" t="s">
        <v>1296</v>
      </c>
      <c r="BF332" t="s">
        <v>1580</v>
      </c>
      <c r="BG332" t="s">
        <v>237</v>
      </c>
      <c r="BH332" t="s">
        <v>1206</v>
      </c>
      <c r="BI332" t="s">
        <v>1206</v>
      </c>
      <c r="BJ332" t="s">
        <v>1581</v>
      </c>
    </row>
    <row r="333" spans="1:62" x14ac:dyDescent="0.25">
      <c r="A333" t="s">
        <v>1177</v>
      </c>
      <c r="B333">
        <v>810292</v>
      </c>
      <c r="C333" t="s">
        <v>1258</v>
      </c>
      <c r="D333" s="112" t="s">
        <v>2756</v>
      </c>
      <c r="E333" t="s">
        <v>1119</v>
      </c>
      <c r="F333" t="s">
        <v>1178</v>
      </c>
      <c r="G333" t="s">
        <v>1821</v>
      </c>
      <c r="H333" t="s">
        <v>1674</v>
      </c>
      <c r="I333">
        <v>12</v>
      </c>
      <c r="J333" t="s">
        <v>1279</v>
      </c>
      <c r="K333">
        <v>12174</v>
      </c>
      <c r="L333" t="s">
        <v>1571</v>
      </c>
      <c r="M333">
        <v>12174239</v>
      </c>
      <c r="N333" t="s">
        <v>1572</v>
      </c>
      <c r="O333">
        <v>12174239647</v>
      </c>
      <c r="P333" t="s">
        <v>1610</v>
      </c>
      <c r="Q333" t="s">
        <v>1675</v>
      </c>
      <c r="R333" t="s">
        <v>1676</v>
      </c>
      <c r="S333" t="s">
        <v>1674</v>
      </c>
      <c r="T333" t="s">
        <v>1677</v>
      </c>
      <c r="U333" t="s">
        <v>1187</v>
      </c>
      <c r="V333" t="s">
        <v>1188</v>
      </c>
      <c r="W333">
        <v>620</v>
      </c>
      <c r="X333" t="s">
        <v>1189</v>
      </c>
      <c r="Y333">
        <v>12</v>
      </c>
      <c r="Z333">
        <v>7440</v>
      </c>
      <c r="AA333" t="s">
        <v>28</v>
      </c>
      <c r="AB333" t="s">
        <v>1190</v>
      </c>
      <c r="AC333">
        <v>620</v>
      </c>
      <c r="AD333" t="s">
        <v>1289</v>
      </c>
      <c r="AE333" t="s">
        <v>1290</v>
      </c>
      <c r="AF333" t="s">
        <v>1193</v>
      </c>
      <c r="AG333" t="s">
        <v>1194</v>
      </c>
      <c r="AH333" t="s">
        <v>1195</v>
      </c>
      <c r="AI333" t="s">
        <v>1202</v>
      </c>
      <c r="AJ333" t="s">
        <v>1291</v>
      </c>
      <c r="AK333" t="s">
        <v>1292</v>
      </c>
      <c r="AL333" t="s">
        <v>1291</v>
      </c>
      <c r="AM333" t="s">
        <v>1817</v>
      </c>
      <c r="AN333" t="s">
        <v>1201</v>
      </c>
      <c r="AO333" t="s">
        <v>1292</v>
      </c>
      <c r="AP333" t="s">
        <v>1818</v>
      </c>
      <c r="AQ333" t="s">
        <v>1203</v>
      </c>
      <c r="AR333" t="s">
        <v>1201</v>
      </c>
      <c r="AS333" t="s">
        <v>1203</v>
      </c>
      <c r="AU333" t="s">
        <v>1204</v>
      </c>
      <c r="AW333" t="b">
        <v>0</v>
      </c>
      <c r="AY333" t="b">
        <v>0</v>
      </c>
      <c r="BA333" t="s">
        <v>1579</v>
      </c>
      <c r="BB333" t="s">
        <v>1206</v>
      </c>
      <c r="BC333" t="s">
        <v>1206</v>
      </c>
      <c r="BD333" t="s">
        <v>1207</v>
      </c>
      <c r="BE333" t="s">
        <v>1296</v>
      </c>
      <c r="BF333" t="s">
        <v>1580</v>
      </c>
      <c r="BG333" t="s">
        <v>237</v>
      </c>
      <c r="BH333" t="s">
        <v>1206</v>
      </c>
      <c r="BI333" t="s">
        <v>1206</v>
      </c>
      <c r="BJ333" t="s">
        <v>1581</v>
      </c>
    </row>
    <row r="334" spans="1:62" x14ac:dyDescent="0.25">
      <c r="A334" t="s">
        <v>1177</v>
      </c>
      <c r="B334">
        <v>100150</v>
      </c>
      <c r="C334">
        <v>100150</v>
      </c>
      <c r="D334" s="112" t="s">
        <v>2757</v>
      </c>
      <c r="E334" t="s">
        <v>1119</v>
      </c>
      <c r="F334" t="s">
        <v>1178</v>
      </c>
      <c r="G334" t="s">
        <v>1822</v>
      </c>
      <c r="H334" s="135" t="s">
        <v>1823</v>
      </c>
      <c r="I334">
        <v>12</v>
      </c>
      <c r="J334" t="s">
        <v>1279</v>
      </c>
      <c r="K334">
        <v>12174</v>
      </c>
      <c r="L334" t="s">
        <v>1571</v>
      </c>
      <c r="M334">
        <v>12174239</v>
      </c>
      <c r="N334" t="s">
        <v>1572</v>
      </c>
      <c r="O334">
        <v>12174239647</v>
      </c>
      <c r="P334" t="s">
        <v>1610</v>
      </c>
      <c r="Q334" s="135" t="s">
        <v>1824</v>
      </c>
      <c r="R334" t="s">
        <v>1825</v>
      </c>
      <c r="S334" s="135" t="s">
        <v>1823</v>
      </c>
      <c r="T334" t="s">
        <v>1826</v>
      </c>
      <c r="U334" t="s">
        <v>1827</v>
      </c>
      <c r="V334" t="s">
        <v>1828</v>
      </c>
      <c r="W334">
        <v>950</v>
      </c>
      <c r="X334" t="s">
        <v>1729</v>
      </c>
      <c r="Y334">
        <v>1</v>
      </c>
      <c r="Z334">
        <v>950</v>
      </c>
      <c r="AA334" t="s">
        <v>28</v>
      </c>
      <c r="AB334" t="s">
        <v>1190</v>
      </c>
      <c r="AC334">
        <v>950000</v>
      </c>
      <c r="AD334" t="s">
        <v>1289</v>
      </c>
      <c r="AE334" t="s">
        <v>1290</v>
      </c>
      <c r="AF334" t="s">
        <v>1193</v>
      </c>
      <c r="AG334" t="s">
        <v>1194</v>
      </c>
      <c r="AH334" t="s">
        <v>1195</v>
      </c>
      <c r="AI334" t="s">
        <v>1202</v>
      </c>
      <c r="AJ334" t="s">
        <v>1291</v>
      </c>
      <c r="AK334" t="s">
        <v>1292</v>
      </c>
      <c r="AL334" t="s">
        <v>1291</v>
      </c>
      <c r="AM334" t="s">
        <v>1577</v>
      </c>
      <c r="AN334" t="s">
        <v>1201</v>
      </c>
      <c r="AO334" t="s">
        <v>1292</v>
      </c>
      <c r="AP334" t="s">
        <v>1578</v>
      </c>
      <c r="AQ334" t="s">
        <v>1203</v>
      </c>
      <c r="AR334" t="s">
        <v>1201</v>
      </c>
      <c r="AS334" t="s">
        <v>1203</v>
      </c>
      <c r="AU334" t="s">
        <v>1204</v>
      </c>
      <c r="AW334" t="b">
        <v>0</v>
      </c>
      <c r="AY334" t="b">
        <v>0</v>
      </c>
      <c r="BA334" t="s">
        <v>1579</v>
      </c>
      <c r="BB334" t="s">
        <v>1206</v>
      </c>
      <c r="BC334" t="s">
        <v>1206</v>
      </c>
      <c r="BD334" t="s">
        <v>1207</v>
      </c>
      <c r="BE334" t="s">
        <v>1296</v>
      </c>
      <c r="BF334" t="s">
        <v>1580</v>
      </c>
      <c r="BG334" t="s">
        <v>237</v>
      </c>
      <c r="BH334" t="s">
        <v>1206</v>
      </c>
      <c r="BI334" t="s">
        <v>1206</v>
      </c>
      <c r="BJ334" t="s">
        <v>1581</v>
      </c>
    </row>
    <row r="335" spans="1:62" x14ac:dyDescent="0.25">
      <c r="A335" t="s">
        <v>1177</v>
      </c>
      <c r="B335">
        <v>100211</v>
      </c>
      <c r="C335" t="s">
        <v>1258</v>
      </c>
      <c r="D335" s="112" t="s">
        <v>2758</v>
      </c>
      <c r="E335" t="s">
        <v>1119</v>
      </c>
      <c r="F335" t="s">
        <v>1178</v>
      </c>
      <c r="G335" t="s">
        <v>1829</v>
      </c>
      <c r="H335" s="135" t="s">
        <v>1830</v>
      </c>
      <c r="I335">
        <v>12</v>
      </c>
      <c r="J335" t="s">
        <v>1279</v>
      </c>
      <c r="K335">
        <v>12174</v>
      </c>
      <c r="L335" t="s">
        <v>1571</v>
      </c>
      <c r="M335">
        <v>12174239</v>
      </c>
      <c r="N335" t="s">
        <v>1572</v>
      </c>
      <c r="O335">
        <v>12174239647</v>
      </c>
      <c r="P335" t="s">
        <v>1610</v>
      </c>
      <c r="Q335" s="135" t="s">
        <v>1831</v>
      </c>
      <c r="R335" t="s">
        <v>1832</v>
      </c>
      <c r="S335" s="135" t="s">
        <v>1830</v>
      </c>
      <c r="T335" t="s">
        <v>1833</v>
      </c>
      <c r="U335" t="s">
        <v>1286</v>
      </c>
      <c r="V335" t="s">
        <v>1287</v>
      </c>
      <c r="W335">
        <v>1000</v>
      </c>
      <c r="X335" t="s">
        <v>1189</v>
      </c>
      <c r="Y335">
        <v>1</v>
      </c>
      <c r="Z335">
        <v>1000</v>
      </c>
      <c r="AA335" t="s">
        <v>28</v>
      </c>
      <c r="AB335" t="s">
        <v>1190</v>
      </c>
      <c r="AC335">
        <v>1000</v>
      </c>
      <c r="AD335" t="s">
        <v>1289</v>
      </c>
      <c r="AE335" t="s">
        <v>1290</v>
      </c>
      <c r="AF335" t="s">
        <v>1193</v>
      </c>
      <c r="AG335" t="s">
        <v>1194</v>
      </c>
      <c r="AH335" t="s">
        <v>1195</v>
      </c>
      <c r="AI335" t="s">
        <v>1202</v>
      </c>
      <c r="AJ335" t="s">
        <v>1291</v>
      </c>
      <c r="AK335" t="s">
        <v>1292</v>
      </c>
      <c r="AL335" t="s">
        <v>1291</v>
      </c>
      <c r="AM335" t="s">
        <v>1577</v>
      </c>
      <c r="AN335" t="s">
        <v>1201</v>
      </c>
      <c r="AO335" t="s">
        <v>1292</v>
      </c>
      <c r="AP335" t="s">
        <v>1578</v>
      </c>
      <c r="AQ335" t="s">
        <v>1203</v>
      </c>
      <c r="AR335" t="s">
        <v>1201</v>
      </c>
      <c r="AS335" t="s">
        <v>1203</v>
      </c>
      <c r="AU335" t="s">
        <v>1204</v>
      </c>
      <c r="AW335" t="b">
        <v>0</v>
      </c>
      <c r="AY335" t="b">
        <v>0</v>
      </c>
      <c r="BA335" t="s">
        <v>1579</v>
      </c>
      <c r="BB335" t="s">
        <v>1206</v>
      </c>
      <c r="BC335" t="s">
        <v>1206</v>
      </c>
      <c r="BD335" t="s">
        <v>1207</v>
      </c>
      <c r="BE335" t="s">
        <v>1296</v>
      </c>
      <c r="BF335" t="s">
        <v>1580</v>
      </c>
      <c r="BG335" t="s">
        <v>237</v>
      </c>
      <c r="BH335" t="s">
        <v>1206</v>
      </c>
      <c r="BI335" t="s">
        <v>1206</v>
      </c>
      <c r="BJ335" t="s">
        <v>1581</v>
      </c>
    </row>
    <row r="336" spans="1:62" x14ac:dyDescent="0.25">
      <c r="A336" t="s">
        <v>1177</v>
      </c>
      <c r="B336">
        <v>810337</v>
      </c>
      <c r="C336" t="s">
        <v>1258</v>
      </c>
      <c r="D336" s="112" t="s">
        <v>2759</v>
      </c>
      <c r="E336" t="s">
        <v>1119</v>
      </c>
      <c r="F336" t="s">
        <v>1178</v>
      </c>
      <c r="G336" t="s">
        <v>1834</v>
      </c>
      <c r="H336" t="s">
        <v>1653</v>
      </c>
      <c r="I336">
        <v>12</v>
      </c>
      <c r="J336" t="s">
        <v>1279</v>
      </c>
      <c r="K336">
        <v>12174</v>
      </c>
      <c r="L336" t="s">
        <v>1571</v>
      </c>
      <c r="M336">
        <v>12174239</v>
      </c>
      <c r="N336" t="s">
        <v>1572</v>
      </c>
      <c r="O336">
        <v>12174239647</v>
      </c>
      <c r="P336" t="s">
        <v>1610</v>
      </c>
      <c r="Q336" t="s">
        <v>1654</v>
      </c>
      <c r="R336" t="s">
        <v>1655</v>
      </c>
      <c r="S336" t="s">
        <v>1653</v>
      </c>
      <c r="T336" t="s">
        <v>1656</v>
      </c>
      <c r="U336" t="s">
        <v>1237</v>
      </c>
      <c r="V336" t="s">
        <v>1238</v>
      </c>
      <c r="W336">
        <v>600</v>
      </c>
      <c r="X336" t="s">
        <v>1189</v>
      </c>
      <c r="Y336">
        <v>12</v>
      </c>
      <c r="Z336">
        <v>7200</v>
      </c>
      <c r="AA336" t="s">
        <v>28</v>
      </c>
      <c r="AB336" t="s">
        <v>1190</v>
      </c>
      <c r="AC336">
        <v>600</v>
      </c>
      <c r="AD336" t="s">
        <v>1289</v>
      </c>
      <c r="AE336" t="s">
        <v>1290</v>
      </c>
      <c r="AF336" t="s">
        <v>1193</v>
      </c>
      <c r="AG336" t="s">
        <v>1194</v>
      </c>
      <c r="AH336" t="s">
        <v>1195</v>
      </c>
      <c r="AI336" t="s">
        <v>1202</v>
      </c>
      <c r="AJ336" t="s">
        <v>1291</v>
      </c>
      <c r="AK336" t="s">
        <v>1292</v>
      </c>
      <c r="AL336" t="s">
        <v>1291</v>
      </c>
      <c r="AM336" t="s">
        <v>1577</v>
      </c>
      <c r="AN336" t="s">
        <v>1201</v>
      </c>
      <c r="AO336" t="s">
        <v>1292</v>
      </c>
      <c r="AP336" t="s">
        <v>1578</v>
      </c>
      <c r="AQ336" t="s">
        <v>1203</v>
      </c>
      <c r="AR336" t="s">
        <v>1201</v>
      </c>
      <c r="AS336" t="s">
        <v>1203</v>
      </c>
      <c r="AU336" t="s">
        <v>1204</v>
      </c>
      <c r="AW336" t="b">
        <v>0</v>
      </c>
      <c r="AY336" t="b">
        <v>0</v>
      </c>
      <c r="BA336" t="s">
        <v>1579</v>
      </c>
      <c r="BB336" t="s">
        <v>1206</v>
      </c>
      <c r="BC336" t="s">
        <v>1206</v>
      </c>
      <c r="BD336" t="s">
        <v>1207</v>
      </c>
      <c r="BE336" t="s">
        <v>1296</v>
      </c>
      <c r="BF336" t="s">
        <v>1580</v>
      </c>
      <c r="BG336" t="s">
        <v>237</v>
      </c>
      <c r="BH336" t="s">
        <v>1206</v>
      </c>
      <c r="BI336" t="s">
        <v>1206</v>
      </c>
      <c r="BJ336" t="s">
        <v>1581</v>
      </c>
    </row>
    <row r="337" spans="1:62" x14ac:dyDescent="0.25">
      <c r="A337" t="s">
        <v>1177</v>
      </c>
      <c r="B337">
        <v>810336</v>
      </c>
      <c r="C337" t="s">
        <v>1258</v>
      </c>
      <c r="D337" s="112" t="s">
        <v>2760</v>
      </c>
      <c r="E337" t="s">
        <v>1119</v>
      </c>
      <c r="F337" t="s">
        <v>1178</v>
      </c>
      <c r="G337" t="s">
        <v>1835</v>
      </c>
      <c r="H337" t="s">
        <v>1615</v>
      </c>
      <c r="I337">
        <v>12</v>
      </c>
      <c r="J337" t="s">
        <v>1279</v>
      </c>
      <c r="K337">
        <v>12174</v>
      </c>
      <c r="L337" t="s">
        <v>1571</v>
      </c>
      <c r="M337">
        <v>12174239</v>
      </c>
      <c r="N337" t="s">
        <v>1572</v>
      </c>
      <c r="O337">
        <v>12174239647</v>
      </c>
      <c r="P337" t="s">
        <v>1610</v>
      </c>
      <c r="Q337" t="s">
        <v>1616</v>
      </c>
      <c r="R337" t="s">
        <v>1617</v>
      </c>
      <c r="S337" t="s">
        <v>1615</v>
      </c>
      <c r="T337" t="s">
        <v>1618</v>
      </c>
      <c r="U337" t="s">
        <v>1237</v>
      </c>
      <c r="V337" t="s">
        <v>1238</v>
      </c>
      <c r="W337">
        <v>275</v>
      </c>
      <c r="X337" t="s">
        <v>1189</v>
      </c>
      <c r="Y337">
        <v>24</v>
      </c>
      <c r="Z337">
        <v>6600</v>
      </c>
      <c r="AA337" t="s">
        <v>28</v>
      </c>
      <c r="AB337" t="s">
        <v>1190</v>
      </c>
      <c r="AC337">
        <v>275</v>
      </c>
      <c r="AD337" t="s">
        <v>1191</v>
      </c>
      <c r="AE337" t="s">
        <v>1192</v>
      </c>
      <c r="AF337" t="s">
        <v>1193</v>
      </c>
      <c r="AG337" t="s">
        <v>1194</v>
      </c>
      <c r="AH337" t="s">
        <v>1195</v>
      </c>
      <c r="AI337" t="s">
        <v>1202</v>
      </c>
      <c r="AJ337" t="s">
        <v>1291</v>
      </c>
      <c r="AK337" t="s">
        <v>1292</v>
      </c>
      <c r="AL337" t="s">
        <v>1291</v>
      </c>
      <c r="AM337" t="s">
        <v>1577</v>
      </c>
      <c r="AN337" t="s">
        <v>1201</v>
      </c>
      <c r="AO337" t="s">
        <v>1292</v>
      </c>
      <c r="AP337" t="s">
        <v>1578</v>
      </c>
      <c r="AQ337" t="s">
        <v>1203</v>
      </c>
      <c r="AR337" t="s">
        <v>1201</v>
      </c>
      <c r="AS337" t="s">
        <v>1203</v>
      </c>
      <c r="AU337" t="s">
        <v>1204</v>
      </c>
      <c r="AW337" t="b">
        <v>0</v>
      </c>
      <c r="AY337" t="b">
        <v>0</v>
      </c>
      <c r="BA337" t="s">
        <v>1579</v>
      </c>
      <c r="BB337" t="s">
        <v>1206</v>
      </c>
      <c r="BC337" t="s">
        <v>1206</v>
      </c>
      <c r="BD337" t="s">
        <v>1207</v>
      </c>
      <c r="BE337" t="s">
        <v>1296</v>
      </c>
      <c r="BF337" t="s">
        <v>1580</v>
      </c>
      <c r="BG337" t="s">
        <v>237</v>
      </c>
      <c r="BH337" t="s">
        <v>1206</v>
      </c>
      <c r="BI337" t="s">
        <v>1206</v>
      </c>
      <c r="BJ337" t="s">
        <v>1581</v>
      </c>
    </row>
    <row r="338" spans="1:62" x14ac:dyDescent="0.25">
      <c r="A338" t="s">
        <v>1177</v>
      </c>
      <c r="B338">
        <v>810305</v>
      </c>
      <c r="C338" t="s">
        <v>1258</v>
      </c>
      <c r="D338" s="112" t="s">
        <v>2761</v>
      </c>
      <c r="E338" t="s">
        <v>1119</v>
      </c>
      <c r="F338" t="s">
        <v>1178</v>
      </c>
      <c r="G338" t="s">
        <v>1836</v>
      </c>
      <c r="H338" t="s">
        <v>1837</v>
      </c>
      <c r="I338">
        <v>12</v>
      </c>
      <c r="J338" t="s">
        <v>1279</v>
      </c>
      <c r="K338">
        <v>12174</v>
      </c>
      <c r="L338" t="s">
        <v>1571</v>
      </c>
      <c r="M338">
        <v>12174239</v>
      </c>
      <c r="N338" t="s">
        <v>1572</v>
      </c>
      <c r="O338">
        <v>12174239647</v>
      </c>
      <c r="P338" t="s">
        <v>1610</v>
      </c>
      <c r="Q338" t="s">
        <v>1643</v>
      </c>
      <c r="R338" t="s">
        <v>1644</v>
      </c>
      <c r="S338" t="s">
        <v>1837</v>
      </c>
      <c r="T338" t="s">
        <v>1838</v>
      </c>
      <c r="U338" t="s">
        <v>1286</v>
      </c>
      <c r="V338" t="s">
        <v>1287</v>
      </c>
      <c r="W338">
        <v>6</v>
      </c>
      <c r="X338" t="s">
        <v>1288</v>
      </c>
      <c r="Y338">
        <v>3</v>
      </c>
      <c r="Z338">
        <v>18</v>
      </c>
      <c r="AA338" t="s">
        <v>28</v>
      </c>
      <c r="AB338" t="s">
        <v>1190</v>
      </c>
      <c r="AC338">
        <v>6000</v>
      </c>
      <c r="AD338" t="s">
        <v>1289</v>
      </c>
      <c r="AE338" t="s">
        <v>1290</v>
      </c>
      <c r="AF338" t="s">
        <v>1193</v>
      </c>
      <c r="AG338" t="s">
        <v>1194</v>
      </c>
      <c r="AH338" t="s">
        <v>1195</v>
      </c>
      <c r="AI338" t="s">
        <v>1202</v>
      </c>
      <c r="AJ338" t="s">
        <v>1291</v>
      </c>
      <c r="AK338" t="s">
        <v>1292</v>
      </c>
      <c r="AL338" t="s">
        <v>1291</v>
      </c>
      <c r="AM338" t="s">
        <v>1577</v>
      </c>
      <c r="AN338" t="s">
        <v>1201</v>
      </c>
      <c r="AO338" t="s">
        <v>1292</v>
      </c>
      <c r="AP338" t="s">
        <v>1578</v>
      </c>
      <c r="AQ338" t="s">
        <v>1203</v>
      </c>
      <c r="AR338" t="s">
        <v>1201</v>
      </c>
      <c r="AS338" t="s">
        <v>1203</v>
      </c>
      <c r="AU338" t="s">
        <v>1204</v>
      </c>
      <c r="AW338" t="b">
        <v>0</v>
      </c>
      <c r="AY338" t="b">
        <v>0</v>
      </c>
      <c r="BA338" t="s">
        <v>1579</v>
      </c>
      <c r="BB338" t="s">
        <v>1206</v>
      </c>
      <c r="BC338" t="s">
        <v>1206</v>
      </c>
      <c r="BD338" t="s">
        <v>1207</v>
      </c>
      <c r="BE338" t="s">
        <v>1296</v>
      </c>
      <c r="BF338" t="s">
        <v>1580</v>
      </c>
      <c r="BG338" t="s">
        <v>237</v>
      </c>
      <c r="BH338" t="s">
        <v>1206</v>
      </c>
      <c r="BI338" t="s">
        <v>1206</v>
      </c>
      <c r="BJ338" t="s">
        <v>1581</v>
      </c>
    </row>
    <row r="339" spans="1:62" x14ac:dyDescent="0.25">
      <c r="A339" t="s">
        <v>1177</v>
      </c>
      <c r="B339">
        <v>810339</v>
      </c>
      <c r="C339" t="s">
        <v>1258</v>
      </c>
      <c r="D339" s="112" t="s">
        <v>2762</v>
      </c>
      <c r="E339" t="s">
        <v>1119</v>
      </c>
      <c r="F339" t="s">
        <v>1178</v>
      </c>
      <c r="G339" t="s">
        <v>1839</v>
      </c>
      <c r="H339" t="s">
        <v>1840</v>
      </c>
      <c r="I339">
        <v>12</v>
      </c>
      <c r="J339" t="s">
        <v>1279</v>
      </c>
      <c r="K339">
        <v>12174</v>
      </c>
      <c r="L339" t="s">
        <v>1571</v>
      </c>
      <c r="M339">
        <v>12174239</v>
      </c>
      <c r="N339" t="s">
        <v>1572</v>
      </c>
      <c r="O339">
        <v>12174239647</v>
      </c>
      <c r="P339" t="s">
        <v>1610</v>
      </c>
      <c r="Q339" t="s">
        <v>1841</v>
      </c>
      <c r="R339" t="s">
        <v>1842</v>
      </c>
      <c r="S339" t="s">
        <v>1840</v>
      </c>
      <c r="T339" t="s">
        <v>1843</v>
      </c>
      <c r="U339" t="s">
        <v>1310</v>
      </c>
      <c r="V339" t="s">
        <v>1311</v>
      </c>
      <c r="W339">
        <v>500</v>
      </c>
      <c r="X339" t="s">
        <v>1189</v>
      </c>
      <c r="Y339">
        <v>12</v>
      </c>
      <c r="Z339">
        <v>6000</v>
      </c>
      <c r="AA339" t="s">
        <v>28</v>
      </c>
      <c r="AB339" t="s">
        <v>1190</v>
      </c>
      <c r="AC339">
        <v>500</v>
      </c>
      <c r="AD339" t="s">
        <v>1289</v>
      </c>
      <c r="AE339" t="s">
        <v>1290</v>
      </c>
      <c r="AF339" t="s">
        <v>1193</v>
      </c>
      <c r="AG339" t="s">
        <v>1194</v>
      </c>
      <c r="AH339" t="s">
        <v>1195</v>
      </c>
      <c r="AI339" t="s">
        <v>1202</v>
      </c>
      <c r="AJ339" t="s">
        <v>1291</v>
      </c>
      <c r="AK339" t="s">
        <v>1292</v>
      </c>
      <c r="AL339" t="s">
        <v>1291</v>
      </c>
      <c r="AM339" t="s">
        <v>1577</v>
      </c>
      <c r="AN339" t="s">
        <v>1201</v>
      </c>
      <c r="AO339" t="s">
        <v>1292</v>
      </c>
      <c r="AP339" t="s">
        <v>1578</v>
      </c>
      <c r="AQ339" t="s">
        <v>1203</v>
      </c>
      <c r="AR339" t="s">
        <v>1201</v>
      </c>
      <c r="AS339" t="s">
        <v>1203</v>
      </c>
      <c r="AU339" t="s">
        <v>1204</v>
      </c>
      <c r="AW339" t="b">
        <v>0</v>
      </c>
      <c r="AY339" t="b">
        <v>0</v>
      </c>
      <c r="BA339" t="s">
        <v>1579</v>
      </c>
      <c r="BB339" t="s">
        <v>1206</v>
      </c>
      <c r="BC339" t="s">
        <v>1206</v>
      </c>
      <c r="BD339" t="s">
        <v>1207</v>
      </c>
      <c r="BE339" t="s">
        <v>1296</v>
      </c>
      <c r="BF339" t="s">
        <v>1580</v>
      </c>
      <c r="BG339" t="s">
        <v>237</v>
      </c>
      <c r="BH339" t="s">
        <v>1206</v>
      </c>
      <c r="BI339" t="s">
        <v>1206</v>
      </c>
      <c r="BJ339" t="s">
        <v>1581</v>
      </c>
    </row>
    <row r="340" spans="1:62" x14ac:dyDescent="0.25">
      <c r="A340" t="s">
        <v>1177</v>
      </c>
      <c r="B340">
        <v>810338</v>
      </c>
      <c r="C340" t="s">
        <v>1258</v>
      </c>
      <c r="D340" s="112" t="s">
        <v>2763</v>
      </c>
      <c r="E340" t="s">
        <v>1119</v>
      </c>
      <c r="F340" t="s">
        <v>1178</v>
      </c>
      <c r="G340" t="s">
        <v>1844</v>
      </c>
      <c r="H340" t="s">
        <v>1845</v>
      </c>
      <c r="I340">
        <v>12</v>
      </c>
      <c r="J340" t="s">
        <v>1279</v>
      </c>
      <c r="K340">
        <v>12174</v>
      </c>
      <c r="L340" t="s">
        <v>1571</v>
      </c>
      <c r="M340">
        <v>12174239</v>
      </c>
      <c r="N340" t="s">
        <v>1572</v>
      </c>
      <c r="O340">
        <v>12174239647</v>
      </c>
      <c r="P340" t="s">
        <v>1610</v>
      </c>
      <c r="Q340" t="s">
        <v>1846</v>
      </c>
      <c r="R340" t="s">
        <v>1847</v>
      </c>
      <c r="S340" t="s">
        <v>1845</v>
      </c>
      <c r="T340" t="s">
        <v>1848</v>
      </c>
      <c r="U340" t="s">
        <v>1310</v>
      </c>
      <c r="V340" t="s">
        <v>1311</v>
      </c>
      <c r="W340">
        <v>219</v>
      </c>
      <c r="X340" t="s">
        <v>1189</v>
      </c>
      <c r="Y340">
        <v>24</v>
      </c>
      <c r="Z340">
        <v>5256</v>
      </c>
      <c r="AA340" t="s">
        <v>28</v>
      </c>
      <c r="AB340" t="s">
        <v>1190</v>
      </c>
      <c r="AC340">
        <v>219</v>
      </c>
      <c r="AD340" t="s">
        <v>1191</v>
      </c>
      <c r="AE340" t="s">
        <v>1192</v>
      </c>
      <c r="AF340" t="s">
        <v>1193</v>
      </c>
      <c r="AG340" t="s">
        <v>1194</v>
      </c>
      <c r="AH340" t="s">
        <v>1195</v>
      </c>
      <c r="AI340" t="s">
        <v>1202</v>
      </c>
      <c r="AJ340" t="s">
        <v>1291</v>
      </c>
      <c r="AK340" t="s">
        <v>1292</v>
      </c>
      <c r="AL340" t="s">
        <v>1291</v>
      </c>
      <c r="AM340" t="s">
        <v>1577</v>
      </c>
      <c r="AN340" t="s">
        <v>1201</v>
      </c>
      <c r="AO340" t="s">
        <v>1292</v>
      </c>
      <c r="AP340" t="s">
        <v>1578</v>
      </c>
      <c r="AQ340" t="s">
        <v>1203</v>
      </c>
      <c r="AR340" t="s">
        <v>1201</v>
      </c>
      <c r="AS340" t="s">
        <v>1203</v>
      </c>
      <c r="AU340" t="s">
        <v>1204</v>
      </c>
      <c r="AW340" t="b">
        <v>0</v>
      </c>
      <c r="AY340" t="b">
        <v>0</v>
      </c>
      <c r="BA340" t="s">
        <v>1579</v>
      </c>
      <c r="BB340" t="s">
        <v>1206</v>
      </c>
      <c r="BC340" t="s">
        <v>1206</v>
      </c>
      <c r="BD340" t="s">
        <v>1207</v>
      </c>
      <c r="BE340" t="s">
        <v>1296</v>
      </c>
      <c r="BF340" t="s">
        <v>1580</v>
      </c>
      <c r="BG340" t="s">
        <v>237</v>
      </c>
      <c r="BH340" t="s">
        <v>1206</v>
      </c>
      <c r="BI340" t="s">
        <v>1206</v>
      </c>
      <c r="BJ340" t="s">
        <v>1581</v>
      </c>
    </row>
    <row r="341" spans="1:62" x14ac:dyDescent="0.25">
      <c r="A341" t="s">
        <v>1177</v>
      </c>
      <c r="B341">
        <v>810004</v>
      </c>
      <c r="C341" t="s">
        <v>1258</v>
      </c>
      <c r="D341" s="112" t="s">
        <v>2764</v>
      </c>
      <c r="E341" t="s">
        <v>1119</v>
      </c>
      <c r="F341" t="s">
        <v>1178</v>
      </c>
      <c r="G341" t="s">
        <v>1849</v>
      </c>
      <c r="H341" t="s">
        <v>1850</v>
      </c>
      <c r="I341">
        <v>12</v>
      </c>
      <c r="J341" t="s">
        <v>1279</v>
      </c>
      <c r="K341">
        <v>12174</v>
      </c>
      <c r="L341" t="s">
        <v>1571</v>
      </c>
      <c r="M341">
        <v>12174239</v>
      </c>
      <c r="N341" t="s">
        <v>1572</v>
      </c>
      <c r="O341">
        <v>12174239647</v>
      </c>
      <c r="P341" t="s">
        <v>1610</v>
      </c>
      <c r="Q341" t="s">
        <v>1851</v>
      </c>
      <c r="R341" t="s">
        <v>1852</v>
      </c>
      <c r="S341" t="s">
        <v>1850</v>
      </c>
      <c r="T341" t="s">
        <v>1853</v>
      </c>
      <c r="U341" t="s">
        <v>1827</v>
      </c>
      <c r="V341" t="s">
        <v>1828</v>
      </c>
      <c r="W341">
        <v>24</v>
      </c>
      <c r="X341" t="s">
        <v>1854</v>
      </c>
      <c r="Y341">
        <v>1</v>
      </c>
      <c r="Z341">
        <v>24</v>
      </c>
      <c r="AA341" t="s">
        <v>28</v>
      </c>
      <c r="AB341" t="s">
        <v>1190</v>
      </c>
      <c r="AC341">
        <v>24</v>
      </c>
      <c r="AD341" t="s">
        <v>1232</v>
      </c>
      <c r="AE341" t="s">
        <v>1192</v>
      </c>
      <c r="AF341" t="s">
        <v>1193</v>
      </c>
      <c r="AG341" t="s">
        <v>1194</v>
      </c>
      <c r="AH341" t="s">
        <v>1195</v>
      </c>
      <c r="AI341" t="s">
        <v>1202</v>
      </c>
      <c r="AJ341" t="s">
        <v>1291</v>
      </c>
      <c r="AK341" t="s">
        <v>1292</v>
      </c>
      <c r="AL341" t="s">
        <v>1291</v>
      </c>
      <c r="AM341" t="s">
        <v>1593</v>
      </c>
      <c r="AN341" t="s">
        <v>1201</v>
      </c>
      <c r="AO341" t="s">
        <v>1292</v>
      </c>
      <c r="AP341" t="s">
        <v>530</v>
      </c>
      <c r="AQ341" t="s">
        <v>1203</v>
      </c>
      <c r="AR341" t="s">
        <v>1201</v>
      </c>
      <c r="AS341" t="s">
        <v>1203</v>
      </c>
      <c r="AU341" t="s">
        <v>1204</v>
      </c>
      <c r="AW341" t="b">
        <v>0</v>
      </c>
      <c r="AY341" t="b">
        <v>0</v>
      </c>
      <c r="BA341" t="s">
        <v>1579</v>
      </c>
      <c r="BB341" t="s">
        <v>1206</v>
      </c>
      <c r="BC341" t="s">
        <v>1206</v>
      </c>
      <c r="BD341" t="s">
        <v>1207</v>
      </c>
      <c r="BE341" t="s">
        <v>1296</v>
      </c>
      <c r="BF341" t="s">
        <v>1580</v>
      </c>
      <c r="BG341" t="s">
        <v>237</v>
      </c>
      <c r="BH341" t="s">
        <v>1206</v>
      </c>
      <c r="BI341" t="s">
        <v>1206</v>
      </c>
      <c r="BJ341" t="s">
        <v>1581</v>
      </c>
    </row>
    <row r="342" spans="1:62" x14ac:dyDescent="0.25">
      <c r="A342" t="s">
        <v>1177</v>
      </c>
      <c r="B342">
        <v>811105</v>
      </c>
      <c r="C342" t="s">
        <v>1258</v>
      </c>
      <c r="D342" s="112" t="s">
        <v>2765</v>
      </c>
      <c r="E342" t="s">
        <v>1119</v>
      </c>
      <c r="F342" t="s">
        <v>1178</v>
      </c>
      <c r="G342" t="s">
        <v>1855</v>
      </c>
      <c r="H342" t="s">
        <v>1674</v>
      </c>
      <c r="I342">
        <v>12</v>
      </c>
      <c r="J342" t="s">
        <v>1279</v>
      </c>
      <c r="K342">
        <v>12174</v>
      </c>
      <c r="L342" t="s">
        <v>1571</v>
      </c>
      <c r="M342">
        <v>12174239</v>
      </c>
      <c r="N342" t="s">
        <v>1572</v>
      </c>
      <c r="O342">
        <v>12174239647</v>
      </c>
      <c r="P342" t="s">
        <v>1610</v>
      </c>
      <c r="Q342" t="s">
        <v>1675</v>
      </c>
      <c r="R342" t="s">
        <v>1676</v>
      </c>
      <c r="S342" t="s">
        <v>1674</v>
      </c>
      <c r="T342" t="s">
        <v>1677</v>
      </c>
      <c r="U342" t="s">
        <v>1187</v>
      </c>
      <c r="V342" t="s">
        <v>1188</v>
      </c>
      <c r="W342">
        <v>620</v>
      </c>
      <c r="X342" t="s">
        <v>1189</v>
      </c>
      <c r="Y342">
        <v>12</v>
      </c>
      <c r="Z342">
        <v>7440</v>
      </c>
      <c r="AA342" t="s">
        <v>28</v>
      </c>
      <c r="AB342" t="s">
        <v>1190</v>
      </c>
      <c r="AC342">
        <v>620</v>
      </c>
      <c r="AD342" t="s">
        <v>1289</v>
      </c>
      <c r="AE342" t="s">
        <v>1290</v>
      </c>
      <c r="AF342" t="s">
        <v>1193</v>
      </c>
      <c r="AG342" t="s">
        <v>1194</v>
      </c>
      <c r="AH342" t="s">
        <v>1195</v>
      </c>
      <c r="AI342" t="s">
        <v>1202</v>
      </c>
      <c r="AJ342" t="s">
        <v>1291</v>
      </c>
      <c r="AK342" t="s">
        <v>1292</v>
      </c>
      <c r="AL342" t="s">
        <v>1291</v>
      </c>
      <c r="AM342" t="s">
        <v>1593</v>
      </c>
      <c r="AN342" t="s">
        <v>1201</v>
      </c>
      <c r="AO342" t="s">
        <v>1292</v>
      </c>
      <c r="AP342" t="s">
        <v>530</v>
      </c>
      <c r="AQ342" t="s">
        <v>1203</v>
      </c>
      <c r="AR342" t="s">
        <v>1201</v>
      </c>
      <c r="AS342" t="s">
        <v>1203</v>
      </c>
      <c r="AU342" t="s">
        <v>1204</v>
      </c>
      <c r="AW342" t="b">
        <v>0</v>
      </c>
      <c r="AY342" t="b">
        <v>0</v>
      </c>
      <c r="BA342" t="s">
        <v>1579</v>
      </c>
      <c r="BB342" t="s">
        <v>1206</v>
      </c>
      <c r="BC342" t="s">
        <v>1206</v>
      </c>
      <c r="BD342" t="s">
        <v>1207</v>
      </c>
      <c r="BE342" t="s">
        <v>1296</v>
      </c>
      <c r="BF342" t="s">
        <v>1580</v>
      </c>
      <c r="BG342" t="s">
        <v>237</v>
      </c>
      <c r="BH342" t="s">
        <v>1206</v>
      </c>
      <c r="BI342" t="s">
        <v>1206</v>
      </c>
      <c r="BJ342" t="s">
        <v>1581</v>
      </c>
    </row>
    <row r="343" spans="1:62" x14ac:dyDescent="0.25">
      <c r="A343" t="s">
        <v>1177</v>
      </c>
      <c r="B343">
        <v>810310</v>
      </c>
      <c r="C343" t="s">
        <v>1258</v>
      </c>
      <c r="D343" s="112" t="s">
        <v>2766</v>
      </c>
      <c r="E343" t="s">
        <v>1119</v>
      </c>
      <c r="F343" t="s">
        <v>1178</v>
      </c>
      <c r="G343" t="s">
        <v>1856</v>
      </c>
      <c r="H343" t="s">
        <v>1615</v>
      </c>
      <c r="I343">
        <v>12</v>
      </c>
      <c r="J343" t="s">
        <v>1279</v>
      </c>
      <c r="K343">
        <v>12174</v>
      </c>
      <c r="L343" t="s">
        <v>1571</v>
      </c>
      <c r="M343">
        <v>12174239</v>
      </c>
      <c r="N343" t="s">
        <v>1572</v>
      </c>
      <c r="O343">
        <v>12174239647</v>
      </c>
      <c r="P343" t="s">
        <v>1610</v>
      </c>
      <c r="Q343" t="s">
        <v>1616</v>
      </c>
      <c r="R343" t="s">
        <v>1617</v>
      </c>
      <c r="S343" t="s">
        <v>1615</v>
      </c>
      <c r="T343" t="s">
        <v>1618</v>
      </c>
      <c r="U343" t="s">
        <v>1237</v>
      </c>
      <c r="V343" t="s">
        <v>1238</v>
      </c>
      <c r="W343">
        <v>275</v>
      </c>
      <c r="X343" t="s">
        <v>1189</v>
      </c>
      <c r="Y343">
        <v>24</v>
      </c>
      <c r="Z343">
        <v>6600</v>
      </c>
      <c r="AA343" t="s">
        <v>28</v>
      </c>
      <c r="AB343" t="s">
        <v>1190</v>
      </c>
      <c r="AC343">
        <v>275</v>
      </c>
      <c r="AD343" t="s">
        <v>1191</v>
      </c>
      <c r="AE343" t="s">
        <v>1192</v>
      </c>
      <c r="AF343" t="s">
        <v>1193</v>
      </c>
      <c r="AG343" t="s">
        <v>1194</v>
      </c>
      <c r="AH343" t="s">
        <v>1195</v>
      </c>
      <c r="AI343" t="s">
        <v>1202</v>
      </c>
      <c r="AJ343" t="s">
        <v>1291</v>
      </c>
      <c r="AK343" t="s">
        <v>1292</v>
      </c>
      <c r="AL343" t="s">
        <v>1291</v>
      </c>
      <c r="AM343" t="s">
        <v>1321</v>
      </c>
      <c r="AN343" t="s">
        <v>1201</v>
      </c>
      <c r="AO343" t="s">
        <v>1292</v>
      </c>
      <c r="AP343" t="s">
        <v>1322</v>
      </c>
      <c r="AQ343" t="s">
        <v>1203</v>
      </c>
      <c r="AR343" t="s">
        <v>1201</v>
      </c>
      <c r="AS343" t="s">
        <v>1203</v>
      </c>
      <c r="AU343" t="s">
        <v>1204</v>
      </c>
      <c r="AW343" t="b">
        <v>0</v>
      </c>
      <c r="AY343" t="b">
        <v>0</v>
      </c>
      <c r="BA343" t="s">
        <v>1579</v>
      </c>
      <c r="BB343" t="s">
        <v>1206</v>
      </c>
      <c r="BC343" t="s">
        <v>1206</v>
      </c>
      <c r="BD343" t="s">
        <v>1207</v>
      </c>
      <c r="BE343" t="s">
        <v>1296</v>
      </c>
      <c r="BF343" t="s">
        <v>1580</v>
      </c>
      <c r="BG343" t="s">
        <v>237</v>
      </c>
      <c r="BH343" t="s">
        <v>1206</v>
      </c>
      <c r="BI343" t="s">
        <v>1206</v>
      </c>
      <c r="BJ343" t="s">
        <v>1581</v>
      </c>
    </row>
    <row r="344" spans="1:62" x14ac:dyDescent="0.25">
      <c r="A344" t="s">
        <v>1177</v>
      </c>
      <c r="B344">
        <v>810390</v>
      </c>
      <c r="C344" t="s">
        <v>1258</v>
      </c>
      <c r="D344" s="112" t="s">
        <v>2767</v>
      </c>
      <c r="E344" t="s">
        <v>1119</v>
      </c>
      <c r="F344" t="s">
        <v>1178</v>
      </c>
      <c r="G344" t="s">
        <v>1857</v>
      </c>
      <c r="H344" t="s">
        <v>1653</v>
      </c>
      <c r="I344">
        <v>12</v>
      </c>
      <c r="J344" t="s">
        <v>1279</v>
      </c>
      <c r="K344">
        <v>12174</v>
      </c>
      <c r="L344" t="s">
        <v>1571</v>
      </c>
      <c r="M344">
        <v>12174239</v>
      </c>
      <c r="N344" t="s">
        <v>1572</v>
      </c>
      <c r="O344">
        <v>12174239647</v>
      </c>
      <c r="P344" t="s">
        <v>1610</v>
      </c>
      <c r="Q344" t="s">
        <v>1654</v>
      </c>
      <c r="R344" t="s">
        <v>1655</v>
      </c>
      <c r="S344" t="s">
        <v>1653</v>
      </c>
      <c r="T344" t="s">
        <v>1656</v>
      </c>
      <c r="U344" t="s">
        <v>1237</v>
      </c>
      <c r="V344" t="s">
        <v>1238</v>
      </c>
      <c r="W344">
        <v>600</v>
      </c>
      <c r="X344" t="s">
        <v>1189</v>
      </c>
      <c r="Y344">
        <v>12</v>
      </c>
      <c r="Z344">
        <v>7200</v>
      </c>
      <c r="AA344" t="s">
        <v>28</v>
      </c>
      <c r="AB344" t="s">
        <v>1190</v>
      </c>
      <c r="AC344">
        <v>600</v>
      </c>
      <c r="AD344" t="s">
        <v>1289</v>
      </c>
      <c r="AE344" t="s">
        <v>1290</v>
      </c>
      <c r="AF344" t="s">
        <v>1193</v>
      </c>
      <c r="AG344" t="s">
        <v>1194</v>
      </c>
      <c r="AH344" t="s">
        <v>1195</v>
      </c>
      <c r="AI344" t="s">
        <v>1202</v>
      </c>
      <c r="AJ344" t="s">
        <v>1291</v>
      </c>
      <c r="AK344" t="s">
        <v>1292</v>
      </c>
      <c r="AL344" t="s">
        <v>1291</v>
      </c>
      <c r="AM344" t="s">
        <v>1577</v>
      </c>
      <c r="AN344" t="s">
        <v>1201</v>
      </c>
      <c r="AO344" t="s">
        <v>1292</v>
      </c>
      <c r="AP344" t="s">
        <v>1578</v>
      </c>
      <c r="AQ344" t="s">
        <v>1203</v>
      </c>
      <c r="AR344" t="s">
        <v>1201</v>
      </c>
      <c r="AS344" t="s">
        <v>1203</v>
      </c>
      <c r="AU344" t="s">
        <v>1204</v>
      </c>
      <c r="AW344" t="b">
        <v>0</v>
      </c>
      <c r="AY344" t="b">
        <v>0</v>
      </c>
      <c r="BA344" t="s">
        <v>1579</v>
      </c>
      <c r="BB344" t="s">
        <v>1206</v>
      </c>
      <c r="BC344" t="s">
        <v>1206</v>
      </c>
      <c r="BD344" t="s">
        <v>1207</v>
      </c>
      <c r="BE344" t="s">
        <v>1296</v>
      </c>
      <c r="BF344" t="s">
        <v>1580</v>
      </c>
      <c r="BG344" t="s">
        <v>237</v>
      </c>
      <c r="BH344" t="s">
        <v>1206</v>
      </c>
      <c r="BI344" t="s">
        <v>1206</v>
      </c>
      <c r="BJ344" t="s">
        <v>1581</v>
      </c>
    </row>
    <row r="345" spans="1:62" x14ac:dyDescent="0.25">
      <c r="A345" t="s">
        <v>1177</v>
      </c>
      <c r="B345">
        <v>810410</v>
      </c>
      <c r="C345" t="s">
        <v>1258</v>
      </c>
      <c r="D345" s="112" t="s">
        <v>2768</v>
      </c>
      <c r="E345" t="s">
        <v>1119</v>
      </c>
      <c r="F345" t="s">
        <v>1178</v>
      </c>
      <c r="G345" t="s">
        <v>1858</v>
      </c>
      <c r="H345" t="s">
        <v>1653</v>
      </c>
      <c r="I345">
        <v>12</v>
      </c>
      <c r="J345" t="s">
        <v>1279</v>
      </c>
      <c r="K345">
        <v>12174</v>
      </c>
      <c r="L345" t="s">
        <v>1571</v>
      </c>
      <c r="M345">
        <v>12174239</v>
      </c>
      <c r="N345" t="s">
        <v>1572</v>
      </c>
      <c r="O345">
        <v>12174239647</v>
      </c>
      <c r="P345" t="s">
        <v>1610</v>
      </c>
      <c r="Q345" t="s">
        <v>1654</v>
      </c>
      <c r="R345" t="s">
        <v>1655</v>
      </c>
      <c r="S345" t="s">
        <v>1653</v>
      </c>
      <c r="T345" t="s">
        <v>1656</v>
      </c>
      <c r="U345" t="s">
        <v>1237</v>
      </c>
      <c r="V345" t="s">
        <v>1238</v>
      </c>
      <c r="W345">
        <v>600</v>
      </c>
      <c r="X345" t="s">
        <v>1189</v>
      </c>
      <c r="Y345">
        <v>12</v>
      </c>
      <c r="Z345">
        <v>7200</v>
      </c>
      <c r="AA345" t="s">
        <v>28</v>
      </c>
      <c r="AB345" t="s">
        <v>1190</v>
      </c>
      <c r="AC345">
        <v>600</v>
      </c>
      <c r="AD345" t="s">
        <v>1289</v>
      </c>
      <c r="AE345" t="s">
        <v>1290</v>
      </c>
      <c r="AF345" t="s">
        <v>1193</v>
      </c>
      <c r="AG345" t="s">
        <v>1194</v>
      </c>
      <c r="AH345" t="s">
        <v>1195</v>
      </c>
      <c r="AI345" t="s">
        <v>1202</v>
      </c>
      <c r="AJ345" t="s">
        <v>1291</v>
      </c>
      <c r="AK345" t="s">
        <v>1292</v>
      </c>
      <c r="AL345" t="s">
        <v>1291</v>
      </c>
      <c r="AM345" t="s">
        <v>1577</v>
      </c>
      <c r="AN345" t="s">
        <v>1201</v>
      </c>
      <c r="AO345" t="s">
        <v>1292</v>
      </c>
      <c r="AP345" t="s">
        <v>1578</v>
      </c>
      <c r="AQ345" t="s">
        <v>1203</v>
      </c>
      <c r="AR345" t="s">
        <v>1201</v>
      </c>
      <c r="AS345" t="s">
        <v>1203</v>
      </c>
      <c r="AU345" t="s">
        <v>1204</v>
      </c>
      <c r="AW345" t="b">
        <v>0</v>
      </c>
      <c r="AY345" t="b">
        <v>0</v>
      </c>
      <c r="BA345" t="s">
        <v>1579</v>
      </c>
      <c r="BB345" t="s">
        <v>1206</v>
      </c>
      <c r="BC345" t="s">
        <v>1206</v>
      </c>
      <c r="BD345" t="s">
        <v>1207</v>
      </c>
      <c r="BE345" t="s">
        <v>1296</v>
      </c>
      <c r="BF345" t="s">
        <v>1580</v>
      </c>
      <c r="BG345" t="s">
        <v>237</v>
      </c>
      <c r="BH345" t="s">
        <v>1206</v>
      </c>
      <c r="BI345" t="s">
        <v>1206</v>
      </c>
      <c r="BJ345" t="s">
        <v>1581</v>
      </c>
    </row>
    <row r="346" spans="1:62" x14ac:dyDescent="0.25">
      <c r="A346" t="s">
        <v>1177</v>
      </c>
      <c r="B346">
        <v>810389</v>
      </c>
      <c r="C346" t="s">
        <v>1258</v>
      </c>
      <c r="D346" s="112" t="s">
        <v>2769</v>
      </c>
      <c r="E346" t="s">
        <v>1119</v>
      </c>
      <c r="F346" t="s">
        <v>1178</v>
      </c>
      <c r="G346" t="s">
        <v>1859</v>
      </c>
      <c r="H346" t="s">
        <v>1674</v>
      </c>
      <c r="I346">
        <v>12</v>
      </c>
      <c r="J346" t="s">
        <v>1279</v>
      </c>
      <c r="K346">
        <v>12174</v>
      </c>
      <c r="L346" t="s">
        <v>1571</v>
      </c>
      <c r="M346">
        <v>12174239</v>
      </c>
      <c r="N346" t="s">
        <v>1572</v>
      </c>
      <c r="O346">
        <v>12174239647</v>
      </c>
      <c r="P346" t="s">
        <v>1610</v>
      </c>
      <c r="Q346" t="s">
        <v>1675</v>
      </c>
      <c r="R346" t="s">
        <v>1676</v>
      </c>
      <c r="S346" t="s">
        <v>1674</v>
      </c>
      <c r="T346" t="s">
        <v>1677</v>
      </c>
      <c r="U346" t="s">
        <v>1187</v>
      </c>
      <c r="V346" t="s">
        <v>1188</v>
      </c>
      <c r="W346">
        <v>620</v>
      </c>
      <c r="X346" t="s">
        <v>1189</v>
      </c>
      <c r="Y346">
        <v>12</v>
      </c>
      <c r="Z346">
        <v>7440</v>
      </c>
      <c r="AA346" t="s">
        <v>28</v>
      </c>
      <c r="AB346" t="s">
        <v>1190</v>
      </c>
      <c r="AC346">
        <v>620</v>
      </c>
      <c r="AD346" t="s">
        <v>1289</v>
      </c>
      <c r="AE346" t="s">
        <v>1290</v>
      </c>
      <c r="AF346" t="s">
        <v>1193</v>
      </c>
      <c r="AG346" t="s">
        <v>1194</v>
      </c>
      <c r="AH346" t="s">
        <v>1195</v>
      </c>
      <c r="AI346" t="s">
        <v>1202</v>
      </c>
      <c r="AJ346" t="s">
        <v>1291</v>
      </c>
      <c r="AK346" t="s">
        <v>1292</v>
      </c>
      <c r="AL346" t="s">
        <v>1291</v>
      </c>
      <c r="AM346" t="s">
        <v>1577</v>
      </c>
      <c r="AN346" t="s">
        <v>1201</v>
      </c>
      <c r="AO346" t="s">
        <v>1292</v>
      </c>
      <c r="AP346" t="s">
        <v>1578</v>
      </c>
      <c r="AQ346" t="s">
        <v>1203</v>
      </c>
      <c r="AR346" t="s">
        <v>1201</v>
      </c>
      <c r="AS346" t="s">
        <v>1203</v>
      </c>
      <c r="AU346" t="s">
        <v>1204</v>
      </c>
      <c r="AW346" t="b">
        <v>0</v>
      </c>
      <c r="AY346" t="b">
        <v>0</v>
      </c>
      <c r="BA346" t="s">
        <v>1579</v>
      </c>
      <c r="BB346" t="s">
        <v>1206</v>
      </c>
      <c r="BC346" t="s">
        <v>1206</v>
      </c>
      <c r="BD346" t="s">
        <v>1207</v>
      </c>
      <c r="BE346" t="s">
        <v>1296</v>
      </c>
      <c r="BF346" t="s">
        <v>1580</v>
      </c>
      <c r="BG346" t="s">
        <v>237</v>
      </c>
      <c r="BH346" t="s">
        <v>1206</v>
      </c>
      <c r="BI346" t="s">
        <v>1206</v>
      </c>
      <c r="BJ346" t="s">
        <v>1581</v>
      </c>
    </row>
    <row r="347" spans="1:62" x14ac:dyDescent="0.25">
      <c r="A347" t="s">
        <v>1177</v>
      </c>
      <c r="B347">
        <v>810411</v>
      </c>
      <c r="C347" t="s">
        <v>1258</v>
      </c>
      <c r="D347" s="112" t="s">
        <v>2770</v>
      </c>
      <c r="E347" t="s">
        <v>1119</v>
      </c>
      <c r="F347" t="s">
        <v>1178</v>
      </c>
      <c r="G347" t="s">
        <v>1860</v>
      </c>
      <c r="H347" t="s">
        <v>1674</v>
      </c>
      <c r="I347">
        <v>12</v>
      </c>
      <c r="J347" t="s">
        <v>1279</v>
      </c>
      <c r="K347">
        <v>12174</v>
      </c>
      <c r="L347" t="s">
        <v>1571</v>
      </c>
      <c r="M347">
        <v>12174239</v>
      </c>
      <c r="N347" t="s">
        <v>1572</v>
      </c>
      <c r="O347">
        <v>12174239647</v>
      </c>
      <c r="P347" t="s">
        <v>1610</v>
      </c>
      <c r="Q347" t="s">
        <v>1675</v>
      </c>
      <c r="R347" t="s">
        <v>1676</v>
      </c>
      <c r="S347" t="s">
        <v>1674</v>
      </c>
      <c r="T347" t="s">
        <v>1677</v>
      </c>
      <c r="U347" t="s">
        <v>1187</v>
      </c>
      <c r="V347" t="s">
        <v>1188</v>
      </c>
      <c r="W347">
        <v>620</v>
      </c>
      <c r="X347" t="s">
        <v>1189</v>
      </c>
      <c r="Y347">
        <v>12</v>
      </c>
      <c r="Z347">
        <v>7440</v>
      </c>
      <c r="AA347" t="s">
        <v>28</v>
      </c>
      <c r="AB347" t="s">
        <v>1190</v>
      </c>
      <c r="AC347">
        <v>620</v>
      </c>
      <c r="AD347" t="s">
        <v>1289</v>
      </c>
      <c r="AE347" t="s">
        <v>1290</v>
      </c>
      <c r="AF347" t="s">
        <v>1193</v>
      </c>
      <c r="AG347" t="s">
        <v>1194</v>
      </c>
      <c r="AH347" t="s">
        <v>1195</v>
      </c>
      <c r="AI347" t="s">
        <v>1202</v>
      </c>
      <c r="AJ347" t="s">
        <v>1291</v>
      </c>
      <c r="AK347" t="s">
        <v>1292</v>
      </c>
      <c r="AL347" t="s">
        <v>1291</v>
      </c>
      <c r="AM347" t="s">
        <v>1577</v>
      </c>
      <c r="AN347" t="s">
        <v>1201</v>
      </c>
      <c r="AO347" t="s">
        <v>1292</v>
      </c>
      <c r="AP347" t="s">
        <v>1578</v>
      </c>
      <c r="AQ347" t="s">
        <v>1203</v>
      </c>
      <c r="AR347" t="s">
        <v>1201</v>
      </c>
      <c r="AS347" t="s">
        <v>1203</v>
      </c>
      <c r="AU347" t="s">
        <v>1204</v>
      </c>
      <c r="AW347" t="b">
        <v>0</v>
      </c>
      <c r="AY347" t="b">
        <v>0</v>
      </c>
      <c r="BA347" t="s">
        <v>1579</v>
      </c>
      <c r="BB347" t="s">
        <v>1206</v>
      </c>
      <c r="BC347" t="s">
        <v>1206</v>
      </c>
      <c r="BD347" t="s">
        <v>1207</v>
      </c>
      <c r="BE347" t="s">
        <v>1296</v>
      </c>
      <c r="BF347" t="s">
        <v>1580</v>
      </c>
      <c r="BG347" t="s">
        <v>237</v>
      </c>
      <c r="BH347" t="s">
        <v>1206</v>
      </c>
      <c r="BI347" t="s">
        <v>1206</v>
      </c>
      <c r="BJ347" t="s">
        <v>1581</v>
      </c>
    </row>
    <row r="348" spans="1:62" x14ac:dyDescent="0.25">
      <c r="A348" t="s">
        <v>1177</v>
      </c>
      <c r="B348">
        <v>810388</v>
      </c>
      <c r="C348" t="s">
        <v>1258</v>
      </c>
      <c r="D348" s="112" t="s">
        <v>2771</v>
      </c>
      <c r="E348" t="s">
        <v>1119</v>
      </c>
      <c r="F348" t="s">
        <v>1178</v>
      </c>
      <c r="G348" t="s">
        <v>1861</v>
      </c>
      <c r="H348" t="s">
        <v>1615</v>
      </c>
      <c r="I348">
        <v>12</v>
      </c>
      <c r="J348" t="s">
        <v>1279</v>
      </c>
      <c r="K348">
        <v>12174</v>
      </c>
      <c r="L348" t="s">
        <v>1571</v>
      </c>
      <c r="M348">
        <v>12174239</v>
      </c>
      <c r="N348" t="s">
        <v>1572</v>
      </c>
      <c r="O348">
        <v>12174239647</v>
      </c>
      <c r="P348" t="s">
        <v>1610</v>
      </c>
      <c r="Q348" t="s">
        <v>1616</v>
      </c>
      <c r="R348" t="s">
        <v>1617</v>
      </c>
      <c r="S348" t="s">
        <v>1615</v>
      </c>
      <c r="T348" t="s">
        <v>1618</v>
      </c>
      <c r="U348" t="s">
        <v>1237</v>
      </c>
      <c r="V348" t="s">
        <v>1238</v>
      </c>
      <c r="W348">
        <v>275</v>
      </c>
      <c r="X348" t="s">
        <v>1189</v>
      </c>
      <c r="Y348">
        <v>24</v>
      </c>
      <c r="Z348">
        <v>6600</v>
      </c>
      <c r="AA348" t="s">
        <v>28</v>
      </c>
      <c r="AB348" t="s">
        <v>1190</v>
      </c>
      <c r="AC348">
        <v>275</v>
      </c>
      <c r="AD348" t="s">
        <v>1191</v>
      </c>
      <c r="AE348" t="s">
        <v>1192</v>
      </c>
      <c r="AF348" t="s">
        <v>1193</v>
      </c>
      <c r="AG348" t="s">
        <v>1194</v>
      </c>
      <c r="AH348" t="s">
        <v>1195</v>
      </c>
      <c r="AI348" t="s">
        <v>1202</v>
      </c>
      <c r="AJ348" t="s">
        <v>1291</v>
      </c>
      <c r="AK348" t="s">
        <v>1292</v>
      </c>
      <c r="AL348" t="s">
        <v>1291</v>
      </c>
      <c r="AM348" t="s">
        <v>1577</v>
      </c>
      <c r="AN348" t="s">
        <v>1201</v>
      </c>
      <c r="AO348" t="s">
        <v>1292</v>
      </c>
      <c r="AP348" t="s">
        <v>1578</v>
      </c>
      <c r="AQ348" t="s">
        <v>1203</v>
      </c>
      <c r="AR348" t="s">
        <v>1201</v>
      </c>
      <c r="AS348" t="s">
        <v>1203</v>
      </c>
      <c r="AU348" t="s">
        <v>1204</v>
      </c>
      <c r="AW348" t="b">
        <v>0</v>
      </c>
      <c r="AY348" t="b">
        <v>0</v>
      </c>
      <c r="BA348" t="s">
        <v>1579</v>
      </c>
      <c r="BB348" t="s">
        <v>1206</v>
      </c>
      <c r="BC348" t="s">
        <v>1206</v>
      </c>
      <c r="BD348" t="s">
        <v>1207</v>
      </c>
      <c r="BE348" t="s">
        <v>1296</v>
      </c>
      <c r="BF348" t="s">
        <v>1580</v>
      </c>
      <c r="BG348" t="s">
        <v>237</v>
      </c>
      <c r="BH348" t="s">
        <v>1206</v>
      </c>
      <c r="BI348" t="s">
        <v>1206</v>
      </c>
      <c r="BJ348" t="s">
        <v>1581</v>
      </c>
    </row>
    <row r="349" spans="1:62" x14ac:dyDescent="0.25">
      <c r="A349" t="s">
        <v>1177</v>
      </c>
      <c r="B349">
        <v>810409</v>
      </c>
      <c r="C349" t="s">
        <v>1258</v>
      </c>
      <c r="D349" s="112" t="s">
        <v>2772</v>
      </c>
      <c r="E349" t="s">
        <v>1119</v>
      </c>
      <c r="F349" t="s">
        <v>1178</v>
      </c>
      <c r="G349" t="s">
        <v>1862</v>
      </c>
      <c r="H349" t="s">
        <v>1615</v>
      </c>
      <c r="I349">
        <v>12</v>
      </c>
      <c r="J349" t="s">
        <v>1279</v>
      </c>
      <c r="K349">
        <v>12174</v>
      </c>
      <c r="L349" t="s">
        <v>1571</v>
      </c>
      <c r="M349">
        <v>12174239</v>
      </c>
      <c r="N349" t="s">
        <v>1572</v>
      </c>
      <c r="O349">
        <v>12174239647</v>
      </c>
      <c r="P349" t="s">
        <v>1610</v>
      </c>
      <c r="Q349" t="s">
        <v>1616</v>
      </c>
      <c r="R349" t="s">
        <v>1617</v>
      </c>
      <c r="S349" t="s">
        <v>1615</v>
      </c>
      <c r="T349" t="s">
        <v>1618</v>
      </c>
      <c r="U349" t="s">
        <v>1237</v>
      </c>
      <c r="V349" t="s">
        <v>1238</v>
      </c>
      <c r="W349">
        <v>275</v>
      </c>
      <c r="X349" t="s">
        <v>1189</v>
      </c>
      <c r="Y349">
        <v>24</v>
      </c>
      <c r="Z349">
        <v>6600</v>
      </c>
      <c r="AA349" t="s">
        <v>28</v>
      </c>
      <c r="AB349" t="s">
        <v>1190</v>
      </c>
      <c r="AC349">
        <v>275</v>
      </c>
      <c r="AD349" t="s">
        <v>1191</v>
      </c>
      <c r="AE349" t="s">
        <v>1192</v>
      </c>
      <c r="AF349" t="s">
        <v>1193</v>
      </c>
      <c r="AG349" t="s">
        <v>1194</v>
      </c>
      <c r="AH349" t="s">
        <v>1195</v>
      </c>
      <c r="AI349" t="s">
        <v>1202</v>
      </c>
      <c r="AJ349" t="s">
        <v>1291</v>
      </c>
      <c r="AK349" t="s">
        <v>1292</v>
      </c>
      <c r="AL349" t="s">
        <v>1291</v>
      </c>
      <c r="AM349" t="s">
        <v>1577</v>
      </c>
      <c r="AN349" t="s">
        <v>1201</v>
      </c>
      <c r="AO349" t="s">
        <v>1292</v>
      </c>
      <c r="AP349" t="s">
        <v>1578</v>
      </c>
      <c r="AQ349" t="s">
        <v>1203</v>
      </c>
      <c r="AR349" t="s">
        <v>1201</v>
      </c>
      <c r="AS349" t="s">
        <v>1203</v>
      </c>
      <c r="AU349" t="s">
        <v>1204</v>
      </c>
      <c r="AW349" t="b">
        <v>0</v>
      </c>
      <c r="AY349" t="b">
        <v>0</v>
      </c>
      <c r="BA349" t="s">
        <v>1579</v>
      </c>
      <c r="BB349" t="s">
        <v>1206</v>
      </c>
      <c r="BC349" t="s">
        <v>1206</v>
      </c>
      <c r="BD349" t="s">
        <v>1207</v>
      </c>
      <c r="BE349" t="s">
        <v>1296</v>
      </c>
      <c r="BF349" t="s">
        <v>1580</v>
      </c>
      <c r="BG349" t="s">
        <v>237</v>
      </c>
      <c r="BH349" t="s">
        <v>1206</v>
      </c>
      <c r="BI349" t="s">
        <v>1206</v>
      </c>
      <c r="BJ349" t="s">
        <v>1581</v>
      </c>
    </row>
    <row r="350" spans="1:62" x14ac:dyDescent="0.25">
      <c r="A350" t="s">
        <v>1177</v>
      </c>
      <c r="B350">
        <v>810391</v>
      </c>
      <c r="C350" t="s">
        <v>1258</v>
      </c>
      <c r="D350" s="112" t="s">
        <v>2773</v>
      </c>
      <c r="E350" t="s">
        <v>1119</v>
      </c>
      <c r="F350" t="s">
        <v>1178</v>
      </c>
      <c r="G350" t="s">
        <v>1863</v>
      </c>
      <c r="H350" t="s">
        <v>1837</v>
      </c>
      <c r="I350">
        <v>12</v>
      </c>
      <c r="J350" t="s">
        <v>1279</v>
      </c>
      <c r="K350">
        <v>12174</v>
      </c>
      <c r="L350" t="s">
        <v>1571</v>
      </c>
      <c r="M350">
        <v>12174239</v>
      </c>
      <c r="N350" t="s">
        <v>1572</v>
      </c>
      <c r="O350">
        <v>12174239647</v>
      </c>
      <c r="P350" t="s">
        <v>1610</v>
      </c>
      <c r="Q350" t="s">
        <v>1643</v>
      </c>
      <c r="R350" t="s">
        <v>1644</v>
      </c>
      <c r="S350" t="s">
        <v>1837</v>
      </c>
      <c r="T350" t="s">
        <v>1838</v>
      </c>
      <c r="U350" t="s">
        <v>1286</v>
      </c>
      <c r="V350" t="s">
        <v>1287</v>
      </c>
      <c r="W350">
        <v>6</v>
      </c>
      <c r="X350" t="s">
        <v>1288</v>
      </c>
      <c r="Y350">
        <v>3</v>
      </c>
      <c r="Z350">
        <v>18</v>
      </c>
      <c r="AA350" t="s">
        <v>28</v>
      </c>
      <c r="AB350" t="s">
        <v>1190</v>
      </c>
      <c r="AC350">
        <v>6000</v>
      </c>
      <c r="AD350" t="s">
        <v>1289</v>
      </c>
      <c r="AE350" t="s">
        <v>1290</v>
      </c>
      <c r="AF350" t="s">
        <v>1193</v>
      </c>
      <c r="AG350" t="s">
        <v>1194</v>
      </c>
      <c r="AH350" t="s">
        <v>1195</v>
      </c>
      <c r="AI350" t="s">
        <v>1202</v>
      </c>
      <c r="AJ350" t="s">
        <v>1291</v>
      </c>
      <c r="AK350" t="s">
        <v>1292</v>
      </c>
      <c r="AL350" t="s">
        <v>1291</v>
      </c>
      <c r="AM350" t="s">
        <v>1577</v>
      </c>
      <c r="AN350" t="s">
        <v>1201</v>
      </c>
      <c r="AO350" t="s">
        <v>1292</v>
      </c>
      <c r="AP350" t="s">
        <v>1578</v>
      </c>
      <c r="AQ350" t="s">
        <v>1203</v>
      </c>
      <c r="AR350" t="s">
        <v>1201</v>
      </c>
      <c r="AS350" t="s">
        <v>1203</v>
      </c>
      <c r="AU350" t="s">
        <v>1204</v>
      </c>
      <c r="AW350" t="b">
        <v>0</v>
      </c>
      <c r="AY350" t="b">
        <v>0</v>
      </c>
      <c r="BA350" t="s">
        <v>1579</v>
      </c>
      <c r="BB350" t="s">
        <v>1206</v>
      </c>
      <c r="BC350" t="s">
        <v>1206</v>
      </c>
      <c r="BD350" t="s">
        <v>1207</v>
      </c>
      <c r="BE350" t="s">
        <v>1296</v>
      </c>
      <c r="BF350" t="s">
        <v>1580</v>
      </c>
      <c r="BG350" t="s">
        <v>237</v>
      </c>
      <c r="BH350" t="s">
        <v>1206</v>
      </c>
      <c r="BI350" t="s">
        <v>1206</v>
      </c>
      <c r="BJ350" t="s">
        <v>1581</v>
      </c>
    </row>
    <row r="351" spans="1:62" x14ac:dyDescent="0.25">
      <c r="A351" t="s">
        <v>1177</v>
      </c>
      <c r="B351">
        <v>810412</v>
      </c>
      <c r="C351" t="s">
        <v>1258</v>
      </c>
      <c r="D351" s="112" t="s">
        <v>2774</v>
      </c>
      <c r="E351" t="s">
        <v>1119</v>
      </c>
      <c r="F351" t="s">
        <v>1178</v>
      </c>
      <c r="G351" t="s">
        <v>1864</v>
      </c>
      <c r="H351" t="s">
        <v>1837</v>
      </c>
      <c r="I351">
        <v>12</v>
      </c>
      <c r="J351" t="s">
        <v>1279</v>
      </c>
      <c r="K351">
        <v>12174</v>
      </c>
      <c r="L351" t="s">
        <v>1571</v>
      </c>
      <c r="M351">
        <v>12174239</v>
      </c>
      <c r="N351" t="s">
        <v>1572</v>
      </c>
      <c r="O351">
        <v>12174239647</v>
      </c>
      <c r="P351" t="s">
        <v>1610</v>
      </c>
      <c r="Q351" t="s">
        <v>1643</v>
      </c>
      <c r="R351" t="s">
        <v>1644</v>
      </c>
      <c r="S351" t="s">
        <v>1837</v>
      </c>
      <c r="T351" t="s">
        <v>1838</v>
      </c>
      <c r="U351" t="s">
        <v>1286</v>
      </c>
      <c r="V351" t="s">
        <v>1287</v>
      </c>
      <c r="W351">
        <v>6</v>
      </c>
      <c r="X351" t="s">
        <v>1288</v>
      </c>
      <c r="Y351">
        <v>3</v>
      </c>
      <c r="Z351">
        <v>18</v>
      </c>
      <c r="AA351" t="s">
        <v>28</v>
      </c>
      <c r="AB351" t="s">
        <v>1190</v>
      </c>
      <c r="AC351">
        <v>6000</v>
      </c>
      <c r="AD351" t="s">
        <v>1289</v>
      </c>
      <c r="AE351" t="s">
        <v>1290</v>
      </c>
      <c r="AF351" t="s">
        <v>1193</v>
      </c>
      <c r="AG351" t="s">
        <v>1194</v>
      </c>
      <c r="AH351" t="s">
        <v>1195</v>
      </c>
      <c r="AI351" t="s">
        <v>1202</v>
      </c>
      <c r="AJ351" t="s">
        <v>1291</v>
      </c>
      <c r="AK351" t="s">
        <v>1292</v>
      </c>
      <c r="AL351" t="s">
        <v>1291</v>
      </c>
      <c r="AM351" t="s">
        <v>1577</v>
      </c>
      <c r="AN351" t="s">
        <v>1201</v>
      </c>
      <c r="AO351" t="s">
        <v>1292</v>
      </c>
      <c r="AP351" t="s">
        <v>1578</v>
      </c>
      <c r="AQ351" t="s">
        <v>1203</v>
      </c>
      <c r="AR351" t="s">
        <v>1201</v>
      </c>
      <c r="AS351" t="s">
        <v>1203</v>
      </c>
      <c r="AU351" t="s">
        <v>1204</v>
      </c>
      <c r="AW351" t="b">
        <v>0</v>
      </c>
      <c r="AY351" t="b">
        <v>0</v>
      </c>
      <c r="BA351" t="s">
        <v>1579</v>
      </c>
      <c r="BB351" t="s">
        <v>1206</v>
      </c>
      <c r="BC351" t="s">
        <v>1206</v>
      </c>
      <c r="BD351" t="s">
        <v>1207</v>
      </c>
      <c r="BE351" t="s">
        <v>1296</v>
      </c>
      <c r="BF351" t="s">
        <v>1580</v>
      </c>
      <c r="BG351" t="s">
        <v>237</v>
      </c>
      <c r="BH351" t="s">
        <v>1206</v>
      </c>
      <c r="BI351" t="s">
        <v>1206</v>
      </c>
      <c r="BJ351" t="s">
        <v>1581</v>
      </c>
    </row>
    <row r="352" spans="1:62" x14ac:dyDescent="0.25">
      <c r="A352" t="s">
        <v>1177</v>
      </c>
      <c r="B352">
        <v>810408</v>
      </c>
      <c r="C352" t="s">
        <v>1258</v>
      </c>
      <c r="D352" s="112" t="s">
        <v>2775</v>
      </c>
      <c r="E352" t="s">
        <v>1119</v>
      </c>
      <c r="F352" t="s">
        <v>1178</v>
      </c>
      <c r="G352" t="s">
        <v>1865</v>
      </c>
      <c r="H352" s="135" t="s">
        <v>1704</v>
      </c>
      <c r="I352">
        <v>12</v>
      </c>
      <c r="J352" t="s">
        <v>1279</v>
      </c>
      <c r="K352">
        <v>12174</v>
      </c>
      <c r="L352" t="s">
        <v>1571</v>
      </c>
      <c r="M352">
        <v>12174239</v>
      </c>
      <c r="N352" t="s">
        <v>1572</v>
      </c>
      <c r="O352">
        <v>12174239647</v>
      </c>
      <c r="P352" t="s">
        <v>1610</v>
      </c>
      <c r="Q352" s="135" t="s">
        <v>1705</v>
      </c>
      <c r="R352" t="s">
        <v>1706</v>
      </c>
      <c r="S352" s="135" t="s">
        <v>1704</v>
      </c>
      <c r="T352" t="s">
        <v>1707</v>
      </c>
      <c r="U352" t="s">
        <v>1237</v>
      </c>
      <c r="V352" t="s">
        <v>1238</v>
      </c>
      <c r="W352">
        <v>132</v>
      </c>
      <c r="X352" t="s">
        <v>1189</v>
      </c>
      <c r="Y352">
        <v>48</v>
      </c>
      <c r="Z352">
        <v>6336</v>
      </c>
      <c r="AA352" t="s">
        <v>28</v>
      </c>
      <c r="AB352" t="s">
        <v>1190</v>
      </c>
      <c r="AC352">
        <v>132</v>
      </c>
      <c r="AD352" t="s">
        <v>1191</v>
      </c>
      <c r="AE352" t="s">
        <v>1192</v>
      </c>
      <c r="AF352" t="s">
        <v>1193</v>
      </c>
      <c r="AG352" t="s">
        <v>1194</v>
      </c>
      <c r="AH352" t="s">
        <v>1195</v>
      </c>
      <c r="AI352" t="s">
        <v>1202</v>
      </c>
      <c r="AJ352" t="s">
        <v>1291</v>
      </c>
      <c r="AK352" t="s">
        <v>1292</v>
      </c>
      <c r="AL352" t="s">
        <v>1291</v>
      </c>
      <c r="AM352" t="s">
        <v>1577</v>
      </c>
      <c r="AN352" t="s">
        <v>1201</v>
      </c>
      <c r="AO352" t="s">
        <v>1292</v>
      </c>
      <c r="AP352" t="s">
        <v>1578</v>
      </c>
      <c r="AQ352" t="s">
        <v>1203</v>
      </c>
      <c r="AR352" t="s">
        <v>1201</v>
      </c>
      <c r="AS352" t="s">
        <v>1203</v>
      </c>
      <c r="AU352" t="s">
        <v>1204</v>
      </c>
      <c r="AW352" t="b">
        <v>0</v>
      </c>
      <c r="AY352" t="b">
        <v>0</v>
      </c>
      <c r="BA352" t="s">
        <v>1579</v>
      </c>
      <c r="BB352" t="s">
        <v>1206</v>
      </c>
      <c r="BC352" t="s">
        <v>1206</v>
      </c>
      <c r="BD352" t="s">
        <v>1207</v>
      </c>
      <c r="BE352" t="s">
        <v>1296</v>
      </c>
      <c r="BF352" t="s">
        <v>1580</v>
      </c>
      <c r="BG352" t="s">
        <v>237</v>
      </c>
      <c r="BH352" t="s">
        <v>1206</v>
      </c>
      <c r="BI352" t="s">
        <v>1206</v>
      </c>
      <c r="BJ352" t="s">
        <v>1581</v>
      </c>
    </row>
    <row r="353" spans="1:62" x14ac:dyDescent="0.25">
      <c r="A353" t="s">
        <v>1177</v>
      </c>
      <c r="B353">
        <v>810346</v>
      </c>
      <c r="C353" t="s">
        <v>1258</v>
      </c>
      <c r="D353" s="112" t="s">
        <v>2776</v>
      </c>
      <c r="E353" t="s">
        <v>1119</v>
      </c>
      <c r="F353" t="s">
        <v>1178</v>
      </c>
      <c r="G353" t="s">
        <v>1866</v>
      </c>
      <c r="H353" t="s">
        <v>1738</v>
      </c>
      <c r="I353">
        <v>12</v>
      </c>
      <c r="J353" t="s">
        <v>1279</v>
      </c>
      <c r="K353">
        <v>12174</v>
      </c>
      <c r="L353" t="s">
        <v>1571</v>
      </c>
      <c r="M353">
        <v>12174239</v>
      </c>
      <c r="N353" t="s">
        <v>1572</v>
      </c>
      <c r="O353">
        <v>12174239647</v>
      </c>
      <c r="P353" t="s">
        <v>1610</v>
      </c>
      <c r="Q353" t="s">
        <v>1616</v>
      </c>
      <c r="R353" t="s">
        <v>1617</v>
      </c>
      <c r="S353" t="s">
        <v>1738</v>
      </c>
      <c r="T353" t="s">
        <v>1739</v>
      </c>
      <c r="U353" t="s">
        <v>1237</v>
      </c>
      <c r="V353" t="s">
        <v>1238</v>
      </c>
      <c r="W353">
        <v>275</v>
      </c>
      <c r="X353" t="s">
        <v>1189</v>
      </c>
      <c r="Y353">
        <v>12</v>
      </c>
      <c r="Z353">
        <v>3300</v>
      </c>
      <c r="AA353" t="s">
        <v>28</v>
      </c>
      <c r="AB353" t="s">
        <v>1190</v>
      </c>
      <c r="AC353">
        <v>275</v>
      </c>
      <c r="AD353" t="s">
        <v>1191</v>
      </c>
      <c r="AE353" t="s">
        <v>1192</v>
      </c>
      <c r="AF353" t="s">
        <v>1193</v>
      </c>
      <c r="AG353" t="s">
        <v>1194</v>
      </c>
      <c r="AH353" t="s">
        <v>1195</v>
      </c>
      <c r="AI353" t="s">
        <v>1202</v>
      </c>
      <c r="AJ353" t="s">
        <v>1291</v>
      </c>
      <c r="AK353" t="s">
        <v>1292</v>
      </c>
      <c r="AL353" t="s">
        <v>1291</v>
      </c>
      <c r="AM353" t="s">
        <v>1577</v>
      </c>
      <c r="AN353" t="s">
        <v>1201</v>
      </c>
      <c r="AO353" t="s">
        <v>1292</v>
      </c>
      <c r="AP353" t="s">
        <v>1578</v>
      </c>
      <c r="AQ353" t="s">
        <v>1203</v>
      </c>
      <c r="AR353" t="s">
        <v>1201</v>
      </c>
      <c r="AS353" t="s">
        <v>1203</v>
      </c>
      <c r="AU353" t="s">
        <v>1204</v>
      </c>
      <c r="AW353" t="b">
        <v>0</v>
      </c>
      <c r="AY353" t="b">
        <v>0</v>
      </c>
      <c r="BA353" t="s">
        <v>1579</v>
      </c>
      <c r="BB353" t="s">
        <v>1206</v>
      </c>
      <c r="BC353" t="s">
        <v>1206</v>
      </c>
      <c r="BD353" t="s">
        <v>1207</v>
      </c>
      <c r="BE353" t="s">
        <v>1296</v>
      </c>
      <c r="BF353" t="s">
        <v>1580</v>
      </c>
      <c r="BG353" t="s">
        <v>237</v>
      </c>
      <c r="BH353" t="s">
        <v>1206</v>
      </c>
      <c r="BI353" t="s">
        <v>1206</v>
      </c>
      <c r="BJ353" t="s">
        <v>1581</v>
      </c>
    </row>
    <row r="354" spans="1:62" x14ac:dyDescent="0.25">
      <c r="A354" t="s">
        <v>1177</v>
      </c>
      <c r="B354">
        <v>810343</v>
      </c>
      <c r="C354" t="s">
        <v>1258</v>
      </c>
      <c r="D354" s="112" t="s">
        <v>2777</v>
      </c>
      <c r="E354" t="s">
        <v>1119</v>
      </c>
      <c r="F354" t="s">
        <v>1178</v>
      </c>
      <c r="G354" t="s">
        <v>1867</v>
      </c>
      <c r="H354" t="s">
        <v>1837</v>
      </c>
      <c r="I354">
        <v>12</v>
      </c>
      <c r="J354" t="s">
        <v>1279</v>
      </c>
      <c r="K354">
        <v>12174</v>
      </c>
      <c r="L354" t="s">
        <v>1571</v>
      </c>
      <c r="M354">
        <v>12174239</v>
      </c>
      <c r="N354" t="s">
        <v>1572</v>
      </c>
      <c r="O354">
        <v>12174239647</v>
      </c>
      <c r="P354" t="s">
        <v>1610</v>
      </c>
      <c r="Q354" t="s">
        <v>1643</v>
      </c>
      <c r="R354" t="s">
        <v>1644</v>
      </c>
      <c r="S354" t="s">
        <v>1837</v>
      </c>
      <c r="T354" t="s">
        <v>1838</v>
      </c>
      <c r="U354" t="s">
        <v>1286</v>
      </c>
      <c r="V354" t="s">
        <v>1287</v>
      </c>
      <c r="W354">
        <v>6</v>
      </c>
      <c r="X354" t="s">
        <v>1288</v>
      </c>
      <c r="Y354">
        <v>3</v>
      </c>
      <c r="Z354">
        <v>18</v>
      </c>
      <c r="AA354" t="s">
        <v>28</v>
      </c>
      <c r="AB354" t="s">
        <v>1190</v>
      </c>
      <c r="AC354">
        <v>6000</v>
      </c>
      <c r="AD354" t="s">
        <v>1289</v>
      </c>
      <c r="AE354" t="s">
        <v>1290</v>
      </c>
      <c r="AF354" t="s">
        <v>1193</v>
      </c>
      <c r="AG354" t="s">
        <v>1194</v>
      </c>
      <c r="AH354" t="s">
        <v>1195</v>
      </c>
      <c r="AI354" t="s">
        <v>1202</v>
      </c>
      <c r="AJ354" t="s">
        <v>1291</v>
      </c>
      <c r="AK354" t="s">
        <v>1292</v>
      </c>
      <c r="AL354" t="s">
        <v>1291</v>
      </c>
      <c r="AM354" t="s">
        <v>1577</v>
      </c>
      <c r="AN354" t="s">
        <v>1201</v>
      </c>
      <c r="AO354" t="s">
        <v>1292</v>
      </c>
      <c r="AP354" t="s">
        <v>1578</v>
      </c>
      <c r="AQ354" t="s">
        <v>1203</v>
      </c>
      <c r="AR354" t="s">
        <v>1201</v>
      </c>
      <c r="AS354" t="s">
        <v>1203</v>
      </c>
      <c r="AU354" t="s">
        <v>1204</v>
      </c>
      <c r="AW354" t="b">
        <v>0</v>
      </c>
      <c r="AY354" t="b">
        <v>0</v>
      </c>
      <c r="BA354" t="s">
        <v>1579</v>
      </c>
      <c r="BB354" t="s">
        <v>1206</v>
      </c>
      <c r="BC354" t="s">
        <v>1206</v>
      </c>
      <c r="BD354" t="s">
        <v>1207</v>
      </c>
      <c r="BE354" t="s">
        <v>1296</v>
      </c>
      <c r="BF354" t="s">
        <v>1580</v>
      </c>
      <c r="BG354" t="s">
        <v>237</v>
      </c>
      <c r="BH354" t="s">
        <v>1206</v>
      </c>
      <c r="BI354" t="s">
        <v>1206</v>
      </c>
      <c r="BJ354" t="s">
        <v>1581</v>
      </c>
    </row>
    <row r="355" spans="1:62" x14ac:dyDescent="0.25">
      <c r="A355" t="s">
        <v>1177</v>
      </c>
      <c r="B355">
        <v>810348</v>
      </c>
      <c r="C355" t="s">
        <v>1258</v>
      </c>
      <c r="D355" s="112" t="s">
        <v>2778</v>
      </c>
      <c r="E355" t="s">
        <v>1119</v>
      </c>
      <c r="F355" t="s">
        <v>1178</v>
      </c>
      <c r="G355" t="s">
        <v>1868</v>
      </c>
      <c r="H355" t="s">
        <v>1869</v>
      </c>
      <c r="I355">
        <v>12</v>
      </c>
      <c r="J355" t="s">
        <v>1279</v>
      </c>
      <c r="K355">
        <v>12174</v>
      </c>
      <c r="L355" t="s">
        <v>1571</v>
      </c>
      <c r="M355">
        <v>12174239</v>
      </c>
      <c r="N355" t="s">
        <v>1572</v>
      </c>
      <c r="O355">
        <v>12174239647</v>
      </c>
      <c r="P355" t="s">
        <v>1610</v>
      </c>
      <c r="Q355" t="s">
        <v>1654</v>
      </c>
      <c r="R355" t="s">
        <v>1655</v>
      </c>
      <c r="S355" t="s">
        <v>1869</v>
      </c>
      <c r="T355" t="s">
        <v>1870</v>
      </c>
      <c r="U355" t="s">
        <v>1237</v>
      </c>
      <c r="V355" t="s">
        <v>1238</v>
      </c>
      <c r="W355">
        <v>600</v>
      </c>
      <c r="X355" t="s">
        <v>1189</v>
      </c>
      <c r="Y355">
        <v>6</v>
      </c>
      <c r="Z355">
        <v>3600</v>
      </c>
      <c r="AA355" t="s">
        <v>28</v>
      </c>
      <c r="AB355" t="s">
        <v>1190</v>
      </c>
      <c r="AC355">
        <v>600</v>
      </c>
      <c r="AD355" t="s">
        <v>1289</v>
      </c>
      <c r="AE355" t="s">
        <v>1290</v>
      </c>
      <c r="AF355" t="s">
        <v>1193</v>
      </c>
      <c r="AG355" t="s">
        <v>1194</v>
      </c>
      <c r="AH355" t="s">
        <v>1195</v>
      </c>
      <c r="AI355" t="s">
        <v>1202</v>
      </c>
      <c r="AJ355" t="s">
        <v>1291</v>
      </c>
      <c r="AK355" t="s">
        <v>1292</v>
      </c>
      <c r="AL355" t="s">
        <v>1291</v>
      </c>
      <c r="AM355" t="s">
        <v>1577</v>
      </c>
      <c r="AN355" t="s">
        <v>1201</v>
      </c>
      <c r="AO355" t="s">
        <v>1292</v>
      </c>
      <c r="AP355" t="s">
        <v>1578</v>
      </c>
      <c r="AQ355" t="s">
        <v>1203</v>
      </c>
      <c r="AR355" t="s">
        <v>1201</v>
      </c>
      <c r="AS355" t="s">
        <v>1203</v>
      </c>
      <c r="AU355" t="s">
        <v>1204</v>
      </c>
      <c r="AW355" t="b">
        <v>0</v>
      </c>
      <c r="AY355" t="b">
        <v>0</v>
      </c>
      <c r="BA355" t="s">
        <v>1579</v>
      </c>
      <c r="BB355" t="s">
        <v>1206</v>
      </c>
      <c r="BC355" t="s">
        <v>1206</v>
      </c>
      <c r="BD355" t="s">
        <v>1207</v>
      </c>
      <c r="BE355" t="s">
        <v>1296</v>
      </c>
      <c r="BF355" t="s">
        <v>1580</v>
      </c>
      <c r="BG355" t="s">
        <v>237</v>
      </c>
      <c r="BH355" t="s">
        <v>1206</v>
      </c>
      <c r="BI355" t="s">
        <v>1206</v>
      </c>
      <c r="BJ355" t="s">
        <v>1581</v>
      </c>
    </row>
    <row r="356" spans="1:62" x14ac:dyDescent="0.25">
      <c r="A356" t="s">
        <v>1177</v>
      </c>
      <c r="B356">
        <v>810347</v>
      </c>
      <c r="C356" t="s">
        <v>1258</v>
      </c>
      <c r="D356" s="112" t="s">
        <v>2779</v>
      </c>
      <c r="E356" t="s">
        <v>1119</v>
      </c>
      <c r="F356" t="s">
        <v>1178</v>
      </c>
      <c r="G356" t="s">
        <v>1871</v>
      </c>
      <c r="H356" t="s">
        <v>1872</v>
      </c>
      <c r="I356">
        <v>12</v>
      </c>
      <c r="J356" t="s">
        <v>1279</v>
      </c>
      <c r="K356">
        <v>12174</v>
      </c>
      <c r="L356" t="s">
        <v>1571</v>
      </c>
      <c r="M356">
        <v>12174239</v>
      </c>
      <c r="N356" t="s">
        <v>1572</v>
      </c>
      <c r="O356">
        <v>12174239647</v>
      </c>
      <c r="P356" t="s">
        <v>1610</v>
      </c>
      <c r="Q356" t="s">
        <v>1675</v>
      </c>
      <c r="R356" t="s">
        <v>1676</v>
      </c>
      <c r="S356" t="s">
        <v>1872</v>
      </c>
      <c r="T356" t="s">
        <v>1873</v>
      </c>
      <c r="U356" t="s">
        <v>1187</v>
      </c>
      <c r="V356" t="s">
        <v>1188</v>
      </c>
      <c r="W356">
        <v>620</v>
      </c>
      <c r="X356" t="s">
        <v>1189</v>
      </c>
      <c r="Y356">
        <v>6</v>
      </c>
      <c r="Z356">
        <v>3720</v>
      </c>
      <c r="AA356" t="s">
        <v>28</v>
      </c>
      <c r="AB356" t="s">
        <v>1190</v>
      </c>
      <c r="AC356">
        <v>620</v>
      </c>
      <c r="AD356" t="s">
        <v>1289</v>
      </c>
      <c r="AE356" t="s">
        <v>1290</v>
      </c>
      <c r="AF356" t="s">
        <v>1193</v>
      </c>
      <c r="AG356" t="s">
        <v>1194</v>
      </c>
      <c r="AH356" t="s">
        <v>1195</v>
      </c>
      <c r="AI356" t="s">
        <v>1202</v>
      </c>
      <c r="AJ356" t="s">
        <v>1291</v>
      </c>
      <c r="AK356" t="s">
        <v>1292</v>
      </c>
      <c r="AL356" t="s">
        <v>1291</v>
      </c>
      <c r="AM356" t="s">
        <v>1577</v>
      </c>
      <c r="AN356" t="s">
        <v>1201</v>
      </c>
      <c r="AO356" t="s">
        <v>1292</v>
      </c>
      <c r="AP356" t="s">
        <v>1578</v>
      </c>
      <c r="AQ356" t="s">
        <v>1203</v>
      </c>
      <c r="AR356" t="s">
        <v>1201</v>
      </c>
      <c r="AS356" t="s">
        <v>1203</v>
      </c>
      <c r="AU356" t="s">
        <v>1204</v>
      </c>
      <c r="AW356" t="b">
        <v>0</v>
      </c>
      <c r="AY356" t="b">
        <v>0</v>
      </c>
      <c r="BA356" t="s">
        <v>1579</v>
      </c>
      <c r="BB356" t="s">
        <v>1206</v>
      </c>
      <c r="BC356" t="s">
        <v>1206</v>
      </c>
      <c r="BD356" t="s">
        <v>1207</v>
      </c>
      <c r="BE356" t="s">
        <v>1296</v>
      </c>
      <c r="BF356" t="s">
        <v>1580</v>
      </c>
      <c r="BG356" t="s">
        <v>237</v>
      </c>
      <c r="BH356" t="s">
        <v>1206</v>
      </c>
      <c r="BI356" t="s">
        <v>1206</v>
      </c>
      <c r="BJ356" t="s">
        <v>1581</v>
      </c>
    </row>
    <row r="357" spans="1:62" x14ac:dyDescent="0.25">
      <c r="A357" t="s">
        <v>1177</v>
      </c>
      <c r="B357">
        <v>810365</v>
      </c>
      <c r="C357" t="s">
        <v>1258</v>
      </c>
      <c r="D357" s="112" t="s">
        <v>2780</v>
      </c>
      <c r="E357" t="s">
        <v>1119</v>
      </c>
      <c r="F357" t="s">
        <v>1178</v>
      </c>
      <c r="G357" t="s">
        <v>1874</v>
      </c>
      <c r="H357" t="s">
        <v>1653</v>
      </c>
      <c r="I357">
        <v>12</v>
      </c>
      <c r="J357" t="s">
        <v>1279</v>
      </c>
      <c r="K357">
        <v>12174</v>
      </c>
      <c r="L357" t="s">
        <v>1571</v>
      </c>
      <c r="M357">
        <v>12174239</v>
      </c>
      <c r="N357" t="s">
        <v>1572</v>
      </c>
      <c r="O357">
        <v>12174239647</v>
      </c>
      <c r="P357" t="s">
        <v>1610</v>
      </c>
      <c r="Q357" t="s">
        <v>1654</v>
      </c>
      <c r="R357" t="s">
        <v>1655</v>
      </c>
      <c r="S357" t="s">
        <v>1653</v>
      </c>
      <c r="T357" t="s">
        <v>1656</v>
      </c>
      <c r="U357" t="s">
        <v>1237</v>
      </c>
      <c r="V357" t="s">
        <v>1238</v>
      </c>
      <c r="W357">
        <v>600</v>
      </c>
      <c r="X357" t="s">
        <v>1189</v>
      </c>
      <c r="Y357">
        <v>12</v>
      </c>
      <c r="Z357">
        <v>7200</v>
      </c>
      <c r="AA357" t="s">
        <v>28</v>
      </c>
      <c r="AB357" t="s">
        <v>1190</v>
      </c>
      <c r="AC357">
        <v>600</v>
      </c>
      <c r="AD357" t="s">
        <v>1289</v>
      </c>
      <c r="AE357" t="s">
        <v>1290</v>
      </c>
      <c r="AF357" t="s">
        <v>1193</v>
      </c>
      <c r="AG357" t="s">
        <v>1194</v>
      </c>
      <c r="AH357" t="s">
        <v>1195</v>
      </c>
      <c r="AI357" t="s">
        <v>1202</v>
      </c>
      <c r="AJ357" t="s">
        <v>1291</v>
      </c>
      <c r="AK357" t="s">
        <v>1292</v>
      </c>
      <c r="AL357" t="s">
        <v>1291</v>
      </c>
      <c r="AM357" t="s">
        <v>1577</v>
      </c>
      <c r="AN357" t="s">
        <v>1201</v>
      </c>
      <c r="AO357" t="s">
        <v>1292</v>
      </c>
      <c r="AP357" t="s">
        <v>1578</v>
      </c>
      <c r="AQ357" t="s">
        <v>1203</v>
      </c>
      <c r="AR357" t="s">
        <v>1201</v>
      </c>
      <c r="AS357" t="s">
        <v>1203</v>
      </c>
      <c r="AU357" t="s">
        <v>1204</v>
      </c>
      <c r="AW357" t="b">
        <v>0</v>
      </c>
      <c r="AY357" t="b">
        <v>0</v>
      </c>
      <c r="BA357" t="s">
        <v>1579</v>
      </c>
      <c r="BB357" t="s">
        <v>1206</v>
      </c>
      <c r="BC357" t="s">
        <v>1206</v>
      </c>
      <c r="BD357" t="s">
        <v>1207</v>
      </c>
      <c r="BE357" t="s">
        <v>1296</v>
      </c>
      <c r="BF357" t="s">
        <v>1580</v>
      </c>
      <c r="BG357" t="s">
        <v>237</v>
      </c>
      <c r="BH357" t="s">
        <v>1206</v>
      </c>
      <c r="BI357" t="s">
        <v>1206</v>
      </c>
      <c r="BJ357" t="s">
        <v>1581</v>
      </c>
    </row>
    <row r="358" spans="1:62" x14ac:dyDescent="0.25">
      <c r="A358" t="s">
        <v>1177</v>
      </c>
      <c r="B358">
        <v>810364</v>
      </c>
      <c r="C358" t="s">
        <v>1258</v>
      </c>
      <c r="D358" s="112" t="s">
        <v>2781</v>
      </c>
      <c r="E358" t="s">
        <v>1119</v>
      </c>
      <c r="F358" t="s">
        <v>1178</v>
      </c>
      <c r="G358" t="s">
        <v>1875</v>
      </c>
      <c r="H358" t="s">
        <v>1674</v>
      </c>
      <c r="I358">
        <v>12</v>
      </c>
      <c r="J358" t="s">
        <v>1279</v>
      </c>
      <c r="K358">
        <v>12174</v>
      </c>
      <c r="L358" t="s">
        <v>1571</v>
      </c>
      <c r="M358">
        <v>12174239</v>
      </c>
      <c r="N358" t="s">
        <v>1572</v>
      </c>
      <c r="O358">
        <v>12174239647</v>
      </c>
      <c r="P358" t="s">
        <v>1610</v>
      </c>
      <c r="Q358" t="s">
        <v>1675</v>
      </c>
      <c r="R358" t="s">
        <v>1676</v>
      </c>
      <c r="S358" t="s">
        <v>1674</v>
      </c>
      <c r="T358" t="s">
        <v>1677</v>
      </c>
      <c r="U358" t="s">
        <v>1187</v>
      </c>
      <c r="V358" t="s">
        <v>1188</v>
      </c>
      <c r="W358">
        <v>620</v>
      </c>
      <c r="X358" t="s">
        <v>1189</v>
      </c>
      <c r="Y358">
        <v>12</v>
      </c>
      <c r="Z358">
        <v>7440</v>
      </c>
      <c r="AA358" t="s">
        <v>28</v>
      </c>
      <c r="AB358" t="s">
        <v>1190</v>
      </c>
      <c r="AC358">
        <v>620</v>
      </c>
      <c r="AD358" t="s">
        <v>1289</v>
      </c>
      <c r="AE358" t="s">
        <v>1290</v>
      </c>
      <c r="AF358" t="s">
        <v>1193</v>
      </c>
      <c r="AG358" t="s">
        <v>1194</v>
      </c>
      <c r="AH358" t="s">
        <v>1195</v>
      </c>
      <c r="AI358" t="s">
        <v>1202</v>
      </c>
      <c r="AJ358" t="s">
        <v>1291</v>
      </c>
      <c r="AK358" t="s">
        <v>1292</v>
      </c>
      <c r="AL358" t="s">
        <v>1291</v>
      </c>
      <c r="AM358" t="s">
        <v>1577</v>
      </c>
      <c r="AN358" t="s">
        <v>1201</v>
      </c>
      <c r="AO358" t="s">
        <v>1292</v>
      </c>
      <c r="AP358" t="s">
        <v>1578</v>
      </c>
      <c r="AQ358" t="s">
        <v>1203</v>
      </c>
      <c r="AR358" t="s">
        <v>1201</v>
      </c>
      <c r="AS358" t="s">
        <v>1203</v>
      </c>
      <c r="AU358" t="s">
        <v>1204</v>
      </c>
      <c r="AW358" t="b">
        <v>0</v>
      </c>
      <c r="AY358" t="b">
        <v>0</v>
      </c>
      <c r="BA358" t="s">
        <v>1579</v>
      </c>
      <c r="BB358" t="s">
        <v>1206</v>
      </c>
      <c r="BC358" t="s">
        <v>1206</v>
      </c>
      <c r="BD358" t="s">
        <v>1207</v>
      </c>
      <c r="BE358" t="s">
        <v>1296</v>
      </c>
      <c r="BF358" t="s">
        <v>1580</v>
      </c>
      <c r="BG358" t="s">
        <v>237</v>
      </c>
      <c r="BH358" t="s">
        <v>1206</v>
      </c>
      <c r="BI358" t="s">
        <v>1206</v>
      </c>
      <c r="BJ358" t="s">
        <v>1581</v>
      </c>
    </row>
    <row r="359" spans="1:62" x14ac:dyDescent="0.25">
      <c r="A359" t="s">
        <v>1177</v>
      </c>
      <c r="B359">
        <v>810359</v>
      </c>
      <c r="C359" t="s">
        <v>1258</v>
      </c>
      <c r="D359" s="112" t="s">
        <v>2782</v>
      </c>
      <c r="E359" t="s">
        <v>1119</v>
      </c>
      <c r="F359" t="s">
        <v>1178</v>
      </c>
      <c r="G359" t="s">
        <v>1876</v>
      </c>
      <c r="H359" t="s">
        <v>1653</v>
      </c>
      <c r="I359">
        <v>12</v>
      </c>
      <c r="J359" t="s">
        <v>1279</v>
      </c>
      <c r="K359">
        <v>12174</v>
      </c>
      <c r="L359" t="s">
        <v>1571</v>
      </c>
      <c r="M359">
        <v>12174239</v>
      </c>
      <c r="N359" t="s">
        <v>1572</v>
      </c>
      <c r="O359">
        <v>12174239647</v>
      </c>
      <c r="P359" t="s">
        <v>1610</v>
      </c>
      <c r="Q359" t="s">
        <v>1654</v>
      </c>
      <c r="R359" t="s">
        <v>1655</v>
      </c>
      <c r="S359" t="s">
        <v>1653</v>
      </c>
      <c r="T359" t="s">
        <v>1656</v>
      </c>
      <c r="U359" t="s">
        <v>1237</v>
      </c>
      <c r="V359" t="s">
        <v>1238</v>
      </c>
      <c r="W359">
        <v>600</v>
      </c>
      <c r="X359" t="s">
        <v>1189</v>
      </c>
      <c r="Y359">
        <v>12</v>
      </c>
      <c r="Z359">
        <v>7200</v>
      </c>
      <c r="AA359" t="s">
        <v>28</v>
      </c>
      <c r="AB359" t="s">
        <v>1190</v>
      </c>
      <c r="AC359">
        <v>600</v>
      </c>
      <c r="AD359" t="s">
        <v>1289</v>
      </c>
      <c r="AE359" t="s">
        <v>1290</v>
      </c>
      <c r="AF359" t="s">
        <v>1193</v>
      </c>
      <c r="AG359" t="s">
        <v>1194</v>
      </c>
      <c r="AH359" t="s">
        <v>1195</v>
      </c>
      <c r="AI359" t="s">
        <v>1202</v>
      </c>
      <c r="AJ359" t="s">
        <v>1291</v>
      </c>
      <c r="AK359" t="s">
        <v>1292</v>
      </c>
      <c r="AL359" t="s">
        <v>1291</v>
      </c>
      <c r="AM359" t="s">
        <v>1577</v>
      </c>
      <c r="AN359" t="s">
        <v>1201</v>
      </c>
      <c r="AO359" t="s">
        <v>1292</v>
      </c>
      <c r="AP359" t="s">
        <v>1578</v>
      </c>
      <c r="AQ359" t="s">
        <v>1203</v>
      </c>
      <c r="AR359" t="s">
        <v>1201</v>
      </c>
      <c r="AS359" t="s">
        <v>1203</v>
      </c>
      <c r="AU359" t="s">
        <v>1204</v>
      </c>
      <c r="AW359" t="b">
        <v>0</v>
      </c>
      <c r="AY359" t="b">
        <v>0</v>
      </c>
      <c r="BA359" t="s">
        <v>1579</v>
      </c>
      <c r="BB359" t="s">
        <v>1206</v>
      </c>
      <c r="BC359" t="s">
        <v>1206</v>
      </c>
      <c r="BD359" t="s">
        <v>1207</v>
      </c>
      <c r="BE359" t="s">
        <v>1296</v>
      </c>
      <c r="BF359" t="s">
        <v>1580</v>
      </c>
      <c r="BG359" t="s">
        <v>237</v>
      </c>
      <c r="BH359" t="s">
        <v>1206</v>
      </c>
      <c r="BI359" t="s">
        <v>1206</v>
      </c>
      <c r="BJ359" t="s">
        <v>1581</v>
      </c>
    </row>
    <row r="360" spans="1:62" x14ac:dyDescent="0.25">
      <c r="A360" t="s">
        <v>1177</v>
      </c>
      <c r="B360">
        <v>810321</v>
      </c>
      <c r="C360" t="s">
        <v>1258</v>
      </c>
      <c r="D360" s="112" t="s">
        <v>2783</v>
      </c>
      <c r="E360" t="s">
        <v>1119</v>
      </c>
      <c r="F360" t="s">
        <v>1178</v>
      </c>
      <c r="G360" t="s">
        <v>1877</v>
      </c>
      <c r="H360" t="s">
        <v>1738</v>
      </c>
      <c r="I360">
        <v>12</v>
      </c>
      <c r="J360" t="s">
        <v>1279</v>
      </c>
      <c r="K360">
        <v>12174</v>
      </c>
      <c r="L360" t="s">
        <v>1571</v>
      </c>
      <c r="M360">
        <v>12174239</v>
      </c>
      <c r="N360" t="s">
        <v>1572</v>
      </c>
      <c r="O360">
        <v>12174239647</v>
      </c>
      <c r="P360" t="s">
        <v>1610</v>
      </c>
      <c r="Q360" t="s">
        <v>1616</v>
      </c>
      <c r="R360" t="s">
        <v>1617</v>
      </c>
      <c r="S360" t="s">
        <v>1738</v>
      </c>
      <c r="T360" t="s">
        <v>1739</v>
      </c>
      <c r="U360" t="s">
        <v>1237</v>
      </c>
      <c r="V360" t="s">
        <v>1238</v>
      </c>
      <c r="W360">
        <v>275</v>
      </c>
      <c r="X360" t="s">
        <v>1189</v>
      </c>
      <c r="Y360">
        <v>12</v>
      </c>
      <c r="Z360">
        <v>3300</v>
      </c>
      <c r="AA360" t="s">
        <v>28</v>
      </c>
      <c r="AB360" t="s">
        <v>1190</v>
      </c>
      <c r="AC360">
        <v>275</v>
      </c>
      <c r="AD360" t="s">
        <v>1191</v>
      </c>
      <c r="AE360" t="s">
        <v>1192</v>
      </c>
      <c r="AF360" t="s">
        <v>1193</v>
      </c>
      <c r="AG360" t="s">
        <v>1194</v>
      </c>
      <c r="AH360" t="s">
        <v>1195</v>
      </c>
      <c r="AI360" t="s">
        <v>1202</v>
      </c>
      <c r="AJ360" t="s">
        <v>1291</v>
      </c>
      <c r="AK360" t="s">
        <v>1292</v>
      </c>
      <c r="AL360" t="s">
        <v>1291</v>
      </c>
      <c r="AM360" t="s">
        <v>1577</v>
      </c>
      <c r="AN360" t="s">
        <v>1201</v>
      </c>
      <c r="AO360" t="s">
        <v>1292</v>
      </c>
      <c r="AP360" t="s">
        <v>1578</v>
      </c>
      <c r="AQ360" t="s">
        <v>1203</v>
      </c>
      <c r="AR360" t="s">
        <v>1201</v>
      </c>
      <c r="AS360" t="s">
        <v>1203</v>
      </c>
      <c r="AU360" t="s">
        <v>1204</v>
      </c>
      <c r="AW360" t="b">
        <v>0</v>
      </c>
      <c r="AY360" t="b">
        <v>0</v>
      </c>
      <c r="BA360" t="s">
        <v>1579</v>
      </c>
      <c r="BB360" t="s">
        <v>1206</v>
      </c>
      <c r="BC360" t="s">
        <v>1206</v>
      </c>
      <c r="BD360" t="s">
        <v>1207</v>
      </c>
      <c r="BE360" t="s">
        <v>1296</v>
      </c>
      <c r="BF360" t="s">
        <v>1580</v>
      </c>
      <c r="BG360" t="s">
        <v>237</v>
      </c>
      <c r="BH360" t="s">
        <v>1206</v>
      </c>
      <c r="BI360" t="s">
        <v>1206</v>
      </c>
      <c r="BJ360" t="s">
        <v>1581</v>
      </c>
    </row>
    <row r="361" spans="1:62" x14ac:dyDescent="0.25">
      <c r="A361" t="s">
        <v>1177</v>
      </c>
      <c r="B361">
        <v>810317</v>
      </c>
      <c r="C361" t="s">
        <v>1258</v>
      </c>
      <c r="D361" s="112" t="s">
        <v>2784</v>
      </c>
      <c r="E361" t="s">
        <v>1119</v>
      </c>
      <c r="F361" t="s">
        <v>1178</v>
      </c>
      <c r="G361" t="s">
        <v>1878</v>
      </c>
      <c r="H361" t="s">
        <v>1653</v>
      </c>
      <c r="I361">
        <v>12</v>
      </c>
      <c r="J361" t="s">
        <v>1279</v>
      </c>
      <c r="K361">
        <v>12174</v>
      </c>
      <c r="L361" t="s">
        <v>1571</v>
      </c>
      <c r="M361">
        <v>12174239</v>
      </c>
      <c r="N361" t="s">
        <v>1572</v>
      </c>
      <c r="O361">
        <v>12174239647</v>
      </c>
      <c r="P361" t="s">
        <v>1610</v>
      </c>
      <c r="Q361" t="s">
        <v>1654</v>
      </c>
      <c r="R361" t="s">
        <v>1655</v>
      </c>
      <c r="S361" t="s">
        <v>1653</v>
      </c>
      <c r="T361" t="s">
        <v>1656</v>
      </c>
      <c r="U361" t="s">
        <v>1237</v>
      </c>
      <c r="V361" t="s">
        <v>1238</v>
      </c>
      <c r="W361">
        <v>600</v>
      </c>
      <c r="X361" t="s">
        <v>1189</v>
      </c>
      <c r="Y361">
        <v>12</v>
      </c>
      <c r="Z361">
        <v>7200</v>
      </c>
      <c r="AA361" t="s">
        <v>28</v>
      </c>
      <c r="AB361" t="s">
        <v>1190</v>
      </c>
      <c r="AC361">
        <v>600</v>
      </c>
      <c r="AD361" t="s">
        <v>1289</v>
      </c>
      <c r="AE361" t="s">
        <v>1290</v>
      </c>
      <c r="AF361" t="s">
        <v>1193</v>
      </c>
      <c r="AG361" t="s">
        <v>1194</v>
      </c>
      <c r="AH361" t="s">
        <v>1195</v>
      </c>
      <c r="AI361" t="s">
        <v>1202</v>
      </c>
      <c r="AJ361" t="s">
        <v>1291</v>
      </c>
      <c r="AK361" t="s">
        <v>1292</v>
      </c>
      <c r="AL361" t="s">
        <v>1291</v>
      </c>
      <c r="AM361" t="s">
        <v>1577</v>
      </c>
      <c r="AN361" t="s">
        <v>1201</v>
      </c>
      <c r="AO361" t="s">
        <v>1292</v>
      </c>
      <c r="AP361" t="s">
        <v>1578</v>
      </c>
      <c r="AQ361" t="s">
        <v>1203</v>
      </c>
      <c r="AR361" t="s">
        <v>1201</v>
      </c>
      <c r="AS361" t="s">
        <v>1203</v>
      </c>
      <c r="AU361" t="s">
        <v>1204</v>
      </c>
      <c r="AW361" t="b">
        <v>0</v>
      </c>
      <c r="AY361" t="b">
        <v>0</v>
      </c>
      <c r="BA361" t="s">
        <v>1579</v>
      </c>
      <c r="BB361" t="s">
        <v>1206</v>
      </c>
      <c r="BC361" t="s">
        <v>1206</v>
      </c>
      <c r="BD361" t="s">
        <v>1207</v>
      </c>
      <c r="BE361" t="s">
        <v>1296</v>
      </c>
      <c r="BF361" t="s">
        <v>1580</v>
      </c>
      <c r="BG361" t="s">
        <v>237</v>
      </c>
      <c r="BH361" t="s">
        <v>1206</v>
      </c>
      <c r="BI361" t="s">
        <v>1206</v>
      </c>
      <c r="BJ361" t="s">
        <v>1581</v>
      </c>
    </row>
    <row r="362" spans="1:62" x14ac:dyDescent="0.25">
      <c r="A362" t="s">
        <v>1177</v>
      </c>
      <c r="B362">
        <v>810316</v>
      </c>
      <c r="C362" t="s">
        <v>1258</v>
      </c>
      <c r="D362" s="112" t="s">
        <v>2785</v>
      </c>
      <c r="E362" t="s">
        <v>1119</v>
      </c>
      <c r="F362" t="s">
        <v>1178</v>
      </c>
      <c r="G362" t="s">
        <v>1879</v>
      </c>
      <c r="H362" t="s">
        <v>1674</v>
      </c>
      <c r="I362">
        <v>12</v>
      </c>
      <c r="J362" t="s">
        <v>1279</v>
      </c>
      <c r="K362">
        <v>12174</v>
      </c>
      <c r="L362" t="s">
        <v>1571</v>
      </c>
      <c r="M362">
        <v>12174239</v>
      </c>
      <c r="N362" t="s">
        <v>1572</v>
      </c>
      <c r="O362">
        <v>12174239647</v>
      </c>
      <c r="P362" t="s">
        <v>1610</v>
      </c>
      <c r="Q362" t="s">
        <v>1675</v>
      </c>
      <c r="R362" t="s">
        <v>1676</v>
      </c>
      <c r="S362" t="s">
        <v>1674</v>
      </c>
      <c r="T362" t="s">
        <v>1677</v>
      </c>
      <c r="U362" t="s">
        <v>1187</v>
      </c>
      <c r="V362" t="s">
        <v>1188</v>
      </c>
      <c r="W362">
        <v>620</v>
      </c>
      <c r="X362" t="s">
        <v>1189</v>
      </c>
      <c r="Y362">
        <v>12</v>
      </c>
      <c r="Z362">
        <v>7440</v>
      </c>
      <c r="AA362" t="s">
        <v>28</v>
      </c>
      <c r="AB362" t="s">
        <v>1190</v>
      </c>
      <c r="AC362">
        <v>620</v>
      </c>
      <c r="AD362" t="s">
        <v>1289</v>
      </c>
      <c r="AE362" t="s">
        <v>1290</v>
      </c>
      <c r="AF362" t="s">
        <v>1193</v>
      </c>
      <c r="AG362" t="s">
        <v>1194</v>
      </c>
      <c r="AH362" t="s">
        <v>1195</v>
      </c>
      <c r="AI362" t="s">
        <v>1202</v>
      </c>
      <c r="AJ362" t="s">
        <v>1291</v>
      </c>
      <c r="AK362" t="s">
        <v>1292</v>
      </c>
      <c r="AL362" t="s">
        <v>1291</v>
      </c>
      <c r="AM362" t="s">
        <v>1577</v>
      </c>
      <c r="AN362" t="s">
        <v>1201</v>
      </c>
      <c r="AO362" t="s">
        <v>1292</v>
      </c>
      <c r="AP362" t="s">
        <v>1578</v>
      </c>
      <c r="AQ362" t="s">
        <v>1203</v>
      </c>
      <c r="AR362" t="s">
        <v>1201</v>
      </c>
      <c r="AS362" t="s">
        <v>1203</v>
      </c>
      <c r="AU362" t="s">
        <v>1204</v>
      </c>
      <c r="AW362" t="b">
        <v>0</v>
      </c>
      <c r="AY362" t="b">
        <v>0</v>
      </c>
      <c r="BA362" t="s">
        <v>1579</v>
      </c>
      <c r="BB362" t="s">
        <v>1206</v>
      </c>
      <c r="BC362" t="s">
        <v>1206</v>
      </c>
      <c r="BD362" t="s">
        <v>1207</v>
      </c>
      <c r="BE362" t="s">
        <v>1296</v>
      </c>
      <c r="BF362" t="s">
        <v>1580</v>
      </c>
      <c r="BG362" t="s">
        <v>237</v>
      </c>
      <c r="BH362" t="s">
        <v>1206</v>
      </c>
      <c r="BI362" t="s">
        <v>1206</v>
      </c>
      <c r="BJ362" t="s">
        <v>1581</v>
      </c>
    </row>
    <row r="363" spans="1:62" x14ac:dyDescent="0.25">
      <c r="A363" t="s">
        <v>1177</v>
      </c>
      <c r="B363">
        <v>810315</v>
      </c>
      <c r="C363" t="s">
        <v>1258</v>
      </c>
      <c r="D363" s="112" t="s">
        <v>2786</v>
      </c>
      <c r="E363" t="s">
        <v>1119</v>
      </c>
      <c r="F363" t="s">
        <v>1178</v>
      </c>
      <c r="G363" t="s">
        <v>1880</v>
      </c>
      <c r="H363" t="s">
        <v>1615</v>
      </c>
      <c r="I363">
        <v>12</v>
      </c>
      <c r="J363" t="s">
        <v>1279</v>
      </c>
      <c r="K363">
        <v>12174</v>
      </c>
      <c r="L363" t="s">
        <v>1571</v>
      </c>
      <c r="M363">
        <v>12174239</v>
      </c>
      <c r="N363" t="s">
        <v>1572</v>
      </c>
      <c r="O363">
        <v>12174239647</v>
      </c>
      <c r="P363" t="s">
        <v>1610</v>
      </c>
      <c r="Q363" t="s">
        <v>1616</v>
      </c>
      <c r="R363" t="s">
        <v>1617</v>
      </c>
      <c r="S363" t="s">
        <v>1615</v>
      </c>
      <c r="T363" t="s">
        <v>1618</v>
      </c>
      <c r="U363" t="s">
        <v>1237</v>
      </c>
      <c r="V363" t="s">
        <v>1238</v>
      </c>
      <c r="W363">
        <v>275</v>
      </c>
      <c r="X363" t="s">
        <v>1189</v>
      </c>
      <c r="Y363">
        <v>24</v>
      </c>
      <c r="Z363">
        <v>6600</v>
      </c>
      <c r="AA363" t="s">
        <v>28</v>
      </c>
      <c r="AB363" t="s">
        <v>1190</v>
      </c>
      <c r="AC363">
        <v>275</v>
      </c>
      <c r="AD363" t="s">
        <v>1191</v>
      </c>
      <c r="AE363" t="s">
        <v>1192</v>
      </c>
      <c r="AF363" t="s">
        <v>1193</v>
      </c>
      <c r="AG363" t="s">
        <v>1194</v>
      </c>
      <c r="AH363" t="s">
        <v>1195</v>
      </c>
      <c r="AI363" t="s">
        <v>1202</v>
      </c>
      <c r="AJ363" t="s">
        <v>1291</v>
      </c>
      <c r="AK363" t="s">
        <v>1292</v>
      </c>
      <c r="AL363" t="s">
        <v>1291</v>
      </c>
      <c r="AM363" t="s">
        <v>1577</v>
      </c>
      <c r="AN363" t="s">
        <v>1201</v>
      </c>
      <c r="AO363" t="s">
        <v>1292</v>
      </c>
      <c r="AP363" t="s">
        <v>1578</v>
      </c>
      <c r="AQ363" t="s">
        <v>1203</v>
      </c>
      <c r="AR363" t="s">
        <v>1201</v>
      </c>
      <c r="AS363" t="s">
        <v>1203</v>
      </c>
      <c r="AU363" t="s">
        <v>1204</v>
      </c>
      <c r="AW363" t="b">
        <v>0</v>
      </c>
      <c r="AY363" t="b">
        <v>0</v>
      </c>
      <c r="BA363" t="s">
        <v>1579</v>
      </c>
      <c r="BB363" t="s">
        <v>1206</v>
      </c>
      <c r="BC363" t="s">
        <v>1206</v>
      </c>
      <c r="BD363" t="s">
        <v>1207</v>
      </c>
      <c r="BE363" t="s">
        <v>1296</v>
      </c>
      <c r="BF363" t="s">
        <v>1580</v>
      </c>
      <c r="BG363" t="s">
        <v>237</v>
      </c>
      <c r="BH363" t="s">
        <v>1206</v>
      </c>
      <c r="BI363" t="s">
        <v>1206</v>
      </c>
      <c r="BJ363" t="s">
        <v>1581</v>
      </c>
    </row>
    <row r="364" spans="1:62" x14ac:dyDescent="0.25">
      <c r="A364" t="s">
        <v>1177</v>
      </c>
      <c r="B364">
        <v>810325</v>
      </c>
      <c r="C364" t="s">
        <v>1258</v>
      </c>
      <c r="D364" s="112" t="s">
        <v>2787</v>
      </c>
      <c r="E364" t="s">
        <v>1119</v>
      </c>
      <c r="F364" t="s">
        <v>1178</v>
      </c>
      <c r="G364" t="s">
        <v>1881</v>
      </c>
      <c r="H364" t="s">
        <v>1837</v>
      </c>
      <c r="I364">
        <v>12</v>
      </c>
      <c r="J364" t="s">
        <v>1279</v>
      </c>
      <c r="K364">
        <v>12174</v>
      </c>
      <c r="L364" t="s">
        <v>1571</v>
      </c>
      <c r="M364">
        <v>12174239</v>
      </c>
      <c r="N364" t="s">
        <v>1572</v>
      </c>
      <c r="O364">
        <v>12174239647</v>
      </c>
      <c r="P364" t="s">
        <v>1610</v>
      </c>
      <c r="Q364" t="s">
        <v>1643</v>
      </c>
      <c r="R364" t="s">
        <v>1644</v>
      </c>
      <c r="S364" t="s">
        <v>1837</v>
      </c>
      <c r="T364" t="s">
        <v>1838</v>
      </c>
      <c r="U364" t="s">
        <v>1286</v>
      </c>
      <c r="V364" t="s">
        <v>1287</v>
      </c>
      <c r="W364">
        <v>6</v>
      </c>
      <c r="X364" t="s">
        <v>1288</v>
      </c>
      <c r="Y364">
        <v>3</v>
      </c>
      <c r="Z364">
        <v>18</v>
      </c>
      <c r="AA364" t="s">
        <v>28</v>
      </c>
      <c r="AB364" t="s">
        <v>1190</v>
      </c>
      <c r="AC364">
        <v>6000</v>
      </c>
      <c r="AD364" t="s">
        <v>1289</v>
      </c>
      <c r="AE364" t="s">
        <v>1290</v>
      </c>
      <c r="AF364" t="s">
        <v>1193</v>
      </c>
      <c r="AG364" t="s">
        <v>1194</v>
      </c>
      <c r="AH364" t="s">
        <v>1195</v>
      </c>
      <c r="AI364" t="s">
        <v>1202</v>
      </c>
      <c r="AJ364" t="s">
        <v>1291</v>
      </c>
      <c r="AK364" t="s">
        <v>1292</v>
      </c>
      <c r="AL364" t="s">
        <v>1291</v>
      </c>
      <c r="AM364" t="s">
        <v>1577</v>
      </c>
      <c r="AN364" t="s">
        <v>1201</v>
      </c>
      <c r="AO364" t="s">
        <v>1292</v>
      </c>
      <c r="AP364" t="s">
        <v>1578</v>
      </c>
      <c r="AQ364" t="s">
        <v>1203</v>
      </c>
      <c r="AR364" t="s">
        <v>1201</v>
      </c>
      <c r="AS364" t="s">
        <v>1203</v>
      </c>
      <c r="AU364" t="s">
        <v>1204</v>
      </c>
      <c r="AW364" t="b">
        <v>0</v>
      </c>
      <c r="AY364" t="b">
        <v>0</v>
      </c>
      <c r="BA364" t="s">
        <v>1579</v>
      </c>
      <c r="BB364" t="s">
        <v>1206</v>
      </c>
      <c r="BC364" t="s">
        <v>1206</v>
      </c>
      <c r="BD364" t="s">
        <v>1207</v>
      </c>
      <c r="BE364" t="s">
        <v>1296</v>
      </c>
      <c r="BF364" t="s">
        <v>1580</v>
      </c>
      <c r="BG364" t="s">
        <v>237</v>
      </c>
      <c r="BH364" t="s">
        <v>1206</v>
      </c>
      <c r="BI364" t="s">
        <v>1206</v>
      </c>
      <c r="BJ364" t="s">
        <v>1581</v>
      </c>
    </row>
    <row r="365" spans="1:62" x14ac:dyDescent="0.25">
      <c r="A365" t="s">
        <v>1177</v>
      </c>
      <c r="B365">
        <v>810314</v>
      </c>
      <c r="C365" t="s">
        <v>1258</v>
      </c>
      <c r="D365" s="112" t="s">
        <v>2788</v>
      </c>
      <c r="E365" t="s">
        <v>1119</v>
      </c>
      <c r="F365" t="s">
        <v>1178</v>
      </c>
      <c r="G365" t="s">
        <v>1882</v>
      </c>
      <c r="H365" t="s">
        <v>1741</v>
      </c>
      <c r="I365">
        <v>12</v>
      </c>
      <c r="J365" t="s">
        <v>1279</v>
      </c>
      <c r="K365">
        <v>12174</v>
      </c>
      <c r="L365" t="s">
        <v>1571</v>
      </c>
      <c r="M365">
        <v>12174239</v>
      </c>
      <c r="N365" t="s">
        <v>1572</v>
      </c>
      <c r="O365">
        <v>12174239647</v>
      </c>
      <c r="P365" t="s">
        <v>1610</v>
      </c>
      <c r="Q365" t="s">
        <v>1742</v>
      </c>
      <c r="R365" t="s">
        <v>1743</v>
      </c>
      <c r="S365" t="s">
        <v>1741</v>
      </c>
      <c r="T365" t="s">
        <v>1744</v>
      </c>
      <c r="U365" t="s">
        <v>1237</v>
      </c>
      <c r="V365" t="s">
        <v>1238</v>
      </c>
      <c r="W365">
        <v>135</v>
      </c>
      <c r="X365" t="s">
        <v>1189</v>
      </c>
      <c r="Y365">
        <v>48</v>
      </c>
      <c r="Z365">
        <v>6480</v>
      </c>
      <c r="AA365" t="s">
        <v>28</v>
      </c>
      <c r="AB365" t="s">
        <v>1190</v>
      </c>
      <c r="AC365">
        <v>135</v>
      </c>
      <c r="AD365" t="s">
        <v>1191</v>
      </c>
      <c r="AE365" t="s">
        <v>1192</v>
      </c>
      <c r="AF365" t="s">
        <v>1193</v>
      </c>
      <c r="AG365" t="s">
        <v>1194</v>
      </c>
      <c r="AH365" t="s">
        <v>1195</v>
      </c>
      <c r="AI365" t="s">
        <v>1202</v>
      </c>
      <c r="AJ365" t="s">
        <v>1291</v>
      </c>
      <c r="AK365" t="s">
        <v>1292</v>
      </c>
      <c r="AL365" t="s">
        <v>1291</v>
      </c>
      <c r="AM365" t="s">
        <v>1577</v>
      </c>
      <c r="AN365" t="s">
        <v>1201</v>
      </c>
      <c r="AO365" t="s">
        <v>1292</v>
      </c>
      <c r="AP365" t="s">
        <v>1578</v>
      </c>
      <c r="AQ365" t="s">
        <v>1203</v>
      </c>
      <c r="AR365" t="s">
        <v>1201</v>
      </c>
      <c r="AS365" t="s">
        <v>1203</v>
      </c>
      <c r="AU365" t="s">
        <v>1204</v>
      </c>
      <c r="AW365" t="b">
        <v>0</v>
      </c>
      <c r="AY365" t="b">
        <v>0</v>
      </c>
      <c r="BA365" t="s">
        <v>1579</v>
      </c>
      <c r="BB365" t="s">
        <v>1206</v>
      </c>
      <c r="BC365" t="s">
        <v>1206</v>
      </c>
      <c r="BD365" t="s">
        <v>1207</v>
      </c>
      <c r="BE365" t="s">
        <v>1296</v>
      </c>
      <c r="BF365" t="s">
        <v>1580</v>
      </c>
      <c r="BG365" t="s">
        <v>237</v>
      </c>
      <c r="BH365" t="s">
        <v>1206</v>
      </c>
      <c r="BI365" t="s">
        <v>1206</v>
      </c>
      <c r="BJ365" t="s">
        <v>1581</v>
      </c>
    </row>
    <row r="366" spans="1:62" x14ac:dyDescent="0.25">
      <c r="A366" t="s">
        <v>1177</v>
      </c>
      <c r="B366">
        <v>810372</v>
      </c>
      <c r="C366" t="s">
        <v>1258</v>
      </c>
      <c r="D366" s="112" t="s">
        <v>2789</v>
      </c>
      <c r="E366" t="s">
        <v>1119</v>
      </c>
      <c r="F366" t="s">
        <v>1178</v>
      </c>
      <c r="G366" t="s">
        <v>1883</v>
      </c>
      <c r="H366" t="s">
        <v>1674</v>
      </c>
      <c r="I366">
        <v>12</v>
      </c>
      <c r="J366" t="s">
        <v>1279</v>
      </c>
      <c r="K366">
        <v>12174</v>
      </c>
      <c r="L366" t="s">
        <v>1571</v>
      </c>
      <c r="M366">
        <v>12174239</v>
      </c>
      <c r="N366" t="s">
        <v>1572</v>
      </c>
      <c r="O366">
        <v>12174239647</v>
      </c>
      <c r="P366" t="s">
        <v>1610</v>
      </c>
      <c r="Q366" t="s">
        <v>1675</v>
      </c>
      <c r="R366" t="s">
        <v>1676</v>
      </c>
      <c r="S366" t="s">
        <v>1674</v>
      </c>
      <c r="T366" t="s">
        <v>1677</v>
      </c>
      <c r="U366" t="s">
        <v>1187</v>
      </c>
      <c r="V366" t="s">
        <v>1188</v>
      </c>
      <c r="W366">
        <v>620</v>
      </c>
      <c r="X366" t="s">
        <v>1189</v>
      </c>
      <c r="Y366">
        <v>12</v>
      </c>
      <c r="Z366">
        <v>7440</v>
      </c>
      <c r="AA366" t="s">
        <v>28</v>
      </c>
      <c r="AB366" t="s">
        <v>1190</v>
      </c>
      <c r="AC366">
        <v>620</v>
      </c>
      <c r="AD366" t="s">
        <v>1289</v>
      </c>
      <c r="AE366" t="s">
        <v>1290</v>
      </c>
      <c r="AF366" t="s">
        <v>1193</v>
      </c>
      <c r="AG366" t="s">
        <v>1194</v>
      </c>
      <c r="AH366" t="s">
        <v>1195</v>
      </c>
      <c r="AI366" t="s">
        <v>1202</v>
      </c>
      <c r="AJ366" t="s">
        <v>1291</v>
      </c>
      <c r="AK366" t="s">
        <v>1292</v>
      </c>
      <c r="AL366" t="s">
        <v>1291</v>
      </c>
      <c r="AM366" t="s">
        <v>1577</v>
      </c>
      <c r="AN366" t="s">
        <v>1201</v>
      </c>
      <c r="AO366" t="s">
        <v>1292</v>
      </c>
      <c r="AP366" t="s">
        <v>1578</v>
      </c>
      <c r="AQ366" t="s">
        <v>1203</v>
      </c>
      <c r="AR366" t="s">
        <v>1201</v>
      </c>
      <c r="AS366" t="s">
        <v>1203</v>
      </c>
      <c r="AU366" t="s">
        <v>1204</v>
      </c>
      <c r="AW366" t="b">
        <v>0</v>
      </c>
      <c r="AY366" t="b">
        <v>0</v>
      </c>
      <c r="BA366" t="s">
        <v>1579</v>
      </c>
      <c r="BB366" t="s">
        <v>1206</v>
      </c>
      <c r="BC366" t="s">
        <v>1206</v>
      </c>
      <c r="BD366" t="s">
        <v>1207</v>
      </c>
      <c r="BE366" t="s">
        <v>1296</v>
      </c>
      <c r="BF366" t="s">
        <v>1580</v>
      </c>
      <c r="BG366" t="s">
        <v>237</v>
      </c>
      <c r="BH366" t="s">
        <v>1206</v>
      </c>
      <c r="BI366" t="s">
        <v>1206</v>
      </c>
      <c r="BJ366" t="s">
        <v>1581</v>
      </c>
    </row>
    <row r="367" spans="1:62" x14ac:dyDescent="0.25">
      <c r="A367" t="s">
        <v>1177</v>
      </c>
      <c r="B367">
        <v>810368</v>
      </c>
      <c r="C367" t="s">
        <v>1258</v>
      </c>
      <c r="D367" s="112" t="s">
        <v>2790</v>
      </c>
      <c r="E367" t="s">
        <v>1119</v>
      </c>
      <c r="F367" t="s">
        <v>1178</v>
      </c>
      <c r="G367" t="s">
        <v>1884</v>
      </c>
      <c r="H367" t="s">
        <v>1653</v>
      </c>
      <c r="I367">
        <v>12</v>
      </c>
      <c r="J367" t="s">
        <v>1279</v>
      </c>
      <c r="K367">
        <v>12174</v>
      </c>
      <c r="L367" t="s">
        <v>1571</v>
      </c>
      <c r="M367">
        <v>12174239</v>
      </c>
      <c r="N367" t="s">
        <v>1572</v>
      </c>
      <c r="O367">
        <v>12174239647</v>
      </c>
      <c r="P367" t="s">
        <v>1610</v>
      </c>
      <c r="Q367" t="s">
        <v>1654</v>
      </c>
      <c r="R367" t="s">
        <v>1655</v>
      </c>
      <c r="S367" t="s">
        <v>1653</v>
      </c>
      <c r="T367" t="s">
        <v>1656</v>
      </c>
      <c r="U367" t="s">
        <v>1237</v>
      </c>
      <c r="V367" t="s">
        <v>1238</v>
      </c>
      <c r="W367">
        <v>600</v>
      </c>
      <c r="X367" t="s">
        <v>1189</v>
      </c>
      <c r="Y367">
        <v>12</v>
      </c>
      <c r="Z367">
        <v>7200</v>
      </c>
      <c r="AA367" t="s">
        <v>28</v>
      </c>
      <c r="AB367" t="s">
        <v>1190</v>
      </c>
      <c r="AC367">
        <v>600</v>
      </c>
      <c r="AD367" t="s">
        <v>1289</v>
      </c>
      <c r="AE367" t="s">
        <v>1290</v>
      </c>
      <c r="AF367" t="s">
        <v>1193</v>
      </c>
      <c r="AG367" t="s">
        <v>1194</v>
      </c>
      <c r="AH367" t="s">
        <v>1195</v>
      </c>
      <c r="AI367" t="s">
        <v>1202</v>
      </c>
      <c r="AJ367" t="s">
        <v>1291</v>
      </c>
      <c r="AK367" t="s">
        <v>1292</v>
      </c>
      <c r="AL367" t="s">
        <v>1291</v>
      </c>
      <c r="AM367" t="s">
        <v>1577</v>
      </c>
      <c r="AN367" t="s">
        <v>1201</v>
      </c>
      <c r="AO367" t="s">
        <v>1292</v>
      </c>
      <c r="AP367" t="s">
        <v>1578</v>
      </c>
      <c r="AQ367" t="s">
        <v>1203</v>
      </c>
      <c r="AR367" t="s">
        <v>1201</v>
      </c>
      <c r="AS367" t="s">
        <v>1203</v>
      </c>
      <c r="AU367" t="s">
        <v>1204</v>
      </c>
      <c r="AW367" t="b">
        <v>0</v>
      </c>
      <c r="AY367" t="b">
        <v>0</v>
      </c>
      <c r="BA367" t="s">
        <v>1579</v>
      </c>
      <c r="BB367" t="s">
        <v>1206</v>
      </c>
      <c r="BC367" t="s">
        <v>1206</v>
      </c>
      <c r="BD367" t="s">
        <v>1207</v>
      </c>
      <c r="BE367" t="s">
        <v>1296</v>
      </c>
      <c r="BF367" t="s">
        <v>1580</v>
      </c>
      <c r="BG367" t="s">
        <v>237</v>
      </c>
      <c r="BH367" t="s">
        <v>1206</v>
      </c>
      <c r="BI367" t="s">
        <v>1206</v>
      </c>
      <c r="BJ367" t="s">
        <v>1581</v>
      </c>
    </row>
    <row r="368" spans="1:62" x14ac:dyDescent="0.25">
      <c r="A368" t="s">
        <v>1177</v>
      </c>
      <c r="B368">
        <v>810342</v>
      </c>
      <c r="C368" t="s">
        <v>1258</v>
      </c>
      <c r="D368" s="112" t="s">
        <v>2791</v>
      </c>
      <c r="E368" t="s">
        <v>1119</v>
      </c>
      <c r="F368" t="s">
        <v>1178</v>
      </c>
      <c r="G368" t="s">
        <v>1885</v>
      </c>
      <c r="H368" t="s">
        <v>1837</v>
      </c>
      <c r="I368">
        <v>12</v>
      </c>
      <c r="J368" t="s">
        <v>1279</v>
      </c>
      <c r="K368">
        <v>12174</v>
      </c>
      <c r="L368" t="s">
        <v>1571</v>
      </c>
      <c r="M368">
        <v>12174239</v>
      </c>
      <c r="N368" t="s">
        <v>1572</v>
      </c>
      <c r="O368">
        <v>12174239647</v>
      </c>
      <c r="P368" t="s">
        <v>1610</v>
      </c>
      <c r="Q368" t="s">
        <v>1643</v>
      </c>
      <c r="R368" t="s">
        <v>1644</v>
      </c>
      <c r="S368" t="s">
        <v>1837</v>
      </c>
      <c r="T368" t="s">
        <v>1838</v>
      </c>
      <c r="U368" t="s">
        <v>1286</v>
      </c>
      <c r="V368" t="s">
        <v>1287</v>
      </c>
      <c r="W368">
        <v>6</v>
      </c>
      <c r="X368" t="s">
        <v>1288</v>
      </c>
      <c r="Y368">
        <v>3</v>
      </c>
      <c r="Z368">
        <v>18</v>
      </c>
      <c r="AA368" t="s">
        <v>28</v>
      </c>
      <c r="AB368" t="s">
        <v>1190</v>
      </c>
      <c r="AC368">
        <v>6000</v>
      </c>
      <c r="AD368" t="s">
        <v>1289</v>
      </c>
      <c r="AE368" t="s">
        <v>1290</v>
      </c>
      <c r="AF368" t="s">
        <v>1193</v>
      </c>
      <c r="AG368" t="s">
        <v>1194</v>
      </c>
      <c r="AH368" t="s">
        <v>1195</v>
      </c>
      <c r="AI368" t="s">
        <v>1202</v>
      </c>
      <c r="AJ368" t="s">
        <v>1291</v>
      </c>
      <c r="AK368" t="s">
        <v>1292</v>
      </c>
      <c r="AL368" t="s">
        <v>1291</v>
      </c>
      <c r="AM368" t="s">
        <v>1577</v>
      </c>
      <c r="AN368" t="s">
        <v>1201</v>
      </c>
      <c r="AO368" t="s">
        <v>1292</v>
      </c>
      <c r="AP368" t="s">
        <v>1578</v>
      </c>
      <c r="AQ368" t="s">
        <v>1203</v>
      </c>
      <c r="AR368" t="s">
        <v>1201</v>
      </c>
      <c r="AS368" t="s">
        <v>1203</v>
      </c>
      <c r="AU368" t="s">
        <v>1204</v>
      </c>
      <c r="AW368" t="b">
        <v>0</v>
      </c>
      <c r="AY368" t="b">
        <v>0</v>
      </c>
      <c r="BA368" t="s">
        <v>1579</v>
      </c>
      <c r="BB368" t="s">
        <v>1206</v>
      </c>
      <c r="BC368" t="s">
        <v>1206</v>
      </c>
      <c r="BD368" t="s">
        <v>1207</v>
      </c>
      <c r="BE368" t="s">
        <v>1296</v>
      </c>
      <c r="BF368" t="s">
        <v>1580</v>
      </c>
      <c r="BG368" t="s">
        <v>237</v>
      </c>
      <c r="BH368" t="s">
        <v>1206</v>
      </c>
      <c r="BI368" t="s">
        <v>1206</v>
      </c>
      <c r="BJ368" t="s">
        <v>1581</v>
      </c>
    </row>
    <row r="369" spans="1:62" x14ac:dyDescent="0.25">
      <c r="A369" t="s">
        <v>1177</v>
      </c>
      <c r="B369">
        <v>810245</v>
      </c>
      <c r="C369" t="s">
        <v>1258</v>
      </c>
      <c r="D369" s="112" t="s">
        <v>2792</v>
      </c>
      <c r="E369" t="s">
        <v>1119</v>
      </c>
      <c r="F369" t="s">
        <v>1178</v>
      </c>
      <c r="G369" t="s">
        <v>1886</v>
      </c>
      <c r="H369" s="135" t="s">
        <v>1647</v>
      </c>
      <c r="I369">
        <v>12</v>
      </c>
      <c r="J369" t="s">
        <v>1279</v>
      </c>
      <c r="K369">
        <v>12174</v>
      </c>
      <c r="L369" t="s">
        <v>1571</v>
      </c>
      <c r="M369">
        <v>12174239</v>
      </c>
      <c r="N369" t="s">
        <v>1572</v>
      </c>
      <c r="O369">
        <v>12174239647</v>
      </c>
      <c r="P369" t="s">
        <v>1610</v>
      </c>
      <c r="Q369" s="135" t="s">
        <v>1648</v>
      </c>
      <c r="R369" t="s">
        <v>1649</v>
      </c>
      <c r="S369" s="135" t="s">
        <v>1647</v>
      </c>
      <c r="T369" t="s">
        <v>1650</v>
      </c>
      <c r="U369" t="s">
        <v>1286</v>
      </c>
      <c r="V369" t="s">
        <v>1287</v>
      </c>
      <c r="W369">
        <v>25</v>
      </c>
      <c r="X369" t="s">
        <v>1288</v>
      </c>
      <c r="Y369">
        <v>1</v>
      </c>
      <c r="Z369">
        <v>25</v>
      </c>
      <c r="AA369" t="s">
        <v>28</v>
      </c>
      <c r="AB369" t="s">
        <v>1190</v>
      </c>
      <c r="AC369">
        <v>25000</v>
      </c>
      <c r="AD369" t="s">
        <v>1289</v>
      </c>
      <c r="AE369" t="s">
        <v>1290</v>
      </c>
      <c r="AF369" t="s">
        <v>1193</v>
      </c>
      <c r="AG369" t="s">
        <v>1194</v>
      </c>
      <c r="AH369" t="s">
        <v>1195</v>
      </c>
      <c r="AI369" t="s">
        <v>1202</v>
      </c>
      <c r="AJ369" t="s">
        <v>1291</v>
      </c>
      <c r="AK369" t="s">
        <v>1292</v>
      </c>
      <c r="AL369" t="s">
        <v>1291</v>
      </c>
      <c r="AM369" t="s">
        <v>1577</v>
      </c>
      <c r="AN369" t="s">
        <v>1201</v>
      </c>
      <c r="AO369" t="s">
        <v>1292</v>
      </c>
      <c r="AP369" t="s">
        <v>1578</v>
      </c>
      <c r="AQ369" t="s">
        <v>1203</v>
      </c>
      <c r="AR369" t="s">
        <v>1201</v>
      </c>
      <c r="AS369" t="s">
        <v>1203</v>
      </c>
      <c r="AU369" t="s">
        <v>1204</v>
      </c>
      <c r="AW369" t="b">
        <v>0</v>
      </c>
      <c r="AY369" t="b">
        <v>0</v>
      </c>
      <c r="BA369" t="s">
        <v>1579</v>
      </c>
      <c r="BB369" t="s">
        <v>1206</v>
      </c>
      <c r="BC369" t="s">
        <v>1206</v>
      </c>
      <c r="BD369" t="s">
        <v>1207</v>
      </c>
      <c r="BE369" t="s">
        <v>1296</v>
      </c>
      <c r="BF369" t="s">
        <v>1580</v>
      </c>
      <c r="BG369" t="s">
        <v>237</v>
      </c>
      <c r="BH369" t="s">
        <v>1206</v>
      </c>
      <c r="BI369" t="s">
        <v>1206</v>
      </c>
      <c r="BJ369" t="s">
        <v>1581</v>
      </c>
    </row>
    <row r="370" spans="1:62" x14ac:dyDescent="0.25">
      <c r="A370" t="s">
        <v>1177</v>
      </c>
      <c r="B370">
        <v>810370</v>
      </c>
      <c r="C370" t="s">
        <v>1258</v>
      </c>
      <c r="D370" s="112" t="s">
        <v>2793</v>
      </c>
      <c r="E370" t="s">
        <v>1119</v>
      </c>
      <c r="F370" t="s">
        <v>1178</v>
      </c>
      <c r="G370" t="s">
        <v>1887</v>
      </c>
      <c r="H370" t="s">
        <v>1653</v>
      </c>
      <c r="I370">
        <v>12</v>
      </c>
      <c r="J370" t="s">
        <v>1279</v>
      </c>
      <c r="K370">
        <v>12174</v>
      </c>
      <c r="L370" t="s">
        <v>1571</v>
      </c>
      <c r="M370">
        <v>12174239</v>
      </c>
      <c r="N370" t="s">
        <v>1572</v>
      </c>
      <c r="O370">
        <v>12174239647</v>
      </c>
      <c r="P370" t="s">
        <v>1610</v>
      </c>
      <c r="Q370" t="s">
        <v>1654</v>
      </c>
      <c r="R370" t="s">
        <v>1655</v>
      </c>
      <c r="S370" t="s">
        <v>1653</v>
      </c>
      <c r="T370" t="s">
        <v>1656</v>
      </c>
      <c r="U370" t="s">
        <v>1237</v>
      </c>
      <c r="V370" t="s">
        <v>1238</v>
      </c>
      <c r="W370">
        <v>600</v>
      </c>
      <c r="X370" t="s">
        <v>1189</v>
      </c>
      <c r="Y370">
        <v>12</v>
      </c>
      <c r="Z370">
        <v>7200</v>
      </c>
      <c r="AA370" t="s">
        <v>28</v>
      </c>
      <c r="AB370" t="s">
        <v>1190</v>
      </c>
      <c r="AC370">
        <v>600</v>
      </c>
      <c r="AD370" t="s">
        <v>1289</v>
      </c>
      <c r="AE370" t="s">
        <v>1290</v>
      </c>
      <c r="AF370" t="s">
        <v>1193</v>
      </c>
      <c r="AG370" t="s">
        <v>1194</v>
      </c>
      <c r="AH370" t="s">
        <v>1195</v>
      </c>
      <c r="AI370" t="s">
        <v>1202</v>
      </c>
      <c r="AJ370" t="s">
        <v>1291</v>
      </c>
      <c r="AK370" t="s">
        <v>1292</v>
      </c>
      <c r="AL370" t="s">
        <v>1291</v>
      </c>
      <c r="AM370" t="s">
        <v>1577</v>
      </c>
      <c r="AN370" t="s">
        <v>1201</v>
      </c>
      <c r="AO370" t="s">
        <v>1292</v>
      </c>
      <c r="AP370" t="s">
        <v>1578</v>
      </c>
      <c r="AQ370" t="s">
        <v>1203</v>
      </c>
      <c r="AR370" t="s">
        <v>1201</v>
      </c>
      <c r="AS370" t="s">
        <v>1203</v>
      </c>
      <c r="AU370" t="s">
        <v>1204</v>
      </c>
      <c r="AW370" t="b">
        <v>0</v>
      </c>
      <c r="AY370" t="b">
        <v>0</v>
      </c>
      <c r="BA370" t="s">
        <v>1579</v>
      </c>
      <c r="BB370" t="s">
        <v>1206</v>
      </c>
      <c r="BC370" t="s">
        <v>1206</v>
      </c>
      <c r="BD370" t="s">
        <v>1207</v>
      </c>
      <c r="BE370" t="s">
        <v>1296</v>
      </c>
      <c r="BF370" t="s">
        <v>1580</v>
      </c>
      <c r="BG370" t="s">
        <v>237</v>
      </c>
      <c r="BH370" t="s">
        <v>1206</v>
      </c>
      <c r="BI370" t="s">
        <v>1206</v>
      </c>
      <c r="BJ370" t="s">
        <v>1581</v>
      </c>
    </row>
    <row r="371" spans="1:62" x14ac:dyDescent="0.25">
      <c r="A371" t="s">
        <v>1177</v>
      </c>
      <c r="B371">
        <v>810392</v>
      </c>
      <c r="C371" t="s">
        <v>1258</v>
      </c>
      <c r="D371" s="112" t="s">
        <v>2794</v>
      </c>
      <c r="E371" t="s">
        <v>1119</v>
      </c>
      <c r="F371" t="s">
        <v>1178</v>
      </c>
      <c r="G371" t="s">
        <v>1888</v>
      </c>
      <c r="H371" t="s">
        <v>1837</v>
      </c>
      <c r="I371">
        <v>12</v>
      </c>
      <c r="J371" t="s">
        <v>1279</v>
      </c>
      <c r="K371">
        <v>12174</v>
      </c>
      <c r="L371" t="s">
        <v>1571</v>
      </c>
      <c r="M371">
        <v>12174239</v>
      </c>
      <c r="N371" t="s">
        <v>1572</v>
      </c>
      <c r="O371">
        <v>12174239647</v>
      </c>
      <c r="P371" t="s">
        <v>1610</v>
      </c>
      <c r="Q371" t="s">
        <v>1643</v>
      </c>
      <c r="R371" t="s">
        <v>1644</v>
      </c>
      <c r="S371" t="s">
        <v>1837</v>
      </c>
      <c r="T371" t="s">
        <v>1838</v>
      </c>
      <c r="U371" t="s">
        <v>1286</v>
      </c>
      <c r="V371" t="s">
        <v>1287</v>
      </c>
      <c r="W371">
        <v>6</v>
      </c>
      <c r="X371" t="s">
        <v>1288</v>
      </c>
      <c r="Y371">
        <v>3</v>
      </c>
      <c r="Z371">
        <v>18</v>
      </c>
      <c r="AA371" t="s">
        <v>28</v>
      </c>
      <c r="AB371" t="s">
        <v>1190</v>
      </c>
      <c r="AC371">
        <v>6000</v>
      </c>
      <c r="AD371" t="s">
        <v>1289</v>
      </c>
      <c r="AE371" t="s">
        <v>1290</v>
      </c>
      <c r="AF371" t="s">
        <v>1193</v>
      </c>
      <c r="AG371" t="s">
        <v>1194</v>
      </c>
      <c r="AH371" t="s">
        <v>1195</v>
      </c>
      <c r="AI371" t="s">
        <v>1202</v>
      </c>
      <c r="AJ371" t="s">
        <v>1291</v>
      </c>
      <c r="AK371" t="s">
        <v>1292</v>
      </c>
      <c r="AL371" t="s">
        <v>1291</v>
      </c>
      <c r="AM371" t="s">
        <v>1577</v>
      </c>
      <c r="AN371" t="s">
        <v>1201</v>
      </c>
      <c r="AO371" t="s">
        <v>1292</v>
      </c>
      <c r="AP371" t="s">
        <v>1578</v>
      </c>
      <c r="AQ371" t="s">
        <v>1203</v>
      </c>
      <c r="AR371" t="s">
        <v>1201</v>
      </c>
      <c r="AS371" t="s">
        <v>1203</v>
      </c>
      <c r="AU371" t="s">
        <v>1204</v>
      </c>
      <c r="AW371" t="b">
        <v>0</v>
      </c>
      <c r="AY371" t="b">
        <v>0</v>
      </c>
      <c r="BA371" t="s">
        <v>1579</v>
      </c>
      <c r="BB371" t="s">
        <v>1206</v>
      </c>
      <c r="BC371" t="s">
        <v>1206</v>
      </c>
      <c r="BD371" t="s">
        <v>1207</v>
      </c>
      <c r="BE371" t="s">
        <v>1296</v>
      </c>
      <c r="BF371" t="s">
        <v>1580</v>
      </c>
      <c r="BG371" t="s">
        <v>237</v>
      </c>
      <c r="BH371" t="s">
        <v>1206</v>
      </c>
      <c r="BI371" t="s">
        <v>1206</v>
      </c>
      <c r="BJ371" t="s">
        <v>1581</v>
      </c>
    </row>
    <row r="372" spans="1:62" x14ac:dyDescent="0.25">
      <c r="A372" t="s">
        <v>1177</v>
      </c>
      <c r="B372">
        <v>810360</v>
      </c>
      <c r="C372" t="s">
        <v>1258</v>
      </c>
      <c r="D372" s="112" t="s">
        <v>2795</v>
      </c>
      <c r="E372" t="s">
        <v>1119</v>
      </c>
      <c r="F372" t="s">
        <v>1178</v>
      </c>
      <c r="G372" t="s">
        <v>1889</v>
      </c>
      <c r="H372" t="s">
        <v>1738</v>
      </c>
      <c r="I372">
        <v>12</v>
      </c>
      <c r="J372" t="s">
        <v>1279</v>
      </c>
      <c r="K372">
        <v>12174</v>
      </c>
      <c r="L372" t="s">
        <v>1571</v>
      </c>
      <c r="M372">
        <v>12174239</v>
      </c>
      <c r="N372" t="s">
        <v>1572</v>
      </c>
      <c r="O372">
        <v>12174239647</v>
      </c>
      <c r="P372" t="s">
        <v>1610</v>
      </c>
      <c r="Q372" t="s">
        <v>1616</v>
      </c>
      <c r="R372" t="s">
        <v>1617</v>
      </c>
      <c r="S372" t="s">
        <v>1738</v>
      </c>
      <c r="T372" t="s">
        <v>1739</v>
      </c>
      <c r="U372" t="s">
        <v>1237</v>
      </c>
      <c r="V372" t="s">
        <v>1238</v>
      </c>
      <c r="W372">
        <v>275</v>
      </c>
      <c r="X372" t="s">
        <v>1189</v>
      </c>
      <c r="Y372">
        <v>12</v>
      </c>
      <c r="Z372">
        <v>3300</v>
      </c>
      <c r="AA372" t="s">
        <v>28</v>
      </c>
      <c r="AB372" t="s">
        <v>1190</v>
      </c>
      <c r="AC372">
        <v>275</v>
      </c>
      <c r="AD372" t="s">
        <v>1191</v>
      </c>
      <c r="AE372" t="s">
        <v>1192</v>
      </c>
      <c r="AF372" t="s">
        <v>1193</v>
      </c>
      <c r="AG372" t="s">
        <v>1194</v>
      </c>
      <c r="AH372" t="s">
        <v>1195</v>
      </c>
      <c r="AI372" t="s">
        <v>1202</v>
      </c>
      <c r="AJ372" t="s">
        <v>1291</v>
      </c>
      <c r="AK372" t="s">
        <v>1292</v>
      </c>
      <c r="AL372" t="s">
        <v>1291</v>
      </c>
      <c r="AM372" t="s">
        <v>1577</v>
      </c>
      <c r="AN372" t="s">
        <v>1201</v>
      </c>
      <c r="AO372" t="s">
        <v>1292</v>
      </c>
      <c r="AP372" t="s">
        <v>1578</v>
      </c>
      <c r="AQ372" t="s">
        <v>1203</v>
      </c>
      <c r="AR372" t="s">
        <v>1201</v>
      </c>
      <c r="AS372" t="s">
        <v>1203</v>
      </c>
      <c r="AU372" t="s">
        <v>1204</v>
      </c>
      <c r="AW372" t="b">
        <v>0</v>
      </c>
      <c r="AY372" t="b">
        <v>0</v>
      </c>
      <c r="BA372" t="s">
        <v>1579</v>
      </c>
      <c r="BB372" t="s">
        <v>1206</v>
      </c>
      <c r="BC372" t="s">
        <v>1206</v>
      </c>
      <c r="BD372" t="s">
        <v>1207</v>
      </c>
      <c r="BE372" t="s">
        <v>1296</v>
      </c>
      <c r="BF372" t="s">
        <v>1580</v>
      </c>
      <c r="BG372" t="s">
        <v>237</v>
      </c>
      <c r="BH372" t="s">
        <v>1206</v>
      </c>
      <c r="BI372" t="s">
        <v>1206</v>
      </c>
      <c r="BJ372" t="s">
        <v>1581</v>
      </c>
    </row>
    <row r="373" spans="1:62" x14ac:dyDescent="0.25">
      <c r="A373" t="s">
        <v>1177</v>
      </c>
      <c r="B373">
        <v>810362</v>
      </c>
      <c r="C373" t="s">
        <v>1258</v>
      </c>
      <c r="D373" s="112" t="s">
        <v>2796</v>
      </c>
      <c r="E373" t="s">
        <v>1119</v>
      </c>
      <c r="F373" t="s">
        <v>1178</v>
      </c>
      <c r="G373" t="s">
        <v>1890</v>
      </c>
      <c r="H373" t="s">
        <v>1653</v>
      </c>
      <c r="I373">
        <v>12</v>
      </c>
      <c r="J373" t="s">
        <v>1279</v>
      </c>
      <c r="K373">
        <v>12174</v>
      </c>
      <c r="L373" t="s">
        <v>1571</v>
      </c>
      <c r="M373">
        <v>12174239</v>
      </c>
      <c r="N373" t="s">
        <v>1572</v>
      </c>
      <c r="O373">
        <v>12174239647</v>
      </c>
      <c r="P373" t="s">
        <v>1610</v>
      </c>
      <c r="Q373" t="s">
        <v>1654</v>
      </c>
      <c r="R373" t="s">
        <v>1655</v>
      </c>
      <c r="S373" t="s">
        <v>1653</v>
      </c>
      <c r="T373" t="s">
        <v>1656</v>
      </c>
      <c r="U373" t="s">
        <v>1237</v>
      </c>
      <c r="V373" t="s">
        <v>1238</v>
      </c>
      <c r="W373">
        <v>600</v>
      </c>
      <c r="X373" t="s">
        <v>1189</v>
      </c>
      <c r="Y373">
        <v>12</v>
      </c>
      <c r="Z373">
        <v>7200</v>
      </c>
      <c r="AA373" t="s">
        <v>28</v>
      </c>
      <c r="AB373" t="s">
        <v>1190</v>
      </c>
      <c r="AC373">
        <v>600</v>
      </c>
      <c r="AD373" t="s">
        <v>1289</v>
      </c>
      <c r="AE373" t="s">
        <v>1290</v>
      </c>
      <c r="AF373" t="s">
        <v>1193</v>
      </c>
      <c r="AG373" t="s">
        <v>1194</v>
      </c>
      <c r="AH373" t="s">
        <v>1195</v>
      </c>
      <c r="AI373" t="s">
        <v>1202</v>
      </c>
      <c r="AJ373" t="s">
        <v>1291</v>
      </c>
      <c r="AK373" t="s">
        <v>1292</v>
      </c>
      <c r="AL373" t="s">
        <v>1291</v>
      </c>
      <c r="AM373" t="s">
        <v>1577</v>
      </c>
      <c r="AN373" t="s">
        <v>1201</v>
      </c>
      <c r="AO373" t="s">
        <v>1292</v>
      </c>
      <c r="AP373" t="s">
        <v>1578</v>
      </c>
      <c r="AQ373" t="s">
        <v>1203</v>
      </c>
      <c r="AR373" t="s">
        <v>1201</v>
      </c>
      <c r="AS373" t="s">
        <v>1203</v>
      </c>
      <c r="AU373" t="s">
        <v>1204</v>
      </c>
      <c r="AW373" t="b">
        <v>0</v>
      </c>
      <c r="AY373" t="b">
        <v>0</v>
      </c>
      <c r="BA373" t="s">
        <v>1579</v>
      </c>
      <c r="BB373" t="s">
        <v>1206</v>
      </c>
      <c r="BC373" t="s">
        <v>1206</v>
      </c>
      <c r="BD373" t="s">
        <v>1207</v>
      </c>
      <c r="BE373" t="s">
        <v>1296</v>
      </c>
      <c r="BF373" t="s">
        <v>1580</v>
      </c>
      <c r="BG373" t="s">
        <v>237</v>
      </c>
      <c r="BH373" t="s">
        <v>1206</v>
      </c>
      <c r="BI373" t="s">
        <v>1206</v>
      </c>
      <c r="BJ373" t="s">
        <v>1581</v>
      </c>
    </row>
    <row r="374" spans="1:62" x14ac:dyDescent="0.25">
      <c r="A374" t="s">
        <v>1177</v>
      </c>
      <c r="B374">
        <v>810361</v>
      </c>
      <c r="C374" t="s">
        <v>1258</v>
      </c>
      <c r="D374" s="112" t="s">
        <v>2797</v>
      </c>
      <c r="E374" t="s">
        <v>1119</v>
      </c>
      <c r="F374" t="s">
        <v>1178</v>
      </c>
      <c r="G374" t="s">
        <v>1891</v>
      </c>
      <c r="H374" t="s">
        <v>1674</v>
      </c>
      <c r="I374">
        <v>12</v>
      </c>
      <c r="J374" t="s">
        <v>1279</v>
      </c>
      <c r="K374">
        <v>12174</v>
      </c>
      <c r="L374" t="s">
        <v>1571</v>
      </c>
      <c r="M374">
        <v>12174239</v>
      </c>
      <c r="N374" t="s">
        <v>1572</v>
      </c>
      <c r="O374">
        <v>12174239647</v>
      </c>
      <c r="P374" t="s">
        <v>1610</v>
      </c>
      <c r="Q374" t="s">
        <v>1675</v>
      </c>
      <c r="R374" t="s">
        <v>1676</v>
      </c>
      <c r="S374" t="s">
        <v>1674</v>
      </c>
      <c r="T374" t="s">
        <v>1677</v>
      </c>
      <c r="U374" t="s">
        <v>1187</v>
      </c>
      <c r="V374" t="s">
        <v>1188</v>
      </c>
      <c r="W374">
        <v>620</v>
      </c>
      <c r="X374" t="s">
        <v>1189</v>
      </c>
      <c r="Y374">
        <v>12</v>
      </c>
      <c r="Z374">
        <v>7440</v>
      </c>
      <c r="AA374" t="s">
        <v>28</v>
      </c>
      <c r="AB374" t="s">
        <v>1190</v>
      </c>
      <c r="AC374">
        <v>620</v>
      </c>
      <c r="AD374" t="s">
        <v>1289</v>
      </c>
      <c r="AE374" t="s">
        <v>1290</v>
      </c>
      <c r="AF374" t="s">
        <v>1193</v>
      </c>
      <c r="AG374" t="s">
        <v>1194</v>
      </c>
      <c r="AH374" t="s">
        <v>1195</v>
      </c>
      <c r="AI374" t="s">
        <v>1202</v>
      </c>
      <c r="AJ374" t="s">
        <v>1291</v>
      </c>
      <c r="AK374" t="s">
        <v>1292</v>
      </c>
      <c r="AL374" t="s">
        <v>1291</v>
      </c>
      <c r="AM374" t="s">
        <v>1577</v>
      </c>
      <c r="AN374" t="s">
        <v>1201</v>
      </c>
      <c r="AO374" t="s">
        <v>1292</v>
      </c>
      <c r="AP374" t="s">
        <v>1578</v>
      </c>
      <c r="AQ374" t="s">
        <v>1203</v>
      </c>
      <c r="AR374" t="s">
        <v>1201</v>
      </c>
      <c r="AS374" t="s">
        <v>1203</v>
      </c>
      <c r="AU374" t="s">
        <v>1204</v>
      </c>
      <c r="AW374" t="b">
        <v>0</v>
      </c>
      <c r="AY374" t="b">
        <v>0</v>
      </c>
      <c r="BA374" t="s">
        <v>1579</v>
      </c>
      <c r="BB374" t="s">
        <v>1206</v>
      </c>
      <c r="BC374" t="s">
        <v>1206</v>
      </c>
      <c r="BD374" t="s">
        <v>1207</v>
      </c>
      <c r="BE374" t="s">
        <v>1296</v>
      </c>
      <c r="BF374" t="s">
        <v>1580</v>
      </c>
      <c r="BG374" t="s">
        <v>237</v>
      </c>
      <c r="BH374" t="s">
        <v>1206</v>
      </c>
      <c r="BI374" t="s">
        <v>1206</v>
      </c>
      <c r="BJ374" t="s">
        <v>1581</v>
      </c>
    </row>
    <row r="375" spans="1:62" x14ac:dyDescent="0.25">
      <c r="A375" t="s">
        <v>1177</v>
      </c>
      <c r="B375">
        <v>810236</v>
      </c>
      <c r="C375" t="s">
        <v>1258</v>
      </c>
      <c r="D375" s="112" t="s">
        <v>2798</v>
      </c>
      <c r="E375" t="s">
        <v>1119</v>
      </c>
      <c r="F375" t="s">
        <v>1178</v>
      </c>
      <c r="G375" t="s">
        <v>1892</v>
      </c>
      <c r="H375" t="s">
        <v>1741</v>
      </c>
      <c r="I375">
        <v>12</v>
      </c>
      <c r="J375" t="s">
        <v>1279</v>
      </c>
      <c r="K375">
        <v>12174</v>
      </c>
      <c r="L375" t="s">
        <v>1571</v>
      </c>
      <c r="M375">
        <v>12174239</v>
      </c>
      <c r="N375" t="s">
        <v>1572</v>
      </c>
      <c r="O375">
        <v>12174239647</v>
      </c>
      <c r="P375" t="s">
        <v>1610</v>
      </c>
      <c r="Q375" t="s">
        <v>1742</v>
      </c>
      <c r="R375" t="s">
        <v>1743</v>
      </c>
      <c r="S375" t="s">
        <v>1741</v>
      </c>
      <c r="T375" t="s">
        <v>1744</v>
      </c>
      <c r="U375" t="s">
        <v>1237</v>
      </c>
      <c r="V375" t="s">
        <v>1238</v>
      </c>
      <c r="W375">
        <v>135</v>
      </c>
      <c r="X375" t="s">
        <v>1189</v>
      </c>
      <c r="Y375">
        <v>48</v>
      </c>
      <c r="Z375">
        <v>6480</v>
      </c>
      <c r="AA375" t="s">
        <v>28</v>
      </c>
      <c r="AB375" t="s">
        <v>1190</v>
      </c>
      <c r="AC375">
        <v>135</v>
      </c>
      <c r="AD375" t="s">
        <v>1191</v>
      </c>
      <c r="AE375" t="s">
        <v>1192</v>
      </c>
      <c r="AF375" t="s">
        <v>1193</v>
      </c>
      <c r="AG375" t="s">
        <v>1194</v>
      </c>
      <c r="AH375" t="s">
        <v>1195</v>
      </c>
      <c r="AI375" t="s">
        <v>1202</v>
      </c>
      <c r="AJ375" t="s">
        <v>1291</v>
      </c>
      <c r="AK375" t="s">
        <v>1292</v>
      </c>
      <c r="AL375" t="s">
        <v>1291</v>
      </c>
      <c r="AM375" t="s">
        <v>1577</v>
      </c>
      <c r="AN375" t="s">
        <v>1201</v>
      </c>
      <c r="AO375" t="s">
        <v>1292</v>
      </c>
      <c r="AP375" t="s">
        <v>1578</v>
      </c>
      <c r="AQ375" t="s">
        <v>1203</v>
      </c>
      <c r="AR375" t="s">
        <v>1201</v>
      </c>
      <c r="AS375" t="s">
        <v>1203</v>
      </c>
      <c r="AU375" t="s">
        <v>1204</v>
      </c>
      <c r="AW375" t="b">
        <v>0</v>
      </c>
      <c r="AY375" t="b">
        <v>0</v>
      </c>
      <c r="BA375" t="s">
        <v>1579</v>
      </c>
      <c r="BB375" t="s">
        <v>1206</v>
      </c>
      <c r="BC375" t="s">
        <v>1206</v>
      </c>
      <c r="BD375" t="s">
        <v>1207</v>
      </c>
      <c r="BE375" t="s">
        <v>1296</v>
      </c>
      <c r="BF375" t="s">
        <v>1580</v>
      </c>
      <c r="BG375" t="s">
        <v>237</v>
      </c>
      <c r="BH375" t="s">
        <v>1206</v>
      </c>
      <c r="BI375" t="s">
        <v>1206</v>
      </c>
      <c r="BJ375" t="s">
        <v>1581</v>
      </c>
    </row>
    <row r="376" spans="1:62" x14ac:dyDescent="0.25">
      <c r="A376" t="s">
        <v>1177</v>
      </c>
      <c r="B376">
        <v>810375</v>
      </c>
      <c r="C376" t="s">
        <v>1258</v>
      </c>
      <c r="D376" s="112" t="s">
        <v>2799</v>
      </c>
      <c r="E376" t="s">
        <v>1119</v>
      </c>
      <c r="F376" t="s">
        <v>1178</v>
      </c>
      <c r="G376" t="s">
        <v>1893</v>
      </c>
      <c r="H376" t="s">
        <v>1718</v>
      </c>
      <c r="I376">
        <v>12</v>
      </c>
      <c r="J376" t="s">
        <v>1279</v>
      </c>
      <c r="K376">
        <v>12174</v>
      </c>
      <c r="L376" t="s">
        <v>1571</v>
      </c>
      <c r="M376">
        <v>12174239</v>
      </c>
      <c r="N376" t="s">
        <v>1572</v>
      </c>
      <c r="O376">
        <v>12174239647</v>
      </c>
      <c r="P376" t="s">
        <v>1610</v>
      </c>
      <c r="Q376" t="s">
        <v>1719</v>
      </c>
      <c r="R376" t="s">
        <v>1720</v>
      </c>
      <c r="S376" t="s">
        <v>1718</v>
      </c>
      <c r="T376" t="s">
        <v>1721</v>
      </c>
      <c r="U376" t="s">
        <v>1187</v>
      </c>
      <c r="V376" t="s">
        <v>1188</v>
      </c>
      <c r="W376">
        <v>320</v>
      </c>
      <c r="X376" t="s">
        <v>1189</v>
      </c>
      <c r="Y376">
        <v>24</v>
      </c>
      <c r="Z376">
        <v>7680</v>
      </c>
      <c r="AA376" t="s">
        <v>28</v>
      </c>
      <c r="AB376" t="s">
        <v>1190</v>
      </c>
      <c r="AC376">
        <v>320</v>
      </c>
      <c r="AD376" t="s">
        <v>1191</v>
      </c>
      <c r="AE376" t="s">
        <v>1192</v>
      </c>
      <c r="AF376" t="s">
        <v>1193</v>
      </c>
      <c r="AG376" t="s">
        <v>1194</v>
      </c>
      <c r="AH376" t="s">
        <v>1195</v>
      </c>
      <c r="AI376" t="s">
        <v>1202</v>
      </c>
      <c r="AJ376" t="s">
        <v>1291</v>
      </c>
      <c r="AK376" t="s">
        <v>1292</v>
      </c>
      <c r="AL376" t="s">
        <v>1291</v>
      </c>
      <c r="AM376" t="s">
        <v>1577</v>
      </c>
      <c r="AN376" t="s">
        <v>1201</v>
      </c>
      <c r="AO376" t="s">
        <v>1292</v>
      </c>
      <c r="AP376" t="s">
        <v>1578</v>
      </c>
      <c r="AQ376" t="s">
        <v>1203</v>
      </c>
      <c r="AR376" t="s">
        <v>1201</v>
      </c>
      <c r="AS376" t="s">
        <v>1203</v>
      </c>
      <c r="AU376" t="s">
        <v>1204</v>
      </c>
      <c r="AW376" t="b">
        <v>0</v>
      </c>
      <c r="AY376" t="b">
        <v>0</v>
      </c>
      <c r="BA376" t="s">
        <v>1579</v>
      </c>
      <c r="BB376" t="s">
        <v>1206</v>
      </c>
      <c r="BC376" t="s">
        <v>1206</v>
      </c>
      <c r="BD376" t="s">
        <v>1207</v>
      </c>
      <c r="BE376" t="s">
        <v>1296</v>
      </c>
      <c r="BF376" t="s">
        <v>1580</v>
      </c>
      <c r="BG376" t="s">
        <v>237</v>
      </c>
      <c r="BH376" t="s">
        <v>1206</v>
      </c>
      <c r="BI376" t="s">
        <v>1206</v>
      </c>
      <c r="BJ376" t="s">
        <v>1581</v>
      </c>
    </row>
    <row r="377" spans="1:62" x14ac:dyDescent="0.25">
      <c r="A377" t="s">
        <v>1177</v>
      </c>
      <c r="B377">
        <v>810238</v>
      </c>
      <c r="C377" t="s">
        <v>1258</v>
      </c>
      <c r="D377" s="112" t="s">
        <v>2800</v>
      </c>
      <c r="E377" t="s">
        <v>1119</v>
      </c>
      <c r="F377" t="s">
        <v>1178</v>
      </c>
      <c r="G377" t="s">
        <v>1894</v>
      </c>
      <c r="H377" t="s">
        <v>1674</v>
      </c>
      <c r="I377">
        <v>12</v>
      </c>
      <c r="J377" t="s">
        <v>1279</v>
      </c>
      <c r="K377">
        <v>12174</v>
      </c>
      <c r="L377" t="s">
        <v>1571</v>
      </c>
      <c r="M377">
        <v>12174239</v>
      </c>
      <c r="N377" t="s">
        <v>1572</v>
      </c>
      <c r="O377">
        <v>12174239647</v>
      </c>
      <c r="P377" t="s">
        <v>1610</v>
      </c>
      <c r="Q377" t="s">
        <v>1675</v>
      </c>
      <c r="R377" t="s">
        <v>1676</v>
      </c>
      <c r="S377" t="s">
        <v>1674</v>
      </c>
      <c r="T377" t="s">
        <v>1677</v>
      </c>
      <c r="U377" t="s">
        <v>1187</v>
      </c>
      <c r="V377" t="s">
        <v>1188</v>
      </c>
      <c r="W377">
        <v>620</v>
      </c>
      <c r="X377" t="s">
        <v>1189</v>
      </c>
      <c r="Y377">
        <v>12</v>
      </c>
      <c r="Z377">
        <v>7440</v>
      </c>
      <c r="AA377" t="s">
        <v>28</v>
      </c>
      <c r="AB377" t="s">
        <v>1190</v>
      </c>
      <c r="AC377">
        <v>620</v>
      </c>
      <c r="AD377" t="s">
        <v>1289</v>
      </c>
      <c r="AE377" t="s">
        <v>1290</v>
      </c>
      <c r="AF377" t="s">
        <v>1193</v>
      </c>
      <c r="AG377" t="s">
        <v>1194</v>
      </c>
      <c r="AH377" t="s">
        <v>1195</v>
      </c>
      <c r="AI377" t="s">
        <v>1202</v>
      </c>
      <c r="AJ377" t="s">
        <v>1291</v>
      </c>
      <c r="AK377" t="s">
        <v>1292</v>
      </c>
      <c r="AL377" t="s">
        <v>1291</v>
      </c>
      <c r="AM377" t="s">
        <v>1577</v>
      </c>
      <c r="AN377" t="s">
        <v>1201</v>
      </c>
      <c r="AO377" t="s">
        <v>1292</v>
      </c>
      <c r="AP377" t="s">
        <v>1578</v>
      </c>
      <c r="AQ377" t="s">
        <v>1203</v>
      </c>
      <c r="AR377" t="s">
        <v>1201</v>
      </c>
      <c r="AS377" t="s">
        <v>1203</v>
      </c>
      <c r="AU377" t="s">
        <v>1204</v>
      </c>
      <c r="AW377" t="b">
        <v>0</v>
      </c>
      <c r="AY377" t="b">
        <v>0</v>
      </c>
      <c r="BA377" t="s">
        <v>1579</v>
      </c>
      <c r="BB377" t="s">
        <v>1206</v>
      </c>
      <c r="BC377" t="s">
        <v>1206</v>
      </c>
      <c r="BD377" t="s">
        <v>1207</v>
      </c>
      <c r="BE377" t="s">
        <v>1296</v>
      </c>
      <c r="BF377" t="s">
        <v>1580</v>
      </c>
      <c r="BG377" t="s">
        <v>237</v>
      </c>
      <c r="BH377" t="s">
        <v>1206</v>
      </c>
      <c r="BI377" t="s">
        <v>1206</v>
      </c>
      <c r="BJ377" t="s">
        <v>1581</v>
      </c>
    </row>
    <row r="378" spans="1:62" x14ac:dyDescent="0.25">
      <c r="A378" t="s">
        <v>1177</v>
      </c>
      <c r="B378">
        <v>810373</v>
      </c>
      <c r="C378" t="s">
        <v>1258</v>
      </c>
      <c r="D378" s="112" t="s">
        <v>2801</v>
      </c>
      <c r="E378" t="s">
        <v>1119</v>
      </c>
      <c r="F378" t="s">
        <v>1178</v>
      </c>
      <c r="G378" t="s">
        <v>1895</v>
      </c>
      <c r="H378" t="s">
        <v>1674</v>
      </c>
      <c r="I378">
        <v>12</v>
      </c>
      <c r="J378" t="s">
        <v>1279</v>
      </c>
      <c r="K378">
        <v>12174</v>
      </c>
      <c r="L378" t="s">
        <v>1571</v>
      </c>
      <c r="M378">
        <v>12174239</v>
      </c>
      <c r="N378" t="s">
        <v>1572</v>
      </c>
      <c r="O378">
        <v>12174239647</v>
      </c>
      <c r="P378" t="s">
        <v>1610</v>
      </c>
      <c r="Q378" t="s">
        <v>1675</v>
      </c>
      <c r="R378" t="s">
        <v>1676</v>
      </c>
      <c r="S378" t="s">
        <v>1674</v>
      </c>
      <c r="T378" t="s">
        <v>1677</v>
      </c>
      <c r="U378" t="s">
        <v>1187</v>
      </c>
      <c r="V378" t="s">
        <v>1188</v>
      </c>
      <c r="W378">
        <v>620</v>
      </c>
      <c r="X378" t="s">
        <v>1189</v>
      </c>
      <c r="Y378">
        <v>12</v>
      </c>
      <c r="Z378">
        <v>7440</v>
      </c>
      <c r="AA378" t="s">
        <v>28</v>
      </c>
      <c r="AB378" t="s">
        <v>1190</v>
      </c>
      <c r="AC378">
        <v>620</v>
      </c>
      <c r="AD378" t="s">
        <v>1289</v>
      </c>
      <c r="AE378" t="s">
        <v>1290</v>
      </c>
      <c r="AF378" t="s">
        <v>1193</v>
      </c>
      <c r="AG378" t="s">
        <v>1194</v>
      </c>
      <c r="AH378" t="s">
        <v>1195</v>
      </c>
      <c r="AI378" t="s">
        <v>1202</v>
      </c>
      <c r="AJ378" t="s">
        <v>1291</v>
      </c>
      <c r="AK378" t="s">
        <v>1292</v>
      </c>
      <c r="AL378" t="s">
        <v>1291</v>
      </c>
      <c r="AM378" t="s">
        <v>1577</v>
      </c>
      <c r="AN378" t="s">
        <v>1201</v>
      </c>
      <c r="AO378" t="s">
        <v>1292</v>
      </c>
      <c r="AP378" t="s">
        <v>1578</v>
      </c>
      <c r="AQ378" t="s">
        <v>1203</v>
      </c>
      <c r="AR378" t="s">
        <v>1201</v>
      </c>
      <c r="AS378" t="s">
        <v>1203</v>
      </c>
      <c r="AU378" t="s">
        <v>1204</v>
      </c>
      <c r="AW378" t="b">
        <v>0</v>
      </c>
      <c r="AY378" t="b">
        <v>0</v>
      </c>
      <c r="BA378" t="s">
        <v>1579</v>
      </c>
      <c r="BB378" t="s">
        <v>1206</v>
      </c>
      <c r="BC378" t="s">
        <v>1206</v>
      </c>
      <c r="BD378" t="s">
        <v>1207</v>
      </c>
      <c r="BE378" t="s">
        <v>1296</v>
      </c>
      <c r="BF378" t="s">
        <v>1580</v>
      </c>
      <c r="BG378" t="s">
        <v>237</v>
      </c>
      <c r="BH378" t="s">
        <v>1206</v>
      </c>
      <c r="BI378" t="s">
        <v>1206</v>
      </c>
      <c r="BJ378" t="s">
        <v>1581</v>
      </c>
    </row>
    <row r="379" spans="1:62" x14ac:dyDescent="0.25">
      <c r="A379" t="s">
        <v>1177</v>
      </c>
      <c r="B379">
        <v>810341</v>
      </c>
      <c r="C379" t="s">
        <v>1258</v>
      </c>
      <c r="D379" s="112" t="s">
        <v>2802</v>
      </c>
      <c r="E379" t="s">
        <v>1119</v>
      </c>
      <c r="F379" t="s">
        <v>1178</v>
      </c>
      <c r="G379" t="s">
        <v>1896</v>
      </c>
      <c r="H379" t="s">
        <v>1897</v>
      </c>
      <c r="I379">
        <v>12</v>
      </c>
      <c r="J379" t="s">
        <v>1279</v>
      </c>
      <c r="K379">
        <v>12174</v>
      </c>
      <c r="L379" t="s">
        <v>1571</v>
      </c>
      <c r="M379">
        <v>12174239</v>
      </c>
      <c r="N379" t="s">
        <v>1572</v>
      </c>
      <c r="O379">
        <v>12174239647</v>
      </c>
      <c r="P379" t="s">
        <v>1610</v>
      </c>
      <c r="Q379" t="s">
        <v>1643</v>
      </c>
      <c r="R379" t="s">
        <v>1644</v>
      </c>
      <c r="S379" t="s">
        <v>1897</v>
      </c>
      <c r="T379" t="s">
        <v>1898</v>
      </c>
      <c r="U379" t="s">
        <v>1286</v>
      </c>
      <c r="V379" t="s">
        <v>1287</v>
      </c>
      <c r="W379">
        <v>6</v>
      </c>
      <c r="X379" t="s">
        <v>1288</v>
      </c>
      <c r="Y379">
        <v>4</v>
      </c>
      <c r="Z379">
        <v>24</v>
      </c>
      <c r="AA379" t="s">
        <v>28</v>
      </c>
      <c r="AB379" t="s">
        <v>1899</v>
      </c>
      <c r="AC379">
        <v>6000</v>
      </c>
      <c r="AD379" t="s">
        <v>1289</v>
      </c>
      <c r="AE379" t="s">
        <v>1290</v>
      </c>
      <c r="AF379" t="s">
        <v>1193</v>
      </c>
      <c r="AG379" t="s">
        <v>1194</v>
      </c>
      <c r="AH379">
        <v>4</v>
      </c>
      <c r="AI379" t="s">
        <v>1202</v>
      </c>
      <c r="AJ379" t="s">
        <v>1291</v>
      </c>
      <c r="AK379" t="s">
        <v>1292</v>
      </c>
      <c r="AL379" t="s">
        <v>1291</v>
      </c>
      <c r="AM379" t="s">
        <v>1577</v>
      </c>
      <c r="AN379" t="s">
        <v>1201</v>
      </c>
      <c r="AO379" t="s">
        <v>1292</v>
      </c>
      <c r="AP379" t="s">
        <v>1578</v>
      </c>
      <c r="AQ379" t="s">
        <v>1203</v>
      </c>
      <c r="AR379" t="s">
        <v>1201</v>
      </c>
      <c r="AS379" t="s">
        <v>1203</v>
      </c>
      <c r="AU379" t="s">
        <v>1204</v>
      </c>
      <c r="AW379" t="b">
        <v>0</v>
      </c>
      <c r="AY379" t="b">
        <v>0</v>
      </c>
      <c r="BA379" t="s">
        <v>1579</v>
      </c>
      <c r="BB379" t="s">
        <v>1206</v>
      </c>
      <c r="BC379" t="s">
        <v>1206</v>
      </c>
      <c r="BD379" t="s">
        <v>1207</v>
      </c>
      <c r="BE379" t="s">
        <v>1296</v>
      </c>
      <c r="BF379" t="s">
        <v>1580</v>
      </c>
      <c r="BG379" t="s">
        <v>237</v>
      </c>
      <c r="BH379" t="s">
        <v>1206</v>
      </c>
      <c r="BI379" t="s">
        <v>1206</v>
      </c>
      <c r="BJ379" t="s">
        <v>1581</v>
      </c>
    </row>
    <row r="380" spans="1:62" x14ac:dyDescent="0.25">
      <c r="A380" t="s">
        <v>1177</v>
      </c>
      <c r="B380">
        <v>810333</v>
      </c>
      <c r="C380" t="s">
        <v>1258</v>
      </c>
      <c r="D380" s="112" t="s">
        <v>2803</v>
      </c>
      <c r="E380" t="s">
        <v>1119</v>
      </c>
      <c r="F380" t="s">
        <v>1178</v>
      </c>
      <c r="G380" t="s">
        <v>1900</v>
      </c>
      <c r="H380" t="s">
        <v>1897</v>
      </c>
      <c r="I380">
        <v>12</v>
      </c>
      <c r="J380" t="s">
        <v>1279</v>
      </c>
      <c r="K380">
        <v>12174</v>
      </c>
      <c r="L380" t="s">
        <v>1571</v>
      </c>
      <c r="M380">
        <v>12174239</v>
      </c>
      <c r="N380" t="s">
        <v>1572</v>
      </c>
      <c r="O380">
        <v>12174239647</v>
      </c>
      <c r="P380" t="s">
        <v>1610</v>
      </c>
      <c r="Q380" t="s">
        <v>1643</v>
      </c>
      <c r="R380" t="s">
        <v>1644</v>
      </c>
      <c r="S380" t="s">
        <v>1897</v>
      </c>
      <c r="T380" t="s">
        <v>1898</v>
      </c>
      <c r="U380" t="s">
        <v>1286</v>
      </c>
      <c r="V380" t="s">
        <v>1287</v>
      </c>
      <c r="W380">
        <v>6</v>
      </c>
      <c r="X380" t="s">
        <v>1288</v>
      </c>
      <c r="Y380">
        <v>4</v>
      </c>
      <c r="Z380">
        <v>24</v>
      </c>
      <c r="AA380" t="s">
        <v>28</v>
      </c>
      <c r="AB380" t="s">
        <v>1899</v>
      </c>
      <c r="AC380">
        <v>6000</v>
      </c>
      <c r="AD380" t="s">
        <v>1289</v>
      </c>
      <c r="AE380" t="s">
        <v>1290</v>
      </c>
      <c r="AF380" t="s">
        <v>1193</v>
      </c>
      <c r="AG380" t="s">
        <v>1194</v>
      </c>
      <c r="AH380">
        <v>4</v>
      </c>
      <c r="AI380" t="s">
        <v>1202</v>
      </c>
      <c r="AJ380" t="s">
        <v>1291</v>
      </c>
      <c r="AK380" t="s">
        <v>1292</v>
      </c>
      <c r="AL380" t="s">
        <v>1291</v>
      </c>
      <c r="AM380" t="s">
        <v>1577</v>
      </c>
      <c r="AN380" t="s">
        <v>1201</v>
      </c>
      <c r="AO380" t="s">
        <v>1292</v>
      </c>
      <c r="AP380" t="s">
        <v>1578</v>
      </c>
      <c r="AQ380" t="s">
        <v>1203</v>
      </c>
      <c r="AR380" t="s">
        <v>1201</v>
      </c>
      <c r="AS380" t="s">
        <v>1203</v>
      </c>
      <c r="AU380" t="s">
        <v>1204</v>
      </c>
      <c r="AW380" t="b">
        <v>0</v>
      </c>
      <c r="AY380" t="b">
        <v>0</v>
      </c>
      <c r="BA380" t="s">
        <v>1579</v>
      </c>
      <c r="BB380" t="s">
        <v>1206</v>
      </c>
      <c r="BC380" t="s">
        <v>1206</v>
      </c>
      <c r="BD380" t="s">
        <v>1207</v>
      </c>
      <c r="BE380" t="s">
        <v>1296</v>
      </c>
      <c r="BF380" t="s">
        <v>1580</v>
      </c>
      <c r="BG380" t="s">
        <v>237</v>
      </c>
      <c r="BH380" t="s">
        <v>1206</v>
      </c>
      <c r="BI380" t="s">
        <v>1206</v>
      </c>
      <c r="BJ380" t="s">
        <v>1581</v>
      </c>
    </row>
    <row r="381" spans="1:62" x14ac:dyDescent="0.25">
      <c r="A381" t="s">
        <v>1177</v>
      </c>
      <c r="B381">
        <v>100190</v>
      </c>
      <c r="C381">
        <v>100190</v>
      </c>
      <c r="D381" s="112" t="s">
        <v>2804</v>
      </c>
      <c r="E381" t="s">
        <v>1119</v>
      </c>
      <c r="F381" t="s">
        <v>1178</v>
      </c>
      <c r="G381" t="s">
        <v>1901</v>
      </c>
      <c r="H381" t="s">
        <v>1674</v>
      </c>
      <c r="I381">
        <v>12</v>
      </c>
      <c r="J381" t="s">
        <v>1279</v>
      </c>
      <c r="K381">
        <v>12174</v>
      </c>
      <c r="L381" t="s">
        <v>1571</v>
      </c>
      <c r="M381">
        <v>12174239</v>
      </c>
      <c r="N381" t="s">
        <v>1572</v>
      </c>
      <c r="O381">
        <v>12174239647</v>
      </c>
      <c r="P381" t="s">
        <v>1610</v>
      </c>
      <c r="Q381" t="s">
        <v>1675</v>
      </c>
      <c r="R381" t="s">
        <v>1676</v>
      </c>
      <c r="S381" t="s">
        <v>1674</v>
      </c>
      <c r="T381" t="s">
        <v>1677</v>
      </c>
      <c r="U381" t="s">
        <v>1187</v>
      </c>
      <c r="V381" t="s">
        <v>1188</v>
      </c>
      <c r="W381">
        <v>620</v>
      </c>
      <c r="X381" t="s">
        <v>1189</v>
      </c>
      <c r="Y381">
        <v>12</v>
      </c>
      <c r="Z381">
        <v>7440</v>
      </c>
      <c r="AA381" t="s">
        <v>28</v>
      </c>
      <c r="AB381" t="s">
        <v>1190</v>
      </c>
      <c r="AC381">
        <v>620</v>
      </c>
      <c r="AD381" t="s">
        <v>1289</v>
      </c>
      <c r="AE381" t="s">
        <v>1290</v>
      </c>
      <c r="AF381" t="s">
        <v>1193</v>
      </c>
      <c r="AG381" t="s">
        <v>1194</v>
      </c>
      <c r="AH381" t="s">
        <v>1195</v>
      </c>
      <c r="AI381" t="s">
        <v>1202</v>
      </c>
      <c r="AJ381" t="s">
        <v>1291</v>
      </c>
      <c r="AK381" t="s">
        <v>1292</v>
      </c>
      <c r="AL381" t="s">
        <v>1291</v>
      </c>
      <c r="AM381" t="s">
        <v>1577</v>
      </c>
      <c r="AN381" t="s">
        <v>1201</v>
      </c>
      <c r="AO381" t="s">
        <v>1292</v>
      </c>
      <c r="AP381" t="s">
        <v>1578</v>
      </c>
      <c r="AQ381" t="s">
        <v>1203</v>
      </c>
      <c r="AR381" t="s">
        <v>1201</v>
      </c>
      <c r="AS381" t="s">
        <v>1203</v>
      </c>
      <c r="AU381" t="s">
        <v>1204</v>
      </c>
      <c r="AW381" t="b">
        <v>0</v>
      </c>
      <c r="AY381" t="b">
        <v>0</v>
      </c>
      <c r="BA381" t="s">
        <v>1579</v>
      </c>
      <c r="BB381" t="s">
        <v>1206</v>
      </c>
      <c r="BC381" t="s">
        <v>1206</v>
      </c>
      <c r="BD381" t="s">
        <v>1207</v>
      </c>
      <c r="BE381" t="s">
        <v>1296</v>
      </c>
      <c r="BF381" t="s">
        <v>1580</v>
      </c>
      <c r="BG381" t="s">
        <v>237</v>
      </c>
      <c r="BH381" t="s">
        <v>1206</v>
      </c>
      <c r="BI381" t="s">
        <v>1206</v>
      </c>
      <c r="BJ381" t="s">
        <v>1581</v>
      </c>
    </row>
    <row r="382" spans="1:62" x14ac:dyDescent="0.25">
      <c r="A382" t="s">
        <v>1177</v>
      </c>
      <c r="B382">
        <v>100155</v>
      </c>
      <c r="C382">
        <v>100155</v>
      </c>
      <c r="D382" s="112" t="s">
        <v>2805</v>
      </c>
      <c r="E382" t="s">
        <v>1119</v>
      </c>
      <c r="F382" t="s">
        <v>1178</v>
      </c>
      <c r="G382" t="s">
        <v>1902</v>
      </c>
      <c r="H382" s="135" t="s">
        <v>1804</v>
      </c>
      <c r="I382">
        <v>12</v>
      </c>
      <c r="J382" t="s">
        <v>1279</v>
      </c>
      <c r="K382">
        <v>12174</v>
      </c>
      <c r="L382" t="s">
        <v>1571</v>
      </c>
      <c r="M382">
        <v>12174239</v>
      </c>
      <c r="N382" t="s">
        <v>1572</v>
      </c>
      <c r="O382">
        <v>12174239647</v>
      </c>
      <c r="P382" t="s">
        <v>1610</v>
      </c>
      <c r="Q382" s="135" t="s">
        <v>1805</v>
      </c>
      <c r="R382" t="s">
        <v>1806</v>
      </c>
      <c r="S382" s="135" t="s">
        <v>1804</v>
      </c>
      <c r="T382" t="s">
        <v>1807</v>
      </c>
      <c r="U382" t="s">
        <v>1310</v>
      </c>
      <c r="V382" t="s">
        <v>1311</v>
      </c>
      <c r="W382">
        <v>520</v>
      </c>
      <c r="X382" t="s">
        <v>1189</v>
      </c>
      <c r="Y382">
        <v>12</v>
      </c>
      <c r="Z382">
        <v>6240</v>
      </c>
      <c r="AA382" t="s">
        <v>28</v>
      </c>
      <c r="AB382" t="s">
        <v>1190</v>
      </c>
      <c r="AC382">
        <v>520</v>
      </c>
      <c r="AD382" t="s">
        <v>1289</v>
      </c>
      <c r="AE382" t="s">
        <v>1290</v>
      </c>
      <c r="AF382" t="s">
        <v>1193</v>
      </c>
      <c r="AG382" t="s">
        <v>1194</v>
      </c>
      <c r="AH382" t="s">
        <v>1195</v>
      </c>
      <c r="AI382" t="s">
        <v>1202</v>
      </c>
      <c r="AJ382" t="s">
        <v>1291</v>
      </c>
      <c r="AK382" t="s">
        <v>1292</v>
      </c>
      <c r="AL382" t="s">
        <v>1291</v>
      </c>
      <c r="AM382" t="s">
        <v>1577</v>
      </c>
      <c r="AN382" t="s">
        <v>1201</v>
      </c>
      <c r="AO382" t="s">
        <v>1292</v>
      </c>
      <c r="AP382" t="s">
        <v>1578</v>
      </c>
      <c r="AQ382" t="s">
        <v>1203</v>
      </c>
      <c r="AR382" t="s">
        <v>1201</v>
      </c>
      <c r="AS382" t="s">
        <v>1203</v>
      </c>
      <c r="AU382" t="s">
        <v>1204</v>
      </c>
      <c r="AW382" t="b">
        <v>0</v>
      </c>
      <c r="AY382" t="b">
        <v>0</v>
      </c>
      <c r="BA382" t="s">
        <v>1579</v>
      </c>
      <c r="BB382" t="s">
        <v>1206</v>
      </c>
      <c r="BC382" t="s">
        <v>1206</v>
      </c>
      <c r="BD382" t="s">
        <v>1207</v>
      </c>
      <c r="BE382" t="s">
        <v>1296</v>
      </c>
      <c r="BF382" t="s">
        <v>1580</v>
      </c>
      <c r="BG382" t="s">
        <v>237</v>
      </c>
      <c r="BH382" t="s">
        <v>1206</v>
      </c>
      <c r="BI382" t="s">
        <v>1206</v>
      </c>
      <c r="BJ382" t="s">
        <v>1581</v>
      </c>
    </row>
    <row r="383" spans="1:62" x14ac:dyDescent="0.25">
      <c r="A383" t="s">
        <v>1177</v>
      </c>
      <c r="B383">
        <v>100180</v>
      </c>
      <c r="C383">
        <v>100180</v>
      </c>
      <c r="D383" s="112" t="s">
        <v>2806</v>
      </c>
      <c r="E383" t="s">
        <v>1119</v>
      </c>
      <c r="F383" t="s">
        <v>1178</v>
      </c>
      <c r="G383" t="s">
        <v>268</v>
      </c>
      <c r="H383" s="135" t="s">
        <v>1804</v>
      </c>
      <c r="I383">
        <v>12</v>
      </c>
      <c r="J383" t="s">
        <v>1279</v>
      </c>
      <c r="K383">
        <v>12174</v>
      </c>
      <c r="L383" t="s">
        <v>1571</v>
      </c>
      <c r="M383">
        <v>12174239</v>
      </c>
      <c r="N383" t="s">
        <v>1572</v>
      </c>
      <c r="O383">
        <v>12174239647</v>
      </c>
      <c r="P383" t="s">
        <v>1610</v>
      </c>
      <c r="Q383" s="135" t="s">
        <v>1805</v>
      </c>
      <c r="R383" t="s">
        <v>1806</v>
      </c>
      <c r="S383" s="135" t="s">
        <v>1804</v>
      </c>
      <c r="T383" t="s">
        <v>1807</v>
      </c>
      <c r="U383" t="s">
        <v>1310</v>
      </c>
      <c r="V383" t="s">
        <v>1311</v>
      </c>
      <c r="W383">
        <v>520</v>
      </c>
      <c r="X383" t="s">
        <v>1189</v>
      </c>
      <c r="Y383">
        <v>12</v>
      </c>
      <c r="Z383">
        <v>6240</v>
      </c>
      <c r="AA383" t="s">
        <v>28</v>
      </c>
      <c r="AB383" t="s">
        <v>1190</v>
      </c>
      <c r="AC383">
        <v>520</v>
      </c>
      <c r="AD383" t="s">
        <v>1289</v>
      </c>
      <c r="AE383" t="s">
        <v>1290</v>
      </c>
      <c r="AF383" t="s">
        <v>1193</v>
      </c>
      <c r="AG383" t="s">
        <v>1194</v>
      </c>
      <c r="AH383" t="s">
        <v>1195</v>
      </c>
      <c r="AI383" t="s">
        <v>1202</v>
      </c>
      <c r="AJ383" t="s">
        <v>1291</v>
      </c>
      <c r="AK383" t="s">
        <v>1292</v>
      </c>
      <c r="AL383" t="s">
        <v>1291</v>
      </c>
      <c r="AM383" t="s">
        <v>1577</v>
      </c>
      <c r="AN383" t="s">
        <v>1201</v>
      </c>
      <c r="AO383" t="s">
        <v>1292</v>
      </c>
      <c r="AP383" t="s">
        <v>1578</v>
      </c>
      <c r="AQ383" t="s">
        <v>1203</v>
      </c>
      <c r="AR383" t="s">
        <v>1201</v>
      </c>
      <c r="AS383" t="s">
        <v>1203</v>
      </c>
      <c r="AU383" t="s">
        <v>1204</v>
      </c>
      <c r="AW383" t="b">
        <v>0</v>
      </c>
      <c r="AY383" t="b">
        <v>0</v>
      </c>
      <c r="BA383" t="s">
        <v>1579</v>
      </c>
      <c r="BB383" t="s">
        <v>1206</v>
      </c>
      <c r="BC383" t="s">
        <v>1206</v>
      </c>
      <c r="BD383" t="s">
        <v>1207</v>
      </c>
      <c r="BE383" t="s">
        <v>1296</v>
      </c>
      <c r="BF383" t="s">
        <v>1580</v>
      </c>
      <c r="BG383" t="s">
        <v>237</v>
      </c>
      <c r="BH383" t="s">
        <v>1206</v>
      </c>
      <c r="BI383" t="s">
        <v>1206</v>
      </c>
      <c r="BJ383" t="s">
        <v>1581</v>
      </c>
    </row>
    <row r="384" spans="1:62" x14ac:dyDescent="0.25">
      <c r="A384" t="s">
        <v>1177</v>
      </c>
      <c r="B384">
        <v>100041</v>
      </c>
      <c r="C384">
        <v>100041</v>
      </c>
      <c r="D384" s="112" t="s">
        <v>2807</v>
      </c>
      <c r="E384" t="s">
        <v>1119</v>
      </c>
      <c r="F384" t="s">
        <v>1178</v>
      </c>
      <c r="G384" t="s">
        <v>1903</v>
      </c>
      <c r="H384" t="s">
        <v>1674</v>
      </c>
      <c r="I384">
        <v>12</v>
      </c>
      <c r="J384" t="s">
        <v>1279</v>
      </c>
      <c r="K384">
        <v>12174</v>
      </c>
      <c r="L384" t="s">
        <v>1571</v>
      </c>
      <c r="M384">
        <v>12174239</v>
      </c>
      <c r="N384" t="s">
        <v>1572</v>
      </c>
      <c r="O384">
        <v>12174239647</v>
      </c>
      <c r="P384" t="s">
        <v>1610</v>
      </c>
      <c r="Q384" t="s">
        <v>1675</v>
      </c>
      <c r="R384" t="s">
        <v>1676</v>
      </c>
      <c r="S384" t="s">
        <v>1674</v>
      </c>
      <c r="T384" t="s">
        <v>1677</v>
      </c>
      <c r="U384" t="s">
        <v>1187</v>
      </c>
      <c r="V384" t="s">
        <v>1188</v>
      </c>
      <c r="W384">
        <v>620</v>
      </c>
      <c r="X384" t="s">
        <v>1189</v>
      </c>
      <c r="Y384">
        <v>12</v>
      </c>
      <c r="Z384">
        <v>7440</v>
      </c>
      <c r="AA384" t="s">
        <v>28</v>
      </c>
      <c r="AB384" t="s">
        <v>1190</v>
      </c>
      <c r="AC384">
        <v>620</v>
      </c>
      <c r="AD384" t="s">
        <v>1289</v>
      </c>
      <c r="AE384" t="s">
        <v>1290</v>
      </c>
      <c r="AF384" t="s">
        <v>1193</v>
      </c>
      <c r="AG384" t="s">
        <v>1194</v>
      </c>
      <c r="AH384" t="s">
        <v>1195</v>
      </c>
      <c r="AI384" t="s">
        <v>1202</v>
      </c>
      <c r="AJ384" t="s">
        <v>1291</v>
      </c>
      <c r="AK384" t="s">
        <v>1292</v>
      </c>
      <c r="AL384" t="s">
        <v>1291</v>
      </c>
      <c r="AM384" t="s">
        <v>1577</v>
      </c>
      <c r="AN384" t="s">
        <v>1201</v>
      </c>
      <c r="AO384" t="s">
        <v>1292</v>
      </c>
      <c r="AP384" t="s">
        <v>1578</v>
      </c>
      <c r="AQ384" t="s">
        <v>1203</v>
      </c>
      <c r="AR384" t="s">
        <v>1201</v>
      </c>
      <c r="AS384" t="s">
        <v>1203</v>
      </c>
      <c r="AU384" t="s">
        <v>1204</v>
      </c>
      <c r="AW384" t="b">
        <v>0</v>
      </c>
      <c r="AY384" t="b">
        <v>0</v>
      </c>
      <c r="BA384" t="s">
        <v>1579</v>
      </c>
      <c r="BB384" t="s">
        <v>1206</v>
      </c>
      <c r="BC384" t="s">
        <v>1206</v>
      </c>
      <c r="BD384" t="s">
        <v>1207</v>
      </c>
      <c r="BE384" t="s">
        <v>1296</v>
      </c>
      <c r="BF384" t="s">
        <v>1580</v>
      </c>
      <c r="BG384" t="s">
        <v>237</v>
      </c>
      <c r="BH384" t="s">
        <v>1206</v>
      </c>
      <c r="BI384" t="s">
        <v>1206</v>
      </c>
      <c r="BJ384" t="s">
        <v>1581</v>
      </c>
    </row>
    <row r="385" spans="1:62" x14ac:dyDescent="0.25">
      <c r="A385" t="s">
        <v>1177</v>
      </c>
      <c r="B385">
        <v>100197</v>
      </c>
      <c r="C385" t="s">
        <v>1258</v>
      </c>
      <c r="D385" s="112" t="s">
        <v>2808</v>
      </c>
      <c r="E385" t="s">
        <v>1119</v>
      </c>
      <c r="F385" t="s">
        <v>1178</v>
      </c>
      <c r="G385" t="s">
        <v>1904</v>
      </c>
      <c r="H385" s="135" t="s">
        <v>1905</v>
      </c>
      <c r="I385">
        <v>12</v>
      </c>
      <c r="J385" t="s">
        <v>1279</v>
      </c>
      <c r="K385">
        <v>12174</v>
      </c>
      <c r="L385" t="s">
        <v>1571</v>
      </c>
      <c r="M385">
        <v>12174239</v>
      </c>
      <c r="N385" t="s">
        <v>1572</v>
      </c>
      <c r="O385">
        <v>12174239647</v>
      </c>
      <c r="P385" t="s">
        <v>1610</v>
      </c>
      <c r="Q385" s="135" t="s">
        <v>1906</v>
      </c>
      <c r="R385" t="s">
        <v>1907</v>
      </c>
      <c r="S385" s="135" t="s">
        <v>1905</v>
      </c>
      <c r="T385" t="s">
        <v>1908</v>
      </c>
      <c r="U385" t="s">
        <v>1286</v>
      </c>
      <c r="V385" t="s">
        <v>1287</v>
      </c>
      <c r="W385">
        <v>900</v>
      </c>
      <c r="X385" t="s">
        <v>1729</v>
      </c>
      <c r="Y385">
        <v>1</v>
      </c>
      <c r="Z385">
        <v>900</v>
      </c>
      <c r="AA385" t="s">
        <v>28</v>
      </c>
      <c r="AB385" t="s">
        <v>1190</v>
      </c>
      <c r="AC385">
        <v>900000</v>
      </c>
      <c r="AD385" t="s">
        <v>1289</v>
      </c>
      <c r="AE385" t="s">
        <v>1290</v>
      </c>
      <c r="AF385" t="s">
        <v>1193</v>
      </c>
      <c r="AG385" t="s">
        <v>1194</v>
      </c>
      <c r="AH385" t="s">
        <v>1195</v>
      </c>
      <c r="AI385" t="s">
        <v>1202</v>
      </c>
      <c r="AJ385" t="s">
        <v>1291</v>
      </c>
      <c r="AK385" t="s">
        <v>1292</v>
      </c>
      <c r="AL385" t="s">
        <v>1291</v>
      </c>
      <c r="AM385" t="s">
        <v>1577</v>
      </c>
      <c r="AN385" t="s">
        <v>1201</v>
      </c>
      <c r="AO385" t="s">
        <v>1292</v>
      </c>
      <c r="AP385" t="s">
        <v>1578</v>
      </c>
      <c r="AQ385" t="s">
        <v>1203</v>
      </c>
      <c r="AR385" t="s">
        <v>1201</v>
      </c>
      <c r="AS385" t="s">
        <v>1203</v>
      </c>
      <c r="AU385" t="s">
        <v>1204</v>
      </c>
      <c r="AW385" t="b">
        <v>0</v>
      </c>
      <c r="AY385" t="b">
        <v>0</v>
      </c>
      <c r="BA385" t="s">
        <v>1579</v>
      </c>
      <c r="BB385" t="s">
        <v>1206</v>
      </c>
      <c r="BC385" t="s">
        <v>1206</v>
      </c>
      <c r="BD385" t="s">
        <v>1207</v>
      </c>
      <c r="BE385" t="s">
        <v>1296</v>
      </c>
      <c r="BF385" t="s">
        <v>1580</v>
      </c>
      <c r="BG385" t="s">
        <v>237</v>
      </c>
      <c r="BH385" t="s">
        <v>1206</v>
      </c>
      <c r="BI385" t="s">
        <v>1206</v>
      </c>
      <c r="BJ385" t="s">
        <v>1581</v>
      </c>
    </row>
    <row r="386" spans="1:62" x14ac:dyDescent="0.25">
      <c r="A386" t="s">
        <v>1177</v>
      </c>
      <c r="B386">
        <v>100191</v>
      </c>
      <c r="C386">
        <v>100191</v>
      </c>
      <c r="D386" s="112" t="s">
        <v>2809</v>
      </c>
      <c r="E386" t="s">
        <v>1119</v>
      </c>
      <c r="F386" t="s">
        <v>1178</v>
      </c>
      <c r="G386" t="s">
        <v>267</v>
      </c>
      <c r="H386" t="s">
        <v>1674</v>
      </c>
      <c r="I386">
        <v>12</v>
      </c>
      <c r="J386" t="s">
        <v>1279</v>
      </c>
      <c r="K386">
        <v>12174</v>
      </c>
      <c r="L386" t="s">
        <v>1571</v>
      </c>
      <c r="M386">
        <v>12174239</v>
      </c>
      <c r="N386" t="s">
        <v>1572</v>
      </c>
      <c r="O386">
        <v>12174239647</v>
      </c>
      <c r="P386" t="s">
        <v>1610</v>
      </c>
      <c r="Q386" t="s">
        <v>1675</v>
      </c>
      <c r="R386" t="s">
        <v>1676</v>
      </c>
      <c r="S386" t="s">
        <v>1674</v>
      </c>
      <c r="T386" t="s">
        <v>1677</v>
      </c>
      <c r="U386" t="s">
        <v>1187</v>
      </c>
      <c r="V386" t="s">
        <v>1188</v>
      </c>
      <c r="W386">
        <v>620</v>
      </c>
      <c r="X386" t="s">
        <v>1189</v>
      </c>
      <c r="Y386">
        <v>12</v>
      </c>
      <c r="Z386">
        <v>7440</v>
      </c>
      <c r="AA386" t="s">
        <v>28</v>
      </c>
      <c r="AB386" t="s">
        <v>1190</v>
      </c>
      <c r="AC386">
        <v>620</v>
      </c>
      <c r="AD386" t="s">
        <v>1289</v>
      </c>
      <c r="AE386" t="s">
        <v>1290</v>
      </c>
      <c r="AF386" t="s">
        <v>1193</v>
      </c>
      <c r="AG386" t="s">
        <v>1194</v>
      </c>
      <c r="AH386" t="s">
        <v>1195</v>
      </c>
      <c r="AI386" t="s">
        <v>1202</v>
      </c>
      <c r="AJ386" t="s">
        <v>1291</v>
      </c>
      <c r="AK386" t="s">
        <v>1292</v>
      </c>
      <c r="AL386" t="s">
        <v>1291</v>
      </c>
      <c r="AM386" t="s">
        <v>1577</v>
      </c>
      <c r="AN386" t="s">
        <v>1201</v>
      </c>
      <c r="AO386" t="s">
        <v>1292</v>
      </c>
      <c r="AP386" t="s">
        <v>1578</v>
      </c>
      <c r="AQ386" t="s">
        <v>1203</v>
      </c>
      <c r="AR386" t="s">
        <v>1201</v>
      </c>
      <c r="AS386" t="s">
        <v>1203</v>
      </c>
      <c r="AU386" t="s">
        <v>1204</v>
      </c>
      <c r="AW386" t="b">
        <v>0</v>
      </c>
      <c r="AY386" t="b">
        <v>0</v>
      </c>
      <c r="BA386" t="s">
        <v>1579</v>
      </c>
      <c r="BB386" t="s">
        <v>1206</v>
      </c>
      <c r="BC386" t="s">
        <v>1206</v>
      </c>
      <c r="BD386" t="s">
        <v>1207</v>
      </c>
      <c r="BE386" t="s">
        <v>1296</v>
      </c>
      <c r="BF386" t="s">
        <v>1580</v>
      </c>
      <c r="BG386" t="s">
        <v>237</v>
      </c>
      <c r="BH386" t="s">
        <v>1206</v>
      </c>
      <c r="BI386" t="s">
        <v>1206</v>
      </c>
      <c r="BJ386" t="s">
        <v>1581</v>
      </c>
    </row>
    <row r="387" spans="1:62" x14ac:dyDescent="0.25">
      <c r="A387" t="s">
        <v>1177</v>
      </c>
      <c r="B387">
        <v>100156</v>
      </c>
      <c r="C387">
        <v>100156</v>
      </c>
      <c r="D387" s="112" t="s">
        <v>2810</v>
      </c>
      <c r="E387" t="s">
        <v>1119</v>
      </c>
      <c r="F387" t="s">
        <v>1178</v>
      </c>
      <c r="G387" t="s">
        <v>266</v>
      </c>
      <c r="H387" s="135" t="s">
        <v>1804</v>
      </c>
      <c r="I387">
        <v>12</v>
      </c>
      <c r="J387" t="s">
        <v>1279</v>
      </c>
      <c r="K387">
        <v>12174</v>
      </c>
      <c r="L387" t="s">
        <v>1571</v>
      </c>
      <c r="M387">
        <v>12174239</v>
      </c>
      <c r="N387" t="s">
        <v>1572</v>
      </c>
      <c r="O387">
        <v>12174239647</v>
      </c>
      <c r="P387" t="s">
        <v>1610</v>
      </c>
      <c r="Q387" s="135" t="s">
        <v>1805</v>
      </c>
      <c r="R387" t="s">
        <v>1806</v>
      </c>
      <c r="S387" s="135" t="s">
        <v>1804</v>
      </c>
      <c r="T387" t="s">
        <v>1807</v>
      </c>
      <c r="U387" t="s">
        <v>1310</v>
      </c>
      <c r="V387" t="s">
        <v>1311</v>
      </c>
      <c r="W387">
        <v>520</v>
      </c>
      <c r="X387" t="s">
        <v>1189</v>
      </c>
      <c r="Y387">
        <v>12</v>
      </c>
      <c r="Z387">
        <v>6240</v>
      </c>
      <c r="AA387" t="s">
        <v>28</v>
      </c>
      <c r="AB387" t="s">
        <v>1190</v>
      </c>
      <c r="AC387">
        <v>520</v>
      </c>
      <c r="AD387" t="s">
        <v>1289</v>
      </c>
      <c r="AE387" t="s">
        <v>1290</v>
      </c>
      <c r="AF387" t="s">
        <v>1193</v>
      </c>
      <c r="AG387" t="s">
        <v>1194</v>
      </c>
      <c r="AH387" t="s">
        <v>1195</v>
      </c>
      <c r="AI387" t="s">
        <v>1202</v>
      </c>
      <c r="AJ387" t="s">
        <v>1291</v>
      </c>
      <c r="AK387" t="s">
        <v>1292</v>
      </c>
      <c r="AL387" t="s">
        <v>1291</v>
      </c>
      <c r="AM387" t="s">
        <v>1577</v>
      </c>
      <c r="AN387" t="s">
        <v>1201</v>
      </c>
      <c r="AO387" t="s">
        <v>1292</v>
      </c>
      <c r="AP387" t="s">
        <v>1578</v>
      </c>
      <c r="AQ387" t="s">
        <v>1203</v>
      </c>
      <c r="AR387" t="s">
        <v>1201</v>
      </c>
      <c r="AS387" t="s">
        <v>1203</v>
      </c>
      <c r="AU387" t="s">
        <v>1204</v>
      </c>
      <c r="AW387" t="b">
        <v>0</v>
      </c>
      <c r="AY387" t="b">
        <v>0</v>
      </c>
      <c r="BA387" t="s">
        <v>1579</v>
      </c>
      <c r="BB387" t="s">
        <v>1206</v>
      </c>
      <c r="BC387" t="s">
        <v>1206</v>
      </c>
      <c r="BD387" t="s">
        <v>1207</v>
      </c>
      <c r="BE387" t="s">
        <v>1296</v>
      </c>
      <c r="BF387" t="s">
        <v>1580</v>
      </c>
      <c r="BG387" t="s">
        <v>237</v>
      </c>
      <c r="BH387" t="s">
        <v>1206</v>
      </c>
      <c r="BI387" t="s">
        <v>1206</v>
      </c>
      <c r="BJ387" t="s">
        <v>1581</v>
      </c>
    </row>
    <row r="388" spans="1:62" x14ac:dyDescent="0.25">
      <c r="A388" t="s">
        <v>1177</v>
      </c>
      <c r="B388">
        <v>100269</v>
      </c>
      <c r="C388">
        <v>100269</v>
      </c>
      <c r="D388" s="112" t="s">
        <v>2811</v>
      </c>
      <c r="E388" t="s">
        <v>1119</v>
      </c>
      <c r="F388" t="s">
        <v>1178</v>
      </c>
      <c r="G388" t="s">
        <v>1909</v>
      </c>
      <c r="H388" t="s">
        <v>1910</v>
      </c>
      <c r="I388">
        <v>12</v>
      </c>
      <c r="J388" t="s">
        <v>1279</v>
      </c>
      <c r="K388">
        <v>12174</v>
      </c>
      <c r="L388" t="s">
        <v>1571</v>
      </c>
      <c r="M388">
        <v>12174239</v>
      </c>
      <c r="N388" t="s">
        <v>1572</v>
      </c>
      <c r="O388">
        <v>12174239647</v>
      </c>
      <c r="P388" t="s">
        <v>1610</v>
      </c>
      <c r="Q388" t="s">
        <v>1911</v>
      </c>
      <c r="R388" t="s">
        <v>1912</v>
      </c>
      <c r="S388" t="s">
        <v>1910</v>
      </c>
      <c r="T388" t="s">
        <v>1913</v>
      </c>
      <c r="U388" t="s">
        <v>1310</v>
      </c>
      <c r="V388" t="s">
        <v>1311</v>
      </c>
      <c r="W388">
        <v>550</v>
      </c>
      <c r="X388" t="s">
        <v>1342</v>
      </c>
      <c r="Y388">
        <v>12</v>
      </c>
      <c r="Z388">
        <v>6600</v>
      </c>
      <c r="AA388" t="s">
        <v>28</v>
      </c>
      <c r="AB388" t="s">
        <v>1190</v>
      </c>
      <c r="AC388">
        <v>550</v>
      </c>
      <c r="AD388" t="s">
        <v>1289</v>
      </c>
      <c r="AE388" t="s">
        <v>1290</v>
      </c>
      <c r="AF388" t="s">
        <v>1193</v>
      </c>
      <c r="AG388" t="s">
        <v>1194</v>
      </c>
      <c r="AH388" t="s">
        <v>1195</v>
      </c>
      <c r="AI388" t="s">
        <v>1202</v>
      </c>
      <c r="AJ388" t="s">
        <v>1291</v>
      </c>
      <c r="AK388" t="s">
        <v>1292</v>
      </c>
      <c r="AL388" t="s">
        <v>1291</v>
      </c>
      <c r="AM388" t="s">
        <v>1577</v>
      </c>
      <c r="AN388" t="s">
        <v>1201</v>
      </c>
      <c r="AO388" t="s">
        <v>1292</v>
      </c>
      <c r="AP388" t="s">
        <v>1578</v>
      </c>
      <c r="AQ388" t="s">
        <v>1203</v>
      </c>
      <c r="AR388" t="s">
        <v>1201</v>
      </c>
      <c r="AS388" t="s">
        <v>1203</v>
      </c>
      <c r="AU388" t="s">
        <v>1204</v>
      </c>
      <c r="AW388" t="b">
        <v>0</v>
      </c>
      <c r="AY388" t="b">
        <v>0</v>
      </c>
      <c r="BA388" t="s">
        <v>1579</v>
      </c>
      <c r="BJ388" t="s">
        <v>1581</v>
      </c>
    </row>
    <row r="389" spans="1:62" x14ac:dyDescent="0.25">
      <c r="A389" t="s">
        <v>1177</v>
      </c>
      <c r="B389">
        <v>100270</v>
      </c>
      <c r="C389">
        <v>100270</v>
      </c>
      <c r="D389" s="112" t="s">
        <v>2812</v>
      </c>
      <c r="E389" t="s">
        <v>1119</v>
      </c>
      <c r="F389" t="s">
        <v>1178</v>
      </c>
      <c r="G389" t="s">
        <v>1914</v>
      </c>
      <c r="H389" t="s">
        <v>1910</v>
      </c>
      <c r="I389">
        <v>12</v>
      </c>
      <c r="J389" t="s">
        <v>1279</v>
      </c>
      <c r="K389">
        <v>12174</v>
      </c>
      <c r="L389" t="s">
        <v>1571</v>
      </c>
      <c r="M389">
        <v>12174239</v>
      </c>
      <c r="N389" t="s">
        <v>1572</v>
      </c>
      <c r="O389">
        <v>12174239647</v>
      </c>
      <c r="P389" t="s">
        <v>1610</v>
      </c>
      <c r="Q389" t="s">
        <v>1911</v>
      </c>
      <c r="R389" t="s">
        <v>1912</v>
      </c>
      <c r="S389" t="s">
        <v>1910</v>
      </c>
      <c r="T389" t="s">
        <v>1913</v>
      </c>
      <c r="U389" t="s">
        <v>1310</v>
      </c>
      <c r="V389" t="s">
        <v>1311</v>
      </c>
      <c r="W389">
        <v>550</v>
      </c>
      <c r="X389" t="s">
        <v>1342</v>
      </c>
      <c r="Y389">
        <v>12</v>
      </c>
      <c r="Z389">
        <v>6600</v>
      </c>
      <c r="AA389" t="s">
        <v>28</v>
      </c>
      <c r="AB389" t="s">
        <v>1190</v>
      </c>
      <c r="AC389">
        <v>550</v>
      </c>
      <c r="AD389" t="s">
        <v>1289</v>
      </c>
      <c r="AE389" t="s">
        <v>1290</v>
      </c>
      <c r="AF389" t="s">
        <v>1193</v>
      </c>
      <c r="AG389" t="s">
        <v>1194</v>
      </c>
      <c r="AH389" t="s">
        <v>1195</v>
      </c>
      <c r="AI389" t="s">
        <v>1202</v>
      </c>
      <c r="AJ389" t="s">
        <v>1291</v>
      </c>
      <c r="AK389" t="s">
        <v>1292</v>
      </c>
      <c r="AL389" t="s">
        <v>1291</v>
      </c>
      <c r="AM389" t="s">
        <v>1577</v>
      </c>
      <c r="AN389" t="s">
        <v>1201</v>
      </c>
      <c r="AO389" t="s">
        <v>1292</v>
      </c>
      <c r="AP389" t="s">
        <v>1578</v>
      </c>
      <c r="AQ389" t="s">
        <v>1203</v>
      </c>
      <c r="AR389" t="s">
        <v>1201</v>
      </c>
      <c r="AS389" t="s">
        <v>1203</v>
      </c>
      <c r="AU389" t="s">
        <v>1204</v>
      </c>
      <c r="AW389" t="b">
        <v>0</v>
      </c>
      <c r="AY389" t="b">
        <v>0</v>
      </c>
      <c r="BA389" t="s">
        <v>1579</v>
      </c>
      <c r="BJ389" t="s">
        <v>1581</v>
      </c>
    </row>
    <row r="390" spans="1:62" x14ac:dyDescent="0.25">
      <c r="A390" t="s">
        <v>1177</v>
      </c>
      <c r="B390">
        <v>109005</v>
      </c>
      <c r="C390">
        <v>109005</v>
      </c>
      <c r="D390" s="112" t="s">
        <v>2813</v>
      </c>
      <c r="E390" t="s">
        <v>1119</v>
      </c>
      <c r="F390" t="s">
        <v>1178</v>
      </c>
      <c r="G390" t="s">
        <v>1915</v>
      </c>
      <c r="H390" s="135" t="s">
        <v>1637</v>
      </c>
      <c r="I390">
        <v>12</v>
      </c>
      <c r="J390" t="s">
        <v>1279</v>
      </c>
      <c r="K390">
        <v>12174</v>
      </c>
      <c r="L390" t="s">
        <v>1571</v>
      </c>
      <c r="M390">
        <v>12174239</v>
      </c>
      <c r="N390" t="s">
        <v>1572</v>
      </c>
      <c r="O390">
        <v>12174239647</v>
      </c>
      <c r="P390" t="s">
        <v>1610</v>
      </c>
      <c r="Q390" s="135" t="s">
        <v>1638</v>
      </c>
      <c r="R390" t="s">
        <v>1639</v>
      </c>
      <c r="S390" s="135" t="s">
        <v>1637</v>
      </c>
      <c r="T390" t="s">
        <v>1640</v>
      </c>
      <c r="U390" t="s">
        <v>1310</v>
      </c>
      <c r="V390" t="s">
        <v>1311</v>
      </c>
      <c r="W390">
        <v>250</v>
      </c>
      <c r="X390" t="s">
        <v>1342</v>
      </c>
      <c r="Y390">
        <v>24</v>
      </c>
      <c r="Z390">
        <v>6000</v>
      </c>
      <c r="AA390" t="s">
        <v>28</v>
      </c>
      <c r="AB390" t="s">
        <v>1190</v>
      </c>
      <c r="AC390">
        <v>250</v>
      </c>
      <c r="AD390" t="s">
        <v>1191</v>
      </c>
      <c r="AE390" t="s">
        <v>1192</v>
      </c>
      <c r="AF390" t="s">
        <v>1193</v>
      </c>
      <c r="AG390" t="s">
        <v>1194</v>
      </c>
      <c r="AH390" t="s">
        <v>1195</v>
      </c>
      <c r="AI390" t="s">
        <v>1202</v>
      </c>
      <c r="AJ390" t="s">
        <v>1291</v>
      </c>
      <c r="AK390" t="s">
        <v>1292</v>
      </c>
      <c r="AL390" t="s">
        <v>1291</v>
      </c>
      <c r="AM390" t="s">
        <v>1577</v>
      </c>
      <c r="AN390" t="s">
        <v>1201</v>
      </c>
      <c r="AO390" t="s">
        <v>1292</v>
      </c>
      <c r="AP390" t="s">
        <v>1578</v>
      </c>
      <c r="AQ390" t="s">
        <v>1203</v>
      </c>
      <c r="AR390" t="s">
        <v>1201</v>
      </c>
      <c r="AS390" t="s">
        <v>1203</v>
      </c>
      <c r="AU390" t="s">
        <v>1204</v>
      </c>
      <c r="AW390" t="b">
        <v>1</v>
      </c>
      <c r="AY390" t="b">
        <v>0</v>
      </c>
      <c r="BA390" t="s">
        <v>1579</v>
      </c>
      <c r="BJ390" t="s">
        <v>1581</v>
      </c>
    </row>
    <row r="391" spans="1:62" x14ac:dyDescent="0.25">
      <c r="A391" t="s">
        <v>1177</v>
      </c>
      <c r="B391">
        <v>109001</v>
      </c>
      <c r="C391">
        <v>109001</v>
      </c>
      <c r="D391" s="112" t="s">
        <v>2814</v>
      </c>
      <c r="E391" t="s">
        <v>1119</v>
      </c>
      <c r="F391" t="s">
        <v>1178</v>
      </c>
      <c r="G391" t="s">
        <v>1916</v>
      </c>
      <c r="H391" s="135" t="s">
        <v>1665</v>
      </c>
      <c r="I391">
        <v>12</v>
      </c>
      <c r="J391" t="s">
        <v>1279</v>
      </c>
      <c r="K391">
        <v>12174</v>
      </c>
      <c r="L391" t="s">
        <v>1571</v>
      </c>
      <c r="M391">
        <v>12174239</v>
      </c>
      <c r="N391" t="s">
        <v>1572</v>
      </c>
      <c r="O391">
        <v>12174239647</v>
      </c>
      <c r="P391" t="s">
        <v>1610</v>
      </c>
      <c r="Q391" s="135" t="s">
        <v>1666</v>
      </c>
      <c r="R391" t="s">
        <v>1667</v>
      </c>
      <c r="S391" s="135" t="s">
        <v>1665</v>
      </c>
      <c r="T391" t="s">
        <v>1668</v>
      </c>
      <c r="U391" t="s">
        <v>1310</v>
      </c>
      <c r="V391" t="s">
        <v>1311</v>
      </c>
      <c r="W391">
        <v>600</v>
      </c>
      <c r="X391" t="s">
        <v>1342</v>
      </c>
      <c r="Y391">
        <v>12</v>
      </c>
      <c r="Z391">
        <v>7200</v>
      </c>
      <c r="AA391" t="s">
        <v>28</v>
      </c>
      <c r="AB391" t="s">
        <v>1190</v>
      </c>
      <c r="AC391">
        <v>600</v>
      </c>
      <c r="AD391" t="s">
        <v>1289</v>
      </c>
      <c r="AE391" t="s">
        <v>1290</v>
      </c>
      <c r="AF391" t="s">
        <v>1193</v>
      </c>
      <c r="AG391" t="s">
        <v>1194</v>
      </c>
      <c r="AH391" t="s">
        <v>1195</v>
      </c>
      <c r="AI391" t="s">
        <v>1202</v>
      </c>
      <c r="AJ391" t="s">
        <v>1291</v>
      </c>
      <c r="AK391" t="s">
        <v>1292</v>
      </c>
      <c r="AL391" t="s">
        <v>1291</v>
      </c>
      <c r="AM391" t="s">
        <v>1577</v>
      </c>
      <c r="AN391" t="s">
        <v>1201</v>
      </c>
      <c r="AO391" t="s">
        <v>1292</v>
      </c>
      <c r="AP391" t="s">
        <v>1578</v>
      </c>
      <c r="AQ391" t="s">
        <v>1203</v>
      </c>
      <c r="AR391" t="s">
        <v>1201</v>
      </c>
      <c r="AS391" t="s">
        <v>1203</v>
      </c>
      <c r="AU391" t="s">
        <v>1204</v>
      </c>
      <c r="AW391" t="b">
        <v>1</v>
      </c>
      <c r="AY391" t="b">
        <v>0</v>
      </c>
      <c r="BA391" t="s">
        <v>1579</v>
      </c>
      <c r="BJ391" t="s">
        <v>1581</v>
      </c>
    </row>
    <row r="392" spans="1:62" x14ac:dyDescent="0.25">
      <c r="A392" t="s">
        <v>1177</v>
      </c>
      <c r="B392">
        <v>109004</v>
      </c>
      <c r="C392" t="s">
        <v>1258</v>
      </c>
      <c r="D392" s="112" t="s">
        <v>2815</v>
      </c>
      <c r="E392" t="s">
        <v>1119</v>
      </c>
      <c r="F392" t="s">
        <v>1178</v>
      </c>
      <c r="G392" t="s">
        <v>1917</v>
      </c>
      <c r="H392" t="s">
        <v>1918</v>
      </c>
      <c r="I392">
        <v>12</v>
      </c>
      <c r="J392" t="s">
        <v>1279</v>
      </c>
      <c r="K392">
        <v>12174</v>
      </c>
      <c r="L392" t="s">
        <v>1571</v>
      </c>
      <c r="M392">
        <v>12174239</v>
      </c>
      <c r="N392" t="s">
        <v>1572</v>
      </c>
      <c r="O392">
        <v>12174239647</v>
      </c>
      <c r="P392" t="s">
        <v>1610</v>
      </c>
      <c r="Q392" t="s">
        <v>1919</v>
      </c>
      <c r="R392" t="s">
        <v>1920</v>
      </c>
      <c r="S392" t="s">
        <v>1918</v>
      </c>
      <c r="T392" t="s">
        <v>1921</v>
      </c>
      <c r="U392" t="s">
        <v>1237</v>
      </c>
      <c r="V392" t="s">
        <v>1238</v>
      </c>
      <c r="W392">
        <v>130</v>
      </c>
      <c r="X392" t="s">
        <v>1342</v>
      </c>
      <c r="Y392">
        <v>48</v>
      </c>
      <c r="Z392">
        <v>6240</v>
      </c>
      <c r="AA392" t="s">
        <v>28</v>
      </c>
      <c r="AB392" t="s">
        <v>1190</v>
      </c>
      <c r="AC392">
        <v>130</v>
      </c>
      <c r="AD392" t="s">
        <v>1191</v>
      </c>
      <c r="AE392" t="s">
        <v>1192</v>
      </c>
      <c r="AF392" t="s">
        <v>1193</v>
      </c>
      <c r="AG392" t="s">
        <v>1194</v>
      </c>
      <c r="AH392" t="s">
        <v>1195</v>
      </c>
      <c r="AI392" t="s">
        <v>1202</v>
      </c>
      <c r="AJ392" t="s">
        <v>1291</v>
      </c>
      <c r="AK392" t="s">
        <v>1292</v>
      </c>
      <c r="AL392" t="s">
        <v>1291</v>
      </c>
      <c r="AM392" t="s">
        <v>1577</v>
      </c>
      <c r="AN392" t="s">
        <v>1201</v>
      </c>
      <c r="AO392" t="s">
        <v>1292</v>
      </c>
      <c r="AP392" t="s">
        <v>1578</v>
      </c>
      <c r="AQ392" t="s">
        <v>1203</v>
      </c>
      <c r="AR392" t="s">
        <v>1201</v>
      </c>
      <c r="AS392" t="s">
        <v>1203</v>
      </c>
      <c r="AU392" t="s">
        <v>1204</v>
      </c>
      <c r="AW392" t="b">
        <v>1</v>
      </c>
      <c r="AY392" t="b">
        <v>0</v>
      </c>
      <c r="BA392" t="s">
        <v>1579</v>
      </c>
      <c r="BJ392" t="s">
        <v>1581</v>
      </c>
    </row>
    <row r="393" spans="1:62" x14ac:dyDescent="0.25">
      <c r="A393" t="s">
        <v>1177</v>
      </c>
      <c r="B393">
        <v>810421</v>
      </c>
      <c r="C393" t="s">
        <v>1258</v>
      </c>
      <c r="D393" s="112" t="s">
        <v>2816</v>
      </c>
      <c r="E393" t="s">
        <v>1119</v>
      </c>
      <c r="F393" t="s">
        <v>1178</v>
      </c>
      <c r="G393" t="s">
        <v>1922</v>
      </c>
      <c r="H393" t="s">
        <v>1738</v>
      </c>
      <c r="I393">
        <v>12</v>
      </c>
      <c r="J393" t="s">
        <v>1279</v>
      </c>
      <c r="K393">
        <v>12174</v>
      </c>
      <c r="L393" t="s">
        <v>1571</v>
      </c>
      <c r="M393">
        <v>12174239</v>
      </c>
      <c r="N393" t="s">
        <v>1572</v>
      </c>
      <c r="O393">
        <v>12174239647</v>
      </c>
      <c r="P393" t="s">
        <v>1610</v>
      </c>
      <c r="Q393" t="s">
        <v>1616</v>
      </c>
      <c r="R393" t="s">
        <v>1617</v>
      </c>
      <c r="S393" t="s">
        <v>1738</v>
      </c>
      <c r="T393" t="s">
        <v>1739</v>
      </c>
      <c r="U393" t="s">
        <v>1237</v>
      </c>
      <c r="V393" t="s">
        <v>1238</v>
      </c>
      <c r="W393">
        <v>275</v>
      </c>
      <c r="X393" t="s">
        <v>1189</v>
      </c>
      <c r="Y393">
        <v>12</v>
      </c>
      <c r="Z393">
        <v>3300</v>
      </c>
      <c r="AA393" t="s">
        <v>28</v>
      </c>
      <c r="AB393" t="s">
        <v>1190</v>
      </c>
      <c r="AC393">
        <v>275</v>
      </c>
      <c r="AD393" t="s">
        <v>1191</v>
      </c>
      <c r="AE393" t="s">
        <v>1192</v>
      </c>
      <c r="AF393" t="s">
        <v>1193</v>
      </c>
      <c r="AG393" t="s">
        <v>1194</v>
      </c>
      <c r="AH393" t="s">
        <v>1195</v>
      </c>
      <c r="AI393" t="s">
        <v>1202</v>
      </c>
      <c r="AJ393" t="s">
        <v>1291</v>
      </c>
      <c r="AK393" t="s">
        <v>1292</v>
      </c>
      <c r="AL393" t="s">
        <v>1291</v>
      </c>
      <c r="AM393" t="s">
        <v>1577</v>
      </c>
      <c r="AN393" t="s">
        <v>1201</v>
      </c>
      <c r="AO393" t="s">
        <v>1292</v>
      </c>
      <c r="AP393" t="s">
        <v>1578</v>
      </c>
      <c r="AQ393" t="s">
        <v>1203</v>
      </c>
      <c r="AR393" t="s">
        <v>1201</v>
      </c>
      <c r="AS393" t="s">
        <v>1203</v>
      </c>
      <c r="AU393" t="s">
        <v>1204</v>
      </c>
      <c r="AW393" t="b">
        <v>0</v>
      </c>
      <c r="AY393" t="b">
        <v>0</v>
      </c>
      <c r="BA393" t="s">
        <v>1579</v>
      </c>
      <c r="BJ393" t="s">
        <v>1581</v>
      </c>
    </row>
    <row r="394" spans="1:62" x14ac:dyDescent="0.25">
      <c r="A394" t="s">
        <v>1177</v>
      </c>
      <c r="B394">
        <v>810422</v>
      </c>
      <c r="C394" t="s">
        <v>1258</v>
      </c>
      <c r="D394" s="112" t="s">
        <v>2817</v>
      </c>
      <c r="E394" t="s">
        <v>1119</v>
      </c>
      <c r="F394" t="s">
        <v>1178</v>
      </c>
      <c r="G394" t="s">
        <v>1923</v>
      </c>
      <c r="H394" t="s">
        <v>1653</v>
      </c>
      <c r="I394">
        <v>12</v>
      </c>
      <c r="J394" t="s">
        <v>1279</v>
      </c>
      <c r="K394">
        <v>12174</v>
      </c>
      <c r="L394" t="s">
        <v>1571</v>
      </c>
      <c r="M394">
        <v>12174239</v>
      </c>
      <c r="N394" t="s">
        <v>1572</v>
      </c>
      <c r="O394">
        <v>12174239647</v>
      </c>
      <c r="P394" t="s">
        <v>1610</v>
      </c>
      <c r="Q394" t="s">
        <v>1654</v>
      </c>
      <c r="R394" t="s">
        <v>1655</v>
      </c>
      <c r="S394" t="s">
        <v>1653</v>
      </c>
      <c r="T394" t="s">
        <v>1656</v>
      </c>
      <c r="U394" t="s">
        <v>1237</v>
      </c>
      <c r="V394" t="s">
        <v>1238</v>
      </c>
      <c r="W394">
        <v>600</v>
      </c>
      <c r="X394" t="s">
        <v>1189</v>
      </c>
      <c r="Y394">
        <v>12</v>
      </c>
      <c r="Z394">
        <v>7200</v>
      </c>
      <c r="AA394" t="s">
        <v>28</v>
      </c>
      <c r="AB394" t="s">
        <v>1190</v>
      </c>
      <c r="AC394">
        <v>600</v>
      </c>
      <c r="AD394" t="s">
        <v>1289</v>
      </c>
      <c r="AE394" t="s">
        <v>1290</v>
      </c>
      <c r="AF394" t="s">
        <v>1193</v>
      </c>
      <c r="AG394" t="s">
        <v>1194</v>
      </c>
      <c r="AH394" t="s">
        <v>1195</v>
      </c>
      <c r="AI394" t="s">
        <v>1202</v>
      </c>
      <c r="AJ394" t="s">
        <v>1291</v>
      </c>
      <c r="AK394" t="s">
        <v>1292</v>
      </c>
      <c r="AL394" t="s">
        <v>1291</v>
      </c>
      <c r="AM394" t="s">
        <v>1577</v>
      </c>
      <c r="AN394" t="s">
        <v>1201</v>
      </c>
      <c r="AO394" t="s">
        <v>1292</v>
      </c>
      <c r="AP394" t="s">
        <v>1578</v>
      </c>
      <c r="AQ394" t="s">
        <v>1203</v>
      </c>
      <c r="AR394" t="s">
        <v>1201</v>
      </c>
      <c r="AS394" t="s">
        <v>1203</v>
      </c>
      <c r="AU394" t="s">
        <v>1204</v>
      </c>
      <c r="AW394" t="b">
        <v>0</v>
      </c>
      <c r="AY394" t="b">
        <v>0</v>
      </c>
      <c r="BA394" t="s">
        <v>1579</v>
      </c>
      <c r="BJ394" t="s">
        <v>1581</v>
      </c>
    </row>
    <row r="395" spans="1:62" x14ac:dyDescent="0.25">
      <c r="A395" t="s">
        <v>1177</v>
      </c>
      <c r="B395">
        <v>810423</v>
      </c>
      <c r="C395" t="s">
        <v>1258</v>
      </c>
      <c r="D395" s="112" t="s">
        <v>2818</v>
      </c>
      <c r="E395" t="s">
        <v>1119</v>
      </c>
      <c r="F395" t="s">
        <v>1178</v>
      </c>
      <c r="G395" t="s">
        <v>1924</v>
      </c>
      <c r="H395" t="s">
        <v>1674</v>
      </c>
      <c r="I395">
        <v>12</v>
      </c>
      <c r="J395" t="s">
        <v>1279</v>
      </c>
      <c r="K395">
        <v>12174</v>
      </c>
      <c r="L395" t="s">
        <v>1571</v>
      </c>
      <c r="M395">
        <v>12174239</v>
      </c>
      <c r="N395" t="s">
        <v>1572</v>
      </c>
      <c r="O395">
        <v>12174239647</v>
      </c>
      <c r="P395" t="s">
        <v>1610</v>
      </c>
      <c r="Q395" t="s">
        <v>1675</v>
      </c>
      <c r="R395" t="s">
        <v>1676</v>
      </c>
      <c r="S395" t="s">
        <v>1674</v>
      </c>
      <c r="T395" t="s">
        <v>1677</v>
      </c>
      <c r="U395" t="s">
        <v>1187</v>
      </c>
      <c r="V395" t="s">
        <v>1188</v>
      </c>
      <c r="W395">
        <v>620</v>
      </c>
      <c r="X395" t="s">
        <v>1189</v>
      </c>
      <c r="Y395">
        <v>12</v>
      </c>
      <c r="Z395">
        <v>7440</v>
      </c>
      <c r="AA395" t="s">
        <v>28</v>
      </c>
      <c r="AB395" t="s">
        <v>1190</v>
      </c>
      <c r="AC395">
        <v>620</v>
      </c>
      <c r="AD395" t="s">
        <v>1289</v>
      </c>
      <c r="AE395" t="s">
        <v>1290</v>
      </c>
      <c r="AF395" t="s">
        <v>1193</v>
      </c>
      <c r="AG395" t="s">
        <v>1194</v>
      </c>
      <c r="AH395" t="s">
        <v>1195</v>
      </c>
      <c r="AI395" t="s">
        <v>1202</v>
      </c>
      <c r="AJ395" t="s">
        <v>1291</v>
      </c>
      <c r="AK395" t="s">
        <v>1292</v>
      </c>
      <c r="AL395" t="s">
        <v>1291</v>
      </c>
      <c r="AM395" t="s">
        <v>1577</v>
      </c>
      <c r="AN395" t="s">
        <v>1201</v>
      </c>
      <c r="AO395" t="s">
        <v>1292</v>
      </c>
      <c r="AP395" t="s">
        <v>1578</v>
      </c>
      <c r="AQ395" t="s">
        <v>1203</v>
      </c>
      <c r="AR395" t="s">
        <v>1201</v>
      </c>
      <c r="AS395" t="s">
        <v>1203</v>
      </c>
      <c r="AU395" t="s">
        <v>1204</v>
      </c>
      <c r="AW395" t="b">
        <v>0</v>
      </c>
      <c r="AY395" t="b">
        <v>0</v>
      </c>
      <c r="BA395" t="s">
        <v>1579</v>
      </c>
      <c r="BJ395" t="s">
        <v>1581</v>
      </c>
    </row>
    <row r="396" spans="1:62" x14ac:dyDescent="0.25">
      <c r="A396" t="s">
        <v>1177</v>
      </c>
      <c r="B396">
        <v>810376</v>
      </c>
      <c r="C396" t="s">
        <v>1258</v>
      </c>
      <c r="D396" s="112" t="s">
        <v>2819</v>
      </c>
      <c r="E396" t="s">
        <v>1119</v>
      </c>
      <c r="F396" t="s">
        <v>1178</v>
      </c>
      <c r="G396" t="s">
        <v>1925</v>
      </c>
      <c r="H396" t="s">
        <v>1674</v>
      </c>
      <c r="I396">
        <v>12</v>
      </c>
      <c r="J396" t="s">
        <v>1279</v>
      </c>
      <c r="K396">
        <v>12174</v>
      </c>
      <c r="L396" t="s">
        <v>1571</v>
      </c>
      <c r="M396">
        <v>12174239</v>
      </c>
      <c r="N396" t="s">
        <v>1572</v>
      </c>
      <c r="O396">
        <v>12174239647</v>
      </c>
      <c r="P396" t="s">
        <v>1610</v>
      </c>
      <c r="Q396" t="s">
        <v>1675</v>
      </c>
      <c r="R396" t="s">
        <v>1676</v>
      </c>
      <c r="S396" t="s">
        <v>1674</v>
      </c>
      <c r="T396" t="s">
        <v>1677</v>
      </c>
      <c r="U396" t="s">
        <v>1187</v>
      </c>
      <c r="V396" t="s">
        <v>1188</v>
      </c>
      <c r="W396">
        <v>620</v>
      </c>
      <c r="X396" t="s">
        <v>1189</v>
      </c>
      <c r="Y396">
        <v>12</v>
      </c>
      <c r="Z396">
        <v>7440</v>
      </c>
      <c r="AA396" t="s">
        <v>28</v>
      </c>
      <c r="AB396" t="s">
        <v>1190</v>
      </c>
      <c r="AC396">
        <v>620</v>
      </c>
      <c r="AD396" t="s">
        <v>1289</v>
      </c>
      <c r="AE396" t="s">
        <v>1290</v>
      </c>
      <c r="AF396" t="s">
        <v>1193</v>
      </c>
      <c r="AG396" t="s">
        <v>1194</v>
      </c>
      <c r="AH396" t="s">
        <v>1195</v>
      </c>
      <c r="AI396" t="s">
        <v>1202</v>
      </c>
      <c r="AJ396" t="s">
        <v>1291</v>
      </c>
      <c r="AK396" t="s">
        <v>1292</v>
      </c>
      <c r="AL396" t="s">
        <v>1291</v>
      </c>
      <c r="AM396" t="s">
        <v>1577</v>
      </c>
      <c r="AN396" t="s">
        <v>1201</v>
      </c>
      <c r="AO396" t="s">
        <v>1292</v>
      </c>
      <c r="AP396" t="s">
        <v>1578</v>
      </c>
      <c r="AQ396" t="s">
        <v>1203</v>
      </c>
      <c r="AR396" t="s">
        <v>1201</v>
      </c>
      <c r="AS396" t="s">
        <v>1203</v>
      </c>
      <c r="AU396" t="s">
        <v>1204</v>
      </c>
      <c r="AW396" t="b">
        <v>0</v>
      </c>
      <c r="AY396" t="b">
        <v>0</v>
      </c>
      <c r="BA396" t="s">
        <v>1579</v>
      </c>
      <c r="BJ396" t="s">
        <v>1581</v>
      </c>
    </row>
    <row r="397" spans="1:62" x14ac:dyDescent="0.25">
      <c r="A397" t="s">
        <v>1177</v>
      </c>
      <c r="B397">
        <v>810437</v>
      </c>
      <c r="C397" t="s">
        <v>1258</v>
      </c>
      <c r="D397" s="112" t="s">
        <v>2820</v>
      </c>
      <c r="E397" t="s">
        <v>1119</v>
      </c>
      <c r="F397" t="s">
        <v>1178</v>
      </c>
      <c r="G397" t="s">
        <v>1926</v>
      </c>
      <c r="H397" s="135" t="s">
        <v>1704</v>
      </c>
      <c r="I397">
        <v>12</v>
      </c>
      <c r="J397" t="s">
        <v>1279</v>
      </c>
      <c r="K397">
        <v>12174</v>
      </c>
      <c r="L397" t="s">
        <v>1571</v>
      </c>
      <c r="M397">
        <v>12174239</v>
      </c>
      <c r="N397" t="s">
        <v>1572</v>
      </c>
      <c r="O397">
        <v>12174239647</v>
      </c>
      <c r="P397" t="s">
        <v>1610</v>
      </c>
      <c r="Q397" s="135" t="s">
        <v>1705</v>
      </c>
      <c r="R397" t="s">
        <v>1706</v>
      </c>
      <c r="S397" s="135" t="s">
        <v>1704</v>
      </c>
      <c r="T397" t="s">
        <v>1707</v>
      </c>
      <c r="U397" t="s">
        <v>1237</v>
      </c>
      <c r="V397" t="s">
        <v>1238</v>
      </c>
      <c r="W397">
        <v>132</v>
      </c>
      <c r="X397" t="s">
        <v>1189</v>
      </c>
      <c r="Y397">
        <v>48</v>
      </c>
      <c r="Z397">
        <v>6336</v>
      </c>
      <c r="AA397" t="s">
        <v>28</v>
      </c>
      <c r="AB397" t="s">
        <v>1190</v>
      </c>
      <c r="AC397">
        <v>132</v>
      </c>
      <c r="AD397" t="s">
        <v>1191</v>
      </c>
      <c r="AE397" t="s">
        <v>1192</v>
      </c>
      <c r="AF397" t="s">
        <v>1193</v>
      </c>
      <c r="AG397" t="s">
        <v>1194</v>
      </c>
      <c r="AH397" t="s">
        <v>1195</v>
      </c>
      <c r="AI397" t="s">
        <v>1202</v>
      </c>
      <c r="AJ397" t="s">
        <v>1291</v>
      </c>
      <c r="AK397" t="s">
        <v>1292</v>
      </c>
      <c r="AL397" t="s">
        <v>1291</v>
      </c>
      <c r="AM397" t="s">
        <v>1577</v>
      </c>
      <c r="AN397" t="s">
        <v>1201</v>
      </c>
      <c r="AO397" t="s">
        <v>1292</v>
      </c>
      <c r="AP397" t="s">
        <v>1578</v>
      </c>
      <c r="AQ397" t="s">
        <v>1203</v>
      </c>
      <c r="AR397" t="s">
        <v>1201</v>
      </c>
      <c r="AS397" t="s">
        <v>1203</v>
      </c>
      <c r="AU397" t="s">
        <v>1204</v>
      </c>
      <c r="AW397" t="b">
        <v>0</v>
      </c>
      <c r="AY397" t="b">
        <v>0</v>
      </c>
      <c r="BA397" t="s">
        <v>1579</v>
      </c>
      <c r="BJ397" t="s">
        <v>1581</v>
      </c>
    </row>
    <row r="398" spans="1:62" x14ac:dyDescent="0.25">
      <c r="A398" t="s">
        <v>1177</v>
      </c>
      <c r="B398">
        <v>810424</v>
      </c>
      <c r="C398" t="s">
        <v>1258</v>
      </c>
      <c r="D398" s="112" t="s">
        <v>2821</v>
      </c>
      <c r="E398" t="s">
        <v>1119</v>
      </c>
      <c r="F398" t="s">
        <v>1178</v>
      </c>
      <c r="G398" t="s">
        <v>1927</v>
      </c>
      <c r="H398" t="s">
        <v>1897</v>
      </c>
      <c r="I398">
        <v>12</v>
      </c>
      <c r="J398" t="s">
        <v>1279</v>
      </c>
      <c r="K398">
        <v>12174</v>
      </c>
      <c r="L398" t="s">
        <v>1571</v>
      </c>
      <c r="M398">
        <v>12174239</v>
      </c>
      <c r="N398" t="s">
        <v>1572</v>
      </c>
      <c r="O398">
        <v>12174239647</v>
      </c>
      <c r="P398" t="s">
        <v>1610</v>
      </c>
      <c r="Q398" t="s">
        <v>1643</v>
      </c>
      <c r="R398" t="s">
        <v>1644</v>
      </c>
      <c r="S398" t="s">
        <v>1897</v>
      </c>
      <c r="T398" t="s">
        <v>1898</v>
      </c>
      <c r="U398" t="s">
        <v>1286</v>
      </c>
      <c r="V398" t="s">
        <v>1287</v>
      </c>
      <c r="W398">
        <v>6</v>
      </c>
      <c r="X398" t="s">
        <v>1288</v>
      </c>
      <c r="Y398">
        <v>4</v>
      </c>
      <c r="Z398">
        <v>24</v>
      </c>
      <c r="AA398" t="s">
        <v>28</v>
      </c>
      <c r="AB398" t="s">
        <v>1899</v>
      </c>
      <c r="AC398">
        <v>6000</v>
      </c>
      <c r="AD398" t="s">
        <v>1289</v>
      </c>
      <c r="AE398" t="s">
        <v>1290</v>
      </c>
      <c r="AF398" t="s">
        <v>1193</v>
      </c>
      <c r="AG398" t="s">
        <v>1194</v>
      </c>
      <c r="AH398">
        <v>4</v>
      </c>
      <c r="AI398" t="s">
        <v>1202</v>
      </c>
      <c r="AJ398" t="s">
        <v>1291</v>
      </c>
      <c r="AK398" t="s">
        <v>1292</v>
      </c>
      <c r="AL398" t="s">
        <v>1291</v>
      </c>
      <c r="AM398" t="s">
        <v>1577</v>
      </c>
      <c r="AN398" t="s">
        <v>1201</v>
      </c>
      <c r="AO398" t="s">
        <v>1292</v>
      </c>
      <c r="AP398" t="s">
        <v>1578</v>
      </c>
      <c r="AQ398" t="s">
        <v>1203</v>
      </c>
      <c r="AR398" t="s">
        <v>1201</v>
      </c>
      <c r="AS398" t="s">
        <v>1203</v>
      </c>
      <c r="AU398" t="s">
        <v>1204</v>
      </c>
      <c r="AW398" t="b">
        <v>0</v>
      </c>
      <c r="AY398" t="b">
        <v>0</v>
      </c>
      <c r="BA398" t="s">
        <v>1579</v>
      </c>
      <c r="BJ398" t="s">
        <v>1581</v>
      </c>
    </row>
    <row r="399" spans="1:62" x14ac:dyDescent="0.25">
      <c r="A399" t="s">
        <v>1177</v>
      </c>
      <c r="B399">
        <v>100268</v>
      </c>
      <c r="C399">
        <v>100268</v>
      </c>
      <c r="D399" s="112" t="s">
        <v>2822</v>
      </c>
      <c r="E399" t="s">
        <v>1119</v>
      </c>
      <c r="F399" t="s">
        <v>1178</v>
      </c>
      <c r="G399" t="s">
        <v>1928</v>
      </c>
      <c r="H399" t="s">
        <v>1929</v>
      </c>
      <c r="I399">
        <v>12</v>
      </c>
      <c r="J399" t="s">
        <v>1279</v>
      </c>
      <c r="K399">
        <v>12174</v>
      </c>
      <c r="L399" t="s">
        <v>1571</v>
      </c>
      <c r="M399">
        <v>12174239</v>
      </c>
      <c r="N399" t="s">
        <v>1572</v>
      </c>
      <c r="O399">
        <v>12174239647</v>
      </c>
      <c r="P399" t="s">
        <v>1610</v>
      </c>
      <c r="Q399" t="s">
        <v>1930</v>
      </c>
      <c r="R399" t="s">
        <v>1931</v>
      </c>
      <c r="S399" t="s">
        <v>1929</v>
      </c>
      <c r="T399" t="s">
        <v>1932</v>
      </c>
      <c r="U399" t="s">
        <v>1310</v>
      </c>
      <c r="V399" t="s">
        <v>1311</v>
      </c>
      <c r="W399">
        <v>240</v>
      </c>
      <c r="X399" t="s">
        <v>1342</v>
      </c>
      <c r="Y399">
        <v>24</v>
      </c>
      <c r="Z399">
        <v>5760</v>
      </c>
      <c r="AA399" t="s">
        <v>28</v>
      </c>
      <c r="AB399" t="s">
        <v>1190</v>
      </c>
      <c r="AC399">
        <v>240</v>
      </c>
      <c r="AD399" t="s">
        <v>1191</v>
      </c>
      <c r="AE399" t="s">
        <v>1192</v>
      </c>
      <c r="AF399" t="s">
        <v>1193</v>
      </c>
      <c r="AG399" t="s">
        <v>1194</v>
      </c>
      <c r="AH399" t="s">
        <v>1195</v>
      </c>
      <c r="AI399" t="s">
        <v>1202</v>
      </c>
      <c r="AJ399" t="s">
        <v>1291</v>
      </c>
      <c r="AK399" t="s">
        <v>1272</v>
      </c>
      <c r="AL399" t="s">
        <v>1291</v>
      </c>
      <c r="AM399" t="s">
        <v>1577</v>
      </c>
      <c r="AN399" t="s">
        <v>1201</v>
      </c>
      <c r="AO399" t="s">
        <v>1292</v>
      </c>
      <c r="AP399" t="s">
        <v>1578</v>
      </c>
      <c r="AQ399" t="s">
        <v>1203</v>
      </c>
      <c r="AR399" t="s">
        <v>1201</v>
      </c>
      <c r="AS399" t="s">
        <v>1203</v>
      </c>
      <c r="AU399" t="s">
        <v>1204</v>
      </c>
      <c r="AW399" t="b">
        <v>0</v>
      </c>
      <c r="AY399" t="b">
        <v>0</v>
      </c>
      <c r="BA399" t="s">
        <v>1579</v>
      </c>
      <c r="BJ399" t="s">
        <v>1581</v>
      </c>
    </row>
    <row r="400" spans="1:62" x14ac:dyDescent="0.25">
      <c r="A400" t="s">
        <v>1177</v>
      </c>
      <c r="B400">
        <v>810415</v>
      </c>
      <c r="C400" t="s">
        <v>1258</v>
      </c>
      <c r="D400" s="112" t="s">
        <v>2823</v>
      </c>
      <c r="E400" t="s">
        <v>1119</v>
      </c>
      <c r="F400" t="s">
        <v>1178</v>
      </c>
      <c r="G400" t="s">
        <v>1933</v>
      </c>
      <c r="H400" t="s">
        <v>1674</v>
      </c>
      <c r="I400">
        <v>12</v>
      </c>
      <c r="J400" t="s">
        <v>1279</v>
      </c>
      <c r="K400">
        <v>12174</v>
      </c>
      <c r="L400" t="s">
        <v>1571</v>
      </c>
      <c r="M400">
        <v>12174239</v>
      </c>
      <c r="N400" t="s">
        <v>1572</v>
      </c>
      <c r="O400">
        <v>12174239647</v>
      </c>
      <c r="P400" t="s">
        <v>1610</v>
      </c>
      <c r="Q400" t="s">
        <v>1675</v>
      </c>
      <c r="R400" t="s">
        <v>1676</v>
      </c>
      <c r="S400" t="s">
        <v>1674</v>
      </c>
      <c r="T400" t="s">
        <v>1677</v>
      </c>
      <c r="U400" t="s">
        <v>1187</v>
      </c>
      <c r="V400" t="s">
        <v>1188</v>
      </c>
      <c r="W400">
        <v>620</v>
      </c>
      <c r="X400" t="s">
        <v>1189</v>
      </c>
      <c r="Y400">
        <v>12</v>
      </c>
      <c r="Z400">
        <v>7440</v>
      </c>
      <c r="AA400" t="s">
        <v>28</v>
      </c>
      <c r="AB400" t="s">
        <v>1190</v>
      </c>
      <c r="AC400">
        <v>620</v>
      </c>
      <c r="AD400" t="s">
        <v>1289</v>
      </c>
      <c r="AE400" t="s">
        <v>1290</v>
      </c>
      <c r="AF400" t="s">
        <v>1193</v>
      </c>
      <c r="AG400" t="s">
        <v>1194</v>
      </c>
      <c r="AH400" t="s">
        <v>1195</v>
      </c>
      <c r="AI400" t="s">
        <v>1202</v>
      </c>
      <c r="AJ400" t="s">
        <v>1291</v>
      </c>
      <c r="AK400" t="s">
        <v>1272</v>
      </c>
      <c r="AL400" t="s">
        <v>1291</v>
      </c>
      <c r="AM400" t="s">
        <v>1577</v>
      </c>
      <c r="AN400" t="s">
        <v>1201</v>
      </c>
      <c r="AO400" t="s">
        <v>1292</v>
      </c>
      <c r="AP400" t="s">
        <v>1578</v>
      </c>
      <c r="AQ400" t="s">
        <v>1203</v>
      </c>
      <c r="AR400" t="s">
        <v>1201</v>
      </c>
      <c r="AS400" t="s">
        <v>1203</v>
      </c>
      <c r="AU400" t="s">
        <v>1204</v>
      </c>
      <c r="AW400" t="b">
        <v>0</v>
      </c>
      <c r="AY400" t="b">
        <v>0</v>
      </c>
      <c r="BA400" t="s">
        <v>1579</v>
      </c>
      <c r="BJ400" t="s">
        <v>1581</v>
      </c>
    </row>
    <row r="401" spans="1:62" x14ac:dyDescent="0.25">
      <c r="A401" t="s">
        <v>1177</v>
      </c>
      <c r="B401">
        <v>810416</v>
      </c>
      <c r="C401" t="s">
        <v>1258</v>
      </c>
      <c r="D401" s="112" t="s">
        <v>2824</v>
      </c>
      <c r="E401" t="s">
        <v>1119</v>
      </c>
      <c r="F401" t="s">
        <v>1178</v>
      </c>
      <c r="G401" t="s">
        <v>1934</v>
      </c>
      <c r="H401" s="135" t="s">
        <v>1935</v>
      </c>
      <c r="I401">
        <v>12</v>
      </c>
      <c r="J401" t="s">
        <v>1279</v>
      </c>
      <c r="K401">
        <v>12174</v>
      </c>
      <c r="L401" t="s">
        <v>1571</v>
      </c>
      <c r="M401">
        <v>12174239</v>
      </c>
      <c r="N401" t="s">
        <v>1572</v>
      </c>
      <c r="O401">
        <v>12174239647</v>
      </c>
      <c r="P401" t="s">
        <v>1610</v>
      </c>
      <c r="Q401" s="135" t="s">
        <v>1936</v>
      </c>
      <c r="R401" t="s">
        <v>1937</v>
      </c>
      <c r="S401" s="135" t="s">
        <v>1935</v>
      </c>
      <c r="T401" t="s">
        <v>1938</v>
      </c>
      <c r="U401" t="s">
        <v>1187</v>
      </c>
      <c r="V401" t="s">
        <v>1188</v>
      </c>
      <c r="W401">
        <v>600</v>
      </c>
      <c r="X401" t="s">
        <v>1189</v>
      </c>
      <c r="Y401">
        <v>12</v>
      </c>
      <c r="Z401">
        <v>7200</v>
      </c>
      <c r="AA401" t="s">
        <v>28</v>
      </c>
      <c r="AB401" t="s">
        <v>1190</v>
      </c>
      <c r="AC401">
        <v>600</v>
      </c>
      <c r="AD401" t="s">
        <v>1289</v>
      </c>
      <c r="AE401" t="s">
        <v>1290</v>
      </c>
      <c r="AF401" t="s">
        <v>1193</v>
      </c>
      <c r="AG401" t="s">
        <v>1194</v>
      </c>
      <c r="AH401" t="s">
        <v>1195</v>
      </c>
      <c r="AI401" t="s">
        <v>1202</v>
      </c>
      <c r="AJ401" t="s">
        <v>1291</v>
      </c>
      <c r="AK401" t="s">
        <v>1272</v>
      </c>
      <c r="AL401" t="s">
        <v>1291</v>
      </c>
      <c r="AM401" t="s">
        <v>1577</v>
      </c>
      <c r="AN401" t="s">
        <v>1201</v>
      </c>
      <c r="AO401" t="s">
        <v>1292</v>
      </c>
      <c r="AP401" t="s">
        <v>1578</v>
      </c>
      <c r="AQ401" t="s">
        <v>1203</v>
      </c>
      <c r="AR401" t="s">
        <v>1201</v>
      </c>
      <c r="AS401" t="s">
        <v>1203</v>
      </c>
      <c r="AU401" t="s">
        <v>1204</v>
      </c>
      <c r="AW401" t="b">
        <v>0</v>
      </c>
      <c r="AY401" t="b">
        <v>0</v>
      </c>
      <c r="BA401" t="s">
        <v>1579</v>
      </c>
      <c r="BJ401" t="s">
        <v>1581</v>
      </c>
    </row>
    <row r="402" spans="1:62" x14ac:dyDescent="0.25">
      <c r="A402" t="s">
        <v>1177</v>
      </c>
      <c r="B402">
        <v>810417</v>
      </c>
      <c r="C402" t="s">
        <v>1258</v>
      </c>
      <c r="D402" s="112" t="s">
        <v>2825</v>
      </c>
      <c r="E402" t="s">
        <v>1119</v>
      </c>
      <c r="F402" t="s">
        <v>1178</v>
      </c>
      <c r="G402" t="s">
        <v>1939</v>
      </c>
      <c r="H402" t="s">
        <v>1674</v>
      </c>
      <c r="I402">
        <v>12</v>
      </c>
      <c r="J402" t="s">
        <v>1279</v>
      </c>
      <c r="K402">
        <v>12174</v>
      </c>
      <c r="L402" t="s">
        <v>1571</v>
      </c>
      <c r="M402">
        <v>12174239</v>
      </c>
      <c r="N402" t="s">
        <v>1572</v>
      </c>
      <c r="O402">
        <v>12174239647</v>
      </c>
      <c r="P402" t="s">
        <v>1610</v>
      </c>
      <c r="Q402" t="s">
        <v>1675</v>
      </c>
      <c r="R402" t="s">
        <v>1676</v>
      </c>
      <c r="S402" t="s">
        <v>1674</v>
      </c>
      <c r="T402" t="s">
        <v>1677</v>
      </c>
      <c r="U402" t="s">
        <v>1187</v>
      </c>
      <c r="V402" t="s">
        <v>1188</v>
      </c>
      <c r="W402">
        <v>620</v>
      </c>
      <c r="X402" t="s">
        <v>1189</v>
      </c>
      <c r="Y402">
        <v>12</v>
      </c>
      <c r="Z402">
        <v>7440</v>
      </c>
      <c r="AA402" t="s">
        <v>28</v>
      </c>
      <c r="AB402" t="s">
        <v>1190</v>
      </c>
      <c r="AC402">
        <v>620</v>
      </c>
      <c r="AD402" t="s">
        <v>1289</v>
      </c>
      <c r="AE402" t="s">
        <v>1290</v>
      </c>
      <c r="AF402" t="s">
        <v>1193</v>
      </c>
      <c r="AG402" t="s">
        <v>1194</v>
      </c>
      <c r="AH402" t="s">
        <v>1195</v>
      </c>
      <c r="AI402" t="s">
        <v>1202</v>
      </c>
      <c r="AJ402" t="s">
        <v>1291</v>
      </c>
      <c r="AK402" t="s">
        <v>1272</v>
      </c>
      <c r="AL402" t="s">
        <v>1291</v>
      </c>
      <c r="AM402" t="s">
        <v>1577</v>
      </c>
      <c r="AN402" t="s">
        <v>1201</v>
      </c>
      <c r="AO402" t="s">
        <v>1292</v>
      </c>
      <c r="AP402" t="s">
        <v>1578</v>
      </c>
      <c r="AQ402" t="s">
        <v>1203</v>
      </c>
      <c r="AR402" t="s">
        <v>1201</v>
      </c>
      <c r="AS402" t="s">
        <v>1203</v>
      </c>
      <c r="AU402" t="s">
        <v>1204</v>
      </c>
      <c r="AW402" t="b">
        <v>0</v>
      </c>
      <c r="AY402" t="b">
        <v>0</v>
      </c>
      <c r="BA402" t="s">
        <v>1579</v>
      </c>
      <c r="BJ402" t="s">
        <v>1581</v>
      </c>
    </row>
    <row r="403" spans="1:62" x14ac:dyDescent="0.25">
      <c r="A403" t="s">
        <v>1177</v>
      </c>
      <c r="B403">
        <v>810418</v>
      </c>
      <c r="C403" t="s">
        <v>1258</v>
      </c>
      <c r="D403" s="112" t="s">
        <v>2826</v>
      </c>
      <c r="E403" t="s">
        <v>1119</v>
      </c>
      <c r="F403" t="s">
        <v>1178</v>
      </c>
      <c r="G403" t="s">
        <v>1940</v>
      </c>
      <c r="H403" t="s">
        <v>1897</v>
      </c>
      <c r="I403">
        <v>12</v>
      </c>
      <c r="J403" t="s">
        <v>1279</v>
      </c>
      <c r="K403">
        <v>12174</v>
      </c>
      <c r="L403" t="s">
        <v>1571</v>
      </c>
      <c r="M403">
        <v>12174239</v>
      </c>
      <c r="N403" t="s">
        <v>1572</v>
      </c>
      <c r="O403">
        <v>12174239647</v>
      </c>
      <c r="P403" t="s">
        <v>1610</v>
      </c>
      <c r="Q403" t="s">
        <v>1643</v>
      </c>
      <c r="R403" t="s">
        <v>1644</v>
      </c>
      <c r="S403" t="s">
        <v>1897</v>
      </c>
      <c r="T403" t="s">
        <v>1898</v>
      </c>
      <c r="U403" t="s">
        <v>1286</v>
      </c>
      <c r="V403" t="s">
        <v>1287</v>
      </c>
      <c r="W403">
        <v>6</v>
      </c>
      <c r="X403" t="s">
        <v>1288</v>
      </c>
      <c r="Y403">
        <v>4</v>
      </c>
      <c r="Z403">
        <v>24</v>
      </c>
      <c r="AA403" t="s">
        <v>28</v>
      </c>
      <c r="AB403" t="s">
        <v>1899</v>
      </c>
      <c r="AC403">
        <v>6000</v>
      </c>
      <c r="AD403" t="s">
        <v>1289</v>
      </c>
      <c r="AE403" t="s">
        <v>1290</v>
      </c>
      <c r="AF403" t="s">
        <v>1193</v>
      </c>
      <c r="AG403" t="s">
        <v>1194</v>
      </c>
      <c r="AH403">
        <v>4</v>
      </c>
      <c r="AI403" t="s">
        <v>1202</v>
      </c>
      <c r="AJ403" t="s">
        <v>1291</v>
      </c>
      <c r="AK403" t="s">
        <v>1272</v>
      </c>
      <c r="AL403" t="s">
        <v>1291</v>
      </c>
      <c r="AM403" t="s">
        <v>1577</v>
      </c>
      <c r="AN403" t="s">
        <v>1201</v>
      </c>
      <c r="AO403" t="s">
        <v>1292</v>
      </c>
      <c r="AP403" t="s">
        <v>1578</v>
      </c>
      <c r="AQ403" t="s">
        <v>1203</v>
      </c>
      <c r="AR403" t="s">
        <v>1201</v>
      </c>
      <c r="AS403" t="s">
        <v>1203</v>
      </c>
      <c r="AU403" t="s">
        <v>1204</v>
      </c>
      <c r="AW403" t="b">
        <v>0</v>
      </c>
      <c r="AY403" t="b">
        <v>0</v>
      </c>
      <c r="BA403" t="s">
        <v>1579</v>
      </c>
      <c r="BJ403" t="s">
        <v>1581</v>
      </c>
    </row>
    <row r="404" spans="1:62" x14ac:dyDescent="0.25">
      <c r="A404" t="s">
        <v>1177</v>
      </c>
      <c r="B404">
        <v>460183</v>
      </c>
      <c r="C404">
        <v>460183</v>
      </c>
      <c r="D404" s="112" t="s">
        <v>2827</v>
      </c>
      <c r="E404" t="s">
        <v>1119</v>
      </c>
      <c r="F404" t="s">
        <v>1178</v>
      </c>
      <c r="G404" t="s">
        <v>321</v>
      </c>
      <c r="H404" s="135" t="s">
        <v>1941</v>
      </c>
      <c r="I404">
        <v>10</v>
      </c>
      <c r="J404" t="s">
        <v>1180</v>
      </c>
      <c r="K404">
        <v>10108</v>
      </c>
      <c r="L404" t="s">
        <v>1942</v>
      </c>
      <c r="M404">
        <v>10108214</v>
      </c>
      <c r="N404" t="s">
        <v>1942</v>
      </c>
      <c r="O404">
        <v>10108214626</v>
      </c>
      <c r="P404" t="s">
        <v>1943</v>
      </c>
      <c r="Q404" s="135" t="s">
        <v>1944</v>
      </c>
      <c r="R404" t="s">
        <v>1945</v>
      </c>
      <c r="S404" s="135" t="s">
        <v>1941</v>
      </c>
      <c r="T404" t="s">
        <v>1946</v>
      </c>
      <c r="U404" t="s">
        <v>1947</v>
      </c>
      <c r="V404" t="s">
        <v>1948</v>
      </c>
      <c r="W404">
        <v>200</v>
      </c>
      <c r="X404" t="s">
        <v>1189</v>
      </c>
      <c r="Y404">
        <v>24</v>
      </c>
      <c r="Z404">
        <v>4800</v>
      </c>
      <c r="AA404" t="s">
        <v>28</v>
      </c>
      <c r="AB404" t="s">
        <v>1190</v>
      </c>
      <c r="AC404">
        <v>200</v>
      </c>
      <c r="AD404" t="s">
        <v>1232</v>
      </c>
      <c r="AE404" t="s">
        <v>1192</v>
      </c>
      <c r="AF404" t="s">
        <v>1193</v>
      </c>
      <c r="AG404" t="s">
        <v>1194</v>
      </c>
      <c r="AH404" t="s">
        <v>1195</v>
      </c>
      <c r="AI404" t="s">
        <v>1196</v>
      </c>
      <c r="AJ404" t="s">
        <v>1197</v>
      </c>
      <c r="AK404" t="s">
        <v>1198</v>
      </c>
      <c r="AL404" t="s">
        <v>1949</v>
      </c>
      <c r="AM404" t="s">
        <v>1200</v>
      </c>
      <c r="AN404" t="s">
        <v>1201</v>
      </c>
      <c r="AO404" t="s">
        <v>1580</v>
      </c>
      <c r="AP404" t="s">
        <v>1202</v>
      </c>
      <c r="AQ404" t="s">
        <v>1203</v>
      </c>
      <c r="AR404" t="s">
        <v>1201</v>
      </c>
      <c r="AS404" t="s">
        <v>1203</v>
      </c>
      <c r="AU404" t="s">
        <v>1204</v>
      </c>
      <c r="AW404" t="b">
        <v>0</v>
      </c>
      <c r="AY404" t="b">
        <v>0</v>
      </c>
      <c r="BA404" t="s">
        <v>1950</v>
      </c>
      <c r="BB404" t="s">
        <v>1206</v>
      </c>
      <c r="BC404" t="s">
        <v>1206</v>
      </c>
      <c r="BD404" t="s">
        <v>1207</v>
      </c>
      <c r="BE404" t="s">
        <v>1208</v>
      </c>
      <c r="BF404" t="s">
        <v>1951</v>
      </c>
      <c r="BG404" t="s">
        <v>320</v>
      </c>
      <c r="BH404" t="s">
        <v>1952</v>
      </c>
      <c r="BI404" t="s">
        <v>1206</v>
      </c>
      <c r="BJ404" t="s">
        <v>1953</v>
      </c>
    </row>
    <row r="405" spans="1:62" x14ac:dyDescent="0.25">
      <c r="A405" t="s">
        <v>1177</v>
      </c>
      <c r="B405">
        <v>190065</v>
      </c>
      <c r="C405">
        <v>190065</v>
      </c>
      <c r="D405" s="112" t="s">
        <v>2828</v>
      </c>
      <c r="E405" t="s">
        <v>1119</v>
      </c>
      <c r="F405" t="s">
        <v>1178</v>
      </c>
      <c r="G405" t="s">
        <v>1954</v>
      </c>
      <c r="H405" t="s">
        <v>1955</v>
      </c>
      <c r="I405">
        <v>12</v>
      </c>
      <c r="J405" t="s">
        <v>1279</v>
      </c>
      <c r="K405">
        <v>12142</v>
      </c>
      <c r="L405" t="s">
        <v>1956</v>
      </c>
      <c r="M405">
        <v>12142127</v>
      </c>
      <c r="N405" t="s">
        <v>1957</v>
      </c>
      <c r="O405">
        <v>12142127563</v>
      </c>
      <c r="P405" t="s">
        <v>1958</v>
      </c>
      <c r="Q405" t="s">
        <v>1959</v>
      </c>
      <c r="R405" t="s">
        <v>1960</v>
      </c>
      <c r="S405" t="s">
        <v>1955</v>
      </c>
      <c r="T405" t="s">
        <v>1961</v>
      </c>
      <c r="U405" t="s">
        <v>1230</v>
      </c>
      <c r="V405" t="s">
        <v>1231</v>
      </c>
      <c r="W405">
        <v>8</v>
      </c>
      <c r="X405" t="s">
        <v>1342</v>
      </c>
      <c r="Y405">
        <v>21</v>
      </c>
      <c r="Z405">
        <v>168</v>
      </c>
      <c r="AA405" t="s">
        <v>28</v>
      </c>
      <c r="AB405" t="s">
        <v>1190</v>
      </c>
      <c r="AC405">
        <v>8</v>
      </c>
      <c r="AD405" t="s">
        <v>1232</v>
      </c>
      <c r="AE405" t="s">
        <v>1192</v>
      </c>
      <c r="AF405" t="s">
        <v>1962</v>
      </c>
      <c r="AG405" t="s">
        <v>1194</v>
      </c>
      <c r="AH405" t="s">
        <v>1195</v>
      </c>
      <c r="AI405" t="s">
        <v>1202</v>
      </c>
      <c r="AJ405" t="s">
        <v>1291</v>
      </c>
      <c r="AK405" t="s">
        <v>1292</v>
      </c>
      <c r="AL405" t="s">
        <v>1291</v>
      </c>
      <c r="AM405" t="s">
        <v>1200</v>
      </c>
      <c r="AN405" t="s">
        <v>1201</v>
      </c>
      <c r="AO405" t="s">
        <v>1292</v>
      </c>
      <c r="AP405" t="s">
        <v>1202</v>
      </c>
      <c r="AQ405" t="s">
        <v>1203</v>
      </c>
      <c r="AR405" t="s">
        <v>1201</v>
      </c>
      <c r="AS405" t="s">
        <v>1203</v>
      </c>
      <c r="AU405" t="s">
        <v>1204</v>
      </c>
      <c r="AW405" t="b">
        <v>0</v>
      </c>
      <c r="AY405" t="b">
        <v>0</v>
      </c>
      <c r="BA405" t="s">
        <v>1963</v>
      </c>
      <c r="BB405" t="s">
        <v>1206</v>
      </c>
      <c r="BC405" t="s">
        <v>1206</v>
      </c>
      <c r="BD405" t="s">
        <v>1207</v>
      </c>
      <c r="BE405" t="s">
        <v>1296</v>
      </c>
      <c r="BF405" t="s">
        <v>1964</v>
      </c>
      <c r="BG405" t="s">
        <v>369</v>
      </c>
      <c r="BH405" t="s">
        <v>1206</v>
      </c>
      <c r="BI405" t="s">
        <v>1206</v>
      </c>
      <c r="BJ405" t="s">
        <v>1965</v>
      </c>
    </row>
    <row r="406" spans="1:62" x14ac:dyDescent="0.25">
      <c r="A406" t="s">
        <v>1177</v>
      </c>
      <c r="B406">
        <v>190064</v>
      </c>
      <c r="C406">
        <v>190064</v>
      </c>
      <c r="D406" s="112" t="s">
        <v>2829</v>
      </c>
      <c r="E406" t="s">
        <v>1119</v>
      </c>
      <c r="F406" t="s">
        <v>1178</v>
      </c>
      <c r="G406" t="s">
        <v>1966</v>
      </c>
      <c r="H406" t="s">
        <v>1967</v>
      </c>
      <c r="I406">
        <v>12</v>
      </c>
      <c r="J406" t="s">
        <v>1279</v>
      </c>
      <c r="K406">
        <v>12142</v>
      </c>
      <c r="L406" t="s">
        <v>1956</v>
      </c>
      <c r="M406">
        <v>12142127</v>
      </c>
      <c r="N406" t="s">
        <v>1957</v>
      </c>
      <c r="O406">
        <v>12142127563</v>
      </c>
      <c r="P406" t="s">
        <v>1958</v>
      </c>
      <c r="Q406" t="s">
        <v>1959</v>
      </c>
      <c r="R406" t="s">
        <v>1960</v>
      </c>
      <c r="S406" t="s">
        <v>1967</v>
      </c>
      <c r="T406" t="s">
        <v>1968</v>
      </c>
      <c r="U406" t="s">
        <v>1230</v>
      </c>
      <c r="V406" t="s">
        <v>1231</v>
      </c>
      <c r="W406">
        <v>8</v>
      </c>
      <c r="X406" t="s">
        <v>1342</v>
      </c>
      <c r="Y406">
        <v>12</v>
      </c>
      <c r="Z406">
        <v>96</v>
      </c>
      <c r="AA406" t="s">
        <v>28</v>
      </c>
      <c r="AB406" t="s">
        <v>1190</v>
      </c>
      <c r="AC406">
        <v>8</v>
      </c>
      <c r="AD406" t="s">
        <v>1232</v>
      </c>
      <c r="AE406" t="s">
        <v>1192</v>
      </c>
      <c r="AF406" t="s">
        <v>1962</v>
      </c>
      <c r="AG406" t="s">
        <v>1194</v>
      </c>
      <c r="AH406" t="s">
        <v>1195</v>
      </c>
      <c r="AI406" t="s">
        <v>1202</v>
      </c>
      <c r="AJ406" t="s">
        <v>1291</v>
      </c>
      <c r="AK406" t="s">
        <v>1292</v>
      </c>
      <c r="AL406" t="s">
        <v>1291</v>
      </c>
      <c r="AM406" t="s">
        <v>1200</v>
      </c>
      <c r="AN406" t="s">
        <v>1201</v>
      </c>
      <c r="AO406" t="s">
        <v>1292</v>
      </c>
      <c r="AP406" t="s">
        <v>1202</v>
      </c>
      <c r="AQ406" t="s">
        <v>1203</v>
      </c>
      <c r="AR406" t="s">
        <v>1201</v>
      </c>
      <c r="AS406" t="s">
        <v>1203</v>
      </c>
      <c r="AU406" t="s">
        <v>1204</v>
      </c>
      <c r="AW406" t="b">
        <v>0</v>
      </c>
      <c r="AY406" t="b">
        <v>1</v>
      </c>
      <c r="BA406" t="s">
        <v>1963</v>
      </c>
      <c r="BB406" t="s">
        <v>1206</v>
      </c>
      <c r="BC406" t="s">
        <v>1206</v>
      </c>
      <c r="BD406" t="s">
        <v>1207</v>
      </c>
      <c r="BE406" t="s">
        <v>1296</v>
      </c>
      <c r="BF406" t="s">
        <v>1964</v>
      </c>
      <c r="BG406" t="s">
        <v>369</v>
      </c>
      <c r="BH406" t="s">
        <v>1206</v>
      </c>
      <c r="BI406" t="s">
        <v>1206</v>
      </c>
      <c r="BJ406" t="s">
        <v>1965</v>
      </c>
    </row>
    <row r="407" spans="1:62" x14ac:dyDescent="0.25">
      <c r="A407" t="s">
        <v>1177</v>
      </c>
      <c r="B407">
        <v>190034</v>
      </c>
      <c r="C407">
        <v>190034</v>
      </c>
      <c r="D407" s="112" t="s">
        <v>2830</v>
      </c>
      <c r="E407" t="s">
        <v>1119</v>
      </c>
      <c r="F407" t="s">
        <v>1178</v>
      </c>
      <c r="G407" t="s">
        <v>370</v>
      </c>
      <c r="H407" t="s">
        <v>1955</v>
      </c>
      <c r="I407">
        <v>12</v>
      </c>
      <c r="J407" t="s">
        <v>1279</v>
      </c>
      <c r="K407">
        <v>12142</v>
      </c>
      <c r="L407" t="s">
        <v>1956</v>
      </c>
      <c r="M407">
        <v>12142127</v>
      </c>
      <c r="N407" t="s">
        <v>1957</v>
      </c>
      <c r="O407">
        <v>12142127563</v>
      </c>
      <c r="P407" t="s">
        <v>1958</v>
      </c>
      <c r="Q407" t="s">
        <v>1959</v>
      </c>
      <c r="R407" t="s">
        <v>1960</v>
      </c>
      <c r="S407" t="s">
        <v>1955</v>
      </c>
      <c r="T407" t="s">
        <v>1961</v>
      </c>
      <c r="U407" t="s">
        <v>1230</v>
      </c>
      <c r="V407" t="s">
        <v>1231</v>
      </c>
      <c r="W407">
        <v>8</v>
      </c>
      <c r="X407" t="s">
        <v>1342</v>
      </c>
      <c r="Y407">
        <v>21</v>
      </c>
      <c r="Z407">
        <v>168</v>
      </c>
      <c r="AA407" t="s">
        <v>28</v>
      </c>
      <c r="AB407" t="s">
        <v>1190</v>
      </c>
      <c r="AC407">
        <v>8</v>
      </c>
      <c r="AD407" t="s">
        <v>1232</v>
      </c>
      <c r="AE407" t="s">
        <v>1192</v>
      </c>
      <c r="AF407" t="s">
        <v>1962</v>
      </c>
      <c r="AG407" t="s">
        <v>1194</v>
      </c>
      <c r="AH407" t="s">
        <v>1195</v>
      </c>
      <c r="AI407" t="s">
        <v>1202</v>
      </c>
      <c r="AJ407" t="s">
        <v>1291</v>
      </c>
      <c r="AK407" t="s">
        <v>1292</v>
      </c>
      <c r="AL407" t="s">
        <v>1291</v>
      </c>
      <c r="AM407" t="s">
        <v>1200</v>
      </c>
      <c r="AN407" t="s">
        <v>1201</v>
      </c>
      <c r="AO407" t="s">
        <v>1292</v>
      </c>
      <c r="AP407" t="s">
        <v>1202</v>
      </c>
      <c r="AQ407" t="s">
        <v>1203</v>
      </c>
      <c r="AR407" t="s">
        <v>1201</v>
      </c>
      <c r="AS407" t="s">
        <v>1203</v>
      </c>
      <c r="AU407" t="s">
        <v>1204</v>
      </c>
      <c r="AW407" t="b">
        <v>0</v>
      </c>
      <c r="AY407" t="b">
        <v>1</v>
      </c>
      <c r="BA407" t="s">
        <v>1963</v>
      </c>
      <c r="BB407" t="s">
        <v>1206</v>
      </c>
      <c r="BC407" t="s">
        <v>1206</v>
      </c>
      <c r="BD407" t="s">
        <v>1207</v>
      </c>
      <c r="BE407" t="s">
        <v>1296</v>
      </c>
      <c r="BF407" t="s">
        <v>1964</v>
      </c>
      <c r="BG407" t="s">
        <v>369</v>
      </c>
      <c r="BH407" t="s">
        <v>1206</v>
      </c>
      <c r="BI407" t="s">
        <v>1206</v>
      </c>
      <c r="BJ407" t="s">
        <v>1965</v>
      </c>
    </row>
    <row r="408" spans="1:62" x14ac:dyDescent="0.25">
      <c r="A408" t="s">
        <v>1177</v>
      </c>
      <c r="B408">
        <v>190050</v>
      </c>
      <c r="C408">
        <v>190050</v>
      </c>
      <c r="D408" s="112" t="s">
        <v>2831</v>
      </c>
      <c r="E408" t="s">
        <v>1119</v>
      </c>
      <c r="F408" t="s">
        <v>1178</v>
      </c>
      <c r="G408" t="s">
        <v>371</v>
      </c>
      <c r="H408" t="s">
        <v>1955</v>
      </c>
      <c r="I408">
        <v>12</v>
      </c>
      <c r="J408" t="s">
        <v>1279</v>
      </c>
      <c r="K408">
        <v>12142</v>
      </c>
      <c r="L408" t="s">
        <v>1956</v>
      </c>
      <c r="M408">
        <v>12142127</v>
      </c>
      <c r="N408" t="s">
        <v>1957</v>
      </c>
      <c r="O408">
        <v>12142127563</v>
      </c>
      <c r="P408" t="s">
        <v>1958</v>
      </c>
      <c r="Q408" t="s">
        <v>1959</v>
      </c>
      <c r="R408" t="s">
        <v>1960</v>
      </c>
      <c r="S408" t="s">
        <v>1955</v>
      </c>
      <c r="T408" t="s">
        <v>1961</v>
      </c>
      <c r="U408" t="s">
        <v>1230</v>
      </c>
      <c r="V408" t="s">
        <v>1231</v>
      </c>
      <c r="W408">
        <v>8</v>
      </c>
      <c r="X408" t="s">
        <v>1342</v>
      </c>
      <c r="Y408">
        <v>21</v>
      </c>
      <c r="Z408">
        <v>168</v>
      </c>
      <c r="AA408" t="s">
        <v>28</v>
      </c>
      <c r="AB408" t="s">
        <v>1190</v>
      </c>
      <c r="AC408">
        <v>8</v>
      </c>
      <c r="AD408" t="s">
        <v>1232</v>
      </c>
      <c r="AE408" t="s">
        <v>1192</v>
      </c>
      <c r="AF408" t="s">
        <v>1962</v>
      </c>
      <c r="AG408" t="s">
        <v>1194</v>
      </c>
      <c r="AH408" t="s">
        <v>1195</v>
      </c>
      <c r="AI408" t="s">
        <v>1202</v>
      </c>
      <c r="AJ408" t="s">
        <v>1291</v>
      </c>
      <c r="AK408" t="s">
        <v>1292</v>
      </c>
      <c r="AL408" t="s">
        <v>1291</v>
      </c>
      <c r="AM408" t="s">
        <v>1200</v>
      </c>
      <c r="AN408" t="s">
        <v>1201</v>
      </c>
      <c r="AO408" t="s">
        <v>1292</v>
      </c>
      <c r="AP408" t="s">
        <v>1202</v>
      </c>
      <c r="AQ408" t="s">
        <v>1203</v>
      </c>
      <c r="AR408" t="s">
        <v>1201</v>
      </c>
      <c r="AS408" t="s">
        <v>1203</v>
      </c>
      <c r="AU408" t="s">
        <v>1204</v>
      </c>
      <c r="AW408" t="b">
        <v>0</v>
      </c>
      <c r="AY408" t="b">
        <v>1</v>
      </c>
      <c r="BA408" t="s">
        <v>1963</v>
      </c>
      <c r="BB408" t="s">
        <v>1206</v>
      </c>
      <c r="BC408" t="s">
        <v>1206</v>
      </c>
      <c r="BD408" t="s">
        <v>1207</v>
      </c>
      <c r="BE408" t="s">
        <v>1296</v>
      </c>
      <c r="BF408" t="s">
        <v>1964</v>
      </c>
      <c r="BG408" t="s">
        <v>369</v>
      </c>
      <c r="BH408" t="s">
        <v>1206</v>
      </c>
      <c r="BI408" t="s">
        <v>1206</v>
      </c>
      <c r="BJ408" t="s">
        <v>1965</v>
      </c>
    </row>
    <row r="409" spans="1:62" x14ac:dyDescent="0.25">
      <c r="A409" t="s">
        <v>1177</v>
      </c>
      <c r="B409">
        <v>190032</v>
      </c>
      <c r="C409">
        <v>190032</v>
      </c>
      <c r="D409" s="112" t="s">
        <v>2832</v>
      </c>
      <c r="E409" t="s">
        <v>1119</v>
      </c>
      <c r="F409" t="s">
        <v>1178</v>
      </c>
      <c r="G409" t="s">
        <v>1969</v>
      </c>
      <c r="H409" t="s">
        <v>1955</v>
      </c>
      <c r="I409">
        <v>12</v>
      </c>
      <c r="J409" t="s">
        <v>1279</v>
      </c>
      <c r="K409">
        <v>12142</v>
      </c>
      <c r="L409" t="s">
        <v>1956</v>
      </c>
      <c r="M409">
        <v>12142127</v>
      </c>
      <c r="N409" t="s">
        <v>1957</v>
      </c>
      <c r="O409">
        <v>12142127563</v>
      </c>
      <c r="P409" t="s">
        <v>1958</v>
      </c>
      <c r="Q409" t="s">
        <v>1959</v>
      </c>
      <c r="R409" t="s">
        <v>1960</v>
      </c>
      <c r="S409" t="s">
        <v>1955</v>
      </c>
      <c r="T409" t="s">
        <v>1961</v>
      </c>
      <c r="U409" t="s">
        <v>1230</v>
      </c>
      <c r="V409" t="s">
        <v>1231</v>
      </c>
      <c r="W409">
        <v>8</v>
      </c>
      <c r="X409" t="s">
        <v>1342</v>
      </c>
      <c r="Y409">
        <v>21</v>
      </c>
      <c r="Z409">
        <v>168</v>
      </c>
      <c r="AA409" t="s">
        <v>28</v>
      </c>
      <c r="AB409" t="s">
        <v>1190</v>
      </c>
      <c r="AC409">
        <v>8</v>
      </c>
      <c r="AD409" t="s">
        <v>1232</v>
      </c>
      <c r="AE409" t="s">
        <v>1192</v>
      </c>
      <c r="AF409" t="s">
        <v>1962</v>
      </c>
      <c r="AG409" t="s">
        <v>1194</v>
      </c>
      <c r="AH409" t="s">
        <v>1195</v>
      </c>
      <c r="AI409" t="s">
        <v>1202</v>
      </c>
      <c r="AJ409" t="s">
        <v>1291</v>
      </c>
      <c r="AK409" t="s">
        <v>1292</v>
      </c>
      <c r="AL409" t="s">
        <v>1291</v>
      </c>
      <c r="AM409" t="s">
        <v>1200</v>
      </c>
      <c r="AN409" t="s">
        <v>1201</v>
      </c>
      <c r="AO409" t="s">
        <v>1292</v>
      </c>
      <c r="AP409" t="s">
        <v>1202</v>
      </c>
      <c r="AQ409" t="s">
        <v>1203</v>
      </c>
      <c r="AR409" t="s">
        <v>1201</v>
      </c>
      <c r="AS409" t="s">
        <v>1203</v>
      </c>
      <c r="AU409" t="s">
        <v>1204</v>
      </c>
      <c r="AW409" t="b">
        <v>0</v>
      </c>
      <c r="AY409" t="b">
        <v>1</v>
      </c>
      <c r="BA409" t="s">
        <v>1963</v>
      </c>
      <c r="BB409" t="s">
        <v>1206</v>
      </c>
      <c r="BC409" t="s">
        <v>1206</v>
      </c>
      <c r="BD409" t="s">
        <v>1207</v>
      </c>
      <c r="BE409" t="s">
        <v>1296</v>
      </c>
      <c r="BF409" t="s">
        <v>1964</v>
      </c>
      <c r="BG409" t="s">
        <v>369</v>
      </c>
      <c r="BH409" t="s">
        <v>1206</v>
      </c>
      <c r="BI409" t="s">
        <v>1206</v>
      </c>
      <c r="BJ409" t="s">
        <v>1965</v>
      </c>
    </row>
    <row r="410" spans="1:62" x14ac:dyDescent="0.25">
      <c r="A410" t="s">
        <v>1177</v>
      </c>
      <c r="B410">
        <v>190033</v>
      </c>
      <c r="C410">
        <v>190033</v>
      </c>
      <c r="D410" s="112" t="s">
        <v>2833</v>
      </c>
      <c r="E410" t="s">
        <v>1119</v>
      </c>
      <c r="F410" t="s">
        <v>1178</v>
      </c>
      <c r="G410" t="s">
        <v>1970</v>
      </c>
      <c r="H410" t="s">
        <v>1967</v>
      </c>
      <c r="I410">
        <v>12</v>
      </c>
      <c r="J410" t="s">
        <v>1279</v>
      </c>
      <c r="K410">
        <v>12142</v>
      </c>
      <c r="L410" t="s">
        <v>1956</v>
      </c>
      <c r="M410">
        <v>12142127</v>
      </c>
      <c r="N410" t="s">
        <v>1957</v>
      </c>
      <c r="O410">
        <v>12142127563</v>
      </c>
      <c r="P410" t="s">
        <v>1958</v>
      </c>
      <c r="Q410" t="s">
        <v>1959</v>
      </c>
      <c r="R410" t="s">
        <v>1960</v>
      </c>
      <c r="S410" t="s">
        <v>1967</v>
      </c>
      <c r="T410" t="s">
        <v>1968</v>
      </c>
      <c r="U410" t="s">
        <v>1230</v>
      </c>
      <c r="V410" t="s">
        <v>1231</v>
      </c>
      <c r="W410">
        <v>8</v>
      </c>
      <c r="X410" t="s">
        <v>1342</v>
      </c>
      <c r="Y410">
        <v>12</v>
      </c>
      <c r="Z410">
        <v>96</v>
      </c>
      <c r="AA410" t="s">
        <v>28</v>
      </c>
      <c r="AB410" t="s">
        <v>1190</v>
      </c>
      <c r="AC410">
        <v>8</v>
      </c>
      <c r="AD410" t="s">
        <v>1232</v>
      </c>
      <c r="AE410" t="s">
        <v>1192</v>
      </c>
      <c r="AF410" t="s">
        <v>1962</v>
      </c>
      <c r="AG410" t="s">
        <v>1194</v>
      </c>
      <c r="AH410" t="s">
        <v>1195</v>
      </c>
      <c r="AI410" t="s">
        <v>1202</v>
      </c>
      <c r="AJ410" t="s">
        <v>1291</v>
      </c>
      <c r="AK410" t="s">
        <v>1292</v>
      </c>
      <c r="AL410" t="s">
        <v>1291</v>
      </c>
      <c r="AM410" t="s">
        <v>1200</v>
      </c>
      <c r="AN410" t="s">
        <v>1201</v>
      </c>
      <c r="AO410" t="s">
        <v>1292</v>
      </c>
      <c r="AP410" t="s">
        <v>1202</v>
      </c>
      <c r="AQ410" t="s">
        <v>1203</v>
      </c>
      <c r="AR410" t="s">
        <v>1201</v>
      </c>
      <c r="AS410" t="s">
        <v>1203</v>
      </c>
      <c r="AU410" t="s">
        <v>1204</v>
      </c>
      <c r="AW410" t="b">
        <v>0</v>
      </c>
      <c r="AY410" t="b">
        <v>1</v>
      </c>
      <c r="BA410" t="s">
        <v>1963</v>
      </c>
      <c r="BB410" t="s">
        <v>1206</v>
      </c>
      <c r="BC410" t="s">
        <v>1206</v>
      </c>
      <c r="BD410" t="s">
        <v>1207</v>
      </c>
      <c r="BE410" t="s">
        <v>1296</v>
      </c>
      <c r="BF410" t="s">
        <v>1964</v>
      </c>
      <c r="BG410" t="s">
        <v>369</v>
      </c>
      <c r="BH410" t="s">
        <v>1206</v>
      </c>
      <c r="BI410" t="s">
        <v>1206</v>
      </c>
      <c r="BJ410" t="s">
        <v>1965</v>
      </c>
    </row>
    <row r="411" spans="1:62" x14ac:dyDescent="0.25">
      <c r="A411" t="s">
        <v>1177</v>
      </c>
      <c r="B411">
        <v>190049</v>
      </c>
      <c r="C411">
        <v>190049</v>
      </c>
      <c r="D411" s="112" t="s">
        <v>2834</v>
      </c>
      <c r="E411" t="s">
        <v>1119</v>
      </c>
      <c r="F411" t="s">
        <v>1178</v>
      </c>
      <c r="G411" t="s">
        <v>1971</v>
      </c>
      <c r="H411" t="s">
        <v>1967</v>
      </c>
      <c r="I411">
        <v>12</v>
      </c>
      <c r="J411" t="s">
        <v>1279</v>
      </c>
      <c r="K411">
        <v>12142</v>
      </c>
      <c r="L411" t="s">
        <v>1956</v>
      </c>
      <c r="M411">
        <v>12142127</v>
      </c>
      <c r="N411" t="s">
        <v>1957</v>
      </c>
      <c r="O411">
        <v>12142127563</v>
      </c>
      <c r="P411" t="s">
        <v>1958</v>
      </c>
      <c r="Q411" t="s">
        <v>1959</v>
      </c>
      <c r="R411" t="s">
        <v>1960</v>
      </c>
      <c r="S411" t="s">
        <v>1967</v>
      </c>
      <c r="T411" t="s">
        <v>1968</v>
      </c>
      <c r="U411" t="s">
        <v>1230</v>
      </c>
      <c r="V411" t="s">
        <v>1231</v>
      </c>
      <c r="W411">
        <v>8</v>
      </c>
      <c r="X411" t="s">
        <v>1342</v>
      </c>
      <c r="Y411">
        <v>12</v>
      </c>
      <c r="Z411">
        <v>96</v>
      </c>
      <c r="AA411" t="s">
        <v>28</v>
      </c>
      <c r="AB411" t="s">
        <v>1190</v>
      </c>
      <c r="AC411">
        <v>8</v>
      </c>
      <c r="AD411" t="s">
        <v>1232</v>
      </c>
      <c r="AE411" t="s">
        <v>1192</v>
      </c>
      <c r="AF411" t="s">
        <v>1962</v>
      </c>
      <c r="AG411" t="s">
        <v>1194</v>
      </c>
      <c r="AH411" t="s">
        <v>1195</v>
      </c>
      <c r="AI411" t="s">
        <v>1202</v>
      </c>
      <c r="AJ411" t="s">
        <v>1291</v>
      </c>
      <c r="AK411" t="s">
        <v>1292</v>
      </c>
      <c r="AL411" t="s">
        <v>1291</v>
      </c>
      <c r="AM411" t="s">
        <v>1200</v>
      </c>
      <c r="AN411" t="s">
        <v>1201</v>
      </c>
      <c r="AO411" t="s">
        <v>1292</v>
      </c>
      <c r="AP411" t="s">
        <v>1202</v>
      </c>
      <c r="AQ411" t="s">
        <v>1203</v>
      </c>
      <c r="AR411" t="s">
        <v>1201</v>
      </c>
      <c r="AS411" t="s">
        <v>1203</v>
      </c>
      <c r="AU411" t="s">
        <v>1204</v>
      </c>
      <c r="AW411" t="b">
        <v>0</v>
      </c>
      <c r="AY411" t="b">
        <v>1</v>
      </c>
      <c r="BA411" t="s">
        <v>1963</v>
      </c>
      <c r="BB411" t="s">
        <v>1206</v>
      </c>
      <c r="BC411" t="s">
        <v>1206</v>
      </c>
      <c r="BD411" t="s">
        <v>1207</v>
      </c>
      <c r="BE411" t="s">
        <v>1296</v>
      </c>
      <c r="BF411" t="s">
        <v>1964</v>
      </c>
      <c r="BG411" t="s">
        <v>369</v>
      </c>
      <c r="BH411" t="s">
        <v>1206</v>
      </c>
      <c r="BI411" t="s">
        <v>1206</v>
      </c>
      <c r="BJ411" t="s">
        <v>1965</v>
      </c>
    </row>
    <row r="412" spans="1:62" x14ac:dyDescent="0.25">
      <c r="A412" t="s">
        <v>1177</v>
      </c>
      <c r="B412">
        <v>200028</v>
      </c>
      <c r="C412">
        <v>200028</v>
      </c>
      <c r="D412" s="112" t="s">
        <v>2835</v>
      </c>
      <c r="E412" t="s">
        <v>1119</v>
      </c>
      <c r="F412" t="s">
        <v>1178</v>
      </c>
      <c r="G412" t="s">
        <v>1972</v>
      </c>
      <c r="H412" t="s">
        <v>1973</v>
      </c>
      <c r="I412">
        <v>12</v>
      </c>
      <c r="J412" t="s">
        <v>1279</v>
      </c>
      <c r="K412">
        <v>12142</v>
      </c>
      <c r="L412" t="s">
        <v>1956</v>
      </c>
      <c r="M412">
        <v>12142127</v>
      </c>
      <c r="N412" t="s">
        <v>1957</v>
      </c>
      <c r="O412">
        <v>12142127563</v>
      </c>
      <c r="P412" t="s">
        <v>1958</v>
      </c>
      <c r="Q412" t="s">
        <v>1959</v>
      </c>
      <c r="R412" t="s">
        <v>1974</v>
      </c>
      <c r="S412" t="s">
        <v>1973</v>
      </c>
      <c r="T412" t="s">
        <v>1975</v>
      </c>
      <c r="U412" t="s">
        <v>1230</v>
      </c>
      <c r="V412" t="s">
        <v>1231</v>
      </c>
      <c r="W412">
        <v>8</v>
      </c>
      <c r="X412" t="s">
        <v>1976</v>
      </c>
      <c r="Y412">
        <v>510</v>
      </c>
      <c r="Z412">
        <v>4080</v>
      </c>
      <c r="AA412" t="s">
        <v>28</v>
      </c>
      <c r="AB412" t="s">
        <v>1190</v>
      </c>
      <c r="AC412">
        <v>8</v>
      </c>
      <c r="AD412" t="s">
        <v>1232</v>
      </c>
      <c r="AE412" t="s">
        <v>1192</v>
      </c>
      <c r="AF412" t="s">
        <v>1962</v>
      </c>
      <c r="AG412" t="s">
        <v>1194</v>
      </c>
      <c r="AH412" t="s">
        <v>1195</v>
      </c>
      <c r="AI412" t="s">
        <v>1202</v>
      </c>
      <c r="AJ412" t="s">
        <v>1291</v>
      </c>
      <c r="AK412" t="s">
        <v>1292</v>
      </c>
      <c r="AL412" t="s">
        <v>1291</v>
      </c>
      <c r="AM412" t="s">
        <v>1200</v>
      </c>
      <c r="AN412" t="s">
        <v>1201</v>
      </c>
      <c r="AO412" t="s">
        <v>1292</v>
      </c>
      <c r="AP412" t="s">
        <v>1202</v>
      </c>
      <c r="AQ412" t="s">
        <v>1203</v>
      </c>
      <c r="AR412" t="s">
        <v>1201</v>
      </c>
      <c r="AS412" t="s">
        <v>1203</v>
      </c>
      <c r="AU412" t="s">
        <v>1204</v>
      </c>
      <c r="AW412" t="b">
        <v>0</v>
      </c>
      <c r="AY412" t="b">
        <v>0</v>
      </c>
      <c r="BA412" t="s">
        <v>1963</v>
      </c>
      <c r="BJ412" t="s">
        <v>1965</v>
      </c>
    </row>
    <row r="413" spans="1:62" x14ac:dyDescent="0.25">
      <c r="A413" t="s">
        <v>1177</v>
      </c>
      <c r="B413">
        <v>190076</v>
      </c>
      <c r="C413">
        <v>190076</v>
      </c>
      <c r="D413" s="112" t="s">
        <v>2836</v>
      </c>
      <c r="E413" t="s">
        <v>1119</v>
      </c>
      <c r="F413" t="s">
        <v>1178</v>
      </c>
      <c r="G413" t="s">
        <v>1977</v>
      </c>
      <c r="H413" t="s">
        <v>1973</v>
      </c>
      <c r="I413">
        <v>12</v>
      </c>
      <c r="J413" t="s">
        <v>1279</v>
      </c>
      <c r="K413">
        <v>12142</v>
      </c>
      <c r="L413" t="s">
        <v>1956</v>
      </c>
      <c r="M413">
        <v>12142127</v>
      </c>
      <c r="N413" t="s">
        <v>1957</v>
      </c>
      <c r="O413">
        <v>12142127563</v>
      </c>
      <c r="P413" t="s">
        <v>1958</v>
      </c>
      <c r="Q413" t="s">
        <v>1959</v>
      </c>
      <c r="R413" t="s">
        <v>1974</v>
      </c>
      <c r="S413" t="s">
        <v>1973</v>
      </c>
      <c r="T413" t="s">
        <v>1975</v>
      </c>
      <c r="U413" t="s">
        <v>1230</v>
      </c>
      <c r="V413" t="s">
        <v>1231</v>
      </c>
      <c r="W413">
        <v>8</v>
      </c>
      <c r="X413" t="s">
        <v>1976</v>
      </c>
      <c r="Y413">
        <v>510</v>
      </c>
      <c r="Z413">
        <v>4080</v>
      </c>
      <c r="AA413" t="s">
        <v>28</v>
      </c>
      <c r="AB413" t="s">
        <v>1190</v>
      </c>
      <c r="AC413">
        <v>8</v>
      </c>
      <c r="AD413" t="s">
        <v>1232</v>
      </c>
      <c r="AE413" t="s">
        <v>1192</v>
      </c>
      <c r="AF413" t="s">
        <v>1193</v>
      </c>
      <c r="AG413" t="s">
        <v>1194</v>
      </c>
      <c r="AH413" t="s">
        <v>1195</v>
      </c>
      <c r="AI413" t="s">
        <v>1196</v>
      </c>
      <c r="AJ413" t="s">
        <v>1546</v>
      </c>
      <c r="AK413" t="s">
        <v>1272</v>
      </c>
      <c r="AL413" t="s">
        <v>1978</v>
      </c>
      <c r="AM413" t="s">
        <v>1565</v>
      </c>
      <c r="AN413" t="s">
        <v>1201</v>
      </c>
      <c r="AO413" t="s">
        <v>1979</v>
      </c>
      <c r="AQ413" t="s">
        <v>1203</v>
      </c>
      <c r="AR413" t="s">
        <v>1201</v>
      </c>
      <c r="AS413" t="s">
        <v>1203</v>
      </c>
      <c r="AU413" t="s">
        <v>1204</v>
      </c>
      <c r="AW413" t="b">
        <v>0</v>
      </c>
      <c r="AY413" t="b">
        <v>0</v>
      </c>
      <c r="BA413" t="s">
        <v>1963</v>
      </c>
      <c r="BJ413" t="s">
        <v>1965</v>
      </c>
    </row>
    <row r="414" spans="1:62" x14ac:dyDescent="0.25">
      <c r="A414" t="s">
        <v>1177</v>
      </c>
      <c r="B414">
        <v>190070</v>
      </c>
      <c r="C414">
        <v>190070</v>
      </c>
      <c r="D414" s="112" t="s">
        <v>2837</v>
      </c>
      <c r="E414" t="s">
        <v>1119</v>
      </c>
      <c r="F414" t="s">
        <v>1178</v>
      </c>
      <c r="G414" t="s">
        <v>1980</v>
      </c>
      <c r="H414" t="s">
        <v>1981</v>
      </c>
      <c r="I414">
        <v>12</v>
      </c>
      <c r="J414" t="s">
        <v>1279</v>
      </c>
      <c r="K414">
        <v>12142</v>
      </c>
      <c r="L414" t="s">
        <v>1956</v>
      </c>
      <c r="M414">
        <v>12142127</v>
      </c>
      <c r="N414" t="s">
        <v>1957</v>
      </c>
      <c r="O414">
        <v>12142127561</v>
      </c>
      <c r="P414" t="s">
        <v>1982</v>
      </c>
      <c r="Q414">
        <v>121421275611533</v>
      </c>
      <c r="R414" t="s">
        <v>1983</v>
      </c>
      <c r="S414" t="s">
        <v>1981</v>
      </c>
      <c r="T414" t="s">
        <v>1984</v>
      </c>
      <c r="U414" t="s">
        <v>1286</v>
      </c>
      <c r="V414" t="s">
        <v>1287</v>
      </c>
      <c r="W414">
        <v>5.7</v>
      </c>
      <c r="X414" t="s">
        <v>1288</v>
      </c>
      <c r="Y414">
        <v>1</v>
      </c>
      <c r="Z414">
        <v>5.7</v>
      </c>
      <c r="AA414" t="s">
        <v>28</v>
      </c>
      <c r="AB414" t="s">
        <v>1190</v>
      </c>
      <c r="AC414">
        <v>5700</v>
      </c>
      <c r="AD414" t="s">
        <v>1289</v>
      </c>
      <c r="AE414" t="s">
        <v>1290</v>
      </c>
      <c r="AF414" t="s">
        <v>1962</v>
      </c>
      <c r="AG414" t="s">
        <v>1194</v>
      </c>
      <c r="AH414" t="s">
        <v>1195</v>
      </c>
      <c r="AI414" t="s">
        <v>1202</v>
      </c>
      <c r="AJ414" t="s">
        <v>1291</v>
      </c>
      <c r="AK414" t="s">
        <v>1292</v>
      </c>
      <c r="AL414" t="s">
        <v>1291</v>
      </c>
      <c r="AM414" t="s">
        <v>1200</v>
      </c>
      <c r="AN414" t="s">
        <v>1201</v>
      </c>
      <c r="AO414" t="s">
        <v>1292</v>
      </c>
      <c r="AP414" t="s">
        <v>1202</v>
      </c>
      <c r="AQ414" t="s">
        <v>1203</v>
      </c>
      <c r="AR414" t="s">
        <v>1201</v>
      </c>
      <c r="AS414" t="s">
        <v>1203</v>
      </c>
      <c r="AU414" t="s">
        <v>1204</v>
      </c>
      <c r="AW414" t="b">
        <v>0</v>
      </c>
      <c r="AY414" t="b">
        <v>0</v>
      </c>
      <c r="BA414" t="s">
        <v>1963</v>
      </c>
      <c r="BB414" t="s">
        <v>1206</v>
      </c>
      <c r="BC414" t="s">
        <v>1206</v>
      </c>
      <c r="BD414" t="s">
        <v>1207</v>
      </c>
      <c r="BE414" t="s">
        <v>1296</v>
      </c>
      <c r="BF414" t="s">
        <v>1964</v>
      </c>
      <c r="BG414" t="s">
        <v>369</v>
      </c>
      <c r="BH414" t="s">
        <v>1206</v>
      </c>
      <c r="BI414" t="s">
        <v>1206</v>
      </c>
      <c r="BJ414" t="s">
        <v>1965</v>
      </c>
    </row>
    <row r="415" spans="1:62" x14ac:dyDescent="0.25">
      <c r="A415" t="s">
        <v>1177</v>
      </c>
      <c r="B415">
        <v>190069</v>
      </c>
      <c r="C415">
        <v>190069</v>
      </c>
      <c r="D415" s="112" t="s">
        <v>2838</v>
      </c>
      <c r="E415" t="s">
        <v>1119</v>
      </c>
      <c r="F415" t="s">
        <v>1178</v>
      </c>
      <c r="G415" t="s">
        <v>1985</v>
      </c>
      <c r="H415" t="s">
        <v>1986</v>
      </c>
      <c r="I415">
        <v>12</v>
      </c>
      <c r="J415" t="s">
        <v>1279</v>
      </c>
      <c r="K415">
        <v>12142</v>
      </c>
      <c r="L415" t="s">
        <v>1956</v>
      </c>
      <c r="M415">
        <v>12142127</v>
      </c>
      <c r="N415" t="s">
        <v>1957</v>
      </c>
      <c r="O415">
        <v>12142127561</v>
      </c>
      <c r="P415" t="s">
        <v>1982</v>
      </c>
      <c r="Q415">
        <v>121421275611653</v>
      </c>
      <c r="R415" t="s">
        <v>1987</v>
      </c>
      <c r="S415" t="s">
        <v>1986</v>
      </c>
      <c r="T415" t="s">
        <v>1988</v>
      </c>
      <c r="U415" t="s">
        <v>1310</v>
      </c>
      <c r="V415" t="s">
        <v>1311</v>
      </c>
      <c r="W415">
        <v>1</v>
      </c>
      <c r="X415" t="s">
        <v>1288</v>
      </c>
      <c r="Y415">
        <v>6</v>
      </c>
      <c r="Z415">
        <v>6</v>
      </c>
      <c r="AA415" t="s">
        <v>28</v>
      </c>
      <c r="AB415" t="s">
        <v>1190</v>
      </c>
      <c r="AC415">
        <v>1000</v>
      </c>
      <c r="AD415" t="s">
        <v>1289</v>
      </c>
      <c r="AE415" t="s">
        <v>1290</v>
      </c>
      <c r="AF415" t="s">
        <v>1962</v>
      </c>
      <c r="AG415" t="s">
        <v>1194</v>
      </c>
      <c r="AH415" t="s">
        <v>1195</v>
      </c>
      <c r="AI415" t="s">
        <v>1202</v>
      </c>
      <c r="AJ415" t="s">
        <v>1291</v>
      </c>
      <c r="AK415" t="s">
        <v>1292</v>
      </c>
      <c r="AL415" t="s">
        <v>1291</v>
      </c>
      <c r="AM415" t="s">
        <v>1200</v>
      </c>
      <c r="AN415" t="s">
        <v>1201</v>
      </c>
      <c r="AO415" t="s">
        <v>1292</v>
      </c>
      <c r="AP415" t="s">
        <v>1202</v>
      </c>
      <c r="AQ415" t="s">
        <v>1203</v>
      </c>
      <c r="AR415" t="s">
        <v>1201</v>
      </c>
      <c r="AS415" t="s">
        <v>1203</v>
      </c>
      <c r="AU415" t="s">
        <v>1204</v>
      </c>
      <c r="AW415" t="b">
        <v>0</v>
      </c>
      <c r="AY415" t="b">
        <v>0</v>
      </c>
      <c r="BA415" t="s">
        <v>1963</v>
      </c>
      <c r="BB415" t="s">
        <v>1206</v>
      </c>
      <c r="BC415" t="s">
        <v>1206</v>
      </c>
      <c r="BD415" t="s">
        <v>1207</v>
      </c>
      <c r="BE415" t="s">
        <v>1296</v>
      </c>
      <c r="BF415" t="s">
        <v>1964</v>
      </c>
      <c r="BG415" t="s">
        <v>369</v>
      </c>
      <c r="BH415" t="s">
        <v>1206</v>
      </c>
      <c r="BI415" t="s">
        <v>1206</v>
      </c>
      <c r="BJ415" t="s">
        <v>1965</v>
      </c>
    </row>
    <row r="416" spans="1:62" x14ac:dyDescent="0.25">
      <c r="A416" t="s">
        <v>1177</v>
      </c>
      <c r="B416">
        <v>190071</v>
      </c>
      <c r="C416">
        <v>190071</v>
      </c>
      <c r="D416" s="112" t="s">
        <v>2839</v>
      </c>
      <c r="E416" t="s">
        <v>1119</v>
      </c>
      <c r="F416" t="s">
        <v>1178</v>
      </c>
      <c r="G416" t="s">
        <v>1989</v>
      </c>
      <c r="H416" t="s">
        <v>1990</v>
      </c>
      <c r="I416">
        <v>12</v>
      </c>
      <c r="J416" t="s">
        <v>1279</v>
      </c>
      <c r="K416">
        <v>12142</v>
      </c>
      <c r="L416" t="s">
        <v>1956</v>
      </c>
      <c r="M416">
        <v>12142127</v>
      </c>
      <c r="N416" t="s">
        <v>1957</v>
      </c>
      <c r="O416">
        <v>12142127561</v>
      </c>
      <c r="P416" t="s">
        <v>1982</v>
      </c>
      <c r="Q416">
        <v>121421275611678</v>
      </c>
      <c r="R416" t="s">
        <v>1991</v>
      </c>
      <c r="S416" t="s">
        <v>1990</v>
      </c>
      <c r="T416" t="s">
        <v>1992</v>
      </c>
      <c r="U416" t="s">
        <v>1286</v>
      </c>
      <c r="V416" t="s">
        <v>1287</v>
      </c>
      <c r="W416">
        <v>24</v>
      </c>
      <c r="X416" t="s">
        <v>1288</v>
      </c>
      <c r="Y416">
        <v>1</v>
      </c>
      <c r="Z416">
        <v>24</v>
      </c>
      <c r="AA416" t="s">
        <v>28</v>
      </c>
      <c r="AB416" t="s">
        <v>1190</v>
      </c>
      <c r="AC416">
        <v>24000</v>
      </c>
      <c r="AD416" t="s">
        <v>1289</v>
      </c>
      <c r="AE416" t="s">
        <v>1290</v>
      </c>
      <c r="AF416" t="s">
        <v>1962</v>
      </c>
      <c r="AG416" t="s">
        <v>1194</v>
      </c>
      <c r="AH416" t="s">
        <v>1195</v>
      </c>
      <c r="AI416" t="s">
        <v>1202</v>
      </c>
      <c r="AJ416" t="s">
        <v>1291</v>
      </c>
      <c r="AK416" t="s">
        <v>1292</v>
      </c>
      <c r="AL416" t="s">
        <v>1291</v>
      </c>
      <c r="AM416" t="s">
        <v>1200</v>
      </c>
      <c r="AN416" t="s">
        <v>1201</v>
      </c>
      <c r="AO416" t="s">
        <v>1292</v>
      </c>
      <c r="AP416" t="s">
        <v>1202</v>
      </c>
      <c r="AQ416" t="s">
        <v>1203</v>
      </c>
      <c r="AR416" t="s">
        <v>1201</v>
      </c>
      <c r="AS416" t="s">
        <v>1203</v>
      </c>
      <c r="AU416" t="s">
        <v>1204</v>
      </c>
      <c r="AW416" t="b">
        <v>0</v>
      </c>
      <c r="AY416" t="b">
        <v>0</v>
      </c>
      <c r="BA416" t="s">
        <v>1963</v>
      </c>
      <c r="BB416" t="s">
        <v>1206</v>
      </c>
      <c r="BC416" t="s">
        <v>1206</v>
      </c>
      <c r="BD416" t="s">
        <v>1207</v>
      </c>
      <c r="BE416" t="s">
        <v>1296</v>
      </c>
      <c r="BF416" t="s">
        <v>1964</v>
      </c>
      <c r="BG416" t="s">
        <v>369</v>
      </c>
      <c r="BH416" t="s">
        <v>1206</v>
      </c>
      <c r="BI416" t="s">
        <v>1206</v>
      </c>
      <c r="BJ416" t="s">
        <v>1965</v>
      </c>
    </row>
    <row r="417" spans="1:62" x14ac:dyDescent="0.25">
      <c r="A417" t="s">
        <v>1177</v>
      </c>
      <c r="B417">
        <v>190037</v>
      </c>
      <c r="C417">
        <v>190037</v>
      </c>
      <c r="D417" s="112" t="s">
        <v>2840</v>
      </c>
      <c r="E417" t="s">
        <v>1119</v>
      </c>
      <c r="F417" t="s">
        <v>1178</v>
      </c>
      <c r="G417" t="s">
        <v>1993</v>
      </c>
      <c r="H417" t="s">
        <v>1990</v>
      </c>
      <c r="I417">
        <v>12</v>
      </c>
      <c r="J417" t="s">
        <v>1279</v>
      </c>
      <c r="K417">
        <v>12142</v>
      </c>
      <c r="L417" t="s">
        <v>1956</v>
      </c>
      <c r="M417">
        <v>12142127</v>
      </c>
      <c r="N417" t="s">
        <v>1957</v>
      </c>
      <c r="O417">
        <v>12142127561</v>
      </c>
      <c r="P417" t="s">
        <v>1982</v>
      </c>
      <c r="Q417">
        <v>121421275611678</v>
      </c>
      <c r="R417" t="s">
        <v>1991</v>
      </c>
      <c r="S417" t="s">
        <v>1990</v>
      </c>
      <c r="T417" t="s">
        <v>1992</v>
      </c>
      <c r="U417" t="s">
        <v>1286</v>
      </c>
      <c r="V417" t="s">
        <v>1287</v>
      </c>
      <c r="W417">
        <v>24</v>
      </c>
      <c r="X417" t="s">
        <v>1288</v>
      </c>
      <c r="Y417">
        <v>1</v>
      </c>
      <c r="Z417">
        <v>24</v>
      </c>
      <c r="AA417" t="s">
        <v>28</v>
      </c>
      <c r="AB417" t="s">
        <v>1190</v>
      </c>
      <c r="AC417">
        <v>24000</v>
      </c>
      <c r="AD417" t="s">
        <v>1289</v>
      </c>
      <c r="AE417" t="s">
        <v>1290</v>
      </c>
      <c r="AF417" t="s">
        <v>1962</v>
      </c>
      <c r="AG417" t="s">
        <v>1194</v>
      </c>
      <c r="AH417" t="s">
        <v>1195</v>
      </c>
      <c r="AI417" t="s">
        <v>1202</v>
      </c>
      <c r="AJ417" t="s">
        <v>1291</v>
      </c>
      <c r="AK417" t="s">
        <v>1292</v>
      </c>
      <c r="AL417" t="s">
        <v>1291</v>
      </c>
      <c r="AM417" t="s">
        <v>1200</v>
      </c>
      <c r="AN417" t="s">
        <v>1201</v>
      </c>
      <c r="AO417" t="s">
        <v>1292</v>
      </c>
      <c r="AP417" t="s">
        <v>1202</v>
      </c>
      <c r="AQ417" t="s">
        <v>1203</v>
      </c>
      <c r="AR417" t="s">
        <v>1201</v>
      </c>
      <c r="AS417" t="s">
        <v>1203</v>
      </c>
      <c r="AU417" t="s">
        <v>1204</v>
      </c>
      <c r="AW417" t="b">
        <v>0</v>
      </c>
      <c r="AY417" t="b">
        <v>0</v>
      </c>
      <c r="BA417" t="s">
        <v>1963</v>
      </c>
      <c r="BB417" t="s">
        <v>1206</v>
      </c>
      <c r="BC417" t="s">
        <v>1206</v>
      </c>
      <c r="BD417" t="s">
        <v>1207</v>
      </c>
      <c r="BE417" t="s">
        <v>1296</v>
      </c>
      <c r="BF417" t="s">
        <v>1964</v>
      </c>
      <c r="BG417" t="s">
        <v>369</v>
      </c>
      <c r="BH417" t="s">
        <v>1206</v>
      </c>
      <c r="BI417" t="s">
        <v>1206</v>
      </c>
      <c r="BJ417" t="s">
        <v>1965</v>
      </c>
    </row>
    <row r="418" spans="1:62" x14ac:dyDescent="0.25">
      <c r="A418" t="s">
        <v>1177</v>
      </c>
      <c r="B418">
        <v>190053</v>
      </c>
      <c r="C418">
        <v>190053</v>
      </c>
      <c r="D418" s="112" t="s">
        <v>2841</v>
      </c>
      <c r="E418" t="s">
        <v>1119</v>
      </c>
      <c r="F418" t="s">
        <v>1178</v>
      </c>
      <c r="G418" t="s">
        <v>1994</v>
      </c>
      <c r="H418" t="s">
        <v>1990</v>
      </c>
      <c r="I418">
        <v>12</v>
      </c>
      <c r="J418" t="s">
        <v>1279</v>
      </c>
      <c r="K418">
        <v>12142</v>
      </c>
      <c r="L418" t="s">
        <v>1956</v>
      </c>
      <c r="M418">
        <v>12142127</v>
      </c>
      <c r="N418" t="s">
        <v>1957</v>
      </c>
      <c r="O418">
        <v>12142127561</v>
      </c>
      <c r="P418" t="s">
        <v>1982</v>
      </c>
      <c r="Q418">
        <v>121421275611678</v>
      </c>
      <c r="R418" t="s">
        <v>1991</v>
      </c>
      <c r="S418" t="s">
        <v>1990</v>
      </c>
      <c r="T418" t="s">
        <v>1992</v>
      </c>
      <c r="U418" t="s">
        <v>1286</v>
      </c>
      <c r="V418" t="s">
        <v>1287</v>
      </c>
      <c r="W418">
        <v>24</v>
      </c>
      <c r="X418" t="s">
        <v>1288</v>
      </c>
      <c r="Y418">
        <v>1</v>
      </c>
      <c r="Z418">
        <v>24</v>
      </c>
      <c r="AA418" t="s">
        <v>28</v>
      </c>
      <c r="AB418" t="s">
        <v>1190</v>
      </c>
      <c r="AC418">
        <v>24000</v>
      </c>
      <c r="AD418" t="s">
        <v>1289</v>
      </c>
      <c r="AE418" t="s">
        <v>1290</v>
      </c>
      <c r="AF418" t="s">
        <v>1962</v>
      </c>
      <c r="AG418" t="s">
        <v>1194</v>
      </c>
      <c r="AH418" t="s">
        <v>1195</v>
      </c>
      <c r="AI418" t="s">
        <v>1202</v>
      </c>
      <c r="AJ418" t="s">
        <v>1291</v>
      </c>
      <c r="AK418" t="s">
        <v>1292</v>
      </c>
      <c r="AL418" t="s">
        <v>1291</v>
      </c>
      <c r="AM418" t="s">
        <v>1200</v>
      </c>
      <c r="AN418" t="s">
        <v>1201</v>
      </c>
      <c r="AO418" t="s">
        <v>1292</v>
      </c>
      <c r="AP418" t="s">
        <v>1202</v>
      </c>
      <c r="AQ418" t="s">
        <v>1203</v>
      </c>
      <c r="AR418" t="s">
        <v>1201</v>
      </c>
      <c r="AS418" t="s">
        <v>1203</v>
      </c>
      <c r="AU418" t="s">
        <v>1204</v>
      </c>
      <c r="AW418" t="b">
        <v>0</v>
      </c>
      <c r="AY418" t="b">
        <v>0</v>
      </c>
      <c r="BA418" t="s">
        <v>1963</v>
      </c>
      <c r="BB418" t="s">
        <v>1206</v>
      </c>
      <c r="BC418" t="s">
        <v>1206</v>
      </c>
      <c r="BD418" t="s">
        <v>1207</v>
      </c>
      <c r="BE418" t="s">
        <v>1296</v>
      </c>
      <c r="BF418" t="s">
        <v>1964</v>
      </c>
      <c r="BG418" t="s">
        <v>369</v>
      </c>
      <c r="BH418" t="s">
        <v>1206</v>
      </c>
      <c r="BI418" t="s">
        <v>1206</v>
      </c>
      <c r="BJ418" t="s">
        <v>1965</v>
      </c>
    </row>
    <row r="419" spans="1:62" x14ac:dyDescent="0.25">
      <c r="A419" t="s">
        <v>1177</v>
      </c>
      <c r="B419">
        <v>190035</v>
      </c>
      <c r="C419">
        <v>190035</v>
      </c>
      <c r="D419" s="112" t="s">
        <v>2842</v>
      </c>
      <c r="E419" t="s">
        <v>1119</v>
      </c>
      <c r="F419" t="s">
        <v>1178</v>
      </c>
      <c r="G419" t="s">
        <v>374</v>
      </c>
      <c r="H419" t="s">
        <v>1981</v>
      </c>
      <c r="I419">
        <v>12</v>
      </c>
      <c r="J419" t="s">
        <v>1279</v>
      </c>
      <c r="K419">
        <v>12142</v>
      </c>
      <c r="L419" t="s">
        <v>1956</v>
      </c>
      <c r="M419">
        <v>12142127</v>
      </c>
      <c r="N419" t="s">
        <v>1957</v>
      </c>
      <c r="O419">
        <v>12142127561</v>
      </c>
      <c r="P419" t="s">
        <v>1982</v>
      </c>
      <c r="Q419">
        <v>121421275611533</v>
      </c>
      <c r="R419" t="s">
        <v>1983</v>
      </c>
      <c r="S419" t="s">
        <v>1981</v>
      </c>
      <c r="T419" t="s">
        <v>1984</v>
      </c>
      <c r="U419" t="s">
        <v>1286</v>
      </c>
      <c r="V419" t="s">
        <v>1287</v>
      </c>
      <c r="W419">
        <v>5.7</v>
      </c>
      <c r="X419" t="s">
        <v>1288</v>
      </c>
      <c r="Y419">
        <v>1</v>
      </c>
      <c r="Z419">
        <v>5.7</v>
      </c>
      <c r="AA419" t="s">
        <v>28</v>
      </c>
      <c r="AB419" t="s">
        <v>1190</v>
      </c>
      <c r="AC419">
        <v>5700</v>
      </c>
      <c r="AD419" t="s">
        <v>1289</v>
      </c>
      <c r="AE419" t="s">
        <v>1290</v>
      </c>
      <c r="AF419" t="s">
        <v>1962</v>
      </c>
      <c r="AG419" t="s">
        <v>1194</v>
      </c>
      <c r="AH419" t="s">
        <v>1195</v>
      </c>
      <c r="AI419" t="s">
        <v>1202</v>
      </c>
      <c r="AJ419" t="s">
        <v>1291</v>
      </c>
      <c r="AK419" t="s">
        <v>1292</v>
      </c>
      <c r="AL419" t="s">
        <v>1291</v>
      </c>
      <c r="AM419" t="s">
        <v>1200</v>
      </c>
      <c r="AN419" t="s">
        <v>1201</v>
      </c>
      <c r="AO419" t="s">
        <v>1292</v>
      </c>
      <c r="AP419" t="s">
        <v>1202</v>
      </c>
      <c r="AQ419" t="s">
        <v>1203</v>
      </c>
      <c r="AR419" t="s">
        <v>1201</v>
      </c>
      <c r="AS419" t="s">
        <v>1203</v>
      </c>
      <c r="AU419" t="s">
        <v>1204</v>
      </c>
      <c r="AW419" t="b">
        <v>0</v>
      </c>
      <c r="AY419" t="b">
        <v>0</v>
      </c>
      <c r="BA419" t="s">
        <v>1963</v>
      </c>
      <c r="BB419" t="s">
        <v>1206</v>
      </c>
      <c r="BC419" t="s">
        <v>1206</v>
      </c>
      <c r="BD419" t="s">
        <v>1207</v>
      </c>
      <c r="BE419" t="s">
        <v>1296</v>
      </c>
      <c r="BF419" t="s">
        <v>1964</v>
      </c>
      <c r="BG419" t="s">
        <v>369</v>
      </c>
      <c r="BH419" t="s">
        <v>1206</v>
      </c>
      <c r="BI419" t="s">
        <v>1206</v>
      </c>
      <c r="BJ419" t="s">
        <v>1965</v>
      </c>
    </row>
    <row r="420" spans="1:62" x14ac:dyDescent="0.25">
      <c r="A420" t="s">
        <v>1177</v>
      </c>
      <c r="B420">
        <v>190051</v>
      </c>
      <c r="C420">
        <v>190051</v>
      </c>
      <c r="D420" s="112" t="s">
        <v>2843</v>
      </c>
      <c r="E420" t="s">
        <v>1119</v>
      </c>
      <c r="F420" t="s">
        <v>1178</v>
      </c>
      <c r="G420" t="s">
        <v>375</v>
      </c>
      <c r="H420" t="s">
        <v>1981</v>
      </c>
      <c r="I420">
        <v>12</v>
      </c>
      <c r="J420" t="s">
        <v>1279</v>
      </c>
      <c r="K420">
        <v>12142</v>
      </c>
      <c r="L420" t="s">
        <v>1956</v>
      </c>
      <c r="M420">
        <v>12142127</v>
      </c>
      <c r="N420" t="s">
        <v>1957</v>
      </c>
      <c r="O420">
        <v>12142127561</v>
      </c>
      <c r="P420" t="s">
        <v>1982</v>
      </c>
      <c r="Q420">
        <v>121421275611533</v>
      </c>
      <c r="R420" t="s">
        <v>1983</v>
      </c>
      <c r="S420" t="s">
        <v>1981</v>
      </c>
      <c r="T420" t="s">
        <v>1984</v>
      </c>
      <c r="U420" t="s">
        <v>1286</v>
      </c>
      <c r="V420" t="s">
        <v>1287</v>
      </c>
      <c r="W420">
        <v>5.7</v>
      </c>
      <c r="X420" t="s">
        <v>1288</v>
      </c>
      <c r="Y420">
        <v>1</v>
      </c>
      <c r="Z420">
        <v>5.7</v>
      </c>
      <c r="AA420" t="s">
        <v>28</v>
      </c>
      <c r="AB420" t="s">
        <v>1190</v>
      </c>
      <c r="AC420">
        <v>5700</v>
      </c>
      <c r="AD420" t="s">
        <v>1289</v>
      </c>
      <c r="AE420" t="s">
        <v>1290</v>
      </c>
      <c r="AF420" t="s">
        <v>1962</v>
      </c>
      <c r="AG420" t="s">
        <v>1194</v>
      </c>
      <c r="AH420" t="s">
        <v>1195</v>
      </c>
      <c r="AI420" t="s">
        <v>1202</v>
      </c>
      <c r="AJ420" t="s">
        <v>1291</v>
      </c>
      <c r="AK420" t="s">
        <v>1292</v>
      </c>
      <c r="AL420" t="s">
        <v>1291</v>
      </c>
      <c r="AM420" t="s">
        <v>1200</v>
      </c>
      <c r="AN420" t="s">
        <v>1201</v>
      </c>
      <c r="AO420" t="s">
        <v>1292</v>
      </c>
      <c r="AP420" t="s">
        <v>1202</v>
      </c>
      <c r="AQ420" t="s">
        <v>1203</v>
      </c>
      <c r="AR420" t="s">
        <v>1201</v>
      </c>
      <c r="AS420" t="s">
        <v>1203</v>
      </c>
      <c r="AU420" t="s">
        <v>1204</v>
      </c>
      <c r="AW420" t="b">
        <v>0</v>
      </c>
      <c r="AY420" t="b">
        <v>0</v>
      </c>
      <c r="BA420" t="s">
        <v>1963</v>
      </c>
      <c r="BB420" t="s">
        <v>1206</v>
      </c>
      <c r="BC420" t="s">
        <v>1206</v>
      </c>
      <c r="BD420" t="s">
        <v>1207</v>
      </c>
      <c r="BE420" t="s">
        <v>1296</v>
      </c>
      <c r="BF420" t="s">
        <v>1964</v>
      </c>
      <c r="BG420" t="s">
        <v>369</v>
      </c>
      <c r="BH420" t="s">
        <v>1206</v>
      </c>
      <c r="BI420" t="s">
        <v>1206</v>
      </c>
      <c r="BJ420" t="s">
        <v>1965</v>
      </c>
    </row>
    <row r="421" spans="1:62" x14ac:dyDescent="0.25">
      <c r="A421" t="s">
        <v>1177</v>
      </c>
      <c r="B421">
        <v>190043</v>
      </c>
      <c r="C421">
        <v>190043</v>
      </c>
      <c r="D421" s="112" t="s">
        <v>2844</v>
      </c>
      <c r="E421" t="s">
        <v>1119</v>
      </c>
      <c r="F421" t="s">
        <v>1178</v>
      </c>
      <c r="G421" t="s">
        <v>377</v>
      </c>
      <c r="H421" t="s">
        <v>1986</v>
      </c>
      <c r="I421">
        <v>12</v>
      </c>
      <c r="J421" t="s">
        <v>1279</v>
      </c>
      <c r="K421">
        <v>12142</v>
      </c>
      <c r="L421" t="s">
        <v>1956</v>
      </c>
      <c r="M421">
        <v>12142127</v>
      </c>
      <c r="N421" t="s">
        <v>1957</v>
      </c>
      <c r="O421">
        <v>12142127561</v>
      </c>
      <c r="P421" t="s">
        <v>1982</v>
      </c>
      <c r="Q421">
        <v>121421275611653</v>
      </c>
      <c r="R421" t="s">
        <v>1987</v>
      </c>
      <c r="S421" t="s">
        <v>1986</v>
      </c>
      <c r="T421" t="s">
        <v>1988</v>
      </c>
      <c r="U421" t="s">
        <v>1310</v>
      </c>
      <c r="V421" t="s">
        <v>1311</v>
      </c>
      <c r="W421">
        <v>1</v>
      </c>
      <c r="X421" t="s">
        <v>1288</v>
      </c>
      <c r="Y421">
        <v>6</v>
      </c>
      <c r="Z421">
        <v>6</v>
      </c>
      <c r="AA421" t="s">
        <v>28</v>
      </c>
      <c r="AB421" t="s">
        <v>1190</v>
      </c>
      <c r="AC421">
        <v>1000</v>
      </c>
      <c r="AD421" t="s">
        <v>1289</v>
      </c>
      <c r="AE421" t="s">
        <v>1290</v>
      </c>
      <c r="AF421" t="s">
        <v>1962</v>
      </c>
      <c r="AG421" t="s">
        <v>1194</v>
      </c>
      <c r="AH421" t="s">
        <v>1195</v>
      </c>
      <c r="AI421" t="s">
        <v>1202</v>
      </c>
      <c r="AJ421" t="s">
        <v>1291</v>
      </c>
      <c r="AK421" t="s">
        <v>1292</v>
      </c>
      <c r="AL421" t="s">
        <v>1291</v>
      </c>
      <c r="AM421" t="s">
        <v>1200</v>
      </c>
      <c r="AN421" t="s">
        <v>1201</v>
      </c>
      <c r="AO421" t="s">
        <v>1292</v>
      </c>
      <c r="AP421" t="s">
        <v>1202</v>
      </c>
      <c r="AQ421" t="s">
        <v>1203</v>
      </c>
      <c r="AR421" t="s">
        <v>1201</v>
      </c>
      <c r="AS421" t="s">
        <v>1203</v>
      </c>
      <c r="AU421" t="s">
        <v>1204</v>
      </c>
      <c r="AW421" t="b">
        <v>0</v>
      </c>
      <c r="AY421" t="b">
        <v>0</v>
      </c>
      <c r="BA421" t="s">
        <v>1963</v>
      </c>
      <c r="BB421" t="s">
        <v>1206</v>
      </c>
      <c r="BC421" t="s">
        <v>1206</v>
      </c>
      <c r="BD421" t="s">
        <v>1207</v>
      </c>
      <c r="BE421" t="s">
        <v>1296</v>
      </c>
      <c r="BF421" t="s">
        <v>1964</v>
      </c>
      <c r="BG421" t="s">
        <v>369</v>
      </c>
      <c r="BH421" t="s">
        <v>1206</v>
      </c>
      <c r="BI421" t="s">
        <v>1206</v>
      </c>
      <c r="BJ421" t="s">
        <v>1965</v>
      </c>
    </row>
    <row r="422" spans="1:62" x14ac:dyDescent="0.25">
      <c r="A422" t="s">
        <v>1177</v>
      </c>
      <c r="B422">
        <v>190024</v>
      </c>
      <c r="C422">
        <v>190024</v>
      </c>
      <c r="D422" s="112" t="s">
        <v>2845</v>
      </c>
      <c r="E422" t="s">
        <v>1119</v>
      </c>
      <c r="F422" t="s">
        <v>1178</v>
      </c>
      <c r="G422" t="s">
        <v>1995</v>
      </c>
      <c r="H422" t="s">
        <v>1990</v>
      </c>
      <c r="I422">
        <v>12</v>
      </c>
      <c r="J422" t="s">
        <v>1279</v>
      </c>
      <c r="K422">
        <v>12142</v>
      </c>
      <c r="L422" t="s">
        <v>1956</v>
      </c>
      <c r="M422">
        <v>12142127</v>
      </c>
      <c r="N422" t="s">
        <v>1957</v>
      </c>
      <c r="O422">
        <v>12142127561</v>
      </c>
      <c r="P422" t="s">
        <v>1982</v>
      </c>
      <c r="Q422">
        <v>121421275611678</v>
      </c>
      <c r="R422" t="s">
        <v>1991</v>
      </c>
      <c r="S422" t="s">
        <v>1990</v>
      </c>
      <c r="T422" t="s">
        <v>1992</v>
      </c>
      <c r="U422" t="s">
        <v>1286</v>
      </c>
      <c r="V422" t="s">
        <v>1287</v>
      </c>
      <c r="W422">
        <v>24</v>
      </c>
      <c r="X422" t="s">
        <v>1288</v>
      </c>
      <c r="Y422">
        <v>1</v>
      </c>
      <c r="Z422">
        <v>24</v>
      </c>
      <c r="AA422" t="s">
        <v>28</v>
      </c>
      <c r="AB422" t="s">
        <v>1190</v>
      </c>
      <c r="AC422">
        <v>24000</v>
      </c>
      <c r="AD422" t="s">
        <v>1289</v>
      </c>
      <c r="AE422" t="s">
        <v>1290</v>
      </c>
      <c r="AF422" t="s">
        <v>1962</v>
      </c>
      <c r="AG422" t="s">
        <v>1194</v>
      </c>
      <c r="AH422" t="s">
        <v>1195</v>
      </c>
      <c r="AI422" t="s">
        <v>1202</v>
      </c>
      <c r="AJ422" t="s">
        <v>1291</v>
      </c>
      <c r="AK422" t="s">
        <v>1292</v>
      </c>
      <c r="AL422" t="s">
        <v>1291</v>
      </c>
      <c r="AM422" t="s">
        <v>1200</v>
      </c>
      <c r="AN422" t="s">
        <v>1201</v>
      </c>
      <c r="AO422" t="s">
        <v>1292</v>
      </c>
      <c r="AP422" t="s">
        <v>1202</v>
      </c>
      <c r="AQ422" t="s">
        <v>1203</v>
      </c>
      <c r="AR422" t="s">
        <v>1201</v>
      </c>
      <c r="AS422" t="s">
        <v>1203</v>
      </c>
      <c r="AU422" t="s">
        <v>1204</v>
      </c>
      <c r="AW422" t="b">
        <v>0</v>
      </c>
      <c r="AY422" t="b">
        <v>0</v>
      </c>
      <c r="BA422" t="s">
        <v>1963</v>
      </c>
      <c r="BB422" t="s">
        <v>1206</v>
      </c>
      <c r="BC422" t="s">
        <v>1206</v>
      </c>
      <c r="BD422" t="s">
        <v>1207</v>
      </c>
      <c r="BE422" t="s">
        <v>1296</v>
      </c>
      <c r="BF422" t="s">
        <v>1964</v>
      </c>
      <c r="BG422" t="s">
        <v>369</v>
      </c>
      <c r="BH422" t="s">
        <v>1206</v>
      </c>
      <c r="BI422" t="s">
        <v>1206</v>
      </c>
      <c r="BJ422" t="s">
        <v>1965</v>
      </c>
    </row>
    <row r="423" spans="1:62" x14ac:dyDescent="0.25">
      <c r="A423" t="s">
        <v>1177</v>
      </c>
      <c r="B423">
        <v>190020</v>
      </c>
      <c r="C423">
        <v>190020</v>
      </c>
      <c r="D423" s="112" t="s">
        <v>2846</v>
      </c>
      <c r="E423" t="s">
        <v>1119</v>
      </c>
      <c r="F423" t="s">
        <v>1178</v>
      </c>
      <c r="G423" t="s">
        <v>1996</v>
      </c>
      <c r="H423" t="s">
        <v>1981</v>
      </c>
      <c r="I423">
        <v>12</v>
      </c>
      <c r="J423" t="s">
        <v>1279</v>
      </c>
      <c r="K423">
        <v>12142</v>
      </c>
      <c r="L423" t="s">
        <v>1956</v>
      </c>
      <c r="M423">
        <v>12142127</v>
      </c>
      <c r="N423" t="s">
        <v>1957</v>
      </c>
      <c r="O423">
        <v>12142127561</v>
      </c>
      <c r="P423" t="s">
        <v>1982</v>
      </c>
      <c r="Q423">
        <v>121421275611533</v>
      </c>
      <c r="R423" t="s">
        <v>1983</v>
      </c>
      <c r="S423" t="s">
        <v>1981</v>
      </c>
      <c r="T423" t="s">
        <v>1984</v>
      </c>
      <c r="U423" t="s">
        <v>1286</v>
      </c>
      <c r="V423" t="s">
        <v>1287</v>
      </c>
      <c r="W423">
        <v>5.7</v>
      </c>
      <c r="X423" t="s">
        <v>1288</v>
      </c>
      <c r="Y423">
        <v>1</v>
      </c>
      <c r="Z423">
        <v>5.7</v>
      </c>
      <c r="AA423" t="s">
        <v>28</v>
      </c>
      <c r="AB423" t="s">
        <v>1190</v>
      </c>
      <c r="AC423">
        <v>5700</v>
      </c>
      <c r="AD423" t="s">
        <v>1289</v>
      </c>
      <c r="AE423" t="s">
        <v>1290</v>
      </c>
      <c r="AF423" t="s">
        <v>1962</v>
      </c>
      <c r="AG423" t="s">
        <v>1194</v>
      </c>
      <c r="AH423" t="s">
        <v>1195</v>
      </c>
      <c r="AI423" t="s">
        <v>1202</v>
      </c>
      <c r="AJ423" t="s">
        <v>1291</v>
      </c>
      <c r="AK423" t="s">
        <v>1292</v>
      </c>
      <c r="AL423" t="s">
        <v>1291</v>
      </c>
      <c r="AM423" t="s">
        <v>1200</v>
      </c>
      <c r="AN423" t="s">
        <v>1201</v>
      </c>
      <c r="AO423" t="s">
        <v>1292</v>
      </c>
      <c r="AP423" t="s">
        <v>1202</v>
      </c>
      <c r="AQ423" t="s">
        <v>1203</v>
      </c>
      <c r="AR423" t="s">
        <v>1201</v>
      </c>
      <c r="AS423" t="s">
        <v>1203</v>
      </c>
      <c r="AU423" t="s">
        <v>1204</v>
      </c>
      <c r="AW423" t="b">
        <v>0</v>
      </c>
      <c r="AY423" t="b">
        <v>0</v>
      </c>
      <c r="BA423" t="s">
        <v>1963</v>
      </c>
      <c r="BB423" t="s">
        <v>1206</v>
      </c>
      <c r="BC423" t="s">
        <v>1206</v>
      </c>
      <c r="BD423" t="s">
        <v>1207</v>
      </c>
      <c r="BE423" t="s">
        <v>1296</v>
      </c>
      <c r="BF423" t="s">
        <v>1964</v>
      </c>
      <c r="BG423" t="s">
        <v>369</v>
      </c>
      <c r="BH423" t="s">
        <v>1206</v>
      </c>
      <c r="BI423" t="s">
        <v>1206</v>
      </c>
      <c r="BJ423" t="s">
        <v>1965</v>
      </c>
    </row>
    <row r="424" spans="1:62" x14ac:dyDescent="0.25">
      <c r="A424" t="s">
        <v>1177</v>
      </c>
      <c r="B424">
        <v>190073</v>
      </c>
      <c r="C424" t="s">
        <v>1258</v>
      </c>
      <c r="D424" s="112" t="s">
        <v>2847</v>
      </c>
      <c r="E424" t="s">
        <v>1119</v>
      </c>
      <c r="F424" t="s">
        <v>1178</v>
      </c>
      <c r="G424" t="s">
        <v>1997</v>
      </c>
      <c r="H424" t="s">
        <v>1998</v>
      </c>
      <c r="I424">
        <v>12</v>
      </c>
      <c r="J424" t="s">
        <v>1279</v>
      </c>
      <c r="K424">
        <v>12142</v>
      </c>
      <c r="L424" t="s">
        <v>1956</v>
      </c>
      <c r="M424">
        <v>12142127</v>
      </c>
      <c r="N424" t="s">
        <v>1957</v>
      </c>
      <c r="O424">
        <v>12142127557</v>
      </c>
      <c r="P424" t="s">
        <v>1999</v>
      </c>
      <c r="Q424">
        <v>121421275571325</v>
      </c>
      <c r="R424" t="s">
        <v>2000</v>
      </c>
      <c r="S424" t="s">
        <v>1998</v>
      </c>
      <c r="T424" t="s">
        <v>2001</v>
      </c>
      <c r="U424" t="s">
        <v>1237</v>
      </c>
      <c r="V424" t="s">
        <v>1238</v>
      </c>
      <c r="W424">
        <v>135</v>
      </c>
      <c r="X424" t="s">
        <v>1189</v>
      </c>
      <c r="Y424">
        <v>48</v>
      </c>
      <c r="Z424">
        <v>6480</v>
      </c>
      <c r="AA424" t="s">
        <v>28</v>
      </c>
      <c r="AB424" t="s">
        <v>1190</v>
      </c>
      <c r="AC424">
        <v>135</v>
      </c>
      <c r="AD424" t="s">
        <v>1191</v>
      </c>
      <c r="AE424" t="s">
        <v>1192</v>
      </c>
      <c r="AF424" t="s">
        <v>1193</v>
      </c>
      <c r="AG424" t="s">
        <v>1194</v>
      </c>
      <c r="AH424" t="s">
        <v>1195</v>
      </c>
      <c r="AI424" t="s">
        <v>1202</v>
      </c>
      <c r="AJ424" t="s">
        <v>1291</v>
      </c>
      <c r="AK424" t="s">
        <v>1292</v>
      </c>
      <c r="AL424" t="s">
        <v>1291</v>
      </c>
      <c r="AM424" t="s">
        <v>1200</v>
      </c>
      <c r="AN424" t="s">
        <v>1201</v>
      </c>
      <c r="AO424" t="s">
        <v>1292</v>
      </c>
      <c r="AP424" t="s">
        <v>1202</v>
      </c>
      <c r="AQ424" t="s">
        <v>1203</v>
      </c>
      <c r="AR424" t="s">
        <v>1201</v>
      </c>
      <c r="AS424" t="s">
        <v>1203</v>
      </c>
      <c r="AU424" t="s">
        <v>1204</v>
      </c>
      <c r="AW424" t="b">
        <v>0</v>
      </c>
      <c r="AY424" t="b">
        <v>0</v>
      </c>
      <c r="BA424" t="s">
        <v>1963</v>
      </c>
      <c r="BB424" t="s">
        <v>1206</v>
      </c>
      <c r="BC424" t="s">
        <v>1206</v>
      </c>
      <c r="BD424" t="s">
        <v>1207</v>
      </c>
      <c r="BE424" t="s">
        <v>1296</v>
      </c>
      <c r="BF424" t="s">
        <v>1964</v>
      </c>
      <c r="BG424" t="s">
        <v>369</v>
      </c>
      <c r="BH424" t="s">
        <v>1206</v>
      </c>
      <c r="BI424" t="s">
        <v>1206</v>
      </c>
      <c r="BJ424" t="s">
        <v>1965</v>
      </c>
    </row>
    <row r="425" spans="1:62" x14ac:dyDescent="0.25">
      <c r="A425" t="s">
        <v>1177</v>
      </c>
      <c r="B425">
        <v>190067</v>
      </c>
      <c r="C425">
        <v>190067</v>
      </c>
      <c r="D425" s="112" t="s">
        <v>2848</v>
      </c>
      <c r="E425" t="s">
        <v>1119</v>
      </c>
      <c r="F425" t="s">
        <v>1178</v>
      </c>
      <c r="G425" t="s">
        <v>1997</v>
      </c>
      <c r="H425" t="s">
        <v>2002</v>
      </c>
      <c r="I425">
        <v>12</v>
      </c>
      <c r="J425" t="s">
        <v>1279</v>
      </c>
      <c r="K425">
        <v>12142</v>
      </c>
      <c r="L425" t="s">
        <v>1956</v>
      </c>
      <c r="M425">
        <v>12142127</v>
      </c>
      <c r="N425" t="s">
        <v>1957</v>
      </c>
      <c r="O425">
        <v>12142127557</v>
      </c>
      <c r="P425" t="s">
        <v>1999</v>
      </c>
      <c r="Q425">
        <v>121421275571679</v>
      </c>
      <c r="R425" t="s">
        <v>2003</v>
      </c>
      <c r="S425" t="s">
        <v>2002</v>
      </c>
      <c r="T425" t="s">
        <v>2004</v>
      </c>
      <c r="U425" t="s">
        <v>1237</v>
      </c>
      <c r="V425" t="s">
        <v>1238</v>
      </c>
      <c r="W425">
        <v>130</v>
      </c>
      <c r="X425" t="s">
        <v>1189</v>
      </c>
      <c r="Y425">
        <v>48</v>
      </c>
      <c r="Z425">
        <v>6240</v>
      </c>
      <c r="AA425" t="s">
        <v>28</v>
      </c>
      <c r="AB425" t="s">
        <v>1190</v>
      </c>
      <c r="AC425">
        <v>130</v>
      </c>
      <c r="AD425" t="s">
        <v>1191</v>
      </c>
      <c r="AE425" t="s">
        <v>1192</v>
      </c>
      <c r="AF425" t="s">
        <v>1193</v>
      </c>
      <c r="AG425" t="s">
        <v>1194</v>
      </c>
      <c r="AH425" t="s">
        <v>1195</v>
      </c>
      <c r="AI425" t="s">
        <v>1202</v>
      </c>
      <c r="AJ425" t="s">
        <v>1291</v>
      </c>
      <c r="AK425" t="s">
        <v>1292</v>
      </c>
      <c r="AL425" t="s">
        <v>1291</v>
      </c>
      <c r="AM425" t="s">
        <v>1200</v>
      </c>
      <c r="AN425" t="s">
        <v>1201</v>
      </c>
      <c r="AO425" t="s">
        <v>1292</v>
      </c>
      <c r="AP425" t="s">
        <v>1202</v>
      </c>
      <c r="AQ425" t="s">
        <v>1203</v>
      </c>
      <c r="AR425" t="s">
        <v>1201</v>
      </c>
      <c r="AS425" t="s">
        <v>1203</v>
      </c>
      <c r="AU425" t="s">
        <v>1204</v>
      </c>
      <c r="AW425" t="b">
        <v>0</v>
      </c>
      <c r="AY425" t="b">
        <v>0</v>
      </c>
      <c r="BA425" t="s">
        <v>1963</v>
      </c>
      <c r="BB425" t="s">
        <v>1206</v>
      </c>
      <c r="BC425" t="s">
        <v>1206</v>
      </c>
      <c r="BD425" t="s">
        <v>1207</v>
      </c>
      <c r="BE425" t="s">
        <v>1296</v>
      </c>
      <c r="BF425" t="s">
        <v>1964</v>
      </c>
      <c r="BG425" t="s">
        <v>369</v>
      </c>
      <c r="BH425" t="s">
        <v>1206</v>
      </c>
      <c r="BI425" t="s">
        <v>1206</v>
      </c>
      <c r="BJ425" t="s">
        <v>1965</v>
      </c>
    </row>
    <row r="426" spans="1:62" x14ac:dyDescent="0.25">
      <c r="A426" t="s">
        <v>1177</v>
      </c>
      <c r="B426">
        <v>190068</v>
      </c>
      <c r="C426">
        <v>190068</v>
      </c>
      <c r="D426" s="112" t="s">
        <v>2849</v>
      </c>
      <c r="E426" t="s">
        <v>1119</v>
      </c>
      <c r="F426" t="s">
        <v>1178</v>
      </c>
      <c r="G426" t="s">
        <v>2005</v>
      </c>
      <c r="H426" t="s">
        <v>2006</v>
      </c>
      <c r="I426">
        <v>12</v>
      </c>
      <c r="J426" t="s">
        <v>1279</v>
      </c>
      <c r="K426">
        <v>12142</v>
      </c>
      <c r="L426" t="s">
        <v>1956</v>
      </c>
      <c r="M426">
        <v>12142127</v>
      </c>
      <c r="N426" t="s">
        <v>1957</v>
      </c>
      <c r="O426">
        <v>12142127557</v>
      </c>
      <c r="P426" t="s">
        <v>1999</v>
      </c>
      <c r="Q426">
        <v>121421275571676</v>
      </c>
      <c r="R426" t="s">
        <v>2007</v>
      </c>
      <c r="S426" t="s">
        <v>2006</v>
      </c>
      <c r="T426" t="s">
        <v>2008</v>
      </c>
      <c r="U426" t="s">
        <v>1237</v>
      </c>
      <c r="V426" t="s">
        <v>1238</v>
      </c>
      <c r="W426">
        <v>270</v>
      </c>
      <c r="X426" t="s">
        <v>1189</v>
      </c>
      <c r="Y426">
        <v>24</v>
      </c>
      <c r="Z426">
        <v>6480</v>
      </c>
      <c r="AA426" t="s">
        <v>28</v>
      </c>
      <c r="AB426" t="s">
        <v>1190</v>
      </c>
      <c r="AC426">
        <v>270</v>
      </c>
      <c r="AD426" t="s">
        <v>1191</v>
      </c>
      <c r="AE426" t="s">
        <v>1192</v>
      </c>
      <c r="AF426" t="s">
        <v>1193</v>
      </c>
      <c r="AG426" t="s">
        <v>1194</v>
      </c>
      <c r="AH426" t="s">
        <v>1195</v>
      </c>
      <c r="AI426" t="s">
        <v>1202</v>
      </c>
      <c r="AJ426" t="s">
        <v>1291</v>
      </c>
      <c r="AK426" t="s">
        <v>1292</v>
      </c>
      <c r="AL426" t="s">
        <v>1291</v>
      </c>
      <c r="AM426" t="s">
        <v>1200</v>
      </c>
      <c r="AN426" t="s">
        <v>1201</v>
      </c>
      <c r="AO426" t="s">
        <v>1292</v>
      </c>
      <c r="AP426" t="s">
        <v>1202</v>
      </c>
      <c r="AQ426" t="s">
        <v>1203</v>
      </c>
      <c r="AR426" t="s">
        <v>1201</v>
      </c>
      <c r="AS426" t="s">
        <v>1203</v>
      </c>
      <c r="AU426" t="s">
        <v>1204</v>
      </c>
      <c r="AW426" t="b">
        <v>0</v>
      </c>
      <c r="AY426" t="b">
        <v>0</v>
      </c>
      <c r="BA426" t="s">
        <v>1963</v>
      </c>
      <c r="BB426" t="s">
        <v>1206</v>
      </c>
      <c r="BC426" t="s">
        <v>1206</v>
      </c>
      <c r="BD426" t="s">
        <v>1207</v>
      </c>
      <c r="BE426" t="s">
        <v>1296</v>
      </c>
      <c r="BF426" t="s">
        <v>1964</v>
      </c>
      <c r="BG426" t="s">
        <v>369</v>
      </c>
      <c r="BH426" t="s">
        <v>1206</v>
      </c>
      <c r="BI426" t="s">
        <v>1206</v>
      </c>
      <c r="BJ426" t="s">
        <v>1965</v>
      </c>
    </row>
    <row r="427" spans="1:62" x14ac:dyDescent="0.25">
      <c r="A427" t="s">
        <v>1177</v>
      </c>
      <c r="B427">
        <v>190066</v>
      </c>
      <c r="C427">
        <v>190066</v>
      </c>
      <c r="D427" s="112" t="s">
        <v>2850</v>
      </c>
      <c r="E427" t="s">
        <v>1119</v>
      </c>
      <c r="F427" t="s">
        <v>1178</v>
      </c>
      <c r="G427" t="s">
        <v>2009</v>
      </c>
      <c r="H427" t="s">
        <v>2010</v>
      </c>
      <c r="I427">
        <v>12</v>
      </c>
      <c r="J427" t="s">
        <v>1279</v>
      </c>
      <c r="K427">
        <v>12142</v>
      </c>
      <c r="L427" t="s">
        <v>1956</v>
      </c>
      <c r="M427">
        <v>12142127</v>
      </c>
      <c r="N427" t="s">
        <v>1957</v>
      </c>
      <c r="O427">
        <v>12142127557</v>
      </c>
      <c r="P427" t="s">
        <v>1999</v>
      </c>
      <c r="Q427">
        <v>121421275571326</v>
      </c>
      <c r="R427" t="s">
        <v>2011</v>
      </c>
      <c r="S427" t="s">
        <v>2010</v>
      </c>
      <c r="T427" t="s">
        <v>2012</v>
      </c>
      <c r="U427" t="s">
        <v>1187</v>
      </c>
      <c r="V427" t="s">
        <v>1188</v>
      </c>
      <c r="W427">
        <v>335</v>
      </c>
      <c r="X427" t="s">
        <v>1189</v>
      </c>
      <c r="Y427">
        <v>24</v>
      </c>
      <c r="Z427">
        <v>8040</v>
      </c>
      <c r="AA427" t="s">
        <v>28</v>
      </c>
      <c r="AB427" t="s">
        <v>1190</v>
      </c>
      <c r="AC427">
        <v>335</v>
      </c>
      <c r="AD427" t="s">
        <v>1191</v>
      </c>
      <c r="AE427" t="s">
        <v>1192</v>
      </c>
      <c r="AF427" t="s">
        <v>1193</v>
      </c>
      <c r="AG427" t="s">
        <v>1194</v>
      </c>
      <c r="AH427" t="s">
        <v>1195</v>
      </c>
      <c r="AI427" t="s">
        <v>1202</v>
      </c>
      <c r="AJ427" t="s">
        <v>1291</v>
      </c>
      <c r="AK427" t="s">
        <v>1292</v>
      </c>
      <c r="AL427" t="s">
        <v>1291</v>
      </c>
      <c r="AM427" t="s">
        <v>1200</v>
      </c>
      <c r="AN427" t="s">
        <v>1201</v>
      </c>
      <c r="AO427" t="s">
        <v>1292</v>
      </c>
      <c r="AP427" t="s">
        <v>1202</v>
      </c>
      <c r="AQ427" t="s">
        <v>1203</v>
      </c>
      <c r="AR427" t="s">
        <v>1201</v>
      </c>
      <c r="AS427" t="s">
        <v>1203</v>
      </c>
      <c r="AU427" t="s">
        <v>1204</v>
      </c>
      <c r="AW427" t="b">
        <v>0</v>
      </c>
      <c r="AY427" t="b">
        <v>0</v>
      </c>
      <c r="BA427" t="s">
        <v>1963</v>
      </c>
      <c r="BB427" t="s">
        <v>1206</v>
      </c>
      <c r="BC427" t="s">
        <v>1206</v>
      </c>
      <c r="BD427" t="s">
        <v>1207</v>
      </c>
      <c r="BE427" t="s">
        <v>1296</v>
      </c>
      <c r="BF427" t="s">
        <v>1964</v>
      </c>
      <c r="BG427" t="s">
        <v>369</v>
      </c>
      <c r="BH427" t="s">
        <v>1206</v>
      </c>
      <c r="BI427" t="s">
        <v>1206</v>
      </c>
      <c r="BJ427" t="s">
        <v>1965</v>
      </c>
    </row>
    <row r="428" spans="1:62" x14ac:dyDescent="0.25">
      <c r="A428" t="s">
        <v>1177</v>
      </c>
      <c r="B428">
        <v>190041</v>
      </c>
      <c r="C428">
        <v>190041</v>
      </c>
      <c r="D428" s="112" t="s">
        <v>2851</v>
      </c>
      <c r="E428" t="s">
        <v>1119</v>
      </c>
      <c r="F428" t="s">
        <v>1178</v>
      </c>
      <c r="G428" t="s">
        <v>372</v>
      </c>
      <c r="H428" t="s">
        <v>2013</v>
      </c>
      <c r="I428">
        <v>12</v>
      </c>
      <c r="J428" t="s">
        <v>1279</v>
      </c>
      <c r="K428">
        <v>12142</v>
      </c>
      <c r="L428" t="s">
        <v>1956</v>
      </c>
      <c r="M428">
        <v>12142127</v>
      </c>
      <c r="N428" t="s">
        <v>1957</v>
      </c>
      <c r="O428">
        <v>12142127557</v>
      </c>
      <c r="P428" t="s">
        <v>1999</v>
      </c>
      <c r="Q428">
        <v>121421275571395</v>
      </c>
      <c r="R428" t="s">
        <v>2014</v>
      </c>
      <c r="S428" t="s">
        <v>2013</v>
      </c>
      <c r="T428" t="s">
        <v>2015</v>
      </c>
      <c r="U428" t="s">
        <v>1237</v>
      </c>
      <c r="V428" t="s">
        <v>1238</v>
      </c>
      <c r="W428">
        <v>275</v>
      </c>
      <c r="X428" t="s">
        <v>1189</v>
      </c>
      <c r="Y428">
        <v>24</v>
      </c>
      <c r="Z428">
        <v>6600</v>
      </c>
      <c r="AA428" t="s">
        <v>28</v>
      </c>
      <c r="AB428" t="s">
        <v>1190</v>
      </c>
      <c r="AC428">
        <v>275</v>
      </c>
      <c r="AD428" t="s">
        <v>1191</v>
      </c>
      <c r="AE428" t="s">
        <v>1192</v>
      </c>
      <c r="AF428" t="s">
        <v>1193</v>
      </c>
      <c r="AG428" t="s">
        <v>1194</v>
      </c>
      <c r="AH428" t="s">
        <v>1195</v>
      </c>
      <c r="AI428" t="s">
        <v>1202</v>
      </c>
      <c r="AJ428" t="s">
        <v>1291</v>
      </c>
      <c r="AK428" t="s">
        <v>1292</v>
      </c>
      <c r="AL428" t="s">
        <v>1291</v>
      </c>
      <c r="AM428" t="s">
        <v>1200</v>
      </c>
      <c r="AN428" t="s">
        <v>1201</v>
      </c>
      <c r="AO428" t="s">
        <v>1292</v>
      </c>
      <c r="AP428" t="s">
        <v>1202</v>
      </c>
      <c r="AQ428" t="s">
        <v>1203</v>
      </c>
      <c r="AR428" t="s">
        <v>1201</v>
      </c>
      <c r="AS428" t="s">
        <v>1203</v>
      </c>
      <c r="AU428" t="s">
        <v>1204</v>
      </c>
      <c r="AW428" t="b">
        <v>0</v>
      </c>
      <c r="AY428" t="b">
        <v>0</v>
      </c>
      <c r="BA428" t="s">
        <v>1963</v>
      </c>
      <c r="BB428" t="s">
        <v>1206</v>
      </c>
      <c r="BC428" t="s">
        <v>1206</v>
      </c>
      <c r="BD428" t="s">
        <v>1207</v>
      </c>
      <c r="BE428" t="s">
        <v>1296</v>
      </c>
      <c r="BF428" t="s">
        <v>1964</v>
      </c>
      <c r="BG428" t="s">
        <v>369</v>
      </c>
      <c r="BH428" t="s">
        <v>1206</v>
      </c>
      <c r="BI428" t="s">
        <v>1206</v>
      </c>
      <c r="BJ428" t="s">
        <v>1965</v>
      </c>
    </row>
    <row r="429" spans="1:62" x14ac:dyDescent="0.25">
      <c r="A429" t="s">
        <v>1177</v>
      </c>
      <c r="B429">
        <v>190040</v>
      </c>
      <c r="C429">
        <v>190040</v>
      </c>
      <c r="D429" s="112" t="s">
        <v>2852</v>
      </c>
      <c r="E429" t="s">
        <v>1119</v>
      </c>
      <c r="F429" t="s">
        <v>1178</v>
      </c>
      <c r="G429" t="s">
        <v>2016</v>
      </c>
      <c r="H429" t="s">
        <v>1998</v>
      </c>
      <c r="I429">
        <v>12</v>
      </c>
      <c r="J429" t="s">
        <v>1279</v>
      </c>
      <c r="K429">
        <v>12142</v>
      </c>
      <c r="L429" t="s">
        <v>1956</v>
      </c>
      <c r="M429">
        <v>12142127</v>
      </c>
      <c r="N429" t="s">
        <v>1957</v>
      </c>
      <c r="O429">
        <v>12142127557</v>
      </c>
      <c r="P429" t="s">
        <v>1999</v>
      </c>
      <c r="Q429">
        <v>121421275571325</v>
      </c>
      <c r="R429" t="s">
        <v>2000</v>
      </c>
      <c r="S429" t="s">
        <v>1998</v>
      </c>
      <c r="T429" t="s">
        <v>2001</v>
      </c>
      <c r="U429" t="s">
        <v>1237</v>
      </c>
      <c r="V429" t="s">
        <v>1238</v>
      </c>
      <c r="W429">
        <v>135</v>
      </c>
      <c r="X429" t="s">
        <v>1189</v>
      </c>
      <c r="Y429">
        <v>48</v>
      </c>
      <c r="Z429">
        <v>6480</v>
      </c>
      <c r="AA429" t="s">
        <v>28</v>
      </c>
      <c r="AB429" t="s">
        <v>1190</v>
      </c>
      <c r="AC429">
        <v>135</v>
      </c>
      <c r="AD429" t="s">
        <v>1191</v>
      </c>
      <c r="AE429" t="s">
        <v>1192</v>
      </c>
      <c r="AF429" t="s">
        <v>1193</v>
      </c>
      <c r="AG429" t="s">
        <v>1194</v>
      </c>
      <c r="AH429" t="s">
        <v>1195</v>
      </c>
      <c r="AI429" t="s">
        <v>1202</v>
      </c>
      <c r="AJ429" t="s">
        <v>1291</v>
      </c>
      <c r="AK429" t="s">
        <v>1292</v>
      </c>
      <c r="AL429" t="s">
        <v>1291</v>
      </c>
      <c r="AM429" t="s">
        <v>1200</v>
      </c>
      <c r="AN429" t="s">
        <v>1201</v>
      </c>
      <c r="AO429" t="s">
        <v>1292</v>
      </c>
      <c r="AP429" t="s">
        <v>1202</v>
      </c>
      <c r="AQ429" t="s">
        <v>1203</v>
      </c>
      <c r="AR429" t="s">
        <v>1201</v>
      </c>
      <c r="AS429" t="s">
        <v>1203</v>
      </c>
      <c r="AU429" t="s">
        <v>1204</v>
      </c>
      <c r="AW429" t="b">
        <v>0</v>
      </c>
      <c r="AY429" t="b">
        <v>0</v>
      </c>
      <c r="BA429" t="s">
        <v>1963</v>
      </c>
      <c r="BB429" t="s">
        <v>1206</v>
      </c>
      <c r="BC429" t="s">
        <v>1206</v>
      </c>
      <c r="BD429" t="s">
        <v>1207</v>
      </c>
      <c r="BE429" t="s">
        <v>1296</v>
      </c>
      <c r="BF429" t="s">
        <v>1964</v>
      </c>
      <c r="BG429" t="s">
        <v>369</v>
      </c>
      <c r="BH429" t="s">
        <v>1206</v>
      </c>
      <c r="BI429" t="s">
        <v>1206</v>
      </c>
      <c r="BJ429" t="s">
        <v>1965</v>
      </c>
    </row>
    <row r="430" spans="1:62" x14ac:dyDescent="0.25">
      <c r="A430" t="s">
        <v>1177</v>
      </c>
      <c r="B430">
        <v>190036</v>
      </c>
      <c r="C430">
        <v>190036</v>
      </c>
      <c r="D430" s="112" t="s">
        <v>2853</v>
      </c>
      <c r="E430" t="s">
        <v>1119</v>
      </c>
      <c r="F430" t="s">
        <v>1178</v>
      </c>
      <c r="G430" t="s">
        <v>376</v>
      </c>
      <c r="H430" t="s">
        <v>2017</v>
      </c>
      <c r="I430">
        <v>12</v>
      </c>
      <c r="J430" t="s">
        <v>1279</v>
      </c>
      <c r="K430">
        <v>12142</v>
      </c>
      <c r="L430" t="s">
        <v>1956</v>
      </c>
      <c r="M430">
        <v>12142127</v>
      </c>
      <c r="N430" t="s">
        <v>1957</v>
      </c>
      <c r="O430">
        <v>12142127557</v>
      </c>
      <c r="P430" t="s">
        <v>1999</v>
      </c>
      <c r="Q430">
        <v>121421275571394</v>
      </c>
      <c r="R430" t="s">
        <v>2018</v>
      </c>
      <c r="S430" t="s">
        <v>2017</v>
      </c>
      <c r="T430" t="s">
        <v>2019</v>
      </c>
      <c r="U430" t="s">
        <v>1310</v>
      </c>
      <c r="V430" t="s">
        <v>1311</v>
      </c>
      <c r="W430">
        <v>1</v>
      </c>
      <c r="X430" t="s">
        <v>1288</v>
      </c>
      <c r="Y430">
        <v>6</v>
      </c>
      <c r="Z430">
        <v>6</v>
      </c>
      <c r="AA430" t="s">
        <v>28</v>
      </c>
      <c r="AB430" t="s">
        <v>1190</v>
      </c>
      <c r="AC430">
        <v>1000</v>
      </c>
      <c r="AD430" t="s">
        <v>1289</v>
      </c>
      <c r="AE430" t="s">
        <v>1290</v>
      </c>
      <c r="AF430" t="s">
        <v>1193</v>
      </c>
      <c r="AG430" t="s">
        <v>1194</v>
      </c>
      <c r="AH430" t="s">
        <v>1195</v>
      </c>
      <c r="AI430" t="s">
        <v>1202</v>
      </c>
      <c r="AJ430" t="s">
        <v>1291</v>
      </c>
      <c r="AK430" t="s">
        <v>1292</v>
      </c>
      <c r="AL430" t="s">
        <v>1291</v>
      </c>
      <c r="AM430" t="s">
        <v>1200</v>
      </c>
      <c r="AN430" t="s">
        <v>1201</v>
      </c>
      <c r="AO430" t="s">
        <v>1292</v>
      </c>
      <c r="AP430" t="s">
        <v>1202</v>
      </c>
      <c r="AQ430" t="s">
        <v>1203</v>
      </c>
      <c r="AR430" t="s">
        <v>1201</v>
      </c>
      <c r="AS430" t="s">
        <v>1203</v>
      </c>
      <c r="AU430" t="s">
        <v>1204</v>
      </c>
      <c r="AW430" t="b">
        <v>0</v>
      </c>
      <c r="AY430" t="b">
        <v>0</v>
      </c>
      <c r="BA430" t="s">
        <v>1963</v>
      </c>
      <c r="BB430" t="s">
        <v>1206</v>
      </c>
      <c r="BC430" t="s">
        <v>1206</v>
      </c>
      <c r="BD430" t="s">
        <v>1207</v>
      </c>
      <c r="BE430" t="s">
        <v>1296</v>
      </c>
      <c r="BF430" t="s">
        <v>1964</v>
      </c>
      <c r="BG430" t="s">
        <v>369</v>
      </c>
      <c r="BH430" t="s">
        <v>1206</v>
      </c>
      <c r="BI430" t="s">
        <v>1206</v>
      </c>
      <c r="BJ430" t="s">
        <v>1965</v>
      </c>
    </row>
    <row r="431" spans="1:62" x14ac:dyDescent="0.25">
      <c r="A431" t="s">
        <v>1177</v>
      </c>
      <c r="B431">
        <v>190023</v>
      </c>
      <c r="C431">
        <v>190023</v>
      </c>
      <c r="D431" s="112" t="s">
        <v>2854</v>
      </c>
      <c r="E431" t="s">
        <v>1119</v>
      </c>
      <c r="F431" t="s">
        <v>1178</v>
      </c>
      <c r="G431" t="s">
        <v>2020</v>
      </c>
      <c r="H431" t="s">
        <v>2017</v>
      </c>
      <c r="I431">
        <v>12</v>
      </c>
      <c r="J431" t="s">
        <v>1279</v>
      </c>
      <c r="K431">
        <v>12142</v>
      </c>
      <c r="L431" t="s">
        <v>1956</v>
      </c>
      <c r="M431">
        <v>12142127</v>
      </c>
      <c r="N431" t="s">
        <v>1957</v>
      </c>
      <c r="O431">
        <v>12142127557</v>
      </c>
      <c r="P431" t="s">
        <v>1999</v>
      </c>
      <c r="Q431">
        <v>121421275571394</v>
      </c>
      <c r="R431" t="s">
        <v>2018</v>
      </c>
      <c r="S431" t="s">
        <v>2017</v>
      </c>
      <c r="T431" t="s">
        <v>2019</v>
      </c>
      <c r="U431" t="s">
        <v>1310</v>
      </c>
      <c r="V431" t="s">
        <v>1311</v>
      </c>
      <c r="W431">
        <v>1</v>
      </c>
      <c r="X431" t="s">
        <v>1288</v>
      </c>
      <c r="Y431">
        <v>6</v>
      </c>
      <c r="Z431">
        <v>6</v>
      </c>
      <c r="AA431" t="s">
        <v>28</v>
      </c>
      <c r="AB431" t="s">
        <v>1190</v>
      </c>
      <c r="AC431">
        <v>1000</v>
      </c>
      <c r="AD431" t="s">
        <v>1289</v>
      </c>
      <c r="AE431" t="s">
        <v>1290</v>
      </c>
      <c r="AF431" t="s">
        <v>1193</v>
      </c>
      <c r="AG431" t="s">
        <v>1194</v>
      </c>
      <c r="AH431" t="s">
        <v>1195</v>
      </c>
      <c r="AI431" t="s">
        <v>1202</v>
      </c>
      <c r="AJ431" t="s">
        <v>1291</v>
      </c>
      <c r="AK431" t="s">
        <v>1292</v>
      </c>
      <c r="AL431" t="s">
        <v>1291</v>
      </c>
      <c r="AM431" t="s">
        <v>1200</v>
      </c>
      <c r="AN431" t="s">
        <v>1201</v>
      </c>
      <c r="AO431" t="s">
        <v>1292</v>
      </c>
      <c r="AP431" t="s">
        <v>1202</v>
      </c>
      <c r="AQ431" t="s">
        <v>1203</v>
      </c>
      <c r="AR431" t="s">
        <v>1201</v>
      </c>
      <c r="AS431" t="s">
        <v>1203</v>
      </c>
      <c r="AU431" t="s">
        <v>1204</v>
      </c>
      <c r="AW431" t="b">
        <v>0</v>
      </c>
      <c r="AY431" t="b">
        <v>0</v>
      </c>
      <c r="BA431" t="s">
        <v>1963</v>
      </c>
      <c r="BB431" t="s">
        <v>1206</v>
      </c>
      <c r="BC431" t="s">
        <v>1206</v>
      </c>
      <c r="BD431" t="s">
        <v>1207</v>
      </c>
      <c r="BE431" t="s">
        <v>1296</v>
      </c>
      <c r="BF431" t="s">
        <v>1964</v>
      </c>
      <c r="BG431" t="s">
        <v>369</v>
      </c>
      <c r="BH431" t="s">
        <v>1206</v>
      </c>
      <c r="BI431" t="s">
        <v>1206</v>
      </c>
      <c r="BJ431" t="s">
        <v>1965</v>
      </c>
    </row>
    <row r="432" spans="1:62" x14ac:dyDescent="0.25">
      <c r="A432" t="s">
        <v>1177</v>
      </c>
      <c r="B432">
        <v>190029</v>
      </c>
      <c r="C432">
        <v>190029</v>
      </c>
      <c r="D432" s="112" t="s">
        <v>2855</v>
      </c>
      <c r="E432" t="s">
        <v>1119</v>
      </c>
      <c r="F432" t="s">
        <v>1178</v>
      </c>
      <c r="G432" t="s">
        <v>2021</v>
      </c>
      <c r="H432" t="s">
        <v>2013</v>
      </c>
      <c r="I432">
        <v>12</v>
      </c>
      <c r="J432" t="s">
        <v>1279</v>
      </c>
      <c r="K432">
        <v>12142</v>
      </c>
      <c r="L432" t="s">
        <v>1956</v>
      </c>
      <c r="M432">
        <v>12142127</v>
      </c>
      <c r="N432" t="s">
        <v>1957</v>
      </c>
      <c r="O432">
        <v>12142127557</v>
      </c>
      <c r="P432" t="s">
        <v>1999</v>
      </c>
      <c r="Q432">
        <v>121421275571395</v>
      </c>
      <c r="R432" t="s">
        <v>2014</v>
      </c>
      <c r="S432" t="s">
        <v>2013</v>
      </c>
      <c r="T432" t="s">
        <v>2015</v>
      </c>
      <c r="U432" t="s">
        <v>1237</v>
      </c>
      <c r="V432" t="s">
        <v>1238</v>
      </c>
      <c r="W432">
        <v>275</v>
      </c>
      <c r="X432" t="s">
        <v>1189</v>
      </c>
      <c r="Y432">
        <v>24</v>
      </c>
      <c r="Z432">
        <v>6600</v>
      </c>
      <c r="AA432" t="s">
        <v>28</v>
      </c>
      <c r="AB432" t="s">
        <v>1190</v>
      </c>
      <c r="AC432">
        <v>275</v>
      </c>
      <c r="AD432" t="s">
        <v>1191</v>
      </c>
      <c r="AE432" t="s">
        <v>1192</v>
      </c>
      <c r="AF432" t="s">
        <v>1193</v>
      </c>
      <c r="AG432" t="s">
        <v>1194</v>
      </c>
      <c r="AH432" t="s">
        <v>1195</v>
      </c>
      <c r="AI432" t="s">
        <v>1202</v>
      </c>
      <c r="AJ432" t="s">
        <v>1291</v>
      </c>
      <c r="AK432" t="s">
        <v>1292</v>
      </c>
      <c r="AL432" t="s">
        <v>1291</v>
      </c>
      <c r="AM432" t="s">
        <v>1200</v>
      </c>
      <c r="AN432" t="s">
        <v>1201</v>
      </c>
      <c r="AO432" t="s">
        <v>1292</v>
      </c>
      <c r="AP432" t="s">
        <v>1202</v>
      </c>
      <c r="AQ432" t="s">
        <v>1203</v>
      </c>
      <c r="AR432" t="s">
        <v>1201</v>
      </c>
      <c r="AS432" t="s">
        <v>1203</v>
      </c>
      <c r="AU432" t="s">
        <v>1204</v>
      </c>
      <c r="AW432" t="b">
        <v>0</v>
      </c>
      <c r="AY432" t="b">
        <v>0</v>
      </c>
      <c r="BA432" t="s">
        <v>1963</v>
      </c>
      <c r="BB432" t="s">
        <v>1206</v>
      </c>
      <c r="BC432" t="s">
        <v>1206</v>
      </c>
      <c r="BD432" t="s">
        <v>1207</v>
      </c>
      <c r="BE432" t="s">
        <v>1296</v>
      </c>
      <c r="BF432" t="s">
        <v>1964</v>
      </c>
      <c r="BG432" t="s">
        <v>369</v>
      </c>
      <c r="BH432" t="s">
        <v>1206</v>
      </c>
      <c r="BI432" t="s">
        <v>1206</v>
      </c>
      <c r="BJ432" t="s">
        <v>1965</v>
      </c>
    </row>
    <row r="433" spans="1:62" x14ac:dyDescent="0.25">
      <c r="A433" t="s">
        <v>1177</v>
      </c>
      <c r="B433">
        <v>190028</v>
      </c>
      <c r="C433">
        <v>190028</v>
      </c>
      <c r="D433" s="112" t="s">
        <v>2856</v>
      </c>
      <c r="E433" t="s">
        <v>1119</v>
      </c>
      <c r="F433" t="s">
        <v>1178</v>
      </c>
      <c r="G433" t="s">
        <v>2022</v>
      </c>
      <c r="H433" t="s">
        <v>1998</v>
      </c>
      <c r="I433">
        <v>12</v>
      </c>
      <c r="J433" t="s">
        <v>1279</v>
      </c>
      <c r="K433">
        <v>12142</v>
      </c>
      <c r="L433" t="s">
        <v>1956</v>
      </c>
      <c r="M433">
        <v>12142127</v>
      </c>
      <c r="N433" t="s">
        <v>1957</v>
      </c>
      <c r="O433">
        <v>12142127557</v>
      </c>
      <c r="P433" t="s">
        <v>1999</v>
      </c>
      <c r="Q433">
        <v>121421275571325</v>
      </c>
      <c r="R433" t="s">
        <v>2000</v>
      </c>
      <c r="S433" t="s">
        <v>1998</v>
      </c>
      <c r="T433" t="s">
        <v>2001</v>
      </c>
      <c r="U433" t="s">
        <v>1237</v>
      </c>
      <c r="V433" t="s">
        <v>1238</v>
      </c>
      <c r="W433">
        <v>135</v>
      </c>
      <c r="X433" t="s">
        <v>1189</v>
      </c>
      <c r="Y433">
        <v>48</v>
      </c>
      <c r="Z433">
        <v>6480</v>
      </c>
      <c r="AA433" t="s">
        <v>28</v>
      </c>
      <c r="AB433" t="s">
        <v>1190</v>
      </c>
      <c r="AC433">
        <v>135</v>
      </c>
      <c r="AD433" t="s">
        <v>1191</v>
      </c>
      <c r="AE433" t="s">
        <v>1192</v>
      </c>
      <c r="AF433" t="s">
        <v>1193</v>
      </c>
      <c r="AG433" t="s">
        <v>1194</v>
      </c>
      <c r="AH433" t="s">
        <v>1195</v>
      </c>
      <c r="AI433" t="s">
        <v>1202</v>
      </c>
      <c r="AJ433" t="s">
        <v>1291</v>
      </c>
      <c r="AK433" t="s">
        <v>1292</v>
      </c>
      <c r="AL433" t="s">
        <v>1291</v>
      </c>
      <c r="AM433" t="s">
        <v>1200</v>
      </c>
      <c r="AN433" t="s">
        <v>1201</v>
      </c>
      <c r="AO433" t="s">
        <v>1292</v>
      </c>
      <c r="AP433" t="s">
        <v>1202</v>
      </c>
      <c r="AQ433" t="s">
        <v>1203</v>
      </c>
      <c r="AR433" t="s">
        <v>1201</v>
      </c>
      <c r="AS433" t="s">
        <v>1203</v>
      </c>
      <c r="AU433" t="s">
        <v>1204</v>
      </c>
      <c r="AW433" t="b">
        <v>0</v>
      </c>
      <c r="AY433" t="b">
        <v>0</v>
      </c>
      <c r="BA433" t="s">
        <v>1963</v>
      </c>
      <c r="BB433" t="s">
        <v>1206</v>
      </c>
      <c r="BC433" t="s">
        <v>1206</v>
      </c>
      <c r="BD433" t="s">
        <v>1207</v>
      </c>
      <c r="BE433" t="s">
        <v>1296</v>
      </c>
      <c r="BF433" t="s">
        <v>1964</v>
      </c>
      <c r="BG433" t="s">
        <v>369</v>
      </c>
      <c r="BH433" t="s">
        <v>1206</v>
      </c>
      <c r="BI433" t="s">
        <v>1206</v>
      </c>
      <c r="BJ433" t="s">
        <v>1965</v>
      </c>
    </row>
    <row r="434" spans="1:62" x14ac:dyDescent="0.25">
      <c r="A434" t="s">
        <v>1177</v>
      </c>
      <c r="B434">
        <v>190031</v>
      </c>
      <c r="C434">
        <v>190031</v>
      </c>
      <c r="D434" s="112" t="s">
        <v>2857</v>
      </c>
      <c r="E434" t="s">
        <v>1119</v>
      </c>
      <c r="F434" t="s">
        <v>1178</v>
      </c>
      <c r="G434" t="s">
        <v>373</v>
      </c>
      <c r="H434" t="s">
        <v>2010</v>
      </c>
      <c r="I434">
        <v>12</v>
      </c>
      <c r="J434" t="s">
        <v>1279</v>
      </c>
      <c r="K434">
        <v>12142</v>
      </c>
      <c r="L434" t="s">
        <v>1956</v>
      </c>
      <c r="M434">
        <v>12142127</v>
      </c>
      <c r="N434" t="s">
        <v>1957</v>
      </c>
      <c r="O434">
        <v>12142127557</v>
      </c>
      <c r="P434" t="s">
        <v>1999</v>
      </c>
      <c r="Q434">
        <v>121421275571326</v>
      </c>
      <c r="R434" t="s">
        <v>2011</v>
      </c>
      <c r="S434" t="s">
        <v>2010</v>
      </c>
      <c r="T434" t="s">
        <v>2012</v>
      </c>
      <c r="U434" t="s">
        <v>1187</v>
      </c>
      <c r="V434" t="s">
        <v>1188</v>
      </c>
      <c r="W434">
        <v>335</v>
      </c>
      <c r="X434" t="s">
        <v>1189</v>
      </c>
      <c r="Y434">
        <v>24</v>
      </c>
      <c r="Z434">
        <v>8040</v>
      </c>
      <c r="AA434" t="s">
        <v>28</v>
      </c>
      <c r="AB434" t="s">
        <v>1190</v>
      </c>
      <c r="AC434">
        <v>335</v>
      </c>
      <c r="AD434" t="s">
        <v>1191</v>
      </c>
      <c r="AE434" t="s">
        <v>1192</v>
      </c>
      <c r="AF434" t="s">
        <v>1193</v>
      </c>
      <c r="AG434" t="s">
        <v>1194</v>
      </c>
      <c r="AH434" t="s">
        <v>1195</v>
      </c>
      <c r="AI434" t="s">
        <v>1202</v>
      </c>
      <c r="AJ434" t="s">
        <v>1291</v>
      </c>
      <c r="AK434" t="s">
        <v>1292</v>
      </c>
      <c r="AL434" t="s">
        <v>1291</v>
      </c>
      <c r="AM434" t="s">
        <v>1200</v>
      </c>
      <c r="AN434" t="s">
        <v>1201</v>
      </c>
      <c r="AO434" t="s">
        <v>1292</v>
      </c>
      <c r="AP434" t="s">
        <v>1202</v>
      </c>
      <c r="AQ434" t="s">
        <v>1203</v>
      </c>
      <c r="AR434" t="s">
        <v>1201</v>
      </c>
      <c r="AS434" t="s">
        <v>1203</v>
      </c>
      <c r="AU434" t="s">
        <v>1204</v>
      </c>
      <c r="AW434" t="b">
        <v>0</v>
      </c>
      <c r="AY434" t="b">
        <v>0</v>
      </c>
      <c r="BA434" t="s">
        <v>1963</v>
      </c>
      <c r="BJ434" t="s">
        <v>1965</v>
      </c>
    </row>
    <row r="435" spans="1:62" x14ac:dyDescent="0.25">
      <c r="A435" t="s">
        <v>1177</v>
      </c>
      <c r="B435">
        <v>140003</v>
      </c>
      <c r="C435">
        <v>140003</v>
      </c>
      <c r="D435" s="112" t="s">
        <v>2858</v>
      </c>
      <c r="E435" t="s">
        <v>1119</v>
      </c>
      <c r="F435" t="s">
        <v>1178</v>
      </c>
      <c r="G435" t="s">
        <v>2023</v>
      </c>
      <c r="H435" t="s">
        <v>2024</v>
      </c>
      <c r="I435">
        <v>12</v>
      </c>
      <c r="J435" t="s">
        <v>1279</v>
      </c>
      <c r="K435">
        <v>12154</v>
      </c>
      <c r="L435" t="s">
        <v>2025</v>
      </c>
      <c r="M435">
        <v>12154104</v>
      </c>
      <c r="N435" t="s">
        <v>2026</v>
      </c>
      <c r="O435">
        <v>12154104535</v>
      </c>
      <c r="P435" t="s">
        <v>2027</v>
      </c>
      <c r="Q435">
        <v>121541045351427</v>
      </c>
      <c r="R435" t="s">
        <v>2028</v>
      </c>
      <c r="S435" t="s">
        <v>2024</v>
      </c>
      <c r="T435" t="s">
        <v>2029</v>
      </c>
      <c r="U435" t="s">
        <v>1310</v>
      </c>
      <c r="V435" t="s">
        <v>1311</v>
      </c>
      <c r="W435">
        <v>180</v>
      </c>
      <c r="X435" t="s">
        <v>1342</v>
      </c>
      <c r="Y435">
        <v>24</v>
      </c>
      <c r="Z435">
        <v>4320</v>
      </c>
      <c r="AA435" t="s">
        <v>28</v>
      </c>
      <c r="AB435" t="s">
        <v>1190</v>
      </c>
      <c r="AC435">
        <v>180</v>
      </c>
      <c r="AD435" t="s">
        <v>1191</v>
      </c>
      <c r="AE435" t="s">
        <v>1192</v>
      </c>
      <c r="AF435" t="s">
        <v>1193</v>
      </c>
      <c r="AG435" t="s">
        <v>1194</v>
      </c>
      <c r="AH435" t="s">
        <v>1195</v>
      </c>
      <c r="AI435" t="s">
        <v>1196</v>
      </c>
      <c r="AJ435" t="s">
        <v>2030</v>
      </c>
      <c r="AK435" t="s">
        <v>1272</v>
      </c>
      <c r="AL435" t="s">
        <v>2031</v>
      </c>
      <c r="AM435" t="s">
        <v>2032</v>
      </c>
      <c r="AN435" t="s">
        <v>1201</v>
      </c>
      <c r="AO435" t="s">
        <v>2033</v>
      </c>
      <c r="AP435" t="s">
        <v>2034</v>
      </c>
      <c r="AQ435" t="s">
        <v>1203</v>
      </c>
      <c r="AR435" t="s">
        <v>1201</v>
      </c>
      <c r="AS435" t="s">
        <v>1203</v>
      </c>
      <c r="AU435" t="s">
        <v>1204</v>
      </c>
      <c r="AW435" t="b">
        <v>0</v>
      </c>
      <c r="AY435" t="b">
        <v>0</v>
      </c>
      <c r="BA435" t="s">
        <v>2035</v>
      </c>
      <c r="BB435" t="s">
        <v>1206</v>
      </c>
      <c r="BC435" t="s">
        <v>1206</v>
      </c>
      <c r="BD435" t="s">
        <v>1207</v>
      </c>
      <c r="BE435" t="s">
        <v>1296</v>
      </c>
      <c r="BF435" t="s">
        <v>2036</v>
      </c>
      <c r="BG435" t="s">
        <v>2037</v>
      </c>
      <c r="BH435" t="s">
        <v>1206</v>
      </c>
      <c r="BI435" t="s">
        <v>1206</v>
      </c>
      <c r="BJ435" t="s">
        <v>1550</v>
      </c>
    </row>
    <row r="436" spans="1:62" x14ac:dyDescent="0.25">
      <c r="A436" t="s">
        <v>1177</v>
      </c>
      <c r="B436">
        <v>140016</v>
      </c>
      <c r="C436">
        <v>140016</v>
      </c>
      <c r="D436" s="112" t="s">
        <v>2859</v>
      </c>
      <c r="E436" t="s">
        <v>1119</v>
      </c>
      <c r="F436" t="s">
        <v>1178</v>
      </c>
      <c r="G436" t="s">
        <v>2023</v>
      </c>
      <c r="H436" t="s">
        <v>2024</v>
      </c>
      <c r="I436">
        <v>12</v>
      </c>
      <c r="J436" t="s">
        <v>1279</v>
      </c>
      <c r="K436">
        <v>12154</v>
      </c>
      <c r="L436" t="s">
        <v>2025</v>
      </c>
      <c r="M436">
        <v>12154104</v>
      </c>
      <c r="N436" t="s">
        <v>2026</v>
      </c>
      <c r="O436">
        <v>12154104535</v>
      </c>
      <c r="P436" t="s">
        <v>2027</v>
      </c>
      <c r="Q436">
        <v>121541045351427</v>
      </c>
      <c r="R436" t="s">
        <v>2028</v>
      </c>
      <c r="S436" t="s">
        <v>2024</v>
      </c>
      <c r="T436" t="s">
        <v>2029</v>
      </c>
      <c r="U436" t="s">
        <v>1310</v>
      </c>
      <c r="V436" t="s">
        <v>1311</v>
      </c>
      <c r="W436">
        <v>180</v>
      </c>
      <c r="X436" t="s">
        <v>1342</v>
      </c>
      <c r="Y436">
        <v>24</v>
      </c>
      <c r="Z436">
        <v>4320</v>
      </c>
      <c r="AA436" t="s">
        <v>28</v>
      </c>
      <c r="AB436" t="s">
        <v>1190</v>
      </c>
      <c r="AC436">
        <v>180</v>
      </c>
      <c r="AD436" t="s">
        <v>1191</v>
      </c>
      <c r="AE436" t="s">
        <v>1192</v>
      </c>
      <c r="AF436" t="s">
        <v>1193</v>
      </c>
      <c r="AG436" t="s">
        <v>1194</v>
      </c>
      <c r="AH436" t="s">
        <v>1195</v>
      </c>
      <c r="AI436" t="s">
        <v>1196</v>
      </c>
      <c r="AJ436" t="s">
        <v>2030</v>
      </c>
      <c r="AK436" t="s">
        <v>1272</v>
      </c>
      <c r="AL436" t="s">
        <v>2031</v>
      </c>
      <c r="AM436" t="s">
        <v>2032</v>
      </c>
      <c r="AN436" t="s">
        <v>1201</v>
      </c>
      <c r="AO436" t="s">
        <v>2033</v>
      </c>
      <c r="AP436" t="s">
        <v>2034</v>
      </c>
      <c r="AQ436" t="s">
        <v>1203</v>
      </c>
      <c r="AR436" t="s">
        <v>1201</v>
      </c>
      <c r="AS436" t="s">
        <v>1203</v>
      </c>
      <c r="AU436" t="s">
        <v>1204</v>
      </c>
      <c r="AW436" t="b">
        <v>0</v>
      </c>
      <c r="AY436" t="b">
        <v>0</v>
      </c>
      <c r="BA436" t="s">
        <v>2035</v>
      </c>
      <c r="BB436" t="s">
        <v>1206</v>
      </c>
      <c r="BC436" t="s">
        <v>1206</v>
      </c>
      <c r="BD436" t="s">
        <v>1207</v>
      </c>
      <c r="BE436" t="s">
        <v>1296</v>
      </c>
      <c r="BF436" t="s">
        <v>2036</v>
      </c>
      <c r="BG436" t="s">
        <v>2037</v>
      </c>
      <c r="BH436" t="s">
        <v>1206</v>
      </c>
      <c r="BI436" t="s">
        <v>1206</v>
      </c>
      <c r="BJ436" t="s">
        <v>1550</v>
      </c>
    </row>
    <row r="437" spans="1:62" x14ac:dyDescent="0.25">
      <c r="A437" t="s">
        <v>1177</v>
      </c>
      <c r="B437">
        <v>140018</v>
      </c>
      <c r="C437">
        <v>140018</v>
      </c>
      <c r="D437" s="112" t="s">
        <v>2860</v>
      </c>
      <c r="E437" t="s">
        <v>1119</v>
      </c>
      <c r="F437" t="s">
        <v>1178</v>
      </c>
      <c r="G437" t="s">
        <v>2038</v>
      </c>
      <c r="H437" t="s">
        <v>2039</v>
      </c>
      <c r="I437">
        <v>12</v>
      </c>
      <c r="J437" t="s">
        <v>1279</v>
      </c>
      <c r="K437">
        <v>12154</v>
      </c>
      <c r="L437" t="s">
        <v>2025</v>
      </c>
      <c r="M437">
        <v>12154104</v>
      </c>
      <c r="N437" t="s">
        <v>2026</v>
      </c>
      <c r="O437">
        <v>12154104535</v>
      </c>
      <c r="P437" t="s">
        <v>2027</v>
      </c>
      <c r="Q437">
        <v>121541045351553</v>
      </c>
      <c r="R437" t="s">
        <v>2040</v>
      </c>
      <c r="S437" t="s">
        <v>2039</v>
      </c>
      <c r="T437" t="s">
        <v>2041</v>
      </c>
      <c r="U437" t="s">
        <v>1230</v>
      </c>
      <c r="V437" t="s">
        <v>1231</v>
      </c>
      <c r="W437">
        <v>18</v>
      </c>
      <c r="X437" t="s">
        <v>1342</v>
      </c>
      <c r="Y437">
        <v>100</v>
      </c>
      <c r="Z437">
        <v>1800</v>
      </c>
      <c r="AA437" t="s">
        <v>28</v>
      </c>
      <c r="AB437" t="s">
        <v>1190</v>
      </c>
      <c r="AC437">
        <v>18</v>
      </c>
      <c r="AD437" t="s">
        <v>1232</v>
      </c>
      <c r="AE437" t="s">
        <v>1192</v>
      </c>
      <c r="AF437" t="s">
        <v>1193</v>
      </c>
      <c r="AG437" t="s">
        <v>1194</v>
      </c>
      <c r="AH437" t="s">
        <v>1195</v>
      </c>
      <c r="AI437" t="s">
        <v>1196</v>
      </c>
      <c r="AJ437" t="s">
        <v>2030</v>
      </c>
      <c r="AK437" t="s">
        <v>1272</v>
      </c>
      <c r="AL437" t="s">
        <v>2031</v>
      </c>
      <c r="AM437" t="s">
        <v>2032</v>
      </c>
      <c r="AN437" t="s">
        <v>1201</v>
      </c>
      <c r="AO437" t="s">
        <v>2033</v>
      </c>
      <c r="AP437" t="s">
        <v>2034</v>
      </c>
      <c r="AQ437" t="s">
        <v>1203</v>
      </c>
      <c r="AR437" t="s">
        <v>1201</v>
      </c>
      <c r="AS437" t="s">
        <v>1203</v>
      </c>
      <c r="AU437" t="s">
        <v>1204</v>
      </c>
      <c r="AW437" t="b">
        <v>0</v>
      </c>
      <c r="AY437" t="b">
        <v>1</v>
      </c>
      <c r="BA437" t="s">
        <v>2035</v>
      </c>
      <c r="BB437" t="s">
        <v>1206</v>
      </c>
      <c r="BC437" t="s">
        <v>1206</v>
      </c>
      <c r="BD437" t="s">
        <v>1207</v>
      </c>
      <c r="BE437" t="s">
        <v>1296</v>
      </c>
      <c r="BF437" t="s">
        <v>2036</v>
      </c>
      <c r="BG437" t="s">
        <v>2037</v>
      </c>
      <c r="BH437" t="s">
        <v>1206</v>
      </c>
      <c r="BI437" t="s">
        <v>1206</v>
      </c>
      <c r="BJ437" t="s">
        <v>1550</v>
      </c>
    </row>
    <row r="438" spans="1:62" x14ac:dyDescent="0.25">
      <c r="A438" t="s">
        <v>1177</v>
      </c>
      <c r="B438">
        <v>140007</v>
      </c>
      <c r="C438">
        <v>140007</v>
      </c>
      <c r="D438" s="112" t="s">
        <v>2861</v>
      </c>
      <c r="E438" t="s">
        <v>1119</v>
      </c>
      <c r="F438" t="s">
        <v>1178</v>
      </c>
      <c r="G438" t="s">
        <v>2038</v>
      </c>
      <c r="H438" t="s">
        <v>2042</v>
      </c>
      <c r="I438">
        <v>12</v>
      </c>
      <c r="J438" t="s">
        <v>1279</v>
      </c>
      <c r="K438">
        <v>12154</v>
      </c>
      <c r="L438" t="s">
        <v>2025</v>
      </c>
      <c r="M438">
        <v>12154104</v>
      </c>
      <c r="N438" t="s">
        <v>2026</v>
      </c>
      <c r="O438">
        <v>12154104535</v>
      </c>
      <c r="P438" t="s">
        <v>2027</v>
      </c>
      <c r="Q438">
        <v>121541045351553</v>
      </c>
      <c r="R438" t="s">
        <v>2040</v>
      </c>
      <c r="S438" t="s">
        <v>2042</v>
      </c>
      <c r="T438" t="s">
        <v>2043</v>
      </c>
      <c r="U438" t="s">
        <v>1230</v>
      </c>
      <c r="V438" t="s">
        <v>1231</v>
      </c>
      <c r="W438">
        <v>18</v>
      </c>
      <c r="X438" t="s">
        <v>1342</v>
      </c>
      <c r="Y438">
        <v>10</v>
      </c>
      <c r="Z438">
        <v>180</v>
      </c>
      <c r="AA438" t="s">
        <v>28</v>
      </c>
      <c r="AB438" t="s">
        <v>1190</v>
      </c>
      <c r="AC438">
        <v>18</v>
      </c>
      <c r="AD438" t="s">
        <v>1232</v>
      </c>
      <c r="AE438" t="s">
        <v>1192</v>
      </c>
      <c r="AF438" t="s">
        <v>1193</v>
      </c>
      <c r="AG438" t="s">
        <v>1194</v>
      </c>
      <c r="AH438" t="s">
        <v>1195</v>
      </c>
      <c r="AI438" t="s">
        <v>1196</v>
      </c>
      <c r="AJ438" t="s">
        <v>2030</v>
      </c>
      <c r="AK438" t="s">
        <v>1272</v>
      </c>
      <c r="AL438" t="s">
        <v>2031</v>
      </c>
      <c r="AM438" t="s">
        <v>2032</v>
      </c>
      <c r="AN438" t="s">
        <v>1201</v>
      </c>
      <c r="AO438" t="s">
        <v>2033</v>
      </c>
      <c r="AP438" t="s">
        <v>2034</v>
      </c>
      <c r="AQ438" t="s">
        <v>1203</v>
      </c>
      <c r="AR438" t="s">
        <v>1201</v>
      </c>
      <c r="AS438" t="s">
        <v>1203</v>
      </c>
      <c r="AU438" t="s">
        <v>1204</v>
      </c>
      <c r="AW438" t="b">
        <v>0</v>
      </c>
      <c r="AY438" t="b">
        <v>1</v>
      </c>
      <c r="BA438" t="s">
        <v>2035</v>
      </c>
      <c r="BB438" t="s">
        <v>1206</v>
      </c>
      <c r="BC438" t="s">
        <v>1206</v>
      </c>
      <c r="BD438" t="s">
        <v>1207</v>
      </c>
      <c r="BE438" t="s">
        <v>1296</v>
      </c>
      <c r="BF438" t="s">
        <v>2036</v>
      </c>
      <c r="BG438" t="s">
        <v>2037</v>
      </c>
      <c r="BH438" t="s">
        <v>1206</v>
      </c>
      <c r="BI438" t="s">
        <v>1206</v>
      </c>
      <c r="BJ438" t="s">
        <v>1550</v>
      </c>
    </row>
    <row r="439" spans="1:62" x14ac:dyDescent="0.25">
      <c r="A439" t="s">
        <v>1177</v>
      </c>
      <c r="B439">
        <v>140008</v>
      </c>
      <c r="C439">
        <v>140008</v>
      </c>
      <c r="D439" s="112" t="s">
        <v>2862</v>
      </c>
      <c r="E439" t="s">
        <v>1119</v>
      </c>
      <c r="F439" t="s">
        <v>1178</v>
      </c>
      <c r="G439" t="s">
        <v>2044</v>
      </c>
      <c r="H439" t="s">
        <v>2045</v>
      </c>
      <c r="I439">
        <v>12</v>
      </c>
      <c r="J439" t="s">
        <v>1279</v>
      </c>
      <c r="K439">
        <v>12154</v>
      </c>
      <c r="L439" t="s">
        <v>2025</v>
      </c>
      <c r="M439">
        <v>12154104</v>
      </c>
      <c r="N439" t="s">
        <v>2026</v>
      </c>
      <c r="O439">
        <v>12154104535</v>
      </c>
      <c r="P439" t="s">
        <v>2027</v>
      </c>
      <c r="Q439">
        <v>121541045351464</v>
      </c>
      <c r="R439" t="s">
        <v>2046</v>
      </c>
      <c r="S439" t="s">
        <v>2045</v>
      </c>
      <c r="T439" t="s">
        <v>2047</v>
      </c>
      <c r="U439" t="s">
        <v>1310</v>
      </c>
      <c r="V439" t="s">
        <v>1311</v>
      </c>
      <c r="W439">
        <v>60</v>
      </c>
      <c r="X439" t="s">
        <v>1342</v>
      </c>
      <c r="Y439">
        <v>48</v>
      </c>
      <c r="Z439">
        <v>2880</v>
      </c>
      <c r="AA439" t="s">
        <v>28</v>
      </c>
      <c r="AB439" t="s">
        <v>1190</v>
      </c>
      <c r="AC439">
        <v>60</v>
      </c>
      <c r="AD439" t="s">
        <v>1191</v>
      </c>
      <c r="AE439" t="s">
        <v>1192</v>
      </c>
      <c r="AF439" t="s">
        <v>1193</v>
      </c>
      <c r="AG439" t="s">
        <v>1194</v>
      </c>
      <c r="AH439" t="s">
        <v>1195</v>
      </c>
      <c r="AI439" t="s">
        <v>1196</v>
      </c>
      <c r="AJ439" t="s">
        <v>2030</v>
      </c>
      <c r="AK439" t="s">
        <v>1272</v>
      </c>
      <c r="AL439" t="s">
        <v>2031</v>
      </c>
      <c r="AM439" t="s">
        <v>2032</v>
      </c>
      <c r="AN439" t="s">
        <v>1201</v>
      </c>
      <c r="AO439" t="s">
        <v>2033</v>
      </c>
      <c r="AP439" t="s">
        <v>2034</v>
      </c>
      <c r="AQ439" t="s">
        <v>1203</v>
      </c>
      <c r="AR439" t="s">
        <v>1201</v>
      </c>
      <c r="AS439" t="s">
        <v>1203</v>
      </c>
      <c r="AU439" t="s">
        <v>1204</v>
      </c>
      <c r="AW439" t="b">
        <v>0</v>
      </c>
      <c r="AY439" t="b">
        <v>0</v>
      </c>
      <c r="BA439" t="s">
        <v>2035</v>
      </c>
      <c r="BB439" t="s">
        <v>1206</v>
      </c>
      <c r="BC439" t="s">
        <v>1206</v>
      </c>
      <c r="BD439" t="s">
        <v>1207</v>
      </c>
      <c r="BE439" t="s">
        <v>1296</v>
      </c>
      <c r="BF439" t="s">
        <v>2036</v>
      </c>
      <c r="BG439" t="s">
        <v>2037</v>
      </c>
      <c r="BH439" t="s">
        <v>1206</v>
      </c>
      <c r="BI439" t="s">
        <v>1206</v>
      </c>
      <c r="BJ439" t="s">
        <v>1550</v>
      </c>
    </row>
    <row r="440" spans="1:62" x14ac:dyDescent="0.25">
      <c r="A440" t="s">
        <v>1177</v>
      </c>
      <c r="B440">
        <v>140017</v>
      </c>
      <c r="C440">
        <v>140017</v>
      </c>
      <c r="D440" s="112" t="s">
        <v>2863</v>
      </c>
      <c r="E440" t="s">
        <v>1119</v>
      </c>
      <c r="F440" t="s">
        <v>1178</v>
      </c>
      <c r="G440" t="s">
        <v>2048</v>
      </c>
      <c r="H440" t="s">
        <v>2045</v>
      </c>
      <c r="I440">
        <v>12</v>
      </c>
      <c r="J440" t="s">
        <v>1279</v>
      </c>
      <c r="K440">
        <v>12154</v>
      </c>
      <c r="L440" t="s">
        <v>2025</v>
      </c>
      <c r="M440">
        <v>12154104</v>
      </c>
      <c r="N440" t="s">
        <v>2026</v>
      </c>
      <c r="O440">
        <v>12154104535</v>
      </c>
      <c r="P440" t="s">
        <v>2027</v>
      </c>
      <c r="Q440">
        <v>121541045351464</v>
      </c>
      <c r="R440" t="s">
        <v>2046</v>
      </c>
      <c r="S440" t="s">
        <v>2045</v>
      </c>
      <c r="T440" t="s">
        <v>2047</v>
      </c>
      <c r="U440" t="s">
        <v>1310</v>
      </c>
      <c r="V440" t="s">
        <v>1311</v>
      </c>
      <c r="W440">
        <v>60</v>
      </c>
      <c r="X440" t="s">
        <v>1342</v>
      </c>
      <c r="Y440">
        <v>48</v>
      </c>
      <c r="Z440">
        <v>2880</v>
      </c>
      <c r="AA440" t="s">
        <v>28</v>
      </c>
      <c r="AB440" t="s">
        <v>1190</v>
      </c>
      <c r="AC440">
        <v>60</v>
      </c>
      <c r="AD440" t="s">
        <v>1191</v>
      </c>
      <c r="AE440" t="s">
        <v>1192</v>
      </c>
      <c r="AF440" t="s">
        <v>1193</v>
      </c>
      <c r="AG440" t="s">
        <v>1194</v>
      </c>
      <c r="AH440" t="s">
        <v>1195</v>
      </c>
      <c r="AI440" t="s">
        <v>1196</v>
      </c>
      <c r="AJ440" t="s">
        <v>2030</v>
      </c>
      <c r="AK440" t="s">
        <v>1272</v>
      </c>
      <c r="AL440" t="s">
        <v>2031</v>
      </c>
      <c r="AM440" t="s">
        <v>2032</v>
      </c>
      <c r="AN440" t="s">
        <v>1201</v>
      </c>
      <c r="AO440" t="s">
        <v>2033</v>
      </c>
      <c r="AP440" t="s">
        <v>2034</v>
      </c>
      <c r="AQ440" t="s">
        <v>1203</v>
      </c>
      <c r="AR440" t="s">
        <v>1201</v>
      </c>
      <c r="AS440" t="s">
        <v>1203</v>
      </c>
      <c r="AU440" t="s">
        <v>1204</v>
      </c>
      <c r="AW440" t="b">
        <v>0</v>
      </c>
      <c r="AY440" t="b">
        <v>0</v>
      </c>
      <c r="BA440" t="s">
        <v>2035</v>
      </c>
      <c r="BB440" t="s">
        <v>1206</v>
      </c>
      <c r="BC440" t="s">
        <v>1206</v>
      </c>
      <c r="BD440" t="s">
        <v>1207</v>
      </c>
      <c r="BE440" t="s">
        <v>1296</v>
      </c>
      <c r="BF440" t="s">
        <v>2036</v>
      </c>
      <c r="BG440" t="s">
        <v>2037</v>
      </c>
      <c r="BH440" t="s">
        <v>1206</v>
      </c>
      <c r="BI440" t="s">
        <v>1206</v>
      </c>
      <c r="BJ440" t="s">
        <v>1550</v>
      </c>
    </row>
    <row r="441" spans="1:62" x14ac:dyDescent="0.25">
      <c r="A441" t="s">
        <v>1177</v>
      </c>
      <c r="B441">
        <v>140001</v>
      </c>
      <c r="C441">
        <v>140001</v>
      </c>
      <c r="D441" s="112" t="s">
        <v>2864</v>
      </c>
      <c r="E441" t="s">
        <v>1119</v>
      </c>
      <c r="F441" t="s">
        <v>1178</v>
      </c>
      <c r="G441" t="s">
        <v>2049</v>
      </c>
      <c r="H441" t="s">
        <v>2024</v>
      </c>
      <c r="I441">
        <v>12</v>
      </c>
      <c r="J441" t="s">
        <v>1279</v>
      </c>
      <c r="K441">
        <v>12154</v>
      </c>
      <c r="L441" t="s">
        <v>2025</v>
      </c>
      <c r="M441">
        <v>12154104</v>
      </c>
      <c r="N441" t="s">
        <v>2026</v>
      </c>
      <c r="O441">
        <v>12154104535</v>
      </c>
      <c r="P441" t="s">
        <v>2027</v>
      </c>
      <c r="Q441">
        <v>121541045351427</v>
      </c>
      <c r="R441" t="s">
        <v>2028</v>
      </c>
      <c r="S441" t="s">
        <v>2024</v>
      </c>
      <c r="T441" t="s">
        <v>2029</v>
      </c>
      <c r="U441" t="s">
        <v>1310</v>
      </c>
      <c r="V441" t="s">
        <v>1311</v>
      </c>
      <c r="W441">
        <v>180</v>
      </c>
      <c r="X441" t="s">
        <v>1342</v>
      </c>
      <c r="Y441">
        <v>24</v>
      </c>
      <c r="Z441">
        <v>4320</v>
      </c>
      <c r="AA441" t="s">
        <v>28</v>
      </c>
      <c r="AB441" t="s">
        <v>1190</v>
      </c>
      <c r="AC441">
        <v>180</v>
      </c>
      <c r="AD441" t="s">
        <v>1191</v>
      </c>
      <c r="AE441" t="s">
        <v>1192</v>
      </c>
      <c r="AF441" t="s">
        <v>1193</v>
      </c>
      <c r="AG441" t="s">
        <v>1194</v>
      </c>
      <c r="AH441" t="s">
        <v>1195</v>
      </c>
      <c r="AI441" t="s">
        <v>1196</v>
      </c>
      <c r="AJ441" t="s">
        <v>2030</v>
      </c>
      <c r="AK441" t="s">
        <v>1272</v>
      </c>
      <c r="AL441" t="s">
        <v>2031</v>
      </c>
      <c r="AM441" t="s">
        <v>2032</v>
      </c>
      <c r="AN441" t="s">
        <v>1201</v>
      </c>
      <c r="AO441" t="s">
        <v>2033</v>
      </c>
      <c r="AP441" t="s">
        <v>2034</v>
      </c>
      <c r="AQ441" t="s">
        <v>1203</v>
      </c>
      <c r="AR441" t="s">
        <v>1201</v>
      </c>
      <c r="AS441" t="s">
        <v>1203</v>
      </c>
      <c r="AU441" t="s">
        <v>1204</v>
      </c>
      <c r="AW441" t="b">
        <v>0</v>
      </c>
      <c r="AY441" t="b">
        <v>0</v>
      </c>
      <c r="BA441" t="s">
        <v>2035</v>
      </c>
      <c r="BB441" t="s">
        <v>1206</v>
      </c>
      <c r="BC441" t="s">
        <v>1206</v>
      </c>
      <c r="BD441" t="s">
        <v>1207</v>
      </c>
      <c r="BE441" t="s">
        <v>1296</v>
      </c>
      <c r="BF441" t="s">
        <v>2036</v>
      </c>
      <c r="BG441" t="s">
        <v>2037</v>
      </c>
      <c r="BH441" t="s">
        <v>1206</v>
      </c>
      <c r="BI441" t="s">
        <v>1206</v>
      </c>
      <c r="BJ441" t="s">
        <v>1550</v>
      </c>
    </row>
    <row r="442" spans="1:62" x14ac:dyDescent="0.25">
      <c r="A442" t="s">
        <v>1177</v>
      </c>
      <c r="B442">
        <v>815322</v>
      </c>
      <c r="C442" t="s">
        <v>1258</v>
      </c>
      <c r="D442" s="112" t="s">
        <v>2627</v>
      </c>
      <c r="E442" t="s">
        <v>1119</v>
      </c>
      <c r="F442" t="s">
        <v>1178</v>
      </c>
      <c r="G442" t="s">
        <v>2050</v>
      </c>
      <c r="H442" t="s">
        <v>2051</v>
      </c>
      <c r="I442">
        <v>12</v>
      </c>
      <c r="J442" t="s">
        <v>1279</v>
      </c>
      <c r="K442">
        <v>12154</v>
      </c>
      <c r="L442" t="s">
        <v>2025</v>
      </c>
      <c r="M442">
        <v>12154104</v>
      </c>
      <c r="N442" t="s">
        <v>2026</v>
      </c>
      <c r="O442">
        <v>12154104535</v>
      </c>
      <c r="P442" t="s">
        <v>2027</v>
      </c>
      <c r="Q442" t="s">
        <v>2052</v>
      </c>
      <c r="R442" t="s">
        <v>2053</v>
      </c>
      <c r="S442" t="s">
        <v>2051</v>
      </c>
      <c r="T442" t="s">
        <v>2054</v>
      </c>
      <c r="U442" t="s">
        <v>1310</v>
      </c>
      <c r="V442" t="s">
        <v>1311</v>
      </c>
      <c r="W442">
        <v>1</v>
      </c>
      <c r="X442" t="s">
        <v>1288</v>
      </c>
      <c r="Y442">
        <v>6</v>
      </c>
      <c r="Z442">
        <v>6</v>
      </c>
      <c r="AA442" t="s">
        <v>28</v>
      </c>
      <c r="AB442" t="s">
        <v>1190</v>
      </c>
      <c r="AC442">
        <v>1000</v>
      </c>
      <c r="AD442" t="s">
        <v>1289</v>
      </c>
      <c r="AE442" t="s">
        <v>1290</v>
      </c>
      <c r="AF442" t="s">
        <v>1193</v>
      </c>
      <c r="AG442" t="s">
        <v>1194</v>
      </c>
      <c r="AH442" t="s">
        <v>1195</v>
      </c>
      <c r="AI442" t="s">
        <v>1196</v>
      </c>
      <c r="AJ442" t="s">
        <v>2030</v>
      </c>
      <c r="AK442" t="s">
        <v>1272</v>
      </c>
      <c r="AL442" t="s">
        <v>2031</v>
      </c>
      <c r="AM442" t="s">
        <v>2032</v>
      </c>
      <c r="AN442" t="s">
        <v>1201</v>
      </c>
      <c r="AO442" t="s">
        <v>2033</v>
      </c>
      <c r="AP442" t="s">
        <v>2034</v>
      </c>
      <c r="AQ442" t="s">
        <v>1203</v>
      </c>
      <c r="AR442" t="s">
        <v>1201</v>
      </c>
      <c r="AS442" t="s">
        <v>1203</v>
      </c>
      <c r="AU442" t="s">
        <v>1204</v>
      </c>
      <c r="AW442" t="b">
        <v>0</v>
      </c>
      <c r="AY442" t="b">
        <v>1</v>
      </c>
      <c r="BA442" t="s">
        <v>2035</v>
      </c>
      <c r="BJ442" t="s">
        <v>1299</v>
      </c>
    </row>
    <row r="443" spans="1:62" x14ac:dyDescent="0.25">
      <c r="A443" t="s">
        <v>1177</v>
      </c>
      <c r="B443">
        <v>140024</v>
      </c>
      <c r="C443" t="s">
        <v>1258</v>
      </c>
      <c r="D443" s="112" t="s">
        <v>2865</v>
      </c>
      <c r="E443" t="s">
        <v>1119</v>
      </c>
      <c r="F443" t="s">
        <v>1178</v>
      </c>
      <c r="G443" t="s">
        <v>2055</v>
      </c>
      <c r="H443" t="s">
        <v>2056</v>
      </c>
      <c r="I443">
        <v>12</v>
      </c>
      <c r="J443" t="s">
        <v>1279</v>
      </c>
      <c r="K443">
        <v>12154</v>
      </c>
      <c r="L443" t="s">
        <v>2025</v>
      </c>
      <c r="M443">
        <v>12154104</v>
      </c>
      <c r="N443" t="s">
        <v>2026</v>
      </c>
      <c r="O443">
        <v>12154104535</v>
      </c>
      <c r="P443" t="s">
        <v>2027</v>
      </c>
      <c r="Q443" t="s">
        <v>2057</v>
      </c>
      <c r="R443" t="s">
        <v>2058</v>
      </c>
      <c r="S443" t="s">
        <v>2056</v>
      </c>
      <c r="T443" t="s">
        <v>2059</v>
      </c>
      <c r="U443" t="s">
        <v>1230</v>
      </c>
      <c r="V443" t="s">
        <v>1231</v>
      </c>
      <c r="W443">
        <v>90</v>
      </c>
      <c r="X443" t="s">
        <v>1342</v>
      </c>
      <c r="Y443">
        <v>24</v>
      </c>
      <c r="Z443">
        <v>2160</v>
      </c>
      <c r="AA443" t="s">
        <v>28</v>
      </c>
      <c r="AB443" t="s">
        <v>1190</v>
      </c>
      <c r="AC443">
        <v>90</v>
      </c>
      <c r="AD443" t="s">
        <v>1191</v>
      </c>
      <c r="AE443" t="s">
        <v>1192</v>
      </c>
      <c r="AF443" t="s">
        <v>1193</v>
      </c>
      <c r="AG443" t="s">
        <v>1194</v>
      </c>
      <c r="AH443" t="s">
        <v>1195</v>
      </c>
      <c r="AI443" t="s">
        <v>1196</v>
      </c>
      <c r="AJ443" t="s">
        <v>2030</v>
      </c>
      <c r="AK443" t="s">
        <v>1272</v>
      </c>
      <c r="AL443" t="s">
        <v>2031</v>
      </c>
      <c r="AM443" t="s">
        <v>2032</v>
      </c>
      <c r="AN443" t="s">
        <v>1201</v>
      </c>
      <c r="AO443" t="s">
        <v>2033</v>
      </c>
      <c r="AP443" t="s">
        <v>2034</v>
      </c>
      <c r="AQ443" t="s">
        <v>1203</v>
      </c>
      <c r="AR443" t="s">
        <v>1201</v>
      </c>
      <c r="AS443" t="s">
        <v>1203</v>
      </c>
      <c r="AU443" t="s">
        <v>1204</v>
      </c>
      <c r="AW443" t="b">
        <v>0</v>
      </c>
      <c r="AY443" t="b">
        <v>1</v>
      </c>
      <c r="BA443" t="s">
        <v>2035</v>
      </c>
      <c r="BJ443" t="s">
        <v>1550</v>
      </c>
    </row>
    <row r="444" spans="1:62" x14ac:dyDescent="0.25">
      <c r="A444" t="s">
        <v>1177</v>
      </c>
      <c r="B444">
        <v>140023</v>
      </c>
      <c r="C444" t="s">
        <v>1258</v>
      </c>
      <c r="D444" s="112" t="s">
        <v>2626</v>
      </c>
      <c r="E444" t="s">
        <v>1119</v>
      </c>
      <c r="F444" t="s">
        <v>1178</v>
      </c>
      <c r="G444" t="s">
        <v>2060</v>
      </c>
      <c r="H444" t="s">
        <v>2061</v>
      </c>
      <c r="I444">
        <v>12</v>
      </c>
      <c r="J444" t="s">
        <v>1279</v>
      </c>
      <c r="K444">
        <v>12154</v>
      </c>
      <c r="L444" t="s">
        <v>2025</v>
      </c>
      <c r="M444">
        <v>12154104</v>
      </c>
      <c r="N444" t="s">
        <v>2026</v>
      </c>
      <c r="O444">
        <v>12154104535</v>
      </c>
      <c r="P444" t="s">
        <v>2027</v>
      </c>
      <c r="Q444" t="s">
        <v>2062</v>
      </c>
      <c r="R444" t="s">
        <v>2063</v>
      </c>
      <c r="S444" t="s">
        <v>2061</v>
      </c>
      <c r="T444" t="s">
        <v>2064</v>
      </c>
      <c r="U444" t="s">
        <v>1230</v>
      </c>
      <c r="V444" t="s">
        <v>1231</v>
      </c>
      <c r="W444">
        <v>30</v>
      </c>
      <c r="X444" t="s">
        <v>1342</v>
      </c>
      <c r="Y444">
        <v>60</v>
      </c>
      <c r="Z444">
        <v>1800</v>
      </c>
      <c r="AA444" t="s">
        <v>28</v>
      </c>
      <c r="AB444" t="s">
        <v>1190</v>
      </c>
      <c r="AC444">
        <v>30</v>
      </c>
      <c r="AD444" t="s">
        <v>1232</v>
      </c>
      <c r="AE444" t="s">
        <v>1192</v>
      </c>
      <c r="AF444" t="s">
        <v>1193</v>
      </c>
      <c r="AG444" t="s">
        <v>1194</v>
      </c>
      <c r="AH444" t="s">
        <v>1195</v>
      </c>
      <c r="AI444" t="s">
        <v>1196</v>
      </c>
      <c r="AJ444" t="s">
        <v>2030</v>
      </c>
      <c r="AK444" t="s">
        <v>1272</v>
      </c>
      <c r="AL444" t="s">
        <v>2031</v>
      </c>
      <c r="AM444" t="s">
        <v>2032</v>
      </c>
      <c r="AN444" t="s">
        <v>1201</v>
      </c>
      <c r="AO444" t="s">
        <v>2033</v>
      </c>
      <c r="AP444" t="s">
        <v>2034</v>
      </c>
      <c r="AQ444" t="s">
        <v>1203</v>
      </c>
      <c r="AR444" t="s">
        <v>1201</v>
      </c>
      <c r="AS444" t="s">
        <v>1203</v>
      </c>
      <c r="AU444" t="s">
        <v>1204</v>
      </c>
      <c r="AW444" t="b">
        <v>0</v>
      </c>
      <c r="AY444" t="b">
        <v>1</v>
      </c>
      <c r="BA444" t="s">
        <v>2035</v>
      </c>
      <c r="BJ444" t="s">
        <v>1550</v>
      </c>
    </row>
    <row r="445" spans="1:62" x14ac:dyDescent="0.25">
      <c r="A445" t="s">
        <v>1177</v>
      </c>
      <c r="B445">
        <v>140024</v>
      </c>
      <c r="C445" t="s">
        <v>1258</v>
      </c>
      <c r="D445" s="112" t="s">
        <v>2865</v>
      </c>
      <c r="E445" t="s">
        <v>1119</v>
      </c>
      <c r="F445" t="s">
        <v>1178</v>
      </c>
      <c r="G445" t="s">
        <v>2055</v>
      </c>
      <c r="H445" t="s">
        <v>2056</v>
      </c>
      <c r="I445">
        <v>12</v>
      </c>
      <c r="J445" t="s">
        <v>1279</v>
      </c>
      <c r="K445">
        <v>12154</v>
      </c>
      <c r="L445" t="s">
        <v>2025</v>
      </c>
      <c r="M445">
        <v>12154104</v>
      </c>
      <c r="N445" t="s">
        <v>2026</v>
      </c>
      <c r="O445">
        <v>12154104535</v>
      </c>
      <c r="P445" t="s">
        <v>2027</v>
      </c>
      <c r="Q445" t="s">
        <v>2057</v>
      </c>
      <c r="R445" t="s">
        <v>2058</v>
      </c>
      <c r="S445" t="s">
        <v>2056</v>
      </c>
      <c r="T445" t="s">
        <v>2059</v>
      </c>
      <c r="U445" t="s">
        <v>1230</v>
      </c>
      <c r="V445" t="s">
        <v>1231</v>
      </c>
      <c r="W445">
        <v>90</v>
      </c>
      <c r="X445" t="s">
        <v>1342</v>
      </c>
      <c r="Y445">
        <v>24</v>
      </c>
      <c r="Z445">
        <v>2160</v>
      </c>
      <c r="AA445" t="s">
        <v>28</v>
      </c>
      <c r="AB445" t="s">
        <v>1190</v>
      </c>
      <c r="AC445">
        <v>90</v>
      </c>
      <c r="AD445" t="s">
        <v>1191</v>
      </c>
      <c r="AE445" t="s">
        <v>1192</v>
      </c>
      <c r="AF445" t="s">
        <v>1193</v>
      </c>
      <c r="AG445" t="s">
        <v>1194</v>
      </c>
      <c r="AH445" t="s">
        <v>1195</v>
      </c>
      <c r="AI445" t="s">
        <v>1196</v>
      </c>
      <c r="AJ445" t="s">
        <v>2030</v>
      </c>
      <c r="AK445" t="s">
        <v>1272</v>
      </c>
      <c r="AL445" t="s">
        <v>2031</v>
      </c>
      <c r="AM445" t="s">
        <v>2032</v>
      </c>
      <c r="AN445" t="s">
        <v>1201</v>
      </c>
      <c r="AO445" t="s">
        <v>2033</v>
      </c>
      <c r="AP445" t="s">
        <v>2034</v>
      </c>
      <c r="AR445" t="e">
        <v>#N/A</v>
      </c>
      <c r="AS445" t="e">
        <v>#N/A</v>
      </c>
      <c r="AU445" t="s">
        <v>1204</v>
      </c>
      <c r="AW445" t="b">
        <v>0</v>
      </c>
      <c r="AY445" t="b">
        <v>1</v>
      </c>
      <c r="BA445" t="s">
        <v>2035</v>
      </c>
      <c r="BJ445" t="s">
        <v>1550</v>
      </c>
    </row>
    <row r="446" spans="1:62" x14ac:dyDescent="0.25">
      <c r="A446" t="s">
        <v>1177</v>
      </c>
      <c r="B446">
        <v>460182</v>
      </c>
      <c r="C446">
        <v>460182</v>
      </c>
      <c r="D446" s="112" t="s">
        <v>2866</v>
      </c>
      <c r="E446" t="s">
        <v>1119</v>
      </c>
      <c r="F446" t="s">
        <v>1178</v>
      </c>
      <c r="G446" t="s">
        <v>341</v>
      </c>
      <c r="H446" s="135" t="s">
        <v>2065</v>
      </c>
      <c r="I446">
        <v>10</v>
      </c>
      <c r="J446" t="s">
        <v>1180</v>
      </c>
      <c r="K446">
        <v>10108</v>
      </c>
      <c r="L446" t="s">
        <v>1942</v>
      </c>
      <c r="M446">
        <v>10108214</v>
      </c>
      <c r="N446" t="s">
        <v>1942</v>
      </c>
      <c r="O446">
        <v>10108214510</v>
      </c>
      <c r="P446" t="s">
        <v>2066</v>
      </c>
      <c r="Q446" s="135" t="s">
        <v>2067</v>
      </c>
      <c r="R446" t="s">
        <v>2068</v>
      </c>
      <c r="S446" s="135" t="s">
        <v>2065</v>
      </c>
      <c r="T446" t="s">
        <v>2069</v>
      </c>
      <c r="U446" t="s">
        <v>1947</v>
      </c>
      <c r="V446" t="s">
        <v>1948</v>
      </c>
      <c r="W446">
        <v>250</v>
      </c>
      <c r="X446" t="s">
        <v>1189</v>
      </c>
      <c r="Y446">
        <v>24</v>
      </c>
      <c r="Z446">
        <v>6000</v>
      </c>
      <c r="AA446" t="s">
        <v>28</v>
      </c>
      <c r="AB446" t="s">
        <v>1190</v>
      </c>
      <c r="AC446">
        <v>250</v>
      </c>
      <c r="AD446" t="s">
        <v>1232</v>
      </c>
      <c r="AE446" t="s">
        <v>1192</v>
      </c>
      <c r="AF446" t="s">
        <v>1193</v>
      </c>
      <c r="AG446" t="s">
        <v>1194</v>
      </c>
      <c r="AH446" t="s">
        <v>1195</v>
      </c>
      <c r="AI446" t="s">
        <v>1196</v>
      </c>
      <c r="AJ446" t="s">
        <v>1546</v>
      </c>
      <c r="AK446" t="s">
        <v>1547</v>
      </c>
      <c r="AL446" t="s">
        <v>1548</v>
      </c>
      <c r="AM446" t="s">
        <v>2070</v>
      </c>
      <c r="AN446" t="s">
        <v>1201</v>
      </c>
      <c r="AO446" t="s">
        <v>1549</v>
      </c>
      <c r="AP446" t="s">
        <v>2071</v>
      </c>
      <c r="AQ446" t="s">
        <v>1203</v>
      </c>
      <c r="AR446" t="s">
        <v>1201</v>
      </c>
      <c r="AS446" t="s">
        <v>1203</v>
      </c>
      <c r="AU446" t="s">
        <v>1204</v>
      </c>
      <c r="AW446" t="b">
        <v>0</v>
      </c>
      <c r="AY446" t="b">
        <v>0</v>
      </c>
      <c r="BA446" t="s">
        <v>2072</v>
      </c>
      <c r="BB446" t="s">
        <v>1206</v>
      </c>
      <c r="BC446" t="s">
        <v>1206</v>
      </c>
      <c r="BD446" t="s">
        <v>1207</v>
      </c>
      <c r="BE446" t="s">
        <v>1208</v>
      </c>
      <c r="BF446" t="s">
        <v>1951</v>
      </c>
      <c r="BG446" t="s">
        <v>340</v>
      </c>
      <c r="BH446" t="s">
        <v>1548</v>
      </c>
      <c r="BI446" t="s">
        <v>1206</v>
      </c>
      <c r="BJ446" t="s">
        <v>2073</v>
      </c>
    </row>
    <row r="447" spans="1:62" x14ac:dyDescent="0.25">
      <c r="A447" t="s">
        <v>1177</v>
      </c>
      <c r="B447">
        <v>460176</v>
      </c>
      <c r="C447">
        <v>460176</v>
      </c>
      <c r="D447" s="112" t="s">
        <v>2867</v>
      </c>
      <c r="E447" t="s">
        <v>1119</v>
      </c>
      <c r="F447" t="s">
        <v>1178</v>
      </c>
      <c r="G447" t="s">
        <v>2074</v>
      </c>
      <c r="H447" t="s">
        <v>2075</v>
      </c>
      <c r="I447">
        <v>10</v>
      </c>
      <c r="J447" t="s">
        <v>1180</v>
      </c>
      <c r="K447">
        <v>10108</v>
      </c>
      <c r="L447" t="s">
        <v>1942</v>
      </c>
      <c r="M447">
        <v>10108214</v>
      </c>
      <c r="N447" t="s">
        <v>1942</v>
      </c>
      <c r="O447">
        <v>10108214511</v>
      </c>
      <c r="P447" t="s">
        <v>2076</v>
      </c>
      <c r="Q447" t="s">
        <v>2077</v>
      </c>
      <c r="R447" t="s">
        <v>2078</v>
      </c>
      <c r="S447" t="s">
        <v>2075</v>
      </c>
      <c r="T447" t="s">
        <v>2079</v>
      </c>
      <c r="U447" t="s">
        <v>1947</v>
      </c>
      <c r="V447" t="s">
        <v>1948</v>
      </c>
      <c r="W447">
        <v>250</v>
      </c>
      <c r="X447" t="s">
        <v>1189</v>
      </c>
      <c r="Y447">
        <v>24</v>
      </c>
      <c r="Z447">
        <v>6000</v>
      </c>
      <c r="AA447" t="s">
        <v>28</v>
      </c>
      <c r="AB447" t="s">
        <v>1190</v>
      </c>
      <c r="AC447">
        <v>250</v>
      </c>
      <c r="AD447" t="s">
        <v>1232</v>
      </c>
      <c r="AE447" t="s">
        <v>1192</v>
      </c>
      <c r="AF447" t="s">
        <v>1193</v>
      </c>
      <c r="AG447" t="s">
        <v>1194</v>
      </c>
      <c r="AH447" t="s">
        <v>1195</v>
      </c>
      <c r="AI447" t="s">
        <v>1196</v>
      </c>
      <c r="AJ447" t="s">
        <v>1197</v>
      </c>
      <c r="AK447" t="s">
        <v>1198</v>
      </c>
      <c r="AL447" t="s">
        <v>2080</v>
      </c>
      <c r="AM447" t="s">
        <v>1200</v>
      </c>
      <c r="AN447" t="s">
        <v>1201</v>
      </c>
      <c r="AO447" t="s">
        <v>2081</v>
      </c>
      <c r="AP447" t="s">
        <v>1202</v>
      </c>
      <c r="AQ447" t="s">
        <v>1203</v>
      </c>
      <c r="AR447" t="s">
        <v>1201</v>
      </c>
      <c r="AS447" t="s">
        <v>1203</v>
      </c>
      <c r="AU447" t="s">
        <v>1204</v>
      </c>
      <c r="AW447" t="b">
        <v>0</v>
      </c>
      <c r="AY447" t="b">
        <v>0</v>
      </c>
      <c r="BA447" t="s">
        <v>2082</v>
      </c>
      <c r="BB447" t="s">
        <v>1206</v>
      </c>
      <c r="BC447" t="s">
        <v>1206</v>
      </c>
      <c r="BD447" t="s">
        <v>1207</v>
      </c>
      <c r="BE447" t="s">
        <v>1208</v>
      </c>
      <c r="BF447" t="s">
        <v>1951</v>
      </c>
      <c r="BG447" t="s">
        <v>324</v>
      </c>
      <c r="BH447" t="s">
        <v>2083</v>
      </c>
      <c r="BI447" t="s">
        <v>1206</v>
      </c>
      <c r="BJ447" t="s">
        <v>2084</v>
      </c>
    </row>
    <row r="448" spans="1:62" x14ac:dyDescent="0.25">
      <c r="A448" t="s">
        <v>1177</v>
      </c>
      <c r="B448">
        <v>460192</v>
      </c>
      <c r="C448">
        <v>460192</v>
      </c>
      <c r="D448" s="112" t="s">
        <v>2868</v>
      </c>
      <c r="E448" t="s">
        <v>1119</v>
      </c>
      <c r="F448" t="s">
        <v>1178</v>
      </c>
      <c r="G448" t="s">
        <v>332</v>
      </c>
      <c r="H448" t="s">
        <v>2075</v>
      </c>
      <c r="I448">
        <v>10</v>
      </c>
      <c r="J448" t="s">
        <v>1180</v>
      </c>
      <c r="K448">
        <v>10108</v>
      </c>
      <c r="L448" t="s">
        <v>1942</v>
      </c>
      <c r="M448">
        <v>10108214</v>
      </c>
      <c r="N448" t="s">
        <v>1942</v>
      </c>
      <c r="O448">
        <v>10108214511</v>
      </c>
      <c r="P448" t="s">
        <v>2076</v>
      </c>
      <c r="Q448" t="s">
        <v>2077</v>
      </c>
      <c r="R448" t="s">
        <v>2078</v>
      </c>
      <c r="S448" t="s">
        <v>2075</v>
      </c>
      <c r="T448" t="s">
        <v>2079</v>
      </c>
      <c r="U448" t="s">
        <v>1947</v>
      </c>
      <c r="V448" t="s">
        <v>1948</v>
      </c>
      <c r="W448">
        <v>250</v>
      </c>
      <c r="X448" t="s">
        <v>1189</v>
      </c>
      <c r="Y448">
        <v>24</v>
      </c>
      <c r="Z448">
        <v>6000</v>
      </c>
      <c r="AA448" t="s">
        <v>28</v>
      </c>
      <c r="AB448" t="s">
        <v>1190</v>
      </c>
      <c r="AC448">
        <v>250</v>
      </c>
      <c r="AD448" t="s">
        <v>1232</v>
      </c>
      <c r="AE448" t="s">
        <v>1192</v>
      </c>
      <c r="AF448" t="s">
        <v>1193</v>
      </c>
      <c r="AG448" t="s">
        <v>1194</v>
      </c>
      <c r="AH448" t="s">
        <v>1195</v>
      </c>
      <c r="AI448" t="s">
        <v>1196</v>
      </c>
      <c r="AJ448" t="s">
        <v>1197</v>
      </c>
      <c r="AK448" t="s">
        <v>1198</v>
      </c>
      <c r="AL448" t="s">
        <v>2080</v>
      </c>
      <c r="AM448" t="s">
        <v>1200</v>
      </c>
      <c r="AN448" t="s">
        <v>1201</v>
      </c>
      <c r="AO448" t="s">
        <v>2081</v>
      </c>
      <c r="AP448" t="s">
        <v>1202</v>
      </c>
      <c r="AQ448" t="s">
        <v>1203</v>
      </c>
      <c r="AR448" t="s">
        <v>1201</v>
      </c>
      <c r="AS448" t="s">
        <v>1203</v>
      </c>
      <c r="AU448" t="s">
        <v>1204</v>
      </c>
      <c r="AW448" t="b">
        <v>0</v>
      </c>
      <c r="AY448" t="b">
        <v>0</v>
      </c>
      <c r="BA448" t="s">
        <v>2082</v>
      </c>
      <c r="BB448" t="s">
        <v>1206</v>
      </c>
      <c r="BC448" t="s">
        <v>1206</v>
      </c>
      <c r="BD448" t="s">
        <v>1207</v>
      </c>
      <c r="BE448" t="s">
        <v>1208</v>
      </c>
      <c r="BF448" t="s">
        <v>1951</v>
      </c>
      <c r="BG448" t="s">
        <v>324</v>
      </c>
      <c r="BH448" t="s">
        <v>2083</v>
      </c>
      <c r="BI448" t="s">
        <v>1206</v>
      </c>
      <c r="BJ448" t="s">
        <v>2084</v>
      </c>
    </row>
    <row r="449" spans="1:62" x14ac:dyDescent="0.25">
      <c r="A449" t="s">
        <v>1177</v>
      </c>
      <c r="B449">
        <v>460190</v>
      </c>
      <c r="C449">
        <v>460190</v>
      </c>
      <c r="D449" s="112" t="s">
        <v>2869</v>
      </c>
      <c r="E449" t="s">
        <v>1119</v>
      </c>
      <c r="F449" t="s">
        <v>1178</v>
      </c>
      <c r="G449" t="s">
        <v>326</v>
      </c>
      <c r="H449" t="s">
        <v>2075</v>
      </c>
      <c r="I449">
        <v>10</v>
      </c>
      <c r="J449" t="s">
        <v>1180</v>
      </c>
      <c r="K449">
        <v>10108</v>
      </c>
      <c r="L449" t="s">
        <v>1942</v>
      </c>
      <c r="M449">
        <v>10108214</v>
      </c>
      <c r="N449" t="s">
        <v>1942</v>
      </c>
      <c r="O449">
        <v>10108214511</v>
      </c>
      <c r="P449" t="s">
        <v>2076</v>
      </c>
      <c r="Q449" t="s">
        <v>2077</v>
      </c>
      <c r="R449" t="s">
        <v>2078</v>
      </c>
      <c r="S449" t="s">
        <v>2075</v>
      </c>
      <c r="T449" t="s">
        <v>2079</v>
      </c>
      <c r="U449" t="s">
        <v>1947</v>
      </c>
      <c r="V449" t="s">
        <v>1948</v>
      </c>
      <c r="W449">
        <v>250</v>
      </c>
      <c r="X449" t="s">
        <v>1189</v>
      </c>
      <c r="Y449">
        <v>24</v>
      </c>
      <c r="Z449">
        <v>6000</v>
      </c>
      <c r="AA449" t="s">
        <v>28</v>
      </c>
      <c r="AB449" t="s">
        <v>1190</v>
      </c>
      <c r="AC449">
        <v>250</v>
      </c>
      <c r="AD449" t="s">
        <v>1232</v>
      </c>
      <c r="AE449" t="s">
        <v>1192</v>
      </c>
      <c r="AF449" t="s">
        <v>1193</v>
      </c>
      <c r="AG449" t="s">
        <v>1194</v>
      </c>
      <c r="AH449" t="s">
        <v>1195</v>
      </c>
      <c r="AI449" t="s">
        <v>1196</v>
      </c>
      <c r="AJ449" t="s">
        <v>1197</v>
      </c>
      <c r="AK449" t="s">
        <v>1198</v>
      </c>
      <c r="AL449" t="s">
        <v>2085</v>
      </c>
      <c r="AM449" t="s">
        <v>1200</v>
      </c>
      <c r="AN449" t="s">
        <v>1201</v>
      </c>
      <c r="AO449" t="s">
        <v>2086</v>
      </c>
      <c r="AP449" t="s">
        <v>1202</v>
      </c>
      <c r="AQ449" t="s">
        <v>1203</v>
      </c>
      <c r="AR449" t="s">
        <v>1201</v>
      </c>
      <c r="AS449" t="s">
        <v>1203</v>
      </c>
      <c r="AU449" t="s">
        <v>1204</v>
      </c>
      <c r="AW449" t="b">
        <v>0</v>
      </c>
      <c r="AY449" t="b">
        <v>0</v>
      </c>
      <c r="BA449" t="s">
        <v>2082</v>
      </c>
      <c r="BB449" t="s">
        <v>1206</v>
      </c>
      <c r="BC449" t="s">
        <v>1206</v>
      </c>
      <c r="BD449" t="s">
        <v>1207</v>
      </c>
      <c r="BE449" t="s">
        <v>1208</v>
      </c>
      <c r="BF449" t="s">
        <v>1951</v>
      </c>
      <c r="BG449" t="s">
        <v>324</v>
      </c>
      <c r="BH449" t="s">
        <v>2083</v>
      </c>
      <c r="BI449" t="s">
        <v>1206</v>
      </c>
      <c r="BJ449" t="s">
        <v>2084</v>
      </c>
    </row>
    <row r="450" spans="1:62" x14ac:dyDescent="0.25">
      <c r="A450" t="s">
        <v>1177</v>
      </c>
      <c r="B450">
        <v>460187</v>
      </c>
      <c r="C450">
        <v>460187</v>
      </c>
      <c r="D450" s="112" t="s">
        <v>2870</v>
      </c>
      <c r="E450" t="s">
        <v>1119</v>
      </c>
      <c r="F450" t="s">
        <v>1178</v>
      </c>
      <c r="G450" t="s">
        <v>335</v>
      </c>
      <c r="H450" t="s">
        <v>2075</v>
      </c>
      <c r="I450">
        <v>10</v>
      </c>
      <c r="J450" t="s">
        <v>1180</v>
      </c>
      <c r="K450">
        <v>10108</v>
      </c>
      <c r="L450" t="s">
        <v>1942</v>
      </c>
      <c r="M450">
        <v>10108214</v>
      </c>
      <c r="N450" t="s">
        <v>1942</v>
      </c>
      <c r="O450">
        <v>10108214511</v>
      </c>
      <c r="P450" t="s">
        <v>2076</v>
      </c>
      <c r="Q450" t="s">
        <v>2077</v>
      </c>
      <c r="R450" t="s">
        <v>2078</v>
      </c>
      <c r="S450" t="s">
        <v>2075</v>
      </c>
      <c r="T450" t="s">
        <v>2079</v>
      </c>
      <c r="U450" t="s">
        <v>1947</v>
      </c>
      <c r="V450" t="s">
        <v>1948</v>
      </c>
      <c r="W450">
        <v>250</v>
      </c>
      <c r="X450" t="s">
        <v>1189</v>
      </c>
      <c r="Y450">
        <v>24</v>
      </c>
      <c r="Z450">
        <v>6000</v>
      </c>
      <c r="AA450" t="s">
        <v>28</v>
      </c>
      <c r="AB450" t="s">
        <v>1190</v>
      </c>
      <c r="AC450">
        <v>250</v>
      </c>
      <c r="AD450" t="s">
        <v>1232</v>
      </c>
      <c r="AE450" t="s">
        <v>1192</v>
      </c>
      <c r="AF450" t="s">
        <v>1193</v>
      </c>
      <c r="AG450" t="s">
        <v>1194</v>
      </c>
      <c r="AH450" t="s">
        <v>1195</v>
      </c>
      <c r="AI450" t="s">
        <v>1196</v>
      </c>
      <c r="AJ450" t="s">
        <v>1197</v>
      </c>
      <c r="AK450" t="s">
        <v>1198</v>
      </c>
      <c r="AL450" t="s">
        <v>1262</v>
      </c>
      <c r="AM450" t="s">
        <v>1200</v>
      </c>
      <c r="AN450" t="s">
        <v>1201</v>
      </c>
      <c r="AO450" t="s">
        <v>1263</v>
      </c>
      <c r="AP450" t="s">
        <v>1202</v>
      </c>
      <c r="AQ450" t="s">
        <v>1203</v>
      </c>
      <c r="AR450" t="s">
        <v>1201</v>
      </c>
      <c r="AS450" t="s">
        <v>1203</v>
      </c>
      <c r="AU450" t="s">
        <v>1204</v>
      </c>
      <c r="AW450" t="b">
        <v>0</v>
      </c>
      <c r="AY450" t="b">
        <v>0</v>
      </c>
      <c r="BA450" t="s">
        <v>2082</v>
      </c>
      <c r="BB450" t="s">
        <v>1206</v>
      </c>
      <c r="BC450" t="s">
        <v>1206</v>
      </c>
      <c r="BD450" t="s">
        <v>1207</v>
      </c>
      <c r="BE450" t="s">
        <v>1208</v>
      </c>
      <c r="BF450" t="s">
        <v>1951</v>
      </c>
      <c r="BG450" t="s">
        <v>324</v>
      </c>
      <c r="BH450" t="s">
        <v>2083</v>
      </c>
      <c r="BI450" t="s">
        <v>1206</v>
      </c>
      <c r="BJ450" t="s">
        <v>2084</v>
      </c>
    </row>
    <row r="451" spans="1:62" x14ac:dyDescent="0.25">
      <c r="A451" t="s">
        <v>1177</v>
      </c>
      <c r="B451">
        <v>460188</v>
      </c>
      <c r="C451">
        <v>460188</v>
      </c>
      <c r="D451" s="112" t="s">
        <v>2871</v>
      </c>
      <c r="E451" t="s">
        <v>1119</v>
      </c>
      <c r="F451" t="s">
        <v>1178</v>
      </c>
      <c r="G451" t="s">
        <v>330</v>
      </c>
      <c r="H451" t="s">
        <v>2075</v>
      </c>
      <c r="I451">
        <v>10</v>
      </c>
      <c r="J451" t="s">
        <v>1180</v>
      </c>
      <c r="K451">
        <v>10108</v>
      </c>
      <c r="L451" t="s">
        <v>1942</v>
      </c>
      <c r="M451">
        <v>10108214</v>
      </c>
      <c r="N451" t="s">
        <v>1942</v>
      </c>
      <c r="O451">
        <v>10108214511</v>
      </c>
      <c r="P451" t="s">
        <v>2076</v>
      </c>
      <c r="Q451" t="s">
        <v>2077</v>
      </c>
      <c r="R451" t="s">
        <v>2078</v>
      </c>
      <c r="S451" t="s">
        <v>2075</v>
      </c>
      <c r="T451" t="s">
        <v>2079</v>
      </c>
      <c r="U451" t="s">
        <v>1947</v>
      </c>
      <c r="V451" t="s">
        <v>1948</v>
      </c>
      <c r="W451">
        <v>250</v>
      </c>
      <c r="X451" t="s">
        <v>1189</v>
      </c>
      <c r="Y451">
        <v>24</v>
      </c>
      <c r="Z451">
        <v>6000</v>
      </c>
      <c r="AA451" t="s">
        <v>28</v>
      </c>
      <c r="AB451" t="s">
        <v>1190</v>
      </c>
      <c r="AC451">
        <v>250</v>
      </c>
      <c r="AD451" t="s">
        <v>1232</v>
      </c>
      <c r="AE451" t="s">
        <v>1192</v>
      </c>
      <c r="AF451" t="s">
        <v>1193</v>
      </c>
      <c r="AG451" t="s">
        <v>1194</v>
      </c>
      <c r="AH451" t="s">
        <v>1195</v>
      </c>
      <c r="AI451" t="s">
        <v>1196</v>
      </c>
      <c r="AJ451" t="s">
        <v>1197</v>
      </c>
      <c r="AK451" t="s">
        <v>1198</v>
      </c>
      <c r="AL451" t="s">
        <v>1265</v>
      </c>
      <c r="AM451" t="s">
        <v>1200</v>
      </c>
      <c r="AN451" t="s">
        <v>1201</v>
      </c>
      <c r="AO451" t="s">
        <v>1266</v>
      </c>
      <c r="AP451" t="s">
        <v>1202</v>
      </c>
      <c r="AQ451" t="s">
        <v>1203</v>
      </c>
      <c r="AR451" t="s">
        <v>1201</v>
      </c>
      <c r="AS451" t="s">
        <v>1203</v>
      </c>
      <c r="AU451" t="s">
        <v>1204</v>
      </c>
      <c r="AW451" t="b">
        <v>0</v>
      </c>
      <c r="AY451" t="b">
        <v>0</v>
      </c>
      <c r="BA451" t="s">
        <v>2082</v>
      </c>
      <c r="BB451" t="s">
        <v>1206</v>
      </c>
      <c r="BC451" t="s">
        <v>1206</v>
      </c>
      <c r="BD451" t="s">
        <v>1207</v>
      </c>
      <c r="BE451" t="s">
        <v>1208</v>
      </c>
      <c r="BF451" t="s">
        <v>1951</v>
      </c>
      <c r="BG451" t="s">
        <v>324</v>
      </c>
      <c r="BH451" t="s">
        <v>2083</v>
      </c>
      <c r="BI451" t="s">
        <v>1206</v>
      </c>
      <c r="BJ451" t="s">
        <v>2084</v>
      </c>
    </row>
    <row r="452" spans="1:62" x14ac:dyDescent="0.25">
      <c r="A452" t="s">
        <v>1177</v>
      </c>
      <c r="B452">
        <v>460185</v>
      </c>
      <c r="C452">
        <v>460185</v>
      </c>
      <c r="D452" s="112" t="s">
        <v>2872</v>
      </c>
      <c r="E452" t="s">
        <v>1119</v>
      </c>
      <c r="F452" t="s">
        <v>1178</v>
      </c>
      <c r="G452" t="s">
        <v>337</v>
      </c>
      <c r="H452" t="s">
        <v>2075</v>
      </c>
      <c r="I452">
        <v>10</v>
      </c>
      <c r="J452" t="s">
        <v>1180</v>
      </c>
      <c r="K452">
        <v>10108</v>
      </c>
      <c r="L452" t="s">
        <v>1942</v>
      </c>
      <c r="M452">
        <v>10108214</v>
      </c>
      <c r="N452" t="s">
        <v>1942</v>
      </c>
      <c r="O452">
        <v>10108214511</v>
      </c>
      <c r="P452" t="s">
        <v>2076</v>
      </c>
      <c r="Q452" t="s">
        <v>2077</v>
      </c>
      <c r="R452" t="s">
        <v>2078</v>
      </c>
      <c r="S452" t="s">
        <v>2075</v>
      </c>
      <c r="T452" t="s">
        <v>2079</v>
      </c>
      <c r="U452" t="s">
        <v>1947</v>
      </c>
      <c r="V452" t="s">
        <v>1948</v>
      </c>
      <c r="W452">
        <v>250</v>
      </c>
      <c r="X452" t="s">
        <v>1189</v>
      </c>
      <c r="Y452">
        <v>24</v>
      </c>
      <c r="Z452">
        <v>6000</v>
      </c>
      <c r="AA452" t="s">
        <v>28</v>
      </c>
      <c r="AB452" t="s">
        <v>1190</v>
      </c>
      <c r="AC452">
        <v>250</v>
      </c>
      <c r="AD452" t="s">
        <v>1232</v>
      </c>
      <c r="AE452" t="s">
        <v>1192</v>
      </c>
      <c r="AF452" t="s">
        <v>1193</v>
      </c>
      <c r="AG452" t="s">
        <v>1194</v>
      </c>
      <c r="AH452" t="s">
        <v>1195</v>
      </c>
      <c r="AI452" t="s">
        <v>1196</v>
      </c>
      <c r="AJ452" t="s">
        <v>1197</v>
      </c>
      <c r="AK452" t="s">
        <v>1198</v>
      </c>
      <c r="AL452" t="s">
        <v>1244</v>
      </c>
      <c r="AM452" t="s">
        <v>1200</v>
      </c>
      <c r="AN452" t="s">
        <v>1201</v>
      </c>
      <c r="AO452" t="s">
        <v>1245</v>
      </c>
      <c r="AP452" t="s">
        <v>1202</v>
      </c>
      <c r="AQ452" t="s">
        <v>1203</v>
      </c>
      <c r="AR452" t="s">
        <v>1201</v>
      </c>
      <c r="AS452" t="s">
        <v>1203</v>
      </c>
      <c r="AU452" t="s">
        <v>1204</v>
      </c>
      <c r="AW452" t="b">
        <v>0</v>
      </c>
      <c r="AY452" t="b">
        <v>0</v>
      </c>
      <c r="BA452" t="s">
        <v>2082</v>
      </c>
      <c r="BB452" t="s">
        <v>1206</v>
      </c>
      <c r="BC452" t="s">
        <v>1206</v>
      </c>
      <c r="BD452" t="s">
        <v>1207</v>
      </c>
      <c r="BE452" t="s">
        <v>1208</v>
      </c>
      <c r="BF452" t="s">
        <v>1951</v>
      </c>
      <c r="BG452" t="s">
        <v>324</v>
      </c>
      <c r="BH452" t="s">
        <v>2083</v>
      </c>
      <c r="BI452" t="s">
        <v>1206</v>
      </c>
      <c r="BJ452" t="s">
        <v>2084</v>
      </c>
    </row>
    <row r="453" spans="1:62" x14ac:dyDescent="0.25">
      <c r="A453" t="s">
        <v>1177</v>
      </c>
      <c r="B453">
        <v>460186</v>
      </c>
      <c r="C453">
        <v>460186</v>
      </c>
      <c r="D453" s="112" t="s">
        <v>2873</v>
      </c>
      <c r="E453" t="s">
        <v>1119</v>
      </c>
      <c r="F453" t="s">
        <v>1178</v>
      </c>
      <c r="G453" t="s">
        <v>339</v>
      </c>
      <c r="H453" t="s">
        <v>2075</v>
      </c>
      <c r="I453">
        <v>10</v>
      </c>
      <c r="J453" t="s">
        <v>1180</v>
      </c>
      <c r="K453">
        <v>10108</v>
      </c>
      <c r="L453" t="s">
        <v>1942</v>
      </c>
      <c r="M453">
        <v>10108214</v>
      </c>
      <c r="N453" t="s">
        <v>1942</v>
      </c>
      <c r="O453">
        <v>10108214511</v>
      </c>
      <c r="P453" t="s">
        <v>2076</v>
      </c>
      <c r="Q453" t="s">
        <v>2077</v>
      </c>
      <c r="R453" t="s">
        <v>2078</v>
      </c>
      <c r="S453" t="s">
        <v>2075</v>
      </c>
      <c r="T453" t="s">
        <v>2079</v>
      </c>
      <c r="U453" t="s">
        <v>1947</v>
      </c>
      <c r="V453" t="s">
        <v>1948</v>
      </c>
      <c r="W453">
        <v>250</v>
      </c>
      <c r="X453" t="s">
        <v>1189</v>
      </c>
      <c r="Y453">
        <v>24</v>
      </c>
      <c r="Z453">
        <v>6000</v>
      </c>
      <c r="AA453" t="s">
        <v>28</v>
      </c>
      <c r="AB453" t="s">
        <v>1190</v>
      </c>
      <c r="AC453">
        <v>250</v>
      </c>
      <c r="AD453" t="s">
        <v>1232</v>
      </c>
      <c r="AE453" t="s">
        <v>1192</v>
      </c>
      <c r="AF453" t="s">
        <v>1193</v>
      </c>
      <c r="AG453" t="s">
        <v>1194</v>
      </c>
      <c r="AH453" t="s">
        <v>1195</v>
      </c>
      <c r="AI453" t="s">
        <v>1196</v>
      </c>
      <c r="AJ453" t="s">
        <v>1197</v>
      </c>
      <c r="AK453" t="s">
        <v>1198</v>
      </c>
      <c r="AL453" t="s">
        <v>1249</v>
      </c>
      <c r="AM453" t="s">
        <v>1200</v>
      </c>
      <c r="AN453" t="s">
        <v>1201</v>
      </c>
      <c r="AO453" t="s">
        <v>1250</v>
      </c>
      <c r="AP453" t="s">
        <v>1202</v>
      </c>
      <c r="AQ453" t="s">
        <v>1203</v>
      </c>
      <c r="AR453" t="s">
        <v>1201</v>
      </c>
      <c r="AS453" t="s">
        <v>1203</v>
      </c>
      <c r="AU453" t="s">
        <v>1204</v>
      </c>
      <c r="AW453" t="b">
        <v>0</v>
      </c>
      <c r="AY453" t="b">
        <v>0</v>
      </c>
      <c r="BA453" t="s">
        <v>2082</v>
      </c>
      <c r="BB453" t="s">
        <v>1206</v>
      </c>
      <c r="BC453" t="s">
        <v>1206</v>
      </c>
      <c r="BD453" t="s">
        <v>1207</v>
      </c>
      <c r="BE453" t="s">
        <v>1208</v>
      </c>
      <c r="BF453" t="s">
        <v>1951</v>
      </c>
      <c r="BG453" t="s">
        <v>324</v>
      </c>
      <c r="BH453" t="s">
        <v>2083</v>
      </c>
      <c r="BI453" t="s">
        <v>1206</v>
      </c>
      <c r="BJ453" t="s">
        <v>2084</v>
      </c>
    </row>
    <row r="454" spans="1:62" x14ac:dyDescent="0.25">
      <c r="A454" t="s">
        <v>1177</v>
      </c>
      <c r="B454">
        <v>846142</v>
      </c>
      <c r="C454" t="s">
        <v>1258</v>
      </c>
      <c r="D454" s="112" t="s">
        <v>2874</v>
      </c>
      <c r="E454" t="s">
        <v>1119</v>
      </c>
      <c r="F454" t="s">
        <v>1178</v>
      </c>
      <c r="G454" t="s">
        <v>2087</v>
      </c>
      <c r="H454" s="135" t="s">
        <v>2088</v>
      </c>
      <c r="I454">
        <v>10</v>
      </c>
      <c r="J454" t="s">
        <v>1180</v>
      </c>
      <c r="K454">
        <v>10108</v>
      </c>
      <c r="L454" t="s">
        <v>1942</v>
      </c>
      <c r="M454">
        <v>10108214</v>
      </c>
      <c r="N454" t="s">
        <v>1942</v>
      </c>
      <c r="O454">
        <v>10108214815</v>
      </c>
      <c r="P454" t="s">
        <v>2089</v>
      </c>
      <c r="Q454" s="135" t="s">
        <v>2090</v>
      </c>
      <c r="R454" t="s">
        <v>2091</v>
      </c>
      <c r="S454" s="135" t="s">
        <v>2088</v>
      </c>
      <c r="T454" t="s">
        <v>2092</v>
      </c>
      <c r="U454" t="s">
        <v>1947</v>
      </c>
      <c r="V454" t="s">
        <v>1948</v>
      </c>
      <c r="W454">
        <v>90</v>
      </c>
      <c r="X454" t="s">
        <v>1189</v>
      </c>
      <c r="Y454">
        <v>48</v>
      </c>
      <c r="Z454">
        <v>4320</v>
      </c>
      <c r="AA454" t="s">
        <v>2093</v>
      </c>
      <c r="AB454" t="s">
        <v>2094</v>
      </c>
      <c r="AC454">
        <v>90</v>
      </c>
      <c r="AD454" t="s">
        <v>1232</v>
      </c>
      <c r="AE454" t="s">
        <v>1192</v>
      </c>
      <c r="AF454" t="s">
        <v>1193</v>
      </c>
      <c r="AG454" t="s">
        <v>2095</v>
      </c>
      <c r="AH454" t="s">
        <v>2096</v>
      </c>
      <c r="AI454" t="s">
        <v>1196</v>
      </c>
      <c r="AJ454" t="s">
        <v>1197</v>
      </c>
      <c r="AK454" t="s">
        <v>1198</v>
      </c>
      <c r="AL454" t="s">
        <v>1265</v>
      </c>
      <c r="AM454" t="s">
        <v>1200</v>
      </c>
      <c r="AN454" t="s">
        <v>1201</v>
      </c>
      <c r="AO454" t="s">
        <v>1266</v>
      </c>
      <c r="AP454" t="s">
        <v>1202</v>
      </c>
      <c r="AQ454" t="s">
        <v>1203</v>
      </c>
      <c r="AR454" t="s">
        <v>1201</v>
      </c>
      <c r="AS454" t="s">
        <v>1203</v>
      </c>
      <c r="AU454" t="s">
        <v>1204</v>
      </c>
      <c r="AW454" t="b">
        <v>0</v>
      </c>
      <c r="AY454" t="b">
        <v>0</v>
      </c>
      <c r="BA454" t="s">
        <v>2097</v>
      </c>
      <c r="BB454" t="s">
        <v>1206</v>
      </c>
      <c r="BC454" t="s">
        <v>1206</v>
      </c>
      <c r="BD454" t="s">
        <v>1207</v>
      </c>
      <c r="BE454" t="s">
        <v>1208</v>
      </c>
      <c r="BF454" t="s">
        <v>1951</v>
      </c>
      <c r="BG454" t="s">
        <v>2098</v>
      </c>
      <c r="BH454" t="s">
        <v>2099</v>
      </c>
      <c r="BI454" t="s">
        <v>1206</v>
      </c>
      <c r="BJ454" t="s">
        <v>2100</v>
      </c>
    </row>
    <row r="455" spans="1:62" x14ac:dyDescent="0.25">
      <c r="A455" t="s">
        <v>1177</v>
      </c>
      <c r="B455">
        <v>846143</v>
      </c>
      <c r="C455" t="s">
        <v>1258</v>
      </c>
      <c r="D455" s="112" t="s">
        <v>2875</v>
      </c>
      <c r="E455" t="s">
        <v>1119</v>
      </c>
      <c r="F455" t="s">
        <v>1178</v>
      </c>
      <c r="G455" t="s">
        <v>2101</v>
      </c>
      <c r="H455" s="135" t="s">
        <v>2088</v>
      </c>
      <c r="I455">
        <v>10</v>
      </c>
      <c r="J455" t="s">
        <v>1180</v>
      </c>
      <c r="K455">
        <v>10108</v>
      </c>
      <c r="L455" t="s">
        <v>1942</v>
      </c>
      <c r="M455">
        <v>10108214</v>
      </c>
      <c r="N455" t="s">
        <v>1942</v>
      </c>
      <c r="O455">
        <v>10108214815</v>
      </c>
      <c r="P455" t="s">
        <v>2089</v>
      </c>
      <c r="Q455" s="135" t="s">
        <v>2090</v>
      </c>
      <c r="R455" t="s">
        <v>2091</v>
      </c>
      <c r="S455" s="135" t="s">
        <v>2088</v>
      </c>
      <c r="T455" t="s">
        <v>2092</v>
      </c>
      <c r="U455" t="s">
        <v>1947</v>
      </c>
      <c r="V455" t="s">
        <v>1948</v>
      </c>
      <c r="W455">
        <v>90</v>
      </c>
      <c r="X455" t="s">
        <v>1189</v>
      </c>
      <c r="Y455">
        <v>48</v>
      </c>
      <c r="Z455">
        <v>4320</v>
      </c>
      <c r="AA455" t="s">
        <v>2093</v>
      </c>
      <c r="AB455" t="s">
        <v>2094</v>
      </c>
      <c r="AC455">
        <v>90</v>
      </c>
      <c r="AD455" t="s">
        <v>1232</v>
      </c>
      <c r="AE455" t="s">
        <v>1192</v>
      </c>
      <c r="AF455" t="s">
        <v>1193</v>
      </c>
      <c r="AG455" t="s">
        <v>2095</v>
      </c>
      <c r="AH455" t="s">
        <v>2096</v>
      </c>
      <c r="AI455" t="s">
        <v>1196</v>
      </c>
      <c r="AJ455" t="s">
        <v>1197</v>
      </c>
      <c r="AK455" t="s">
        <v>1198</v>
      </c>
      <c r="AL455" t="s">
        <v>2102</v>
      </c>
      <c r="AM455" t="s">
        <v>1200</v>
      </c>
      <c r="AN455" t="s">
        <v>1201</v>
      </c>
      <c r="AO455" t="s">
        <v>2103</v>
      </c>
      <c r="AP455" t="s">
        <v>1202</v>
      </c>
      <c r="AQ455" t="s">
        <v>1203</v>
      </c>
      <c r="AR455" t="s">
        <v>1201</v>
      </c>
      <c r="AS455" t="s">
        <v>1203</v>
      </c>
      <c r="AU455" t="s">
        <v>1204</v>
      </c>
      <c r="AW455" t="b">
        <v>0</v>
      </c>
      <c r="AY455" t="b">
        <v>0</v>
      </c>
      <c r="BA455" t="s">
        <v>2097</v>
      </c>
      <c r="BB455" t="s">
        <v>1206</v>
      </c>
      <c r="BC455" t="s">
        <v>1206</v>
      </c>
      <c r="BD455" t="s">
        <v>1207</v>
      </c>
      <c r="BE455" t="s">
        <v>1208</v>
      </c>
      <c r="BF455" t="s">
        <v>1951</v>
      </c>
      <c r="BG455" t="s">
        <v>2098</v>
      </c>
      <c r="BH455" t="s">
        <v>2099</v>
      </c>
      <c r="BI455" t="s">
        <v>1206</v>
      </c>
      <c r="BJ455" t="s">
        <v>2100</v>
      </c>
    </row>
    <row r="456" spans="1:62" x14ac:dyDescent="0.25">
      <c r="A456" t="s">
        <v>1177</v>
      </c>
      <c r="B456">
        <v>846144</v>
      </c>
      <c r="C456" t="s">
        <v>1258</v>
      </c>
      <c r="D456" s="112" t="s">
        <v>2876</v>
      </c>
      <c r="E456" t="s">
        <v>1119</v>
      </c>
      <c r="F456" t="s">
        <v>1178</v>
      </c>
      <c r="G456" t="s">
        <v>2104</v>
      </c>
      <c r="H456" s="135" t="s">
        <v>2088</v>
      </c>
      <c r="I456">
        <v>10</v>
      </c>
      <c r="J456" t="s">
        <v>1180</v>
      </c>
      <c r="K456">
        <v>10108</v>
      </c>
      <c r="L456" t="s">
        <v>1942</v>
      </c>
      <c r="M456">
        <v>10108214</v>
      </c>
      <c r="N456" t="s">
        <v>1942</v>
      </c>
      <c r="O456">
        <v>10108214815</v>
      </c>
      <c r="P456" t="s">
        <v>2089</v>
      </c>
      <c r="Q456" s="135" t="s">
        <v>2090</v>
      </c>
      <c r="R456" t="s">
        <v>2091</v>
      </c>
      <c r="S456" s="135" t="s">
        <v>2088</v>
      </c>
      <c r="T456" t="s">
        <v>2092</v>
      </c>
      <c r="U456" t="s">
        <v>1947</v>
      </c>
      <c r="V456" t="s">
        <v>1948</v>
      </c>
      <c r="W456">
        <v>90</v>
      </c>
      <c r="X456" t="s">
        <v>1189</v>
      </c>
      <c r="Y456">
        <v>48</v>
      </c>
      <c r="Z456">
        <v>4320</v>
      </c>
      <c r="AA456" t="s">
        <v>2093</v>
      </c>
      <c r="AB456" t="s">
        <v>2094</v>
      </c>
      <c r="AC456">
        <v>90</v>
      </c>
      <c r="AD456" t="s">
        <v>1232</v>
      </c>
      <c r="AE456" t="s">
        <v>1192</v>
      </c>
      <c r="AF456" t="s">
        <v>1193</v>
      </c>
      <c r="AG456" t="s">
        <v>2095</v>
      </c>
      <c r="AH456" t="s">
        <v>2096</v>
      </c>
      <c r="AI456" t="s">
        <v>1196</v>
      </c>
      <c r="AJ456" t="s">
        <v>1197</v>
      </c>
      <c r="AK456" t="s">
        <v>1198</v>
      </c>
      <c r="AL456" t="s">
        <v>1256</v>
      </c>
      <c r="AM456" t="s">
        <v>1200</v>
      </c>
      <c r="AN456" t="s">
        <v>1201</v>
      </c>
      <c r="AO456" t="s">
        <v>1257</v>
      </c>
      <c r="AP456" t="s">
        <v>1202</v>
      </c>
      <c r="AQ456" t="s">
        <v>1203</v>
      </c>
      <c r="AR456" t="s">
        <v>1201</v>
      </c>
      <c r="AS456" t="s">
        <v>1203</v>
      </c>
      <c r="AU456" t="s">
        <v>1204</v>
      </c>
      <c r="AW456" t="b">
        <v>0</v>
      </c>
      <c r="AY456" t="b">
        <v>0</v>
      </c>
      <c r="BA456" t="s">
        <v>2097</v>
      </c>
      <c r="BB456" t="s">
        <v>1206</v>
      </c>
      <c r="BC456" t="s">
        <v>1206</v>
      </c>
      <c r="BD456" t="s">
        <v>1207</v>
      </c>
      <c r="BE456" t="s">
        <v>1208</v>
      </c>
      <c r="BF456" t="s">
        <v>1951</v>
      </c>
      <c r="BG456" t="s">
        <v>2098</v>
      </c>
      <c r="BH456" t="s">
        <v>2099</v>
      </c>
      <c r="BI456" t="s">
        <v>1206</v>
      </c>
      <c r="BJ456" t="s">
        <v>2100</v>
      </c>
    </row>
    <row r="457" spans="1:62" x14ac:dyDescent="0.25">
      <c r="A457" t="s">
        <v>1177</v>
      </c>
      <c r="B457">
        <v>460172</v>
      </c>
      <c r="C457">
        <v>460172</v>
      </c>
      <c r="D457" s="112" t="s">
        <v>2877</v>
      </c>
      <c r="E457" t="s">
        <v>1119</v>
      </c>
      <c r="F457" t="s">
        <v>1178</v>
      </c>
      <c r="G457" t="s">
        <v>309</v>
      </c>
      <c r="H457" s="135" t="s">
        <v>2088</v>
      </c>
      <c r="I457">
        <v>10</v>
      </c>
      <c r="J457" t="s">
        <v>1180</v>
      </c>
      <c r="K457">
        <v>10108</v>
      </c>
      <c r="L457" t="s">
        <v>1942</v>
      </c>
      <c r="M457">
        <v>10108214</v>
      </c>
      <c r="N457" t="s">
        <v>1942</v>
      </c>
      <c r="O457">
        <v>10108214815</v>
      </c>
      <c r="P457" t="s">
        <v>2089</v>
      </c>
      <c r="Q457" s="135" t="s">
        <v>2090</v>
      </c>
      <c r="R457" t="s">
        <v>2091</v>
      </c>
      <c r="S457" s="135" t="s">
        <v>2088</v>
      </c>
      <c r="T457" t="s">
        <v>2092</v>
      </c>
      <c r="U457" t="s">
        <v>1947</v>
      </c>
      <c r="V457" t="s">
        <v>1948</v>
      </c>
      <c r="W457">
        <v>90</v>
      </c>
      <c r="X457" t="s">
        <v>1189</v>
      </c>
      <c r="Y457">
        <v>48</v>
      </c>
      <c r="Z457">
        <v>4320</v>
      </c>
      <c r="AA457" t="s">
        <v>2093</v>
      </c>
      <c r="AB457" t="s">
        <v>2094</v>
      </c>
      <c r="AC457">
        <v>90</v>
      </c>
      <c r="AD457" t="s">
        <v>1232</v>
      </c>
      <c r="AE457" t="s">
        <v>1192</v>
      </c>
      <c r="AF457" t="s">
        <v>1193</v>
      </c>
      <c r="AG457" t="s">
        <v>2095</v>
      </c>
      <c r="AH457" t="s">
        <v>2096</v>
      </c>
      <c r="AI457" t="s">
        <v>1196</v>
      </c>
      <c r="AJ457" t="s">
        <v>1216</v>
      </c>
      <c r="AK457" t="s">
        <v>1217</v>
      </c>
      <c r="AL457" t="s">
        <v>2105</v>
      </c>
      <c r="AM457" t="s">
        <v>1200</v>
      </c>
      <c r="AN457" t="s">
        <v>1201</v>
      </c>
      <c r="AO457" t="s">
        <v>2106</v>
      </c>
      <c r="AP457" t="s">
        <v>1202</v>
      </c>
      <c r="AQ457" t="s">
        <v>1203</v>
      </c>
      <c r="AR457" t="s">
        <v>1201</v>
      </c>
      <c r="AS457" t="s">
        <v>1203</v>
      </c>
      <c r="AU457" t="s">
        <v>1204</v>
      </c>
      <c r="AW457" t="b">
        <v>0</v>
      </c>
      <c r="AY457" t="b">
        <v>0</v>
      </c>
      <c r="BA457" t="s">
        <v>2097</v>
      </c>
      <c r="BB457" t="s">
        <v>1206</v>
      </c>
      <c r="BC457" t="s">
        <v>1206</v>
      </c>
      <c r="BD457" t="s">
        <v>1207</v>
      </c>
      <c r="BE457" t="s">
        <v>1208</v>
      </c>
      <c r="BF457" t="s">
        <v>1951</v>
      </c>
      <c r="BG457" t="s">
        <v>2098</v>
      </c>
      <c r="BH457" t="s">
        <v>2099</v>
      </c>
      <c r="BI457" t="s">
        <v>1206</v>
      </c>
      <c r="BJ457" t="s">
        <v>2100</v>
      </c>
    </row>
    <row r="458" spans="1:62" x14ac:dyDescent="0.25">
      <c r="A458" t="s">
        <v>1177</v>
      </c>
      <c r="B458">
        <v>460170</v>
      </c>
      <c r="C458">
        <v>460170</v>
      </c>
      <c r="D458" s="112" t="s">
        <v>2878</v>
      </c>
      <c r="E458" t="s">
        <v>1119</v>
      </c>
      <c r="F458" t="s">
        <v>1178</v>
      </c>
      <c r="G458" t="s">
        <v>310</v>
      </c>
      <c r="H458" s="135" t="s">
        <v>2088</v>
      </c>
      <c r="I458">
        <v>10</v>
      </c>
      <c r="J458" t="s">
        <v>1180</v>
      </c>
      <c r="K458">
        <v>10108</v>
      </c>
      <c r="L458" t="s">
        <v>1942</v>
      </c>
      <c r="M458">
        <v>10108214</v>
      </c>
      <c r="N458" t="s">
        <v>1942</v>
      </c>
      <c r="O458">
        <v>10108214815</v>
      </c>
      <c r="P458" t="s">
        <v>2089</v>
      </c>
      <c r="Q458" s="135" t="s">
        <v>2090</v>
      </c>
      <c r="R458" t="s">
        <v>2091</v>
      </c>
      <c r="S458" s="135" t="s">
        <v>2088</v>
      </c>
      <c r="T458" t="s">
        <v>2092</v>
      </c>
      <c r="U458" t="s">
        <v>1947</v>
      </c>
      <c r="V458" t="s">
        <v>1948</v>
      </c>
      <c r="W458">
        <v>90</v>
      </c>
      <c r="X458" t="s">
        <v>1189</v>
      </c>
      <c r="Y458">
        <v>48</v>
      </c>
      <c r="Z458">
        <v>4320</v>
      </c>
      <c r="AA458" t="s">
        <v>2093</v>
      </c>
      <c r="AB458" t="s">
        <v>2094</v>
      </c>
      <c r="AC458">
        <v>90</v>
      </c>
      <c r="AD458" t="s">
        <v>1232</v>
      </c>
      <c r="AE458" t="s">
        <v>1192</v>
      </c>
      <c r="AF458" t="s">
        <v>1193</v>
      </c>
      <c r="AG458" t="s">
        <v>2095</v>
      </c>
      <c r="AH458" t="s">
        <v>2096</v>
      </c>
      <c r="AI458" t="s">
        <v>1196</v>
      </c>
      <c r="AJ458" t="s">
        <v>1197</v>
      </c>
      <c r="AK458" t="s">
        <v>1198</v>
      </c>
      <c r="AL458" t="s">
        <v>2107</v>
      </c>
      <c r="AM458" t="s">
        <v>1200</v>
      </c>
      <c r="AN458" t="s">
        <v>1201</v>
      </c>
      <c r="AO458" t="s">
        <v>2108</v>
      </c>
      <c r="AP458" t="s">
        <v>1202</v>
      </c>
      <c r="AQ458" t="s">
        <v>1203</v>
      </c>
      <c r="AR458" t="s">
        <v>1201</v>
      </c>
      <c r="AS458" t="s">
        <v>1203</v>
      </c>
      <c r="AU458" t="s">
        <v>1204</v>
      </c>
      <c r="AW458" t="b">
        <v>0</v>
      </c>
      <c r="AY458" t="b">
        <v>0</v>
      </c>
      <c r="BA458" t="s">
        <v>2097</v>
      </c>
      <c r="BB458" t="s">
        <v>1206</v>
      </c>
      <c r="BC458" t="s">
        <v>1206</v>
      </c>
      <c r="BD458" t="s">
        <v>1207</v>
      </c>
      <c r="BE458" t="s">
        <v>1208</v>
      </c>
      <c r="BF458" t="s">
        <v>1951</v>
      </c>
      <c r="BG458" t="s">
        <v>2098</v>
      </c>
      <c r="BH458" t="s">
        <v>2099</v>
      </c>
      <c r="BI458" t="s">
        <v>1206</v>
      </c>
      <c r="BJ458" t="s">
        <v>2100</v>
      </c>
    </row>
    <row r="459" spans="1:62" x14ac:dyDescent="0.25">
      <c r="A459" t="s">
        <v>1177</v>
      </c>
      <c r="B459">
        <v>460171</v>
      </c>
      <c r="C459">
        <v>460171</v>
      </c>
      <c r="D459" s="112" t="s">
        <v>2879</v>
      </c>
      <c r="E459" t="s">
        <v>1119</v>
      </c>
      <c r="F459" t="s">
        <v>1178</v>
      </c>
      <c r="G459" t="s">
        <v>311</v>
      </c>
      <c r="H459" s="135" t="s">
        <v>2088</v>
      </c>
      <c r="I459">
        <v>10</v>
      </c>
      <c r="J459" t="s">
        <v>1180</v>
      </c>
      <c r="K459">
        <v>10108</v>
      </c>
      <c r="L459" t="s">
        <v>1942</v>
      </c>
      <c r="M459">
        <v>10108214</v>
      </c>
      <c r="N459" t="s">
        <v>1942</v>
      </c>
      <c r="O459">
        <v>10108214815</v>
      </c>
      <c r="P459" t="s">
        <v>2089</v>
      </c>
      <c r="Q459" s="135" t="s">
        <v>2090</v>
      </c>
      <c r="R459" t="s">
        <v>2091</v>
      </c>
      <c r="S459" s="135" t="s">
        <v>2088</v>
      </c>
      <c r="T459" t="s">
        <v>2092</v>
      </c>
      <c r="U459" t="s">
        <v>1947</v>
      </c>
      <c r="V459" t="s">
        <v>1948</v>
      </c>
      <c r="W459">
        <v>90</v>
      </c>
      <c r="X459" t="s">
        <v>1189</v>
      </c>
      <c r="Y459">
        <v>48</v>
      </c>
      <c r="Z459">
        <v>4320</v>
      </c>
      <c r="AA459" t="s">
        <v>2093</v>
      </c>
      <c r="AB459" t="s">
        <v>2094</v>
      </c>
      <c r="AC459">
        <v>90</v>
      </c>
      <c r="AD459" t="s">
        <v>1232</v>
      </c>
      <c r="AE459" t="s">
        <v>1192</v>
      </c>
      <c r="AF459" t="s">
        <v>1193</v>
      </c>
      <c r="AG459" t="s">
        <v>2095</v>
      </c>
      <c r="AH459" t="s">
        <v>2096</v>
      </c>
      <c r="AI459" t="s">
        <v>1196</v>
      </c>
      <c r="AJ459" t="s">
        <v>1197</v>
      </c>
      <c r="AK459" t="s">
        <v>1198</v>
      </c>
      <c r="AL459" t="s">
        <v>1265</v>
      </c>
      <c r="AM459" t="s">
        <v>1200</v>
      </c>
      <c r="AN459" t="s">
        <v>1201</v>
      </c>
      <c r="AO459" t="s">
        <v>1266</v>
      </c>
      <c r="AP459" t="s">
        <v>1202</v>
      </c>
      <c r="AQ459" t="s">
        <v>1203</v>
      </c>
      <c r="AR459" t="s">
        <v>1201</v>
      </c>
      <c r="AS459" t="s">
        <v>1203</v>
      </c>
      <c r="AU459" t="s">
        <v>1204</v>
      </c>
      <c r="AW459" t="b">
        <v>0</v>
      </c>
      <c r="AY459" t="b">
        <v>0</v>
      </c>
      <c r="BA459" t="s">
        <v>2097</v>
      </c>
      <c r="BB459" t="s">
        <v>1206</v>
      </c>
      <c r="BC459" t="s">
        <v>1206</v>
      </c>
      <c r="BD459" t="s">
        <v>1207</v>
      </c>
      <c r="BE459" t="s">
        <v>1208</v>
      </c>
      <c r="BF459" t="s">
        <v>1951</v>
      </c>
      <c r="BG459" t="s">
        <v>2098</v>
      </c>
      <c r="BH459" t="s">
        <v>2099</v>
      </c>
      <c r="BI459" t="s">
        <v>1206</v>
      </c>
      <c r="BJ459" t="s">
        <v>2100</v>
      </c>
    </row>
    <row r="460" spans="1:62" x14ac:dyDescent="0.25">
      <c r="A460" t="s">
        <v>1177</v>
      </c>
      <c r="B460">
        <v>460166</v>
      </c>
      <c r="C460">
        <v>460166</v>
      </c>
      <c r="D460" s="112" t="s">
        <v>2880</v>
      </c>
      <c r="E460" t="s">
        <v>1119</v>
      </c>
      <c r="F460" t="s">
        <v>1178</v>
      </c>
      <c r="G460" t="s">
        <v>305</v>
      </c>
      <c r="H460" s="135" t="s">
        <v>2088</v>
      </c>
      <c r="I460">
        <v>10</v>
      </c>
      <c r="J460" t="s">
        <v>1180</v>
      </c>
      <c r="K460">
        <v>10108</v>
      </c>
      <c r="L460" t="s">
        <v>1942</v>
      </c>
      <c r="M460">
        <v>10108214</v>
      </c>
      <c r="N460" t="s">
        <v>1942</v>
      </c>
      <c r="O460">
        <v>10108214815</v>
      </c>
      <c r="P460" t="s">
        <v>2089</v>
      </c>
      <c r="Q460" s="135" t="s">
        <v>2090</v>
      </c>
      <c r="R460" t="s">
        <v>2091</v>
      </c>
      <c r="S460" s="135" t="s">
        <v>2088</v>
      </c>
      <c r="T460" t="s">
        <v>2092</v>
      </c>
      <c r="U460" t="s">
        <v>1947</v>
      </c>
      <c r="V460" t="s">
        <v>1948</v>
      </c>
      <c r="W460">
        <v>90</v>
      </c>
      <c r="X460" t="s">
        <v>1189</v>
      </c>
      <c r="Y460">
        <v>48</v>
      </c>
      <c r="Z460">
        <v>4320</v>
      </c>
      <c r="AA460" t="s">
        <v>2093</v>
      </c>
      <c r="AB460" t="s">
        <v>2094</v>
      </c>
      <c r="AC460">
        <v>90</v>
      </c>
      <c r="AD460" t="s">
        <v>1232</v>
      </c>
      <c r="AE460" t="s">
        <v>1192</v>
      </c>
      <c r="AF460" t="s">
        <v>1193</v>
      </c>
      <c r="AG460" t="s">
        <v>2095</v>
      </c>
      <c r="AH460" t="s">
        <v>2096</v>
      </c>
      <c r="AI460" t="s">
        <v>1196</v>
      </c>
      <c r="AJ460" t="s">
        <v>1197</v>
      </c>
      <c r="AK460" t="s">
        <v>1198</v>
      </c>
      <c r="AL460" t="s">
        <v>1256</v>
      </c>
      <c r="AM460" t="s">
        <v>1200</v>
      </c>
      <c r="AN460" t="s">
        <v>1201</v>
      </c>
      <c r="AO460" t="s">
        <v>1257</v>
      </c>
      <c r="AP460" t="s">
        <v>1202</v>
      </c>
      <c r="AQ460" t="s">
        <v>1203</v>
      </c>
      <c r="AR460" t="s">
        <v>1201</v>
      </c>
      <c r="AS460" t="s">
        <v>1203</v>
      </c>
      <c r="AU460" t="s">
        <v>1204</v>
      </c>
      <c r="AW460" t="b">
        <v>0</v>
      </c>
      <c r="AY460" t="b">
        <v>0</v>
      </c>
      <c r="BA460" t="s">
        <v>2097</v>
      </c>
      <c r="BB460" t="s">
        <v>1206</v>
      </c>
      <c r="BC460" t="s">
        <v>1206</v>
      </c>
      <c r="BD460" t="s">
        <v>1207</v>
      </c>
      <c r="BE460" t="s">
        <v>1208</v>
      </c>
      <c r="BF460" t="s">
        <v>1951</v>
      </c>
      <c r="BG460" t="s">
        <v>2098</v>
      </c>
      <c r="BH460" t="s">
        <v>2099</v>
      </c>
      <c r="BI460" t="s">
        <v>1206</v>
      </c>
      <c r="BJ460" t="s">
        <v>2100</v>
      </c>
    </row>
    <row r="461" spans="1:62" x14ac:dyDescent="0.25">
      <c r="A461" t="s">
        <v>1177</v>
      </c>
      <c r="B461">
        <v>460168</v>
      </c>
      <c r="C461">
        <v>460168</v>
      </c>
      <c r="D461" s="112" t="s">
        <v>2881</v>
      </c>
      <c r="E461" t="s">
        <v>1119</v>
      </c>
      <c r="F461" t="s">
        <v>1178</v>
      </c>
      <c r="G461" t="s">
        <v>307</v>
      </c>
      <c r="H461" s="135" t="s">
        <v>2088</v>
      </c>
      <c r="I461">
        <v>10</v>
      </c>
      <c r="J461" t="s">
        <v>1180</v>
      </c>
      <c r="K461">
        <v>10108</v>
      </c>
      <c r="L461" t="s">
        <v>1942</v>
      </c>
      <c r="M461">
        <v>10108214</v>
      </c>
      <c r="N461" t="s">
        <v>1942</v>
      </c>
      <c r="O461">
        <v>10108214815</v>
      </c>
      <c r="P461" t="s">
        <v>2089</v>
      </c>
      <c r="Q461" s="135" t="s">
        <v>2090</v>
      </c>
      <c r="R461" t="s">
        <v>2091</v>
      </c>
      <c r="S461" s="135" t="s">
        <v>2088</v>
      </c>
      <c r="T461" t="s">
        <v>2092</v>
      </c>
      <c r="U461" t="s">
        <v>1947</v>
      </c>
      <c r="V461" t="s">
        <v>1948</v>
      </c>
      <c r="W461">
        <v>90</v>
      </c>
      <c r="X461" t="s">
        <v>1189</v>
      </c>
      <c r="Y461">
        <v>48</v>
      </c>
      <c r="Z461">
        <v>4320</v>
      </c>
      <c r="AA461" t="s">
        <v>2093</v>
      </c>
      <c r="AB461" t="s">
        <v>2094</v>
      </c>
      <c r="AC461">
        <v>90</v>
      </c>
      <c r="AD461" t="s">
        <v>1232</v>
      </c>
      <c r="AE461" t="s">
        <v>1192</v>
      </c>
      <c r="AF461" t="s">
        <v>1193</v>
      </c>
      <c r="AG461" t="s">
        <v>2095</v>
      </c>
      <c r="AH461" t="s">
        <v>2096</v>
      </c>
      <c r="AI461" t="s">
        <v>1196</v>
      </c>
      <c r="AJ461" t="s">
        <v>1197</v>
      </c>
      <c r="AK461" t="s">
        <v>1198</v>
      </c>
      <c r="AL461" t="s">
        <v>1262</v>
      </c>
      <c r="AM461" t="s">
        <v>1200</v>
      </c>
      <c r="AN461" t="s">
        <v>1201</v>
      </c>
      <c r="AO461" t="s">
        <v>1263</v>
      </c>
      <c r="AP461" t="s">
        <v>1202</v>
      </c>
      <c r="AQ461" t="s">
        <v>1203</v>
      </c>
      <c r="AR461" t="s">
        <v>1201</v>
      </c>
      <c r="AS461" t="s">
        <v>1203</v>
      </c>
      <c r="AU461" t="s">
        <v>1204</v>
      </c>
      <c r="AW461" t="b">
        <v>0</v>
      </c>
      <c r="AY461" t="b">
        <v>0</v>
      </c>
      <c r="BA461" t="s">
        <v>2097</v>
      </c>
      <c r="BB461" t="s">
        <v>1206</v>
      </c>
      <c r="BC461" t="s">
        <v>1206</v>
      </c>
      <c r="BD461" t="s">
        <v>1207</v>
      </c>
      <c r="BE461" t="s">
        <v>1208</v>
      </c>
      <c r="BF461" t="s">
        <v>1951</v>
      </c>
      <c r="BG461" t="s">
        <v>2098</v>
      </c>
      <c r="BH461" t="s">
        <v>2099</v>
      </c>
      <c r="BI461" t="s">
        <v>1206</v>
      </c>
      <c r="BJ461" t="s">
        <v>2100</v>
      </c>
    </row>
    <row r="462" spans="1:62" x14ac:dyDescent="0.25">
      <c r="A462" t="s">
        <v>1177</v>
      </c>
      <c r="B462">
        <v>460169</v>
      </c>
      <c r="C462">
        <v>460169</v>
      </c>
      <c r="D462" s="112" t="s">
        <v>2882</v>
      </c>
      <c r="E462" t="s">
        <v>1119</v>
      </c>
      <c r="F462" t="s">
        <v>1178</v>
      </c>
      <c r="G462" t="s">
        <v>308</v>
      </c>
      <c r="H462" s="135" t="s">
        <v>2088</v>
      </c>
      <c r="I462">
        <v>10</v>
      </c>
      <c r="J462" t="s">
        <v>1180</v>
      </c>
      <c r="K462">
        <v>10108</v>
      </c>
      <c r="L462" t="s">
        <v>1942</v>
      </c>
      <c r="M462">
        <v>10108214</v>
      </c>
      <c r="N462" t="s">
        <v>1942</v>
      </c>
      <c r="O462">
        <v>10108214815</v>
      </c>
      <c r="P462" t="s">
        <v>2089</v>
      </c>
      <c r="Q462" s="135" t="s">
        <v>2090</v>
      </c>
      <c r="R462" t="s">
        <v>2091</v>
      </c>
      <c r="S462" s="135" t="s">
        <v>2088</v>
      </c>
      <c r="T462" t="s">
        <v>2092</v>
      </c>
      <c r="U462" t="s">
        <v>1947</v>
      </c>
      <c r="V462" t="s">
        <v>1948</v>
      </c>
      <c r="W462">
        <v>90</v>
      </c>
      <c r="X462" t="s">
        <v>1189</v>
      </c>
      <c r="Y462">
        <v>48</v>
      </c>
      <c r="Z462">
        <v>4320</v>
      </c>
      <c r="AA462" t="s">
        <v>2093</v>
      </c>
      <c r="AB462" t="s">
        <v>2094</v>
      </c>
      <c r="AC462">
        <v>90</v>
      </c>
      <c r="AD462" t="s">
        <v>1232</v>
      </c>
      <c r="AE462" t="s">
        <v>1192</v>
      </c>
      <c r="AF462" t="s">
        <v>1193</v>
      </c>
      <c r="AG462" t="s">
        <v>2095</v>
      </c>
      <c r="AH462" t="s">
        <v>2096</v>
      </c>
      <c r="AI462" t="s">
        <v>1196</v>
      </c>
      <c r="AJ462" t="s">
        <v>1197</v>
      </c>
      <c r="AK462" t="s">
        <v>1198</v>
      </c>
      <c r="AL462" t="s">
        <v>1265</v>
      </c>
      <c r="AM462" t="s">
        <v>1200</v>
      </c>
      <c r="AN462" t="s">
        <v>1201</v>
      </c>
      <c r="AO462" t="s">
        <v>1266</v>
      </c>
      <c r="AP462" t="s">
        <v>1202</v>
      </c>
      <c r="AQ462" t="s">
        <v>1203</v>
      </c>
      <c r="AR462" t="s">
        <v>1201</v>
      </c>
      <c r="AS462" t="s">
        <v>1203</v>
      </c>
      <c r="AU462" t="s">
        <v>1204</v>
      </c>
      <c r="AW462" t="b">
        <v>0</v>
      </c>
      <c r="AY462" t="b">
        <v>0</v>
      </c>
      <c r="BA462" t="s">
        <v>2097</v>
      </c>
      <c r="BB462" t="s">
        <v>1206</v>
      </c>
      <c r="BC462" t="s">
        <v>1206</v>
      </c>
      <c r="BD462" t="s">
        <v>1207</v>
      </c>
      <c r="BE462" t="s">
        <v>1208</v>
      </c>
      <c r="BF462" t="s">
        <v>1951</v>
      </c>
      <c r="BG462" t="s">
        <v>2098</v>
      </c>
      <c r="BH462" t="s">
        <v>2099</v>
      </c>
      <c r="BI462" t="s">
        <v>1206</v>
      </c>
      <c r="BJ462" t="s">
        <v>2100</v>
      </c>
    </row>
    <row r="463" spans="1:62" x14ac:dyDescent="0.25">
      <c r="A463" t="s">
        <v>1177</v>
      </c>
      <c r="B463">
        <v>460167</v>
      </c>
      <c r="C463">
        <v>460167</v>
      </c>
      <c r="D463" s="112" t="s">
        <v>2883</v>
      </c>
      <c r="E463" t="s">
        <v>1119</v>
      </c>
      <c r="F463" t="s">
        <v>1178</v>
      </c>
      <c r="G463" t="s">
        <v>306</v>
      </c>
      <c r="H463" s="135" t="s">
        <v>2088</v>
      </c>
      <c r="I463">
        <v>10</v>
      </c>
      <c r="J463" t="s">
        <v>1180</v>
      </c>
      <c r="K463">
        <v>10108</v>
      </c>
      <c r="L463" t="s">
        <v>1942</v>
      </c>
      <c r="M463">
        <v>10108214</v>
      </c>
      <c r="N463" t="s">
        <v>1942</v>
      </c>
      <c r="O463">
        <v>10108214815</v>
      </c>
      <c r="P463" t="s">
        <v>2089</v>
      </c>
      <c r="Q463" s="135" t="s">
        <v>2090</v>
      </c>
      <c r="R463" t="s">
        <v>2091</v>
      </c>
      <c r="S463" s="135" t="s">
        <v>2088</v>
      </c>
      <c r="T463" t="s">
        <v>2092</v>
      </c>
      <c r="U463" t="s">
        <v>1947</v>
      </c>
      <c r="V463" t="s">
        <v>1948</v>
      </c>
      <c r="W463">
        <v>90</v>
      </c>
      <c r="X463" t="s">
        <v>1189</v>
      </c>
      <c r="Y463">
        <v>48</v>
      </c>
      <c r="Z463">
        <v>4320</v>
      </c>
      <c r="AA463" t="s">
        <v>2093</v>
      </c>
      <c r="AB463" t="s">
        <v>2094</v>
      </c>
      <c r="AC463">
        <v>90</v>
      </c>
      <c r="AD463" t="s">
        <v>1232</v>
      </c>
      <c r="AE463" t="s">
        <v>1192</v>
      </c>
      <c r="AF463" t="s">
        <v>1193</v>
      </c>
      <c r="AG463" t="s">
        <v>2095</v>
      </c>
      <c r="AH463" t="s">
        <v>2096</v>
      </c>
      <c r="AI463" t="s">
        <v>1196</v>
      </c>
      <c r="AJ463" t="s">
        <v>1197</v>
      </c>
      <c r="AK463" t="s">
        <v>1198</v>
      </c>
      <c r="AL463" t="s">
        <v>2102</v>
      </c>
      <c r="AM463" t="s">
        <v>1200</v>
      </c>
      <c r="AN463" t="s">
        <v>1201</v>
      </c>
      <c r="AO463" t="s">
        <v>2103</v>
      </c>
      <c r="AP463" t="s">
        <v>1202</v>
      </c>
      <c r="AQ463" t="s">
        <v>1203</v>
      </c>
      <c r="AR463" t="s">
        <v>1201</v>
      </c>
      <c r="AS463" t="s">
        <v>1203</v>
      </c>
      <c r="AU463" t="s">
        <v>1204</v>
      </c>
      <c r="AW463" t="b">
        <v>0</v>
      </c>
      <c r="AY463" t="b">
        <v>0</v>
      </c>
      <c r="BA463" t="s">
        <v>2097</v>
      </c>
      <c r="BB463" t="s">
        <v>1206</v>
      </c>
      <c r="BC463" t="s">
        <v>1206</v>
      </c>
      <c r="BD463" t="s">
        <v>1207</v>
      </c>
      <c r="BE463" t="s">
        <v>1208</v>
      </c>
      <c r="BF463" t="s">
        <v>1951</v>
      </c>
      <c r="BG463" t="s">
        <v>2098</v>
      </c>
      <c r="BH463" t="s">
        <v>2099</v>
      </c>
      <c r="BI463" t="s">
        <v>1206</v>
      </c>
      <c r="BJ463" t="s">
        <v>2100</v>
      </c>
    </row>
    <row r="464" spans="1:62" x14ac:dyDescent="0.25">
      <c r="A464" t="s">
        <v>1177</v>
      </c>
      <c r="B464">
        <v>846156</v>
      </c>
      <c r="C464" t="s">
        <v>1258</v>
      </c>
      <c r="D464" s="112" t="s">
        <v>2884</v>
      </c>
      <c r="E464" t="s">
        <v>1119</v>
      </c>
      <c r="F464" t="s">
        <v>1178</v>
      </c>
      <c r="G464" t="s">
        <v>2109</v>
      </c>
      <c r="H464" s="135" t="s">
        <v>2088</v>
      </c>
      <c r="I464">
        <v>10</v>
      </c>
      <c r="J464" t="s">
        <v>1180</v>
      </c>
      <c r="K464">
        <v>10108</v>
      </c>
      <c r="L464" t="s">
        <v>1942</v>
      </c>
      <c r="M464">
        <v>10108214</v>
      </c>
      <c r="N464" t="s">
        <v>1942</v>
      </c>
      <c r="O464">
        <v>10108214815</v>
      </c>
      <c r="P464" t="s">
        <v>2089</v>
      </c>
      <c r="Q464" s="135" t="s">
        <v>2090</v>
      </c>
      <c r="R464" t="s">
        <v>2091</v>
      </c>
      <c r="S464" s="135" t="s">
        <v>2088</v>
      </c>
      <c r="T464" t="s">
        <v>2092</v>
      </c>
      <c r="U464" t="s">
        <v>1947</v>
      </c>
      <c r="V464" t="s">
        <v>1948</v>
      </c>
      <c r="W464">
        <v>90</v>
      </c>
      <c r="X464" t="s">
        <v>1189</v>
      </c>
      <c r="Y464">
        <v>48</v>
      </c>
      <c r="Z464">
        <v>4320</v>
      </c>
      <c r="AA464" t="s">
        <v>2093</v>
      </c>
      <c r="AB464" t="s">
        <v>2094</v>
      </c>
      <c r="AC464">
        <v>90</v>
      </c>
      <c r="AD464" t="s">
        <v>1232</v>
      </c>
      <c r="AE464" t="s">
        <v>1192</v>
      </c>
      <c r="AF464" t="s">
        <v>1193</v>
      </c>
      <c r="AG464" t="s">
        <v>2095</v>
      </c>
      <c r="AH464" t="s">
        <v>2096</v>
      </c>
      <c r="AI464" t="s">
        <v>1196</v>
      </c>
      <c r="AJ464" t="s">
        <v>1197</v>
      </c>
      <c r="AK464" t="s">
        <v>1198</v>
      </c>
      <c r="AL464" t="s">
        <v>1256</v>
      </c>
      <c r="AM464" t="s">
        <v>1200</v>
      </c>
      <c r="AN464" t="s">
        <v>1201</v>
      </c>
      <c r="AO464" t="s">
        <v>1257</v>
      </c>
      <c r="AP464" t="s">
        <v>1202</v>
      </c>
      <c r="AQ464" t="s">
        <v>1203</v>
      </c>
      <c r="AR464" t="s">
        <v>1201</v>
      </c>
      <c r="AS464" t="s">
        <v>1203</v>
      </c>
      <c r="AU464" t="s">
        <v>1204</v>
      </c>
      <c r="AW464" t="b">
        <v>0</v>
      </c>
      <c r="AY464" t="b">
        <v>0</v>
      </c>
      <c r="BA464" t="s">
        <v>2097</v>
      </c>
      <c r="BJ464" t="s">
        <v>2100</v>
      </c>
    </row>
    <row r="465" spans="1:62" x14ac:dyDescent="0.25">
      <c r="A465" t="s">
        <v>1177</v>
      </c>
      <c r="B465">
        <v>846154</v>
      </c>
      <c r="C465" t="s">
        <v>1258</v>
      </c>
      <c r="D465" s="112" t="s">
        <v>2885</v>
      </c>
      <c r="E465" t="s">
        <v>1119</v>
      </c>
      <c r="F465" t="s">
        <v>1178</v>
      </c>
      <c r="G465" t="s">
        <v>2110</v>
      </c>
      <c r="H465" s="135" t="s">
        <v>2088</v>
      </c>
      <c r="I465">
        <v>10</v>
      </c>
      <c r="J465" t="s">
        <v>1180</v>
      </c>
      <c r="K465">
        <v>10108</v>
      </c>
      <c r="L465" t="s">
        <v>1942</v>
      </c>
      <c r="M465">
        <v>10108214</v>
      </c>
      <c r="N465" t="s">
        <v>1942</v>
      </c>
      <c r="O465">
        <v>10108214815</v>
      </c>
      <c r="P465" t="s">
        <v>2089</v>
      </c>
      <c r="Q465" s="135" t="s">
        <v>2090</v>
      </c>
      <c r="R465" t="s">
        <v>2091</v>
      </c>
      <c r="S465" s="135" t="s">
        <v>2088</v>
      </c>
      <c r="T465" t="s">
        <v>2092</v>
      </c>
      <c r="U465" t="s">
        <v>1947</v>
      </c>
      <c r="V465" t="s">
        <v>1948</v>
      </c>
      <c r="W465">
        <v>90</v>
      </c>
      <c r="X465" t="s">
        <v>1189</v>
      </c>
      <c r="Y465">
        <v>48</v>
      </c>
      <c r="Z465">
        <v>4320</v>
      </c>
      <c r="AA465" t="s">
        <v>2093</v>
      </c>
      <c r="AB465" t="s">
        <v>2094</v>
      </c>
      <c r="AC465">
        <v>90</v>
      </c>
      <c r="AD465" t="s">
        <v>1232</v>
      </c>
      <c r="AE465" t="s">
        <v>1192</v>
      </c>
      <c r="AF465" t="s">
        <v>1193</v>
      </c>
      <c r="AG465" t="s">
        <v>2095</v>
      </c>
      <c r="AH465" t="s">
        <v>2096</v>
      </c>
      <c r="AI465" t="s">
        <v>1196</v>
      </c>
      <c r="AJ465" t="s">
        <v>1197</v>
      </c>
      <c r="AK465" t="s">
        <v>1198</v>
      </c>
      <c r="AL465" t="s">
        <v>1265</v>
      </c>
      <c r="AM465" t="s">
        <v>1200</v>
      </c>
      <c r="AN465" t="s">
        <v>1201</v>
      </c>
      <c r="AO465" t="s">
        <v>1266</v>
      </c>
      <c r="AP465" t="s">
        <v>1202</v>
      </c>
      <c r="AQ465" t="s">
        <v>1203</v>
      </c>
      <c r="AR465" t="s">
        <v>1201</v>
      </c>
      <c r="AS465" t="s">
        <v>1203</v>
      </c>
      <c r="AU465" t="s">
        <v>1204</v>
      </c>
      <c r="AW465" t="b">
        <v>0</v>
      </c>
      <c r="AY465" t="b">
        <v>0</v>
      </c>
      <c r="BA465" t="s">
        <v>2097</v>
      </c>
      <c r="BJ465" t="s">
        <v>2100</v>
      </c>
    </row>
    <row r="466" spans="1:62" x14ac:dyDescent="0.25">
      <c r="A466" t="s">
        <v>1177</v>
      </c>
      <c r="B466">
        <v>846155</v>
      </c>
      <c r="C466" t="s">
        <v>1258</v>
      </c>
      <c r="D466" s="112" t="s">
        <v>2886</v>
      </c>
      <c r="E466" t="s">
        <v>1119</v>
      </c>
      <c r="F466" t="s">
        <v>1178</v>
      </c>
      <c r="G466" t="s">
        <v>2111</v>
      </c>
      <c r="H466" s="135" t="s">
        <v>2088</v>
      </c>
      <c r="I466">
        <v>10</v>
      </c>
      <c r="J466" t="s">
        <v>1180</v>
      </c>
      <c r="K466">
        <v>10108</v>
      </c>
      <c r="L466" t="s">
        <v>1942</v>
      </c>
      <c r="M466">
        <v>10108214</v>
      </c>
      <c r="N466" t="s">
        <v>1942</v>
      </c>
      <c r="O466">
        <v>10108214815</v>
      </c>
      <c r="P466" t="s">
        <v>2089</v>
      </c>
      <c r="Q466" s="135" t="s">
        <v>2090</v>
      </c>
      <c r="R466" t="s">
        <v>2091</v>
      </c>
      <c r="S466" s="135" t="s">
        <v>2088</v>
      </c>
      <c r="T466" t="s">
        <v>2092</v>
      </c>
      <c r="U466" t="s">
        <v>1947</v>
      </c>
      <c r="V466" t="s">
        <v>1948</v>
      </c>
      <c r="W466">
        <v>90</v>
      </c>
      <c r="X466" t="s">
        <v>1189</v>
      </c>
      <c r="Y466">
        <v>48</v>
      </c>
      <c r="Z466">
        <v>4320</v>
      </c>
      <c r="AA466" t="s">
        <v>2093</v>
      </c>
      <c r="AB466" t="s">
        <v>2094</v>
      </c>
      <c r="AC466">
        <v>90</v>
      </c>
      <c r="AD466" t="s">
        <v>1232</v>
      </c>
      <c r="AE466" t="s">
        <v>1192</v>
      </c>
      <c r="AF466" t="s">
        <v>1193</v>
      </c>
      <c r="AG466" t="s">
        <v>2095</v>
      </c>
      <c r="AH466" t="s">
        <v>2096</v>
      </c>
      <c r="AI466" t="s">
        <v>1196</v>
      </c>
      <c r="AJ466" t="s">
        <v>1197</v>
      </c>
      <c r="AK466" t="s">
        <v>1198</v>
      </c>
      <c r="AL466" t="s">
        <v>2102</v>
      </c>
      <c r="AM466" t="s">
        <v>1200</v>
      </c>
      <c r="AN466" t="s">
        <v>1201</v>
      </c>
      <c r="AO466" t="s">
        <v>2103</v>
      </c>
      <c r="AP466" t="s">
        <v>1202</v>
      </c>
      <c r="AQ466" t="s">
        <v>1203</v>
      </c>
      <c r="AR466" t="s">
        <v>1201</v>
      </c>
      <c r="AS466" t="s">
        <v>1203</v>
      </c>
      <c r="AU466" t="s">
        <v>1204</v>
      </c>
      <c r="AW466" t="b">
        <v>0</v>
      </c>
      <c r="AY466" t="b">
        <v>0</v>
      </c>
      <c r="BA466" t="s">
        <v>2097</v>
      </c>
      <c r="BJ466" t="s">
        <v>2100</v>
      </c>
    </row>
    <row r="467" spans="1:62" x14ac:dyDescent="0.25">
      <c r="A467" t="s">
        <v>1177</v>
      </c>
      <c r="B467">
        <v>460922</v>
      </c>
      <c r="C467" t="s">
        <v>1258</v>
      </c>
      <c r="D467" s="112" t="s">
        <v>2887</v>
      </c>
      <c r="E467" t="s">
        <v>1119</v>
      </c>
      <c r="F467" t="s">
        <v>1178</v>
      </c>
      <c r="G467" t="s">
        <v>2112</v>
      </c>
      <c r="H467" s="135" t="s">
        <v>2113</v>
      </c>
      <c r="I467">
        <v>10</v>
      </c>
      <c r="J467" t="s">
        <v>1180</v>
      </c>
      <c r="K467">
        <v>10108</v>
      </c>
      <c r="L467" t="s">
        <v>1942</v>
      </c>
      <c r="M467">
        <v>10108214</v>
      </c>
      <c r="N467" t="s">
        <v>1942</v>
      </c>
      <c r="O467">
        <v>10108214506</v>
      </c>
      <c r="P467" t="s">
        <v>2114</v>
      </c>
      <c r="Q467" s="135" t="s">
        <v>2115</v>
      </c>
      <c r="R467" t="s">
        <v>2116</v>
      </c>
      <c r="S467" s="135" t="s">
        <v>2113</v>
      </c>
      <c r="T467" t="s">
        <v>2117</v>
      </c>
      <c r="U467" t="s">
        <v>1947</v>
      </c>
      <c r="V467" t="s">
        <v>1948</v>
      </c>
      <c r="W467">
        <v>250</v>
      </c>
      <c r="X467" t="s">
        <v>1189</v>
      </c>
      <c r="Y467">
        <v>24</v>
      </c>
      <c r="Z467">
        <v>6000</v>
      </c>
      <c r="AA467" t="s">
        <v>28</v>
      </c>
      <c r="AB467" t="s">
        <v>1190</v>
      </c>
      <c r="AC467">
        <v>250</v>
      </c>
      <c r="AD467" t="s">
        <v>1232</v>
      </c>
      <c r="AE467" t="s">
        <v>1192</v>
      </c>
      <c r="AF467" t="s">
        <v>1193</v>
      </c>
      <c r="AG467" t="s">
        <v>1194</v>
      </c>
      <c r="AH467" t="s">
        <v>1195</v>
      </c>
      <c r="AI467" t="s">
        <v>1202</v>
      </c>
      <c r="AJ467" t="s">
        <v>1291</v>
      </c>
      <c r="AK467" t="s">
        <v>1292</v>
      </c>
      <c r="AL467" t="s">
        <v>1291</v>
      </c>
      <c r="AM467" t="s">
        <v>2118</v>
      </c>
      <c r="AN467" t="s">
        <v>1201</v>
      </c>
      <c r="AO467" t="s">
        <v>1292</v>
      </c>
      <c r="AP467" t="s">
        <v>2119</v>
      </c>
      <c r="AQ467" t="s">
        <v>1203</v>
      </c>
      <c r="AR467" t="s">
        <v>1201</v>
      </c>
      <c r="AS467" t="s">
        <v>1203</v>
      </c>
      <c r="AU467" t="s">
        <v>1204</v>
      </c>
      <c r="AW467" t="b">
        <v>0</v>
      </c>
      <c r="AY467" t="b">
        <v>0</v>
      </c>
      <c r="BA467" t="s">
        <v>2120</v>
      </c>
      <c r="BB467" t="s">
        <v>1206</v>
      </c>
      <c r="BC467" t="s">
        <v>1206</v>
      </c>
      <c r="BD467" t="s">
        <v>1207</v>
      </c>
      <c r="BE467" t="s">
        <v>1208</v>
      </c>
      <c r="BF467" t="s">
        <v>1951</v>
      </c>
      <c r="BG467" t="s">
        <v>312</v>
      </c>
      <c r="BH467" t="s">
        <v>2121</v>
      </c>
      <c r="BI467" t="s">
        <v>1206</v>
      </c>
      <c r="BJ467" t="s">
        <v>2122</v>
      </c>
    </row>
    <row r="468" spans="1:62" x14ac:dyDescent="0.25">
      <c r="A468" t="s">
        <v>1177</v>
      </c>
      <c r="B468">
        <v>460197</v>
      </c>
      <c r="C468">
        <v>460197</v>
      </c>
      <c r="D468" s="112" t="s">
        <v>2888</v>
      </c>
      <c r="E468" t="s">
        <v>1119</v>
      </c>
      <c r="F468" t="s">
        <v>1178</v>
      </c>
      <c r="G468" t="s">
        <v>2123</v>
      </c>
      <c r="H468" s="135" t="s">
        <v>2124</v>
      </c>
      <c r="I468">
        <v>10</v>
      </c>
      <c r="J468" t="s">
        <v>1180</v>
      </c>
      <c r="K468">
        <v>10108</v>
      </c>
      <c r="L468" t="s">
        <v>1942</v>
      </c>
      <c r="M468">
        <v>10108214</v>
      </c>
      <c r="N468" t="s">
        <v>1942</v>
      </c>
      <c r="O468">
        <v>10108214506</v>
      </c>
      <c r="P468" t="s">
        <v>2114</v>
      </c>
      <c r="Q468" s="135" t="s">
        <v>2125</v>
      </c>
      <c r="R468" t="s">
        <v>2126</v>
      </c>
      <c r="S468" s="135" t="s">
        <v>2124</v>
      </c>
      <c r="T468" t="s">
        <v>2127</v>
      </c>
      <c r="U468" t="s">
        <v>1947</v>
      </c>
      <c r="V468" t="s">
        <v>1948</v>
      </c>
      <c r="W468">
        <v>100</v>
      </c>
      <c r="X468" t="s">
        <v>1189</v>
      </c>
      <c r="Y468">
        <v>48</v>
      </c>
      <c r="Z468">
        <v>4800</v>
      </c>
      <c r="AA468" t="s">
        <v>28</v>
      </c>
      <c r="AB468" t="s">
        <v>1190</v>
      </c>
      <c r="AC468">
        <v>100</v>
      </c>
      <c r="AD468" t="s">
        <v>1232</v>
      </c>
      <c r="AE468" t="s">
        <v>1192</v>
      </c>
      <c r="AF468" t="s">
        <v>1193</v>
      </c>
      <c r="AG468" t="s">
        <v>1194</v>
      </c>
      <c r="AH468" t="s">
        <v>1195</v>
      </c>
      <c r="AI468" t="s">
        <v>1202</v>
      </c>
      <c r="AJ468" t="s">
        <v>1291</v>
      </c>
      <c r="AK468" t="s">
        <v>1292</v>
      </c>
      <c r="AL468" t="s">
        <v>1291</v>
      </c>
      <c r="AM468" t="s">
        <v>2118</v>
      </c>
      <c r="AN468" t="s">
        <v>1201</v>
      </c>
      <c r="AO468" t="s">
        <v>1292</v>
      </c>
      <c r="AP468" t="s">
        <v>2119</v>
      </c>
      <c r="AQ468" t="s">
        <v>1203</v>
      </c>
      <c r="AR468" t="s">
        <v>1201</v>
      </c>
      <c r="AS468" t="s">
        <v>1203</v>
      </c>
      <c r="AU468" t="s">
        <v>1204</v>
      </c>
      <c r="AW468" t="b">
        <v>0</v>
      </c>
      <c r="AY468" t="b">
        <v>0</v>
      </c>
      <c r="BA468" t="s">
        <v>2120</v>
      </c>
      <c r="BB468" t="s">
        <v>1206</v>
      </c>
      <c r="BC468" t="s">
        <v>1206</v>
      </c>
      <c r="BD468" t="s">
        <v>1207</v>
      </c>
      <c r="BE468" t="s">
        <v>1208</v>
      </c>
      <c r="BF468" t="s">
        <v>1951</v>
      </c>
      <c r="BG468" t="s">
        <v>312</v>
      </c>
      <c r="BH468" t="s">
        <v>2121</v>
      </c>
      <c r="BI468" t="s">
        <v>1206</v>
      </c>
      <c r="BJ468" t="s">
        <v>2122</v>
      </c>
    </row>
    <row r="469" spans="1:62" x14ac:dyDescent="0.25">
      <c r="A469" t="s">
        <v>1177</v>
      </c>
      <c r="B469">
        <v>460918</v>
      </c>
      <c r="C469">
        <v>460918</v>
      </c>
      <c r="D469" s="112" t="s">
        <v>2889</v>
      </c>
      <c r="E469" t="s">
        <v>1119</v>
      </c>
      <c r="F469" t="s">
        <v>1178</v>
      </c>
      <c r="G469" t="s">
        <v>317</v>
      </c>
      <c r="H469" s="135" t="s">
        <v>2113</v>
      </c>
      <c r="I469">
        <v>10</v>
      </c>
      <c r="J469" t="s">
        <v>1180</v>
      </c>
      <c r="K469">
        <v>10108</v>
      </c>
      <c r="L469" t="s">
        <v>1942</v>
      </c>
      <c r="M469">
        <v>10108214</v>
      </c>
      <c r="N469" t="s">
        <v>1942</v>
      </c>
      <c r="O469">
        <v>10108214506</v>
      </c>
      <c r="P469" t="s">
        <v>2114</v>
      </c>
      <c r="Q469" s="135" t="s">
        <v>2115</v>
      </c>
      <c r="R469" t="s">
        <v>2116</v>
      </c>
      <c r="S469" s="135" t="s">
        <v>2113</v>
      </c>
      <c r="T469" t="s">
        <v>2117</v>
      </c>
      <c r="U469" t="s">
        <v>1947</v>
      </c>
      <c r="V469" t="s">
        <v>1948</v>
      </c>
      <c r="W469">
        <v>250</v>
      </c>
      <c r="X469" t="s">
        <v>1189</v>
      </c>
      <c r="Y469">
        <v>24</v>
      </c>
      <c r="Z469">
        <v>6000</v>
      </c>
      <c r="AA469" t="s">
        <v>28</v>
      </c>
      <c r="AB469" t="s">
        <v>1190</v>
      </c>
      <c r="AC469">
        <v>250</v>
      </c>
      <c r="AD469" t="s">
        <v>1232</v>
      </c>
      <c r="AE469" t="s">
        <v>1192</v>
      </c>
      <c r="AF469" t="s">
        <v>1193</v>
      </c>
      <c r="AG469" t="s">
        <v>1194</v>
      </c>
      <c r="AH469" t="s">
        <v>1195</v>
      </c>
      <c r="AI469" t="s">
        <v>1202</v>
      </c>
      <c r="AJ469" t="s">
        <v>1291</v>
      </c>
      <c r="AK469" t="s">
        <v>1292</v>
      </c>
      <c r="AL469" t="s">
        <v>1291</v>
      </c>
      <c r="AM469" t="s">
        <v>2118</v>
      </c>
      <c r="AN469" t="s">
        <v>1201</v>
      </c>
      <c r="AO469" t="s">
        <v>1292</v>
      </c>
      <c r="AP469" t="s">
        <v>2119</v>
      </c>
      <c r="AQ469" t="s">
        <v>1203</v>
      </c>
      <c r="AR469" t="s">
        <v>1201</v>
      </c>
      <c r="AS469" t="s">
        <v>1203</v>
      </c>
      <c r="AU469" t="s">
        <v>1204</v>
      </c>
      <c r="AW469" t="b">
        <v>0</v>
      </c>
      <c r="AY469" t="b">
        <v>0</v>
      </c>
      <c r="BA469" t="s">
        <v>2120</v>
      </c>
      <c r="BB469" t="s">
        <v>1206</v>
      </c>
      <c r="BC469" t="s">
        <v>1206</v>
      </c>
      <c r="BD469" t="s">
        <v>1207</v>
      </c>
      <c r="BE469" t="s">
        <v>1208</v>
      </c>
      <c r="BF469" t="s">
        <v>1951</v>
      </c>
      <c r="BG469" t="s">
        <v>312</v>
      </c>
      <c r="BH469" t="s">
        <v>2121</v>
      </c>
      <c r="BI469" t="s">
        <v>1206</v>
      </c>
      <c r="BJ469" t="s">
        <v>2122</v>
      </c>
    </row>
    <row r="470" spans="1:62" x14ac:dyDescent="0.25">
      <c r="A470" t="s">
        <v>1177</v>
      </c>
      <c r="B470">
        <v>460919</v>
      </c>
      <c r="C470">
        <v>460919</v>
      </c>
      <c r="D470" s="112" t="s">
        <v>2890</v>
      </c>
      <c r="E470" t="s">
        <v>1119</v>
      </c>
      <c r="F470" t="s">
        <v>1178</v>
      </c>
      <c r="G470" t="s">
        <v>2128</v>
      </c>
      <c r="H470" s="135" t="s">
        <v>2129</v>
      </c>
      <c r="I470">
        <v>10</v>
      </c>
      <c r="J470" t="s">
        <v>1180</v>
      </c>
      <c r="K470">
        <v>10108</v>
      </c>
      <c r="L470" t="s">
        <v>1942</v>
      </c>
      <c r="M470">
        <v>10108214</v>
      </c>
      <c r="N470" t="s">
        <v>1942</v>
      </c>
      <c r="O470">
        <v>10108214506</v>
      </c>
      <c r="P470" t="s">
        <v>2114</v>
      </c>
      <c r="Q470" s="135" t="s">
        <v>2115</v>
      </c>
      <c r="R470" t="s">
        <v>2116</v>
      </c>
      <c r="S470" s="135" t="s">
        <v>2129</v>
      </c>
      <c r="T470" t="s">
        <v>2130</v>
      </c>
      <c r="U470" t="s">
        <v>1947</v>
      </c>
      <c r="V470" t="s">
        <v>1948</v>
      </c>
      <c r="W470">
        <v>250</v>
      </c>
      <c r="X470" t="s">
        <v>1189</v>
      </c>
      <c r="Y470">
        <v>8</v>
      </c>
      <c r="Z470">
        <v>2000</v>
      </c>
      <c r="AA470" t="s">
        <v>28</v>
      </c>
      <c r="AB470" t="s">
        <v>1190</v>
      </c>
      <c r="AC470">
        <v>250</v>
      </c>
      <c r="AD470" t="s">
        <v>1232</v>
      </c>
      <c r="AE470" t="s">
        <v>1192</v>
      </c>
      <c r="AF470" t="s">
        <v>1193</v>
      </c>
      <c r="AG470" t="s">
        <v>1194</v>
      </c>
      <c r="AH470" t="s">
        <v>1195</v>
      </c>
      <c r="AI470" t="s">
        <v>1202</v>
      </c>
      <c r="AJ470" t="s">
        <v>1291</v>
      </c>
      <c r="AK470" t="s">
        <v>1292</v>
      </c>
      <c r="AL470" t="s">
        <v>1291</v>
      </c>
      <c r="AM470" t="s">
        <v>2118</v>
      </c>
      <c r="AN470" t="s">
        <v>1201</v>
      </c>
      <c r="AO470" t="s">
        <v>1292</v>
      </c>
      <c r="AP470" t="s">
        <v>2119</v>
      </c>
      <c r="AQ470" t="s">
        <v>1203</v>
      </c>
      <c r="AR470" t="s">
        <v>1201</v>
      </c>
      <c r="AS470" t="s">
        <v>1203</v>
      </c>
      <c r="AU470" t="s">
        <v>1204</v>
      </c>
      <c r="AW470" t="b">
        <v>0</v>
      </c>
      <c r="AY470" t="b">
        <v>1</v>
      </c>
      <c r="BA470" t="s">
        <v>2120</v>
      </c>
      <c r="BB470" t="s">
        <v>1206</v>
      </c>
      <c r="BC470" t="s">
        <v>1206</v>
      </c>
      <c r="BD470" t="s">
        <v>1207</v>
      </c>
      <c r="BE470" t="s">
        <v>1208</v>
      </c>
      <c r="BF470" t="s">
        <v>1951</v>
      </c>
      <c r="BG470" t="s">
        <v>312</v>
      </c>
      <c r="BH470" t="s">
        <v>2121</v>
      </c>
      <c r="BI470" t="s">
        <v>1206</v>
      </c>
      <c r="BJ470" t="s">
        <v>2122</v>
      </c>
    </row>
    <row r="471" spans="1:62" x14ac:dyDescent="0.25">
      <c r="A471" t="s">
        <v>1177</v>
      </c>
      <c r="B471">
        <v>460921</v>
      </c>
      <c r="C471">
        <v>460921</v>
      </c>
      <c r="D471" s="112" t="s">
        <v>2891</v>
      </c>
      <c r="E471" t="s">
        <v>1119</v>
      </c>
      <c r="F471" t="s">
        <v>1178</v>
      </c>
      <c r="G471" t="s">
        <v>319</v>
      </c>
      <c r="H471" s="135" t="s">
        <v>2129</v>
      </c>
      <c r="I471">
        <v>10</v>
      </c>
      <c r="J471" t="s">
        <v>1180</v>
      </c>
      <c r="K471">
        <v>10108</v>
      </c>
      <c r="L471" t="s">
        <v>1942</v>
      </c>
      <c r="M471">
        <v>10108214</v>
      </c>
      <c r="N471" t="s">
        <v>1942</v>
      </c>
      <c r="O471">
        <v>10108214506</v>
      </c>
      <c r="P471" t="s">
        <v>2114</v>
      </c>
      <c r="Q471" s="135" t="s">
        <v>2115</v>
      </c>
      <c r="R471" t="s">
        <v>2116</v>
      </c>
      <c r="S471" s="135" t="s">
        <v>2129</v>
      </c>
      <c r="T471" t="s">
        <v>2130</v>
      </c>
      <c r="U471" t="s">
        <v>1947</v>
      </c>
      <c r="V471" t="s">
        <v>1948</v>
      </c>
      <c r="W471">
        <v>250</v>
      </c>
      <c r="X471" t="s">
        <v>1189</v>
      </c>
      <c r="Y471">
        <v>8</v>
      </c>
      <c r="Z471">
        <v>2000</v>
      </c>
      <c r="AA471" t="s">
        <v>28</v>
      </c>
      <c r="AB471" t="s">
        <v>1190</v>
      </c>
      <c r="AC471">
        <v>250</v>
      </c>
      <c r="AD471" t="s">
        <v>1232</v>
      </c>
      <c r="AE471" t="s">
        <v>1192</v>
      </c>
      <c r="AF471" t="s">
        <v>1193</v>
      </c>
      <c r="AG471" t="s">
        <v>1194</v>
      </c>
      <c r="AH471" t="s">
        <v>1195</v>
      </c>
      <c r="AI471" t="s">
        <v>1202</v>
      </c>
      <c r="AJ471" t="s">
        <v>1291</v>
      </c>
      <c r="AK471" t="s">
        <v>1292</v>
      </c>
      <c r="AL471" t="s">
        <v>1291</v>
      </c>
      <c r="AM471" t="s">
        <v>2118</v>
      </c>
      <c r="AN471" t="s">
        <v>1201</v>
      </c>
      <c r="AO471" t="s">
        <v>1292</v>
      </c>
      <c r="AP471" t="s">
        <v>2119</v>
      </c>
      <c r="AQ471" t="s">
        <v>1203</v>
      </c>
      <c r="AR471" t="s">
        <v>1201</v>
      </c>
      <c r="AS471" t="s">
        <v>1203</v>
      </c>
      <c r="AU471" t="s">
        <v>1204</v>
      </c>
      <c r="AW471" t="b">
        <v>0</v>
      </c>
      <c r="AY471" t="b">
        <v>1</v>
      </c>
      <c r="BA471" t="s">
        <v>2120</v>
      </c>
      <c r="BB471" t="s">
        <v>1206</v>
      </c>
      <c r="BC471" t="s">
        <v>1206</v>
      </c>
      <c r="BD471" t="s">
        <v>1207</v>
      </c>
      <c r="BE471" t="s">
        <v>1208</v>
      </c>
      <c r="BF471" t="s">
        <v>1951</v>
      </c>
      <c r="BG471" t="s">
        <v>312</v>
      </c>
      <c r="BH471" t="s">
        <v>2121</v>
      </c>
      <c r="BI471" t="s">
        <v>1206</v>
      </c>
      <c r="BJ471" t="s">
        <v>2122</v>
      </c>
    </row>
    <row r="472" spans="1:62" x14ac:dyDescent="0.25">
      <c r="A472" t="s">
        <v>1177</v>
      </c>
      <c r="B472">
        <v>460178</v>
      </c>
      <c r="C472">
        <v>460178</v>
      </c>
      <c r="D472" s="112" t="s">
        <v>2892</v>
      </c>
      <c r="E472" t="s">
        <v>1119</v>
      </c>
      <c r="F472" t="s">
        <v>1178</v>
      </c>
      <c r="G472" t="s">
        <v>314</v>
      </c>
      <c r="H472" s="135" t="s">
        <v>2131</v>
      </c>
      <c r="I472">
        <v>10</v>
      </c>
      <c r="J472" t="s">
        <v>1180</v>
      </c>
      <c r="K472">
        <v>10108</v>
      </c>
      <c r="L472" t="s">
        <v>1942</v>
      </c>
      <c r="M472">
        <v>10108214</v>
      </c>
      <c r="N472" t="s">
        <v>1942</v>
      </c>
      <c r="O472">
        <v>10108214506</v>
      </c>
      <c r="P472" t="s">
        <v>2114</v>
      </c>
      <c r="Q472" s="135" t="s">
        <v>2132</v>
      </c>
      <c r="R472" t="s">
        <v>2133</v>
      </c>
      <c r="S472" s="135" t="s">
        <v>2131</v>
      </c>
      <c r="T472" t="s">
        <v>2134</v>
      </c>
      <c r="U472" t="s">
        <v>1947</v>
      </c>
      <c r="V472" t="s">
        <v>1948</v>
      </c>
      <c r="W472">
        <v>200</v>
      </c>
      <c r="X472" t="s">
        <v>1189</v>
      </c>
      <c r="Y472">
        <v>24</v>
      </c>
      <c r="Z472">
        <v>4800</v>
      </c>
      <c r="AA472" t="s">
        <v>28</v>
      </c>
      <c r="AB472" t="s">
        <v>1190</v>
      </c>
      <c r="AC472">
        <v>200</v>
      </c>
      <c r="AD472" t="s">
        <v>1232</v>
      </c>
      <c r="AE472" t="s">
        <v>1192</v>
      </c>
      <c r="AF472" t="s">
        <v>1193</v>
      </c>
      <c r="AG472" t="s">
        <v>1194</v>
      </c>
      <c r="AH472" t="s">
        <v>1195</v>
      </c>
      <c r="AI472" t="s">
        <v>1202</v>
      </c>
      <c r="AJ472" t="s">
        <v>1291</v>
      </c>
      <c r="AK472" t="s">
        <v>1292</v>
      </c>
      <c r="AL472" t="s">
        <v>1291</v>
      </c>
      <c r="AM472" t="s">
        <v>2118</v>
      </c>
      <c r="AN472" t="s">
        <v>1201</v>
      </c>
      <c r="AO472" t="s">
        <v>1292</v>
      </c>
      <c r="AP472" t="s">
        <v>2119</v>
      </c>
      <c r="AQ472" t="s">
        <v>1203</v>
      </c>
      <c r="AR472" t="s">
        <v>1201</v>
      </c>
      <c r="AS472" t="s">
        <v>1203</v>
      </c>
      <c r="AU472" t="s">
        <v>1204</v>
      </c>
      <c r="AW472" t="b">
        <v>0</v>
      </c>
      <c r="AY472" t="b">
        <v>0</v>
      </c>
      <c r="BA472" t="s">
        <v>2120</v>
      </c>
      <c r="BB472" t="s">
        <v>1206</v>
      </c>
      <c r="BC472" t="s">
        <v>1206</v>
      </c>
      <c r="BD472" t="s">
        <v>1207</v>
      </c>
      <c r="BE472" t="s">
        <v>1208</v>
      </c>
      <c r="BF472" t="s">
        <v>1951</v>
      </c>
      <c r="BG472" t="s">
        <v>312</v>
      </c>
      <c r="BH472" t="s">
        <v>2121</v>
      </c>
      <c r="BI472" t="s">
        <v>1206</v>
      </c>
      <c r="BJ472" t="s">
        <v>2122</v>
      </c>
    </row>
    <row r="473" spans="1:62" x14ac:dyDescent="0.25">
      <c r="A473" t="s">
        <v>1177</v>
      </c>
      <c r="B473">
        <v>460179</v>
      </c>
      <c r="C473">
        <v>460179</v>
      </c>
      <c r="D473" s="112" t="s">
        <v>2893</v>
      </c>
      <c r="E473" t="s">
        <v>1119</v>
      </c>
      <c r="F473" t="s">
        <v>1178</v>
      </c>
      <c r="G473" t="s">
        <v>316</v>
      </c>
      <c r="H473" s="135" t="s">
        <v>2113</v>
      </c>
      <c r="I473">
        <v>10</v>
      </c>
      <c r="J473" t="s">
        <v>1180</v>
      </c>
      <c r="K473">
        <v>10108</v>
      </c>
      <c r="L473" t="s">
        <v>1942</v>
      </c>
      <c r="M473">
        <v>10108214</v>
      </c>
      <c r="N473" t="s">
        <v>1942</v>
      </c>
      <c r="O473">
        <v>10108214506</v>
      </c>
      <c r="P473" t="s">
        <v>2114</v>
      </c>
      <c r="Q473" s="135" t="s">
        <v>2115</v>
      </c>
      <c r="R473" t="s">
        <v>2116</v>
      </c>
      <c r="S473" s="135" t="s">
        <v>2113</v>
      </c>
      <c r="T473" t="s">
        <v>2117</v>
      </c>
      <c r="U473" t="s">
        <v>1947</v>
      </c>
      <c r="V473" t="s">
        <v>1948</v>
      </c>
      <c r="W473">
        <v>250</v>
      </c>
      <c r="X473" t="s">
        <v>1189</v>
      </c>
      <c r="Y473">
        <v>24</v>
      </c>
      <c r="Z473">
        <v>6000</v>
      </c>
      <c r="AA473" t="s">
        <v>28</v>
      </c>
      <c r="AB473" t="s">
        <v>1190</v>
      </c>
      <c r="AC473">
        <v>250</v>
      </c>
      <c r="AD473" t="s">
        <v>1232</v>
      </c>
      <c r="AE473" t="s">
        <v>1192</v>
      </c>
      <c r="AF473" t="s">
        <v>1193</v>
      </c>
      <c r="AG473" t="s">
        <v>1194</v>
      </c>
      <c r="AH473" t="s">
        <v>1195</v>
      </c>
      <c r="AI473" t="s">
        <v>1202</v>
      </c>
      <c r="AJ473" t="s">
        <v>1291</v>
      </c>
      <c r="AK473" t="s">
        <v>1292</v>
      </c>
      <c r="AL473" t="s">
        <v>1291</v>
      </c>
      <c r="AM473" t="s">
        <v>2118</v>
      </c>
      <c r="AN473" t="s">
        <v>1201</v>
      </c>
      <c r="AO473" t="s">
        <v>1292</v>
      </c>
      <c r="AP473" t="s">
        <v>2119</v>
      </c>
      <c r="AQ473" t="s">
        <v>1203</v>
      </c>
      <c r="AR473" t="s">
        <v>1201</v>
      </c>
      <c r="AS473" t="s">
        <v>1203</v>
      </c>
      <c r="AU473" t="s">
        <v>1204</v>
      </c>
      <c r="AW473" t="b">
        <v>0</v>
      </c>
      <c r="AY473" t="b">
        <v>0</v>
      </c>
      <c r="BA473" t="s">
        <v>2120</v>
      </c>
      <c r="BB473" t="s">
        <v>1206</v>
      </c>
      <c r="BC473" t="s">
        <v>1206</v>
      </c>
      <c r="BD473" t="s">
        <v>1207</v>
      </c>
      <c r="BE473" t="s">
        <v>1208</v>
      </c>
      <c r="BF473" t="s">
        <v>1951</v>
      </c>
      <c r="BG473" t="s">
        <v>312</v>
      </c>
      <c r="BH473" t="s">
        <v>2121</v>
      </c>
      <c r="BI473" t="s">
        <v>1206</v>
      </c>
      <c r="BJ473" t="s">
        <v>2122</v>
      </c>
    </row>
    <row r="474" spans="1:62" x14ac:dyDescent="0.25">
      <c r="A474" t="s">
        <v>1177</v>
      </c>
      <c r="B474">
        <v>120038</v>
      </c>
      <c r="C474">
        <v>120038</v>
      </c>
      <c r="D474" s="112" t="s">
        <v>2894</v>
      </c>
      <c r="E474" t="s">
        <v>1119</v>
      </c>
      <c r="F474" t="s">
        <v>1178</v>
      </c>
      <c r="G474" t="s">
        <v>2135</v>
      </c>
      <c r="H474" t="s">
        <v>2136</v>
      </c>
      <c r="I474">
        <v>12</v>
      </c>
      <c r="J474" t="s">
        <v>1279</v>
      </c>
      <c r="K474">
        <v>12174</v>
      </c>
      <c r="L474" t="s">
        <v>1571</v>
      </c>
      <c r="M474">
        <v>12174108</v>
      </c>
      <c r="N474" t="s">
        <v>2137</v>
      </c>
      <c r="O474">
        <v>12174108474</v>
      </c>
      <c r="P474" t="s">
        <v>2138</v>
      </c>
      <c r="Q474" t="s">
        <v>2139</v>
      </c>
      <c r="R474" t="s">
        <v>2140</v>
      </c>
      <c r="S474" t="s">
        <v>2136</v>
      </c>
      <c r="T474" t="s">
        <v>2141</v>
      </c>
      <c r="U474" t="s">
        <v>1187</v>
      </c>
      <c r="V474" t="s">
        <v>1188</v>
      </c>
      <c r="W474">
        <v>195</v>
      </c>
      <c r="X474" t="s">
        <v>1189</v>
      </c>
      <c r="Y474">
        <v>24</v>
      </c>
      <c r="Z474">
        <v>4680</v>
      </c>
      <c r="AA474" t="s">
        <v>28</v>
      </c>
      <c r="AB474" t="s">
        <v>1190</v>
      </c>
      <c r="AC474">
        <v>195</v>
      </c>
      <c r="AD474" t="s">
        <v>1191</v>
      </c>
      <c r="AE474" t="s">
        <v>1192</v>
      </c>
      <c r="AF474" t="s">
        <v>1193</v>
      </c>
      <c r="AG474" t="s">
        <v>1194</v>
      </c>
      <c r="AH474" t="s">
        <v>1195</v>
      </c>
      <c r="AI474" t="s">
        <v>1202</v>
      </c>
      <c r="AJ474" t="s">
        <v>1291</v>
      </c>
      <c r="AK474" t="s">
        <v>1292</v>
      </c>
      <c r="AL474" t="s">
        <v>1291</v>
      </c>
      <c r="AM474" t="s">
        <v>2142</v>
      </c>
      <c r="AN474" t="s">
        <v>1201</v>
      </c>
      <c r="AO474" t="s">
        <v>1292</v>
      </c>
      <c r="AP474" t="s">
        <v>2143</v>
      </c>
      <c r="AQ474" t="s">
        <v>1203</v>
      </c>
      <c r="AR474" t="s">
        <v>1201</v>
      </c>
      <c r="AS474" t="s">
        <v>1203</v>
      </c>
      <c r="AU474" t="s">
        <v>1204</v>
      </c>
      <c r="AW474" t="b">
        <v>0</v>
      </c>
      <c r="AY474" t="b">
        <v>0</v>
      </c>
      <c r="BA474" t="s">
        <v>2144</v>
      </c>
      <c r="BB474" t="s">
        <v>1206</v>
      </c>
      <c r="BC474" t="s">
        <v>1206</v>
      </c>
      <c r="BD474" t="s">
        <v>1207</v>
      </c>
      <c r="BE474" t="s">
        <v>1296</v>
      </c>
      <c r="BF474" t="s">
        <v>2145</v>
      </c>
      <c r="BG474" t="s">
        <v>291</v>
      </c>
      <c r="BH474" t="s">
        <v>1206</v>
      </c>
      <c r="BI474" t="s">
        <v>1206</v>
      </c>
      <c r="BJ474" t="s">
        <v>2146</v>
      </c>
    </row>
    <row r="475" spans="1:62" x14ac:dyDescent="0.25">
      <c r="A475" t="s">
        <v>1177</v>
      </c>
      <c r="B475">
        <v>120040</v>
      </c>
      <c r="C475">
        <v>120040</v>
      </c>
      <c r="D475" s="112" t="s">
        <v>2895</v>
      </c>
      <c r="E475" t="s">
        <v>1119</v>
      </c>
      <c r="F475" t="s">
        <v>1178</v>
      </c>
      <c r="G475" t="s">
        <v>2147</v>
      </c>
      <c r="H475" s="135" t="s">
        <v>2148</v>
      </c>
      <c r="I475">
        <v>12</v>
      </c>
      <c r="J475" t="s">
        <v>1279</v>
      </c>
      <c r="K475">
        <v>12174</v>
      </c>
      <c r="L475" t="s">
        <v>1571</v>
      </c>
      <c r="M475">
        <v>12174108</v>
      </c>
      <c r="N475" t="s">
        <v>2137</v>
      </c>
      <c r="O475">
        <v>12174108474</v>
      </c>
      <c r="P475" t="s">
        <v>2138</v>
      </c>
      <c r="Q475" s="135" t="s">
        <v>2149</v>
      </c>
      <c r="R475" t="s">
        <v>2150</v>
      </c>
      <c r="S475" s="135" t="s">
        <v>2148</v>
      </c>
      <c r="T475" t="s">
        <v>2151</v>
      </c>
      <c r="U475" t="s">
        <v>1187</v>
      </c>
      <c r="V475" t="s">
        <v>1188</v>
      </c>
      <c r="W475">
        <v>270</v>
      </c>
      <c r="X475" t="s">
        <v>1189</v>
      </c>
      <c r="Y475">
        <v>24</v>
      </c>
      <c r="Z475">
        <v>6480</v>
      </c>
      <c r="AA475" t="s">
        <v>28</v>
      </c>
      <c r="AB475" t="s">
        <v>1190</v>
      </c>
      <c r="AC475">
        <v>270</v>
      </c>
      <c r="AD475" t="s">
        <v>1191</v>
      </c>
      <c r="AE475" t="s">
        <v>1192</v>
      </c>
      <c r="AF475" t="s">
        <v>1193</v>
      </c>
      <c r="AG475" t="s">
        <v>1194</v>
      </c>
      <c r="AH475" t="s">
        <v>1195</v>
      </c>
      <c r="AI475" t="s">
        <v>1202</v>
      </c>
      <c r="AJ475" t="s">
        <v>1291</v>
      </c>
      <c r="AK475" t="s">
        <v>1292</v>
      </c>
      <c r="AL475" t="s">
        <v>1291</v>
      </c>
      <c r="AM475" t="s">
        <v>2142</v>
      </c>
      <c r="AN475" t="s">
        <v>1201</v>
      </c>
      <c r="AO475" t="s">
        <v>1292</v>
      </c>
      <c r="AP475" t="s">
        <v>2143</v>
      </c>
      <c r="AQ475" t="s">
        <v>1203</v>
      </c>
      <c r="AR475" t="s">
        <v>1201</v>
      </c>
      <c r="AS475" t="s">
        <v>1203</v>
      </c>
      <c r="AU475" t="s">
        <v>1204</v>
      </c>
      <c r="AW475" t="b">
        <v>0</v>
      </c>
      <c r="AY475" t="b">
        <v>0</v>
      </c>
      <c r="BA475" t="s">
        <v>2144</v>
      </c>
      <c r="BB475" t="s">
        <v>1206</v>
      </c>
      <c r="BC475" t="s">
        <v>1206</v>
      </c>
      <c r="BD475" t="s">
        <v>1207</v>
      </c>
      <c r="BE475" t="s">
        <v>1296</v>
      </c>
      <c r="BF475" t="s">
        <v>2145</v>
      </c>
      <c r="BG475" t="s">
        <v>291</v>
      </c>
      <c r="BH475" t="s">
        <v>1206</v>
      </c>
      <c r="BI475" t="s">
        <v>1206</v>
      </c>
      <c r="BJ475" t="s">
        <v>2146</v>
      </c>
    </row>
    <row r="476" spans="1:62" x14ac:dyDescent="0.25">
      <c r="A476" t="s">
        <v>1177</v>
      </c>
      <c r="B476">
        <v>120036</v>
      </c>
      <c r="C476">
        <v>120036</v>
      </c>
      <c r="D476" s="112" t="s">
        <v>2896</v>
      </c>
      <c r="E476" t="s">
        <v>1119</v>
      </c>
      <c r="F476" t="s">
        <v>1178</v>
      </c>
      <c r="G476" t="s">
        <v>2152</v>
      </c>
      <c r="H476" s="135" t="s">
        <v>2153</v>
      </c>
      <c r="I476">
        <v>12</v>
      </c>
      <c r="J476" t="s">
        <v>1279</v>
      </c>
      <c r="K476">
        <v>12174</v>
      </c>
      <c r="L476" t="s">
        <v>1571</v>
      </c>
      <c r="M476">
        <v>12174108</v>
      </c>
      <c r="N476" t="s">
        <v>2137</v>
      </c>
      <c r="O476">
        <v>12174108474</v>
      </c>
      <c r="P476" t="s">
        <v>2138</v>
      </c>
      <c r="Q476" s="135" t="s">
        <v>2154</v>
      </c>
      <c r="R476" t="s">
        <v>2155</v>
      </c>
      <c r="S476" s="135" t="s">
        <v>2153</v>
      </c>
      <c r="T476" t="s">
        <v>2156</v>
      </c>
      <c r="U476" t="s">
        <v>1237</v>
      </c>
      <c r="V476" t="s">
        <v>1238</v>
      </c>
      <c r="W476">
        <v>130</v>
      </c>
      <c r="X476" t="s">
        <v>1189</v>
      </c>
      <c r="Y476">
        <v>48</v>
      </c>
      <c r="Z476">
        <v>6240</v>
      </c>
      <c r="AA476" t="s">
        <v>28</v>
      </c>
      <c r="AB476" t="s">
        <v>1190</v>
      </c>
      <c r="AC476">
        <v>130</v>
      </c>
      <c r="AD476" t="s">
        <v>1191</v>
      </c>
      <c r="AE476" t="s">
        <v>1192</v>
      </c>
      <c r="AF476" t="s">
        <v>1193</v>
      </c>
      <c r="AG476" t="s">
        <v>1194</v>
      </c>
      <c r="AH476" t="s">
        <v>1195</v>
      </c>
      <c r="AI476" t="s">
        <v>1202</v>
      </c>
      <c r="AJ476" t="s">
        <v>1291</v>
      </c>
      <c r="AK476" t="s">
        <v>1292</v>
      </c>
      <c r="AL476" t="s">
        <v>1291</v>
      </c>
      <c r="AM476" t="s">
        <v>2142</v>
      </c>
      <c r="AN476" t="s">
        <v>1201</v>
      </c>
      <c r="AO476" t="s">
        <v>1292</v>
      </c>
      <c r="AP476" t="s">
        <v>2143</v>
      </c>
      <c r="AQ476" t="s">
        <v>1203</v>
      </c>
      <c r="AR476" t="s">
        <v>1201</v>
      </c>
      <c r="AS476" t="s">
        <v>1203</v>
      </c>
      <c r="AU476" t="s">
        <v>1204</v>
      </c>
      <c r="AW476" t="b">
        <v>0</v>
      </c>
      <c r="AY476" t="b">
        <v>0</v>
      </c>
      <c r="BA476" t="s">
        <v>2144</v>
      </c>
      <c r="BB476" t="s">
        <v>1206</v>
      </c>
      <c r="BC476" t="s">
        <v>1206</v>
      </c>
      <c r="BD476" t="s">
        <v>1207</v>
      </c>
      <c r="BE476" t="s">
        <v>1296</v>
      </c>
      <c r="BF476" t="s">
        <v>2145</v>
      </c>
      <c r="BG476" t="s">
        <v>291</v>
      </c>
      <c r="BH476" t="s">
        <v>1206</v>
      </c>
      <c r="BI476" t="s">
        <v>1206</v>
      </c>
      <c r="BJ476" t="s">
        <v>2146</v>
      </c>
    </row>
    <row r="477" spans="1:62" x14ac:dyDescent="0.25">
      <c r="A477" t="s">
        <v>1177</v>
      </c>
      <c r="B477">
        <v>120039</v>
      </c>
      <c r="C477">
        <v>120039</v>
      </c>
      <c r="D477" s="112" t="s">
        <v>2897</v>
      </c>
      <c r="E477" t="s">
        <v>1119</v>
      </c>
      <c r="F477" t="s">
        <v>1178</v>
      </c>
      <c r="G477" t="s">
        <v>2157</v>
      </c>
      <c r="H477" t="s">
        <v>2158</v>
      </c>
      <c r="I477">
        <v>12</v>
      </c>
      <c r="J477" t="s">
        <v>1279</v>
      </c>
      <c r="K477">
        <v>12174</v>
      </c>
      <c r="L477" t="s">
        <v>1571</v>
      </c>
      <c r="M477">
        <v>12174108</v>
      </c>
      <c r="N477" t="s">
        <v>2137</v>
      </c>
      <c r="O477">
        <v>12174108474</v>
      </c>
      <c r="P477" t="s">
        <v>2138</v>
      </c>
      <c r="Q477" t="s">
        <v>2159</v>
      </c>
      <c r="R477" t="s">
        <v>2160</v>
      </c>
      <c r="S477" t="s">
        <v>2158</v>
      </c>
      <c r="T477" t="s">
        <v>2161</v>
      </c>
      <c r="U477" t="s">
        <v>1286</v>
      </c>
      <c r="V477" t="s">
        <v>1287</v>
      </c>
      <c r="W477">
        <v>5.5</v>
      </c>
      <c r="X477" t="s">
        <v>1288</v>
      </c>
      <c r="Y477">
        <v>1</v>
      </c>
      <c r="Z477">
        <v>5.5</v>
      </c>
      <c r="AA477" t="s">
        <v>28</v>
      </c>
      <c r="AB477" t="s">
        <v>1190</v>
      </c>
      <c r="AC477">
        <v>5500</v>
      </c>
      <c r="AD477" t="s">
        <v>1289</v>
      </c>
      <c r="AE477" t="s">
        <v>1290</v>
      </c>
      <c r="AF477" t="s">
        <v>1193</v>
      </c>
      <c r="AG477" t="s">
        <v>1194</v>
      </c>
      <c r="AH477" t="s">
        <v>1195</v>
      </c>
      <c r="AI477" t="s">
        <v>1202</v>
      </c>
      <c r="AJ477" t="s">
        <v>1291</v>
      </c>
      <c r="AK477" t="s">
        <v>1292</v>
      </c>
      <c r="AL477" t="s">
        <v>1291</v>
      </c>
      <c r="AM477" t="s">
        <v>2142</v>
      </c>
      <c r="AN477" t="s">
        <v>1201</v>
      </c>
      <c r="AO477" t="s">
        <v>1292</v>
      </c>
      <c r="AP477" t="s">
        <v>2143</v>
      </c>
      <c r="AQ477" t="s">
        <v>1203</v>
      </c>
      <c r="AR477" t="s">
        <v>1201</v>
      </c>
      <c r="AS477" t="s">
        <v>1203</v>
      </c>
      <c r="AU477" t="s">
        <v>1204</v>
      </c>
      <c r="AW477" t="b">
        <v>0</v>
      </c>
      <c r="AY477" t="b">
        <v>0</v>
      </c>
      <c r="BA477" t="s">
        <v>2144</v>
      </c>
      <c r="BB477" t="s">
        <v>1206</v>
      </c>
      <c r="BC477" t="s">
        <v>1206</v>
      </c>
      <c r="BD477" t="s">
        <v>1207</v>
      </c>
      <c r="BE477" t="s">
        <v>1296</v>
      </c>
      <c r="BF477" t="s">
        <v>2145</v>
      </c>
      <c r="BG477" t="s">
        <v>291</v>
      </c>
      <c r="BH477" t="s">
        <v>1206</v>
      </c>
      <c r="BI477" t="s">
        <v>1206</v>
      </c>
      <c r="BJ477" t="s">
        <v>2146</v>
      </c>
    </row>
    <row r="478" spans="1:62" x14ac:dyDescent="0.25">
      <c r="A478" t="s">
        <v>1177</v>
      </c>
      <c r="B478">
        <v>120907</v>
      </c>
      <c r="C478">
        <v>120907</v>
      </c>
      <c r="D478" s="112" t="s">
        <v>2898</v>
      </c>
      <c r="E478" t="s">
        <v>1119</v>
      </c>
      <c r="F478" t="s">
        <v>1178</v>
      </c>
      <c r="G478" t="s">
        <v>2162</v>
      </c>
      <c r="H478" s="135" t="s">
        <v>2163</v>
      </c>
      <c r="I478">
        <v>12</v>
      </c>
      <c r="J478" t="s">
        <v>1279</v>
      </c>
      <c r="K478">
        <v>12174</v>
      </c>
      <c r="L478" t="s">
        <v>1571</v>
      </c>
      <c r="M478">
        <v>12174108</v>
      </c>
      <c r="N478" t="s">
        <v>2137</v>
      </c>
      <c r="O478">
        <v>12174108474</v>
      </c>
      <c r="P478" t="s">
        <v>2138</v>
      </c>
      <c r="Q478" s="135" t="s">
        <v>2164</v>
      </c>
      <c r="R478" t="s">
        <v>2165</v>
      </c>
      <c r="S478" s="135" t="s">
        <v>2163</v>
      </c>
      <c r="T478" t="s">
        <v>2166</v>
      </c>
      <c r="U478" t="s">
        <v>1230</v>
      </c>
      <c r="V478" t="s">
        <v>1231</v>
      </c>
      <c r="W478">
        <v>18</v>
      </c>
      <c r="X478" t="s">
        <v>1342</v>
      </c>
      <c r="Y478">
        <v>120</v>
      </c>
      <c r="Z478">
        <v>2160</v>
      </c>
      <c r="AA478" t="s">
        <v>28</v>
      </c>
      <c r="AB478" t="s">
        <v>1190</v>
      </c>
      <c r="AC478">
        <v>18</v>
      </c>
      <c r="AD478" t="s">
        <v>1232</v>
      </c>
      <c r="AE478" t="s">
        <v>1192</v>
      </c>
      <c r="AF478" t="s">
        <v>1193</v>
      </c>
      <c r="AG478" t="s">
        <v>1194</v>
      </c>
      <c r="AH478" t="s">
        <v>1195</v>
      </c>
      <c r="AI478" t="s">
        <v>1202</v>
      </c>
      <c r="AJ478" t="s">
        <v>1291</v>
      </c>
      <c r="AK478" t="s">
        <v>1292</v>
      </c>
      <c r="AL478" t="s">
        <v>1291</v>
      </c>
      <c r="AM478" t="s">
        <v>2142</v>
      </c>
      <c r="AN478" t="s">
        <v>1201</v>
      </c>
      <c r="AO478" t="s">
        <v>1292</v>
      </c>
      <c r="AP478" t="s">
        <v>2143</v>
      </c>
      <c r="AQ478" t="s">
        <v>1203</v>
      </c>
      <c r="AR478" t="s">
        <v>1201</v>
      </c>
      <c r="AS478" t="s">
        <v>1203</v>
      </c>
      <c r="AU478" t="s">
        <v>1204</v>
      </c>
      <c r="AW478" t="b">
        <v>0</v>
      </c>
      <c r="AY478" t="b">
        <v>1</v>
      </c>
      <c r="BA478" t="s">
        <v>2144</v>
      </c>
      <c r="BB478" t="s">
        <v>1206</v>
      </c>
      <c r="BC478" t="s">
        <v>1206</v>
      </c>
      <c r="BD478" t="s">
        <v>1207</v>
      </c>
      <c r="BE478" t="s">
        <v>1296</v>
      </c>
      <c r="BF478" t="s">
        <v>2145</v>
      </c>
      <c r="BG478" t="s">
        <v>291</v>
      </c>
      <c r="BH478" t="s">
        <v>1206</v>
      </c>
      <c r="BI478" t="s">
        <v>1206</v>
      </c>
      <c r="BJ478" t="s">
        <v>2146</v>
      </c>
    </row>
    <row r="479" spans="1:62" x14ac:dyDescent="0.25">
      <c r="A479" t="s">
        <v>1177</v>
      </c>
      <c r="B479">
        <v>120045</v>
      </c>
      <c r="C479">
        <v>120045</v>
      </c>
      <c r="D479" s="112" t="s">
        <v>2899</v>
      </c>
      <c r="E479" t="s">
        <v>1119</v>
      </c>
      <c r="F479" t="s">
        <v>1178</v>
      </c>
      <c r="G479" t="s">
        <v>2162</v>
      </c>
      <c r="H479" s="135" t="s">
        <v>2163</v>
      </c>
      <c r="I479">
        <v>12</v>
      </c>
      <c r="J479" t="s">
        <v>1279</v>
      </c>
      <c r="K479">
        <v>12174</v>
      </c>
      <c r="L479" t="s">
        <v>1571</v>
      </c>
      <c r="M479">
        <v>12174108</v>
      </c>
      <c r="N479" t="s">
        <v>2137</v>
      </c>
      <c r="O479">
        <v>12174108474</v>
      </c>
      <c r="P479" t="s">
        <v>2138</v>
      </c>
      <c r="Q479" s="135" t="s">
        <v>2164</v>
      </c>
      <c r="R479" t="s">
        <v>2165</v>
      </c>
      <c r="S479" s="135" t="s">
        <v>2163</v>
      </c>
      <c r="T479" t="s">
        <v>2166</v>
      </c>
      <c r="U479" t="s">
        <v>1230</v>
      </c>
      <c r="V479" t="s">
        <v>1231</v>
      </c>
      <c r="W479">
        <v>18</v>
      </c>
      <c r="X479" t="s">
        <v>1342</v>
      </c>
      <c r="Y479">
        <v>120</v>
      </c>
      <c r="Z479">
        <v>2160</v>
      </c>
      <c r="AA479" t="s">
        <v>28</v>
      </c>
      <c r="AB479" t="s">
        <v>1190</v>
      </c>
      <c r="AC479">
        <v>18</v>
      </c>
      <c r="AD479" t="s">
        <v>1232</v>
      </c>
      <c r="AE479" t="s">
        <v>1192</v>
      </c>
      <c r="AF479" t="s">
        <v>1193</v>
      </c>
      <c r="AG479" t="s">
        <v>1194</v>
      </c>
      <c r="AH479" t="s">
        <v>1195</v>
      </c>
      <c r="AI479" t="s">
        <v>1202</v>
      </c>
      <c r="AJ479" t="s">
        <v>1291</v>
      </c>
      <c r="AK479" t="s">
        <v>1292</v>
      </c>
      <c r="AL479" t="s">
        <v>1291</v>
      </c>
      <c r="AM479" t="s">
        <v>2142</v>
      </c>
      <c r="AN479" t="s">
        <v>1201</v>
      </c>
      <c r="AO479" t="s">
        <v>1292</v>
      </c>
      <c r="AP479" t="s">
        <v>2143</v>
      </c>
      <c r="AQ479" t="s">
        <v>1203</v>
      </c>
      <c r="AR479" t="s">
        <v>1201</v>
      </c>
      <c r="AS479" t="s">
        <v>1203</v>
      </c>
      <c r="AU479" t="s">
        <v>1204</v>
      </c>
      <c r="AW479" t="b">
        <v>0</v>
      </c>
      <c r="AY479" t="b">
        <v>1</v>
      </c>
      <c r="BA479" t="s">
        <v>2144</v>
      </c>
      <c r="BB479" t="s">
        <v>1206</v>
      </c>
      <c r="BC479" t="s">
        <v>1206</v>
      </c>
      <c r="BD479" t="s">
        <v>1207</v>
      </c>
      <c r="BE479" t="s">
        <v>1296</v>
      </c>
      <c r="BF479" t="s">
        <v>2145</v>
      </c>
      <c r="BG479" t="s">
        <v>291</v>
      </c>
      <c r="BH479" t="s">
        <v>1206</v>
      </c>
      <c r="BI479" t="s">
        <v>1206</v>
      </c>
      <c r="BJ479" t="s">
        <v>2146</v>
      </c>
    </row>
    <row r="480" spans="1:62" x14ac:dyDescent="0.25">
      <c r="A480" t="s">
        <v>1177</v>
      </c>
      <c r="B480">
        <v>120014</v>
      </c>
      <c r="C480">
        <v>120014</v>
      </c>
      <c r="D480" s="112" t="s">
        <v>2900</v>
      </c>
      <c r="E480" t="s">
        <v>1119</v>
      </c>
      <c r="F480" t="s">
        <v>1178</v>
      </c>
      <c r="G480" t="s">
        <v>2167</v>
      </c>
      <c r="H480" t="s">
        <v>2168</v>
      </c>
      <c r="I480">
        <v>12</v>
      </c>
      <c r="J480" t="s">
        <v>1279</v>
      </c>
      <c r="K480">
        <v>12174</v>
      </c>
      <c r="L480" t="s">
        <v>1571</v>
      </c>
      <c r="M480">
        <v>12174108</v>
      </c>
      <c r="N480" t="s">
        <v>2137</v>
      </c>
      <c r="O480">
        <v>12174108474</v>
      </c>
      <c r="P480" t="s">
        <v>2138</v>
      </c>
      <c r="Q480" t="s">
        <v>2169</v>
      </c>
      <c r="R480" t="s">
        <v>2170</v>
      </c>
      <c r="S480" t="s">
        <v>2168</v>
      </c>
      <c r="T480" t="s">
        <v>2171</v>
      </c>
      <c r="U480" t="s">
        <v>1237</v>
      </c>
      <c r="V480" t="s">
        <v>1238</v>
      </c>
      <c r="W480">
        <v>135</v>
      </c>
      <c r="X480" t="s">
        <v>1189</v>
      </c>
      <c r="Y480">
        <v>48</v>
      </c>
      <c r="Z480">
        <v>6480</v>
      </c>
      <c r="AA480" t="s">
        <v>28</v>
      </c>
      <c r="AB480" t="s">
        <v>1190</v>
      </c>
      <c r="AC480">
        <v>135</v>
      </c>
      <c r="AD480" t="s">
        <v>1191</v>
      </c>
      <c r="AE480" t="s">
        <v>1192</v>
      </c>
      <c r="AF480" t="s">
        <v>1193</v>
      </c>
      <c r="AG480" t="s">
        <v>1194</v>
      </c>
      <c r="AH480" t="s">
        <v>1195</v>
      </c>
      <c r="AI480" t="s">
        <v>1202</v>
      </c>
      <c r="AJ480" t="s">
        <v>1291</v>
      </c>
      <c r="AK480" t="s">
        <v>1292</v>
      </c>
      <c r="AL480" t="s">
        <v>1291</v>
      </c>
      <c r="AM480" t="s">
        <v>2142</v>
      </c>
      <c r="AN480" t="s">
        <v>1201</v>
      </c>
      <c r="AO480" t="s">
        <v>1292</v>
      </c>
      <c r="AP480" t="s">
        <v>2143</v>
      </c>
      <c r="AQ480" t="s">
        <v>1203</v>
      </c>
      <c r="AR480" t="s">
        <v>1201</v>
      </c>
      <c r="AS480" t="s">
        <v>1203</v>
      </c>
      <c r="AU480" t="s">
        <v>1204</v>
      </c>
      <c r="AW480" t="b">
        <v>0</v>
      </c>
      <c r="AY480" t="b">
        <v>0</v>
      </c>
      <c r="BA480" t="s">
        <v>2144</v>
      </c>
      <c r="BB480" t="s">
        <v>1206</v>
      </c>
      <c r="BC480" t="s">
        <v>1206</v>
      </c>
      <c r="BD480" t="s">
        <v>1207</v>
      </c>
      <c r="BE480" t="s">
        <v>1296</v>
      </c>
      <c r="BF480" t="s">
        <v>2145</v>
      </c>
      <c r="BG480" t="s">
        <v>291</v>
      </c>
      <c r="BH480" t="s">
        <v>1206</v>
      </c>
      <c r="BI480" t="s">
        <v>1206</v>
      </c>
      <c r="BJ480" t="s">
        <v>2146</v>
      </c>
    </row>
    <row r="481" spans="1:62" x14ac:dyDescent="0.25">
      <c r="A481" t="s">
        <v>1177</v>
      </c>
      <c r="B481">
        <v>120018</v>
      </c>
      <c r="C481">
        <v>120018</v>
      </c>
      <c r="D481" s="112" t="s">
        <v>2901</v>
      </c>
      <c r="E481" t="s">
        <v>1119</v>
      </c>
      <c r="F481" t="s">
        <v>1178</v>
      </c>
      <c r="G481" t="s">
        <v>2172</v>
      </c>
      <c r="H481" t="s">
        <v>2136</v>
      </c>
      <c r="I481">
        <v>12</v>
      </c>
      <c r="J481" t="s">
        <v>1279</v>
      </c>
      <c r="K481">
        <v>12174</v>
      </c>
      <c r="L481" t="s">
        <v>1571</v>
      </c>
      <c r="M481">
        <v>12174108</v>
      </c>
      <c r="N481" t="s">
        <v>2137</v>
      </c>
      <c r="O481">
        <v>12174108474</v>
      </c>
      <c r="P481" t="s">
        <v>2138</v>
      </c>
      <c r="Q481" t="s">
        <v>2139</v>
      </c>
      <c r="R481" t="s">
        <v>2140</v>
      </c>
      <c r="S481" t="s">
        <v>2136</v>
      </c>
      <c r="T481" t="s">
        <v>2141</v>
      </c>
      <c r="U481" t="s">
        <v>1187</v>
      </c>
      <c r="V481" t="s">
        <v>1188</v>
      </c>
      <c r="W481">
        <v>195</v>
      </c>
      <c r="X481" t="s">
        <v>1189</v>
      </c>
      <c r="Y481">
        <v>24</v>
      </c>
      <c r="Z481">
        <v>4680</v>
      </c>
      <c r="AA481" t="s">
        <v>28</v>
      </c>
      <c r="AB481" t="s">
        <v>1190</v>
      </c>
      <c r="AC481">
        <v>195</v>
      </c>
      <c r="AD481" t="s">
        <v>1191</v>
      </c>
      <c r="AE481" t="s">
        <v>1192</v>
      </c>
      <c r="AF481" t="s">
        <v>1193</v>
      </c>
      <c r="AG481" t="s">
        <v>1194</v>
      </c>
      <c r="AH481" t="s">
        <v>1195</v>
      </c>
      <c r="AI481" t="s">
        <v>1202</v>
      </c>
      <c r="AJ481" t="s">
        <v>1291</v>
      </c>
      <c r="AK481" t="s">
        <v>1292</v>
      </c>
      <c r="AL481" t="s">
        <v>1291</v>
      </c>
      <c r="AM481" t="s">
        <v>2142</v>
      </c>
      <c r="AN481" t="s">
        <v>1201</v>
      </c>
      <c r="AO481" t="s">
        <v>1292</v>
      </c>
      <c r="AP481" t="s">
        <v>2143</v>
      </c>
      <c r="AQ481" t="s">
        <v>1203</v>
      </c>
      <c r="AR481" t="s">
        <v>1201</v>
      </c>
      <c r="AS481" t="s">
        <v>1203</v>
      </c>
      <c r="AU481" t="s">
        <v>1204</v>
      </c>
      <c r="AW481" t="b">
        <v>0</v>
      </c>
      <c r="AY481" t="b">
        <v>0</v>
      </c>
      <c r="BA481" t="s">
        <v>2144</v>
      </c>
      <c r="BB481" t="s">
        <v>1206</v>
      </c>
      <c r="BC481" t="s">
        <v>1206</v>
      </c>
      <c r="BD481" t="s">
        <v>1207</v>
      </c>
      <c r="BE481" t="s">
        <v>1296</v>
      </c>
      <c r="BF481" t="s">
        <v>2145</v>
      </c>
      <c r="BG481" t="s">
        <v>291</v>
      </c>
      <c r="BH481" t="s">
        <v>1206</v>
      </c>
      <c r="BI481" t="s">
        <v>1206</v>
      </c>
      <c r="BJ481" t="s">
        <v>2146</v>
      </c>
    </row>
    <row r="482" spans="1:62" x14ac:dyDescent="0.25">
      <c r="A482" t="s">
        <v>1177</v>
      </c>
      <c r="B482">
        <v>120022</v>
      </c>
      <c r="C482">
        <v>120022</v>
      </c>
      <c r="D482" s="112" t="s">
        <v>2902</v>
      </c>
      <c r="E482" t="s">
        <v>1119</v>
      </c>
      <c r="F482" t="s">
        <v>1178</v>
      </c>
      <c r="G482" t="s">
        <v>2173</v>
      </c>
      <c r="H482" t="s">
        <v>2136</v>
      </c>
      <c r="I482">
        <v>12</v>
      </c>
      <c r="J482" t="s">
        <v>1279</v>
      </c>
      <c r="K482">
        <v>12174</v>
      </c>
      <c r="L482" t="s">
        <v>1571</v>
      </c>
      <c r="M482">
        <v>12174108</v>
      </c>
      <c r="N482" t="s">
        <v>2137</v>
      </c>
      <c r="O482">
        <v>12174108474</v>
      </c>
      <c r="P482" t="s">
        <v>2138</v>
      </c>
      <c r="Q482" t="s">
        <v>2139</v>
      </c>
      <c r="R482" t="s">
        <v>2140</v>
      </c>
      <c r="S482" t="s">
        <v>2136</v>
      </c>
      <c r="T482" t="s">
        <v>2141</v>
      </c>
      <c r="U482" t="s">
        <v>1187</v>
      </c>
      <c r="V482" t="s">
        <v>1188</v>
      </c>
      <c r="W482">
        <v>195</v>
      </c>
      <c r="X482" t="s">
        <v>1189</v>
      </c>
      <c r="Y482">
        <v>24</v>
      </c>
      <c r="Z482">
        <v>4680</v>
      </c>
      <c r="AA482" t="s">
        <v>28</v>
      </c>
      <c r="AB482" t="s">
        <v>1190</v>
      </c>
      <c r="AC482">
        <v>195</v>
      </c>
      <c r="AD482" t="s">
        <v>1191</v>
      </c>
      <c r="AE482" t="s">
        <v>1192</v>
      </c>
      <c r="AF482" t="s">
        <v>1193</v>
      </c>
      <c r="AG482" t="s">
        <v>1194</v>
      </c>
      <c r="AH482" t="s">
        <v>1195</v>
      </c>
      <c r="AI482" t="s">
        <v>1202</v>
      </c>
      <c r="AJ482" t="s">
        <v>1291</v>
      </c>
      <c r="AK482" t="s">
        <v>1292</v>
      </c>
      <c r="AL482" t="s">
        <v>1291</v>
      </c>
      <c r="AM482" t="s">
        <v>2142</v>
      </c>
      <c r="AN482" t="s">
        <v>1201</v>
      </c>
      <c r="AO482" t="s">
        <v>1292</v>
      </c>
      <c r="AP482" t="s">
        <v>2143</v>
      </c>
      <c r="AQ482" t="s">
        <v>1203</v>
      </c>
      <c r="AR482" t="s">
        <v>1201</v>
      </c>
      <c r="AS482" t="s">
        <v>1203</v>
      </c>
      <c r="AU482" t="s">
        <v>1204</v>
      </c>
      <c r="AW482" t="b">
        <v>0</v>
      </c>
      <c r="AY482" t="b">
        <v>0</v>
      </c>
      <c r="BA482" t="s">
        <v>2144</v>
      </c>
      <c r="BB482" t="s">
        <v>1206</v>
      </c>
      <c r="BC482" t="s">
        <v>1206</v>
      </c>
      <c r="BD482" t="s">
        <v>1207</v>
      </c>
      <c r="BE482" t="s">
        <v>1296</v>
      </c>
      <c r="BF482" t="s">
        <v>2145</v>
      </c>
      <c r="BG482" t="s">
        <v>291</v>
      </c>
      <c r="BH482" t="s">
        <v>1206</v>
      </c>
      <c r="BI482" t="s">
        <v>1206</v>
      </c>
      <c r="BJ482" t="s">
        <v>2146</v>
      </c>
    </row>
    <row r="483" spans="1:62" x14ac:dyDescent="0.25">
      <c r="A483" t="s">
        <v>1177</v>
      </c>
      <c r="B483">
        <v>120031</v>
      </c>
      <c r="C483">
        <v>120031</v>
      </c>
      <c r="D483" s="112" t="s">
        <v>2903</v>
      </c>
      <c r="E483" t="s">
        <v>1119</v>
      </c>
      <c r="F483" t="s">
        <v>1178</v>
      </c>
      <c r="G483" t="s">
        <v>297</v>
      </c>
      <c r="H483" t="s">
        <v>2174</v>
      </c>
      <c r="I483">
        <v>12</v>
      </c>
      <c r="J483" t="s">
        <v>1279</v>
      </c>
      <c r="K483">
        <v>12174</v>
      </c>
      <c r="L483" t="s">
        <v>1571</v>
      </c>
      <c r="M483">
        <v>12174108</v>
      </c>
      <c r="N483" t="s">
        <v>2137</v>
      </c>
      <c r="O483">
        <v>12174108474</v>
      </c>
      <c r="P483" t="s">
        <v>2138</v>
      </c>
      <c r="Q483" t="s">
        <v>2175</v>
      </c>
      <c r="R483" t="s">
        <v>2176</v>
      </c>
      <c r="S483" t="s">
        <v>2174</v>
      </c>
      <c r="T483" t="s">
        <v>2177</v>
      </c>
      <c r="U483" t="s">
        <v>1187</v>
      </c>
      <c r="V483" t="s">
        <v>1188</v>
      </c>
      <c r="W483">
        <v>420</v>
      </c>
      <c r="X483" t="s">
        <v>1189</v>
      </c>
      <c r="Y483">
        <v>24</v>
      </c>
      <c r="Z483">
        <v>10080</v>
      </c>
      <c r="AA483" t="s">
        <v>28</v>
      </c>
      <c r="AB483" t="s">
        <v>1190</v>
      </c>
      <c r="AC483">
        <v>420</v>
      </c>
      <c r="AD483" t="s">
        <v>1191</v>
      </c>
      <c r="AE483" t="s">
        <v>1192</v>
      </c>
      <c r="AF483" t="s">
        <v>1193</v>
      </c>
      <c r="AG483" t="s">
        <v>1194</v>
      </c>
      <c r="AH483" t="s">
        <v>1195</v>
      </c>
      <c r="AI483" t="s">
        <v>1202</v>
      </c>
      <c r="AJ483" t="s">
        <v>1291</v>
      </c>
      <c r="AK483" t="s">
        <v>1292</v>
      </c>
      <c r="AL483" t="s">
        <v>1291</v>
      </c>
      <c r="AM483" t="s">
        <v>2142</v>
      </c>
      <c r="AN483" t="s">
        <v>1201</v>
      </c>
      <c r="AO483" t="s">
        <v>1292</v>
      </c>
      <c r="AP483" t="s">
        <v>2143</v>
      </c>
      <c r="AQ483" t="s">
        <v>1203</v>
      </c>
      <c r="AR483" t="s">
        <v>1201</v>
      </c>
      <c r="AS483" t="s">
        <v>1203</v>
      </c>
      <c r="AU483" t="s">
        <v>1204</v>
      </c>
      <c r="AW483" t="b">
        <v>0</v>
      </c>
      <c r="AY483" t="b">
        <v>0</v>
      </c>
      <c r="BA483" t="s">
        <v>2144</v>
      </c>
      <c r="BB483" t="s">
        <v>1206</v>
      </c>
      <c r="BC483" t="s">
        <v>1206</v>
      </c>
      <c r="BD483" t="s">
        <v>1207</v>
      </c>
      <c r="BE483" t="s">
        <v>1296</v>
      </c>
      <c r="BF483" t="s">
        <v>2145</v>
      </c>
      <c r="BG483" t="s">
        <v>291</v>
      </c>
      <c r="BH483" t="s">
        <v>1206</v>
      </c>
      <c r="BI483" t="s">
        <v>1206</v>
      </c>
      <c r="BJ483" t="s">
        <v>2146</v>
      </c>
    </row>
    <row r="484" spans="1:62" x14ac:dyDescent="0.25">
      <c r="A484" t="s">
        <v>1177</v>
      </c>
      <c r="B484">
        <v>120017</v>
      </c>
      <c r="C484">
        <v>120017</v>
      </c>
      <c r="D484" s="112" t="s">
        <v>2904</v>
      </c>
      <c r="E484" t="s">
        <v>1119</v>
      </c>
      <c r="F484" t="s">
        <v>1178</v>
      </c>
      <c r="G484" t="s">
        <v>2178</v>
      </c>
      <c r="H484" t="s">
        <v>2179</v>
      </c>
      <c r="I484">
        <v>12</v>
      </c>
      <c r="J484" t="s">
        <v>1279</v>
      </c>
      <c r="K484">
        <v>12174</v>
      </c>
      <c r="L484" t="s">
        <v>1571</v>
      </c>
      <c r="M484">
        <v>12174108</v>
      </c>
      <c r="N484" t="s">
        <v>2137</v>
      </c>
      <c r="O484">
        <v>12174108474</v>
      </c>
      <c r="P484" t="s">
        <v>2138</v>
      </c>
      <c r="Q484" t="s">
        <v>2180</v>
      </c>
      <c r="R484" t="s">
        <v>2181</v>
      </c>
      <c r="S484" t="s">
        <v>2179</v>
      </c>
      <c r="T484" t="s">
        <v>2182</v>
      </c>
      <c r="U484" t="s">
        <v>1187</v>
      </c>
      <c r="V484" t="s">
        <v>1188</v>
      </c>
      <c r="W484">
        <v>425</v>
      </c>
      <c r="X484" t="s">
        <v>1189</v>
      </c>
      <c r="Y484">
        <v>24</v>
      </c>
      <c r="Z484">
        <v>10200</v>
      </c>
      <c r="AA484" t="s">
        <v>28</v>
      </c>
      <c r="AB484" t="s">
        <v>1190</v>
      </c>
      <c r="AC484">
        <v>425</v>
      </c>
      <c r="AD484" t="s">
        <v>1191</v>
      </c>
      <c r="AE484" t="s">
        <v>1192</v>
      </c>
      <c r="AF484" t="s">
        <v>1193</v>
      </c>
      <c r="AG484" t="s">
        <v>1194</v>
      </c>
      <c r="AH484" t="s">
        <v>1195</v>
      </c>
      <c r="AI484" t="s">
        <v>1202</v>
      </c>
      <c r="AJ484" t="s">
        <v>1291</v>
      </c>
      <c r="AK484" t="s">
        <v>1292</v>
      </c>
      <c r="AL484" t="s">
        <v>1291</v>
      </c>
      <c r="AM484" t="s">
        <v>2142</v>
      </c>
      <c r="AN484" t="s">
        <v>1201</v>
      </c>
      <c r="AO484" t="s">
        <v>1292</v>
      </c>
      <c r="AP484" t="s">
        <v>2143</v>
      </c>
      <c r="AQ484" t="s">
        <v>1203</v>
      </c>
      <c r="AR484" t="s">
        <v>1201</v>
      </c>
      <c r="AS484" t="s">
        <v>1203</v>
      </c>
      <c r="AU484" t="s">
        <v>1204</v>
      </c>
      <c r="AW484" t="b">
        <v>0</v>
      </c>
      <c r="AY484" t="b">
        <v>0</v>
      </c>
      <c r="BA484" t="s">
        <v>2144</v>
      </c>
      <c r="BB484" t="s">
        <v>1206</v>
      </c>
      <c r="BC484" t="s">
        <v>1206</v>
      </c>
      <c r="BD484" t="s">
        <v>1207</v>
      </c>
      <c r="BE484" t="s">
        <v>1296</v>
      </c>
      <c r="BF484" t="s">
        <v>2145</v>
      </c>
      <c r="BG484" t="s">
        <v>291</v>
      </c>
      <c r="BH484" t="s">
        <v>1206</v>
      </c>
      <c r="BI484" t="s">
        <v>1206</v>
      </c>
      <c r="BJ484" t="s">
        <v>2146</v>
      </c>
    </row>
    <row r="485" spans="1:62" x14ac:dyDescent="0.25">
      <c r="A485" t="s">
        <v>1177</v>
      </c>
      <c r="B485">
        <v>120021</v>
      </c>
      <c r="C485">
        <v>120021</v>
      </c>
      <c r="D485" s="112" t="s">
        <v>2905</v>
      </c>
      <c r="E485" t="s">
        <v>1119</v>
      </c>
      <c r="F485" t="s">
        <v>1178</v>
      </c>
      <c r="G485" t="s">
        <v>2183</v>
      </c>
      <c r="H485" t="s">
        <v>2179</v>
      </c>
      <c r="I485">
        <v>12</v>
      </c>
      <c r="J485" t="s">
        <v>1279</v>
      </c>
      <c r="K485">
        <v>12174</v>
      </c>
      <c r="L485" t="s">
        <v>1571</v>
      </c>
      <c r="M485">
        <v>12174108</v>
      </c>
      <c r="N485" t="s">
        <v>2137</v>
      </c>
      <c r="O485">
        <v>12174108474</v>
      </c>
      <c r="P485" t="s">
        <v>2138</v>
      </c>
      <c r="Q485" t="s">
        <v>2180</v>
      </c>
      <c r="R485" t="s">
        <v>2181</v>
      </c>
      <c r="S485" t="s">
        <v>2179</v>
      </c>
      <c r="T485" t="s">
        <v>2182</v>
      </c>
      <c r="U485" t="s">
        <v>1187</v>
      </c>
      <c r="V485" t="s">
        <v>1188</v>
      </c>
      <c r="W485">
        <v>425</v>
      </c>
      <c r="X485" t="s">
        <v>1189</v>
      </c>
      <c r="Y485">
        <v>24</v>
      </c>
      <c r="Z485">
        <v>10200</v>
      </c>
      <c r="AA485" t="s">
        <v>28</v>
      </c>
      <c r="AB485" t="s">
        <v>1190</v>
      </c>
      <c r="AC485">
        <v>425</v>
      </c>
      <c r="AD485" t="s">
        <v>1191</v>
      </c>
      <c r="AE485" t="s">
        <v>1192</v>
      </c>
      <c r="AF485" t="s">
        <v>1193</v>
      </c>
      <c r="AG485" t="s">
        <v>1194</v>
      </c>
      <c r="AH485" t="s">
        <v>1195</v>
      </c>
      <c r="AI485" t="s">
        <v>1202</v>
      </c>
      <c r="AJ485" t="s">
        <v>1291</v>
      </c>
      <c r="AK485" t="s">
        <v>1292</v>
      </c>
      <c r="AL485" t="s">
        <v>1291</v>
      </c>
      <c r="AM485" t="s">
        <v>2142</v>
      </c>
      <c r="AN485" t="s">
        <v>1201</v>
      </c>
      <c r="AO485" t="s">
        <v>1292</v>
      </c>
      <c r="AP485" t="s">
        <v>2143</v>
      </c>
      <c r="AQ485" t="s">
        <v>1203</v>
      </c>
      <c r="AR485" t="s">
        <v>1201</v>
      </c>
      <c r="AS485" t="s">
        <v>1203</v>
      </c>
      <c r="AU485" t="s">
        <v>1204</v>
      </c>
      <c r="AW485" t="b">
        <v>0</v>
      </c>
      <c r="AY485" t="b">
        <v>0</v>
      </c>
      <c r="BA485" t="s">
        <v>2144</v>
      </c>
      <c r="BB485" t="s">
        <v>1206</v>
      </c>
      <c r="BC485" t="s">
        <v>1206</v>
      </c>
      <c r="BD485" t="s">
        <v>1207</v>
      </c>
      <c r="BE485" t="s">
        <v>1296</v>
      </c>
      <c r="BF485" t="s">
        <v>2145</v>
      </c>
      <c r="BG485" t="s">
        <v>291</v>
      </c>
      <c r="BH485" t="s">
        <v>1206</v>
      </c>
      <c r="BI485" t="s">
        <v>1206</v>
      </c>
      <c r="BJ485" t="s">
        <v>2146</v>
      </c>
    </row>
    <row r="486" spans="1:62" x14ac:dyDescent="0.25">
      <c r="A486" t="s">
        <v>1177</v>
      </c>
      <c r="B486">
        <v>120007</v>
      </c>
      <c r="C486">
        <v>120007</v>
      </c>
      <c r="D486" s="112" t="s">
        <v>2906</v>
      </c>
      <c r="E486" t="s">
        <v>1119</v>
      </c>
      <c r="F486" t="s">
        <v>1178</v>
      </c>
      <c r="G486" t="s">
        <v>2184</v>
      </c>
      <c r="H486" t="s">
        <v>2136</v>
      </c>
      <c r="I486">
        <v>12</v>
      </c>
      <c r="J486" t="s">
        <v>1279</v>
      </c>
      <c r="K486">
        <v>12174</v>
      </c>
      <c r="L486" t="s">
        <v>1571</v>
      </c>
      <c r="M486">
        <v>12174108</v>
      </c>
      <c r="N486" t="s">
        <v>2137</v>
      </c>
      <c r="O486">
        <v>12174108474</v>
      </c>
      <c r="P486" t="s">
        <v>2138</v>
      </c>
      <c r="Q486" t="s">
        <v>2139</v>
      </c>
      <c r="R486" t="s">
        <v>2140</v>
      </c>
      <c r="S486" t="s">
        <v>2136</v>
      </c>
      <c r="T486" t="s">
        <v>2141</v>
      </c>
      <c r="U486" t="s">
        <v>1187</v>
      </c>
      <c r="V486" t="s">
        <v>1188</v>
      </c>
      <c r="W486">
        <v>195</v>
      </c>
      <c r="X486" t="s">
        <v>1189</v>
      </c>
      <c r="Y486">
        <v>24</v>
      </c>
      <c r="Z486">
        <v>4680</v>
      </c>
      <c r="AA486" t="s">
        <v>28</v>
      </c>
      <c r="AB486" t="s">
        <v>1190</v>
      </c>
      <c r="AC486">
        <v>195</v>
      </c>
      <c r="AD486" t="s">
        <v>1191</v>
      </c>
      <c r="AE486" t="s">
        <v>1192</v>
      </c>
      <c r="AF486" t="s">
        <v>1193</v>
      </c>
      <c r="AG486" t="s">
        <v>1194</v>
      </c>
      <c r="AH486" t="s">
        <v>1195</v>
      </c>
      <c r="AI486" t="s">
        <v>1202</v>
      </c>
      <c r="AJ486" t="s">
        <v>1291</v>
      </c>
      <c r="AK486" t="s">
        <v>1292</v>
      </c>
      <c r="AL486" t="s">
        <v>1291</v>
      </c>
      <c r="AM486" t="s">
        <v>2142</v>
      </c>
      <c r="AN486" t="s">
        <v>1201</v>
      </c>
      <c r="AO486" t="s">
        <v>1292</v>
      </c>
      <c r="AP486" t="s">
        <v>2143</v>
      </c>
      <c r="AQ486" t="s">
        <v>1203</v>
      </c>
      <c r="AR486" t="s">
        <v>1201</v>
      </c>
      <c r="AS486" t="s">
        <v>1203</v>
      </c>
      <c r="AU486" t="s">
        <v>1204</v>
      </c>
      <c r="AW486" t="b">
        <v>0</v>
      </c>
      <c r="AY486" t="b">
        <v>0</v>
      </c>
      <c r="BA486" t="s">
        <v>2144</v>
      </c>
      <c r="BB486" t="s">
        <v>1206</v>
      </c>
      <c r="BC486" t="s">
        <v>1206</v>
      </c>
      <c r="BD486" t="s">
        <v>1207</v>
      </c>
      <c r="BE486" t="s">
        <v>1296</v>
      </c>
      <c r="BF486" t="s">
        <v>2145</v>
      </c>
      <c r="BG486" t="s">
        <v>291</v>
      </c>
      <c r="BH486" t="s">
        <v>1206</v>
      </c>
      <c r="BI486" t="s">
        <v>1206</v>
      </c>
      <c r="BJ486" t="s">
        <v>2146</v>
      </c>
    </row>
    <row r="487" spans="1:62" x14ac:dyDescent="0.25">
      <c r="A487" t="s">
        <v>1177</v>
      </c>
      <c r="B487">
        <v>120008</v>
      </c>
      <c r="C487">
        <v>120008</v>
      </c>
      <c r="D487" s="112" t="s">
        <v>2907</v>
      </c>
      <c r="E487" t="s">
        <v>1119</v>
      </c>
      <c r="F487" t="s">
        <v>1178</v>
      </c>
      <c r="G487" t="s">
        <v>2185</v>
      </c>
      <c r="H487" t="s">
        <v>2179</v>
      </c>
      <c r="I487">
        <v>12</v>
      </c>
      <c r="J487" t="s">
        <v>1279</v>
      </c>
      <c r="K487">
        <v>12174</v>
      </c>
      <c r="L487" t="s">
        <v>1571</v>
      </c>
      <c r="M487">
        <v>12174108</v>
      </c>
      <c r="N487" t="s">
        <v>2137</v>
      </c>
      <c r="O487">
        <v>12174108474</v>
      </c>
      <c r="P487" t="s">
        <v>2138</v>
      </c>
      <c r="Q487" t="s">
        <v>2180</v>
      </c>
      <c r="R487" t="s">
        <v>2181</v>
      </c>
      <c r="S487" t="s">
        <v>2179</v>
      </c>
      <c r="T487" t="s">
        <v>2182</v>
      </c>
      <c r="U487" t="s">
        <v>1187</v>
      </c>
      <c r="V487" t="s">
        <v>1188</v>
      </c>
      <c r="W487">
        <v>425</v>
      </c>
      <c r="X487" t="s">
        <v>1189</v>
      </c>
      <c r="Y487">
        <v>24</v>
      </c>
      <c r="Z487">
        <v>10200</v>
      </c>
      <c r="AA487" t="s">
        <v>28</v>
      </c>
      <c r="AB487" t="s">
        <v>1190</v>
      </c>
      <c r="AC487">
        <v>425</v>
      </c>
      <c r="AD487" t="s">
        <v>1191</v>
      </c>
      <c r="AE487" t="s">
        <v>1192</v>
      </c>
      <c r="AF487" t="s">
        <v>1193</v>
      </c>
      <c r="AG487" t="s">
        <v>1194</v>
      </c>
      <c r="AH487" t="s">
        <v>1195</v>
      </c>
      <c r="AI487" t="s">
        <v>1202</v>
      </c>
      <c r="AJ487" t="s">
        <v>1291</v>
      </c>
      <c r="AK487" t="s">
        <v>1292</v>
      </c>
      <c r="AL487" t="s">
        <v>1291</v>
      </c>
      <c r="AM487" t="s">
        <v>2142</v>
      </c>
      <c r="AN487" t="s">
        <v>1201</v>
      </c>
      <c r="AO487" t="s">
        <v>1292</v>
      </c>
      <c r="AP487" t="s">
        <v>2143</v>
      </c>
      <c r="AQ487" t="s">
        <v>1203</v>
      </c>
      <c r="AR487" t="s">
        <v>1201</v>
      </c>
      <c r="AS487" t="s">
        <v>1203</v>
      </c>
      <c r="AU487" t="s">
        <v>1204</v>
      </c>
      <c r="AW487" t="b">
        <v>0</v>
      </c>
      <c r="AY487" t="b">
        <v>0</v>
      </c>
      <c r="BA487" t="s">
        <v>2144</v>
      </c>
      <c r="BB487" t="s">
        <v>1206</v>
      </c>
      <c r="BC487" t="s">
        <v>1206</v>
      </c>
      <c r="BD487" t="s">
        <v>1207</v>
      </c>
      <c r="BE487" t="s">
        <v>1296</v>
      </c>
      <c r="BF487" t="s">
        <v>2145</v>
      </c>
      <c r="BG487" t="s">
        <v>291</v>
      </c>
      <c r="BH487" t="s">
        <v>1206</v>
      </c>
      <c r="BI487" t="s">
        <v>1206</v>
      </c>
      <c r="BJ487" t="s">
        <v>2146</v>
      </c>
    </row>
    <row r="488" spans="1:62" x14ac:dyDescent="0.25">
      <c r="A488" t="s">
        <v>1177</v>
      </c>
      <c r="B488">
        <v>120019</v>
      </c>
      <c r="C488">
        <v>120019</v>
      </c>
      <c r="D488" s="112" t="s">
        <v>2908</v>
      </c>
      <c r="E488" t="s">
        <v>1119</v>
      </c>
      <c r="F488" t="s">
        <v>1178</v>
      </c>
      <c r="G488" t="s">
        <v>2186</v>
      </c>
      <c r="H488" t="s">
        <v>2168</v>
      </c>
      <c r="I488">
        <v>12</v>
      </c>
      <c r="J488" t="s">
        <v>1279</v>
      </c>
      <c r="K488">
        <v>12174</v>
      </c>
      <c r="L488" t="s">
        <v>1571</v>
      </c>
      <c r="M488">
        <v>12174108</v>
      </c>
      <c r="N488" t="s">
        <v>2137</v>
      </c>
      <c r="O488">
        <v>12174108474</v>
      </c>
      <c r="P488" t="s">
        <v>2138</v>
      </c>
      <c r="Q488" t="s">
        <v>2169</v>
      </c>
      <c r="R488" t="s">
        <v>2170</v>
      </c>
      <c r="S488" t="s">
        <v>2168</v>
      </c>
      <c r="T488" t="s">
        <v>2171</v>
      </c>
      <c r="U488" t="s">
        <v>1237</v>
      </c>
      <c r="V488" t="s">
        <v>1238</v>
      </c>
      <c r="W488">
        <v>135</v>
      </c>
      <c r="X488" t="s">
        <v>1189</v>
      </c>
      <c r="Y488">
        <v>48</v>
      </c>
      <c r="Z488">
        <v>6480</v>
      </c>
      <c r="AA488" t="s">
        <v>28</v>
      </c>
      <c r="AB488" t="s">
        <v>1190</v>
      </c>
      <c r="AC488">
        <v>135</v>
      </c>
      <c r="AD488" t="s">
        <v>1191</v>
      </c>
      <c r="AE488" t="s">
        <v>1192</v>
      </c>
      <c r="AF488" t="s">
        <v>1193</v>
      </c>
      <c r="AG488" t="s">
        <v>1194</v>
      </c>
      <c r="AH488" t="s">
        <v>1195</v>
      </c>
      <c r="AI488" t="s">
        <v>1202</v>
      </c>
      <c r="AJ488" t="s">
        <v>1291</v>
      </c>
      <c r="AK488" t="s">
        <v>1292</v>
      </c>
      <c r="AL488" t="s">
        <v>1291</v>
      </c>
      <c r="AM488" t="s">
        <v>2142</v>
      </c>
      <c r="AN488" t="s">
        <v>1201</v>
      </c>
      <c r="AO488" t="s">
        <v>1292</v>
      </c>
      <c r="AP488" t="s">
        <v>2143</v>
      </c>
      <c r="AQ488" t="s">
        <v>1203</v>
      </c>
      <c r="AR488" t="s">
        <v>1201</v>
      </c>
      <c r="AS488" t="s">
        <v>1203</v>
      </c>
      <c r="AU488" t="s">
        <v>1204</v>
      </c>
      <c r="AW488" t="b">
        <v>0</v>
      </c>
      <c r="AY488" t="b">
        <v>0</v>
      </c>
      <c r="BA488" t="s">
        <v>2144</v>
      </c>
      <c r="BB488" t="s">
        <v>1206</v>
      </c>
      <c r="BC488" t="s">
        <v>1206</v>
      </c>
      <c r="BD488" t="s">
        <v>1207</v>
      </c>
      <c r="BE488" t="s">
        <v>1296</v>
      </c>
      <c r="BF488" t="s">
        <v>2145</v>
      </c>
      <c r="BG488" t="s">
        <v>291</v>
      </c>
      <c r="BH488" t="s">
        <v>1206</v>
      </c>
      <c r="BI488" t="s">
        <v>1206</v>
      </c>
      <c r="BJ488" t="s">
        <v>2146</v>
      </c>
    </row>
    <row r="489" spans="1:62" x14ac:dyDescent="0.25">
      <c r="A489" t="s">
        <v>1177</v>
      </c>
      <c r="B489">
        <v>120023</v>
      </c>
      <c r="C489">
        <v>120023</v>
      </c>
      <c r="D489" s="112" t="s">
        <v>2909</v>
      </c>
      <c r="E489" t="s">
        <v>1119</v>
      </c>
      <c r="F489" t="s">
        <v>1178</v>
      </c>
      <c r="G489" t="s">
        <v>2187</v>
      </c>
      <c r="H489" t="s">
        <v>2168</v>
      </c>
      <c r="I489">
        <v>12</v>
      </c>
      <c r="J489" t="s">
        <v>1279</v>
      </c>
      <c r="K489">
        <v>12174</v>
      </c>
      <c r="L489" t="s">
        <v>1571</v>
      </c>
      <c r="M489">
        <v>12174108</v>
      </c>
      <c r="N489" t="s">
        <v>2137</v>
      </c>
      <c r="O489">
        <v>12174108474</v>
      </c>
      <c r="P489" t="s">
        <v>2138</v>
      </c>
      <c r="Q489" t="s">
        <v>2169</v>
      </c>
      <c r="R489" t="s">
        <v>2170</v>
      </c>
      <c r="S489" t="s">
        <v>2168</v>
      </c>
      <c r="T489" t="s">
        <v>2171</v>
      </c>
      <c r="U489" t="s">
        <v>1237</v>
      </c>
      <c r="V489" t="s">
        <v>1238</v>
      </c>
      <c r="W489">
        <v>135</v>
      </c>
      <c r="X489" t="s">
        <v>1189</v>
      </c>
      <c r="Y489">
        <v>48</v>
      </c>
      <c r="Z489">
        <v>6480</v>
      </c>
      <c r="AA489" t="s">
        <v>28</v>
      </c>
      <c r="AB489" t="s">
        <v>1190</v>
      </c>
      <c r="AC489">
        <v>135</v>
      </c>
      <c r="AD489" t="s">
        <v>1191</v>
      </c>
      <c r="AE489" t="s">
        <v>1192</v>
      </c>
      <c r="AF489" t="s">
        <v>1193</v>
      </c>
      <c r="AG489" t="s">
        <v>1194</v>
      </c>
      <c r="AH489" t="s">
        <v>1195</v>
      </c>
      <c r="AI489" t="s">
        <v>1202</v>
      </c>
      <c r="AJ489" t="s">
        <v>1291</v>
      </c>
      <c r="AK489" t="s">
        <v>1292</v>
      </c>
      <c r="AL489" t="s">
        <v>1291</v>
      </c>
      <c r="AM489" t="s">
        <v>2142</v>
      </c>
      <c r="AN489" t="s">
        <v>1201</v>
      </c>
      <c r="AO489" t="s">
        <v>1292</v>
      </c>
      <c r="AP489" t="s">
        <v>2143</v>
      </c>
      <c r="AQ489" t="s">
        <v>1203</v>
      </c>
      <c r="AR489" t="s">
        <v>1201</v>
      </c>
      <c r="AS489" t="s">
        <v>1203</v>
      </c>
      <c r="AU489" t="s">
        <v>1204</v>
      </c>
      <c r="AW489" t="b">
        <v>0</v>
      </c>
      <c r="AY489" t="b">
        <v>0</v>
      </c>
      <c r="BA489" t="s">
        <v>2144</v>
      </c>
      <c r="BB489" t="s">
        <v>1206</v>
      </c>
      <c r="BC489" t="s">
        <v>1206</v>
      </c>
      <c r="BD489" t="s">
        <v>1207</v>
      </c>
      <c r="BE489" t="s">
        <v>1296</v>
      </c>
      <c r="BF489" t="s">
        <v>2145</v>
      </c>
      <c r="BG489" t="s">
        <v>291</v>
      </c>
      <c r="BH489" t="s">
        <v>1206</v>
      </c>
      <c r="BI489" t="s">
        <v>1206</v>
      </c>
      <c r="BJ489" t="s">
        <v>2146</v>
      </c>
    </row>
    <row r="490" spans="1:62" x14ac:dyDescent="0.25">
      <c r="A490" t="s">
        <v>1177</v>
      </c>
      <c r="B490">
        <v>120030</v>
      </c>
      <c r="C490">
        <v>120030</v>
      </c>
      <c r="D490" s="112" t="s">
        <v>2910</v>
      </c>
      <c r="E490" t="s">
        <v>1119</v>
      </c>
      <c r="F490" t="s">
        <v>1178</v>
      </c>
      <c r="G490" t="s">
        <v>294</v>
      </c>
      <c r="H490" t="s">
        <v>2168</v>
      </c>
      <c r="I490">
        <v>12</v>
      </c>
      <c r="J490" t="s">
        <v>1279</v>
      </c>
      <c r="K490">
        <v>12174</v>
      </c>
      <c r="L490" t="s">
        <v>1571</v>
      </c>
      <c r="M490">
        <v>12174108</v>
      </c>
      <c r="N490" t="s">
        <v>2137</v>
      </c>
      <c r="O490">
        <v>12174108474</v>
      </c>
      <c r="P490" t="s">
        <v>2138</v>
      </c>
      <c r="Q490" t="s">
        <v>2169</v>
      </c>
      <c r="R490" t="s">
        <v>2170</v>
      </c>
      <c r="S490" t="s">
        <v>2168</v>
      </c>
      <c r="T490" t="s">
        <v>2171</v>
      </c>
      <c r="U490" t="s">
        <v>1237</v>
      </c>
      <c r="V490" t="s">
        <v>1238</v>
      </c>
      <c r="W490">
        <v>135</v>
      </c>
      <c r="X490" t="s">
        <v>1189</v>
      </c>
      <c r="Y490">
        <v>48</v>
      </c>
      <c r="Z490">
        <v>6480</v>
      </c>
      <c r="AA490" t="s">
        <v>28</v>
      </c>
      <c r="AB490" t="s">
        <v>1190</v>
      </c>
      <c r="AC490">
        <v>135</v>
      </c>
      <c r="AD490" t="s">
        <v>1191</v>
      </c>
      <c r="AE490" t="s">
        <v>1192</v>
      </c>
      <c r="AF490" t="s">
        <v>1193</v>
      </c>
      <c r="AG490" t="s">
        <v>1194</v>
      </c>
      <c r="AH490" t="s">
        <v>1195</v>
      </c>
      <c r="AI490" t="s">
        <v>1202</v>
      </c>
      <c r="AJ490" t="s">
        <v>1291</v>
      </c>
      <c r="AK490" t="s">
        <v>1292</v>
      </c>
      <c r="AL490" t="s">
        <v>1291</v>
      </c>
      <c r="AM490" t="s">
        <v>2142</v>
      </c>
      <c r="AN490" t="s">
        <v>1201</v>
      </c>
      <c r="AO490" t="s">
        <v>1292</v>
      </c>
      <c r="AP490" t="s">
        <v>2143</v>
      </c>
      <c r="AQ490" t="s">
        <v>1203</v>
      </c>
      <c r="AR490" t="s">
        <v>1201</v>
      </c>
      <c r="AS490" t="s">
        <v>1203</v>
      </c>
      <c r="AU490" t="s">
        <v>1204</v>
      </c>
      <c r="AW490" t="b">
        <v>0</v>
      </c>
      <c r="AY490" t="b">
        <v>0</v>
      </c>
      <c r="BA490" t="s">
        <v>2144</v>
      </c>
      <c r="BB490" t="s">
        <v>1206</v>
      </c>
      <c r="BC490" t="s">
        <v>1206</v>
      </c>
      <c r="BD490" t="s">
        <v>1207</v>
      </c>
      <c r="BE490" t="s">
        <v>1296</v>
      </c>
      <c r="BF490" t="s">
        <v>2145</v>
      </c>
      <c r="BG490" t="s">
        <v>291</v>
      </c>
      <c r="BH490" t="s">
        <v>1206</v>
      </c>
      <c r="BI490" t="s">
        <v>1206</v>
      </c>
      <c r="BJ490" t="s">
        <v>2146</v>
      </c>
    </row>
    <row r="491" spans="1:62" x14ac:dyDescent="0.25">
      <c r="A491" t="s">
        <v>1177</v>
      </c>
      <c r="B491">
        <v>120035</v>
      </c>
      <c r="C491">
        <v>120035</v>
      </c>
      <c r="D491" s="112" t="s">
        <v>2911</v>
      </c>
      <c r="E491" t="s">
        <v>1119</v>
      </c>
      <c r="F491" t="s">
        <v>1178</v>
      </c>
      <c r="G491" t="s">
        <v>295</v>
      </c>
      <c r="H491" t="s">
        <v>2168</v>
      </c>
      <c r="I491">
        <v>12</v>
      </c>
      <c r="J491" t="s">
        <v>1279</v>
      </c>
      <c r="K491">
        <v>12174</v>
      </c>
      <c r="L491" t="s">
        <v>1571</v>
      </c>
      <c r="M491">
        <v>12174108</v>
      </c>
      <c r="N491" t="s">
        <v>2137</v>
      </c>
      <c r="O491">
        <v>12174108474</v>
      </c>
      <c r="P491" t="s">
        <v>2138</v>
      </c>
      <c r="Q491" t="s">
        <v>2169</v>
      </c>
      <c r="R491" t="s">
        <v>2170</v>
      </c>
      <c r="S491" t="s">
        <v>2168</v>
      </c>
      <c r="T491" t="s">
        <v>2171</v>
      </c>
      <c r="U491" t="s">
        <v>1237</v>
      </c>
      <c r="V491" t="s">
        <v>1238</v>
      </c>
      <c r="W491">
        <v>135</v>
      </c>
      <c r="X491" t="s">
        <v>1189</v>
      </c>
      <c r="Y491">
        <v>48</v>
      </c>
      <c r="Z491">
        <v>6480</v>
      </c>
      <c r="AA491" t="s">
        <v>28</v>
      </c>
      <c r="AB491" t="s">
        <v>1190</v>
      </c>
      <c r="AC491">
        <v>135</v>
      </c>
      <c r="AD491" t="s">
        <v>1191</v>
      </c>
      <c r="AE491" t="s">
        <v>1192</v>
      </c>
      <c r="AF491" t="s">
        <v>1193</v>
      </c>
      <c r="AG491" t="s">
        <v>1194</v>
      </c>
      <c r="AH491" t="s">
        <v>1195</v>
      </c>
      <c r="AI491" t="s">
        <v>1202</v>
      </c>
      <c r="AJ491" t="s">
        <v>1291</v>
      </c>
      <c r="AK491" t="s">
        <v>1292</v>
      </c>
      <c r="AL491" t="s">
        <v>1291</v>
      </c>
      <c r="AM491" t="s">
        <v>2142</v>
      </c>
      <c r="AN491" t="s">
        <v>1201</v>
      </c>
      <c r="AO491" t="s">
        <v>1292</v>
      </c>
      <c r="AP491" t="s">
        <v>2143</v>
      </c>
      <c r="AQ491" t="s">
        <v>1203</v>
      </c>
      <c r="AR491" t="s">
        <v>1201</v>
      </c>
      <c r="AS491" t="s">
        <v>1203</v>
      </c>
      <c r="AU491" t="s">
        <v>1204</v>
      </c>
      <c r="AW491" t="b">
        <v>0</v>
      </c>
      <c r="AY491" t="b">
        <v>0</v>
      </c>
      <c r="BA491" t="s">
        <v>2144</v>
      </c>
      <c r="BB491" t="s">
        <v>1206</v>
      </c>
      <c r="BC491" t="s">
        <v>1206</v>
      </c>
      <c r="BD491" t="s">
        <v>1207</v>
      </c>
      <c r="BE491" t="s">
        <v>1296</v>
      </c>
      <c r="BF491" t="s">
        <v>2145</v>
      </c>
      <c r="BG491" t="s">
        <v>291</v>
      </c>
      <c r="BH491" t="s">
        <v>1206</v>
      </c>
      <c r="BI491" t="s">
        <v>1206</v>
      </c>
      <c r="BJ491" t="s">
        <v>2146</v>
      </c>
    </row>
    <row r="492" spans="1:62" x14ac:dyDescent="0.25">
      <c r="A492" t="s">
        <v>1177</v>
      </c>
      <c r="B492">
        <v>120908</v>
      </c>
      <c r="C492" t="s">
        <v>1258</v>
      </c>
      <c r="D492" s="112" t="s">
        <v>2912</v>
      </c>
      <c r="E492" t="s">
        <v>1119</v>
      </c>
      <c r="F492" t="s">
        <v>1178</v>
      </c>
      <c r="G492" t="s">
        <v>2188</v>
      </c>
      <c r="H492" s="135" t="s">
        <v>2163</v>
      </c>
      <c r="I492">
        <v>12</v>
      </c>
      <c r="J492" t="s">
        <v>1279</v>
      </c>
      <c r="K492">
        <v>12174</v>
      </c>
      <c r="L492" t="s">
        <v>1571</v>
      </c>
      <c r="M492">
        <v>12174108</v>
      </c>
      <c r="N492" t="s">
        <v>2137</v>
      </c>
      <c r="O492">
        <v>12174108474</v>
      </c>
      <c r="P492" t="s">
        <v>2138</v>
      </c>
      <c r="Q492" s="135" t="s">
        <v>2164</v>
      </c>
      <c r="R492" t="s">
        <v>2165</v>
      </c>
      <c r="S492" s="135" t="s">
        <v>2163</v>
      </c>
      <c r="T492" t="s">
        <v>2166</v>
      </c>
      <c r="U492" t="s">
        <v>1230</v>
      </c>
      <c r="V492" t="s">
        <v>1231</v>
      </c>
      <c r="W492">
        <v>18</v>
      </c>
      <c r="X492" t="s">
        <v>1342</v>
      </c>
      <c r="Y492">
        <v>120</v>
      </c>
      <c r="Z492">
        <v>2160</v>
      </c>
      <c r="AA492" t="s">
        <v>28</v>
      </c>
      <c r="AB492" t="s">
        <v>1190</v>
      </c>
      <c r="AC492">
        <v>18</v>
      </c>
      <c r="AD492" t="s">
        <v>1232</v>
      </c>
      <c r="AE492" t="s">
        <v>1192</v>
      </c>
      <c r="AF492" t="s">
        <v>1193</v>
      </c>
      <c r="AG492" t="s">
        <v>1194</v>
      </c>
      <c r="AH492" t="s">
        <v>1195</v>
      </c>
      <c r="AI492" t="s">
        <v>1202</v>
      </c>
      <c r="AJ492" t="s">
        <v>1291</v>
      </c>
      <c r="AK492" t="s">
        <v>1272</v>
      </c>
      <c r="AL492" t="s">
        <v>1291</v>
      </c>
      <c r="AM492" t="s">
        <v>2142</v>
      </c>
      <c r="AN492" t="s">
        <v>1201</v>
      </c>
      <c r="AO492" t="s">
        <v>1292</v>
      </c>
      <c r="AP492" t="s">
        <v>2143</v>
      </c>
      <c r="AQ492" t="s">
        <v>1203</v>
      </c>
      <c r="AR492" t="s">
        <v>1201</v>
      </c>
      <c r="AS492" t="s">
        <v>1203</v>
      </c>
      <c r="AU492" t="s">
        <v>1204</v>
      </c>
      <c r="AW492" t="b">
        <v>0</v>
      </c>
      <c r="AY492" t="b">
        <v>1</v>
      </c>
      <c r="BA492" t="s">
        <v>2144</v>
      </c>
      <c r="BJ492" t="s">
        <v>2146</v>
      </c>
    </row>
    <row r="493" spans="1:62" x14ac:dyDescent="0.25">
      <c r="A493" t="s">
        <v>1177</v>
      </c>
      <c r="B493">
        <v>613020</v>
      </c>
      <c r="C493" t="s">
        <v>1258</v>
      </c>
      <c r="D493" s="112" t="s">
        <v>2913</v>
      </c>
      <c r="E493" t="s">
        <v>1119</v>
      </c>
      <c r="F493" t="s">
        <v>1178</v>
      </c>
      <c r="G493" t="s">
        <v>2189</v>
      </c>
      <c r="H493" t="s">
        <v>2190</v>
      </c>
      <c r="I493">
        <v>16</v>
      </c>
      <c r="J493" t="s">
        <v>2191</v>
      </c>
      <c r="K493">
        <v>16141</v>
      </c>
      <c r="L493" t="s">
        <v>2192</v>
      </c>
      <c r="M493">
        <v>16141163</v>
      </c>
      <c r="N493" t="s">
        <v>2193</v>
      </c>
      <c r="O493">
        <v>16141163426</v>
      </c>
      <c r="P493" t="s">
        <v>2194</v>
      </c>
      <c r="Q493" t="s">
        <v>2195</v>
      </c>
      <c r="R493" t="s">
        <v>2196</v>
      </c>
      <c r="S493" t="s">
        <v>2190</v>
      </c>
      <c r="T493" t="s">
        <v>2197</v>
      </c>
      <c r="U493" t="s">
        <v>2198</v>
      </c>
      <c r="V493" t="s">
        <v>1299</v>
      </c>
      <c r="W493">
        <v>120</v>
      </c>
      <c r="X493" t="s">
        <v>1342</v>
      </c>
      <c r="Y493">
        <v>48</v>
      </c>
      <c r="Z493">
        <v>5760</v>
      </c>
      <c r="AA493" t="s">
        <v>2199</v>
      </c>
      <c r="AB493" t="s">
        <v>2200</v>
      </c>
      <c r="AC493">
        <v>120</v>
      </c>
      <c r="AD493" t="s">
        <v>1191</v>
      </c>
      <c r="AE493" t="s">
        <v>1192</v>
      </c>
      <c r="AF493" t="s">
        <v>1193</v>
      </c>
      <c r="AG493" t="s">
        <v>2201</v>
      </c>
      <c r="AH493" t="s">
        <v>2202</v>
      </c>
      <c r="AI493" t="s">
        <v>1196</v>
      </c>
      <c r="AJ493" t="s">
        <v>1197</v>
      </c>
      <c r="AK493" t="s">
        <v>1198</v>
      </c>
      <c r="AL493" t="s">
        <v>1265</v>
      </c>
      <c r="AM493" t="s">
        <v>2203</v>
      </c>
      <c r="AN493" t="s">
        <v>1201</v>
      </c>
      <c r="AO493" t="s">
        <v>1266</v>
      </c>
      <c r="AP493" t="s">
        <v>2204</v>
      </c>
      <c r="AQ493" t="s">
        <v>1203</v>
      </c>
      <c r="AR493" t="s">
        <v>1201</v>
      </c>
      <c r="AS493" t="s">
        <v>1203</v>
      </c>
      <c r="AU493" t="s">
        <v>1204</v>
      </c>
      <c r="AW493" t="b">
        <v>0</v>
      </c>
      <c r="AY493" t="b">
        <v>0</v>
      </c>
      <c r="BA493" t="s">
        <v>2205</v>
      </c>
      <c r="BB493" t="s">
        <v>1206</v>
      </c>
      <c r="BC493" t="s">
        <v>1206</v>
      </c>
      <c r="BD493" t="s">
        <v>1207</v>
      </c>
      <c r="BE493" t="s">
        <v>1296</v>
      </c>
      <c r="BF493" t="s">
        <v>2206</v>
      </c>
      <c r="BG493" t="s">
        <v>2206</v>
      </c>
      <c r="BH493" t="s">
        <v>1206</v>
      </c>
      <c r="BI493" t="s">
        <v>1206</v>
      </c>
      <c r="BJ493" t="s">
        <v>2207</v>
      </c>
    </row>
    <row r="494" spans="1:62" x14ac:dyDescent="0.25">
      <c r="A494" t="s">
        <v>1177</v>
      </c>
      <c r="B494">
        <v>613034</v>
      </c>
      <c r="C494" t="s">
        <v>1258</v>
      </c>
      <c r="D494" s="112" t="s">
        <v>2914</v>
      </c>
      <c r="E494" t="s">
        <v>1119</v>
      </c>
      <c r="F494" t="s">
        <v>1178</v>
      </c>
      <c r="G494" t="s">
        <v>2208</v>
      </c>
      <c r="H494" t="s">
        <v>2209</v>
      </c>
      <c r="I494">
        <v>16</v>
      </c>
      <c r="J494" t="s">
        <v>2191</v>
      </c>
      <c r="K494">
        <v>16141</v>
      </c>
      <c r="L494" t="s">
        <v>2192</v>
      </c>
      <c r="M494">
        <v>16141163</v>
      </c>
      <c r="N494" t="s">
        <v>2193</v>
      </c>
      <c r="O494">
        <v>16141163426</v>
      </c>
      <c r="P494" t="s">
        <v>2194</v>
      </c>
      <c r="Q494" t="s">
        <v>2195</v>
      </c>
      <c r="R494" t="s">
        <v>2196</v>
      </c>
      <c r="S494" t="s">
        <v>2209</v>
      </c>
      <c r="T494" t="s">
        <v>2210</v>
      </c>
      <c r="U494" t="s">
        <v>2198</v>
      </c>
      <c r="V494" t="s">
        <v>1299</v>
      </c>
      <c r="W494">
        <v>120</v>
      </c>
      <c r="X494" t="s">
        <v>1342</v>
      </c>
      <c r="Y494">
        <v>24</v>
      </c>
      <c r="Z494">
        <v>2880</v>
      </c>
      <c r="AA494" t="s">
        <v>2199</v>
      </c>
      <c r="AB494" t="s">
        <v>2200</v>
      </c>
      <c r="AC494">
        <v>120</v>
      </c>
      <c r="AD494" t="s">
        <v>1191</v>
      </c>
      <c r="AE494" t="s">
        <v>1192</v>
      </c>
      <c r="AF494" t="s">
        <v>1193</v>
      </c>
      <c r="AG494" t="s">
        <v>2201</v>
      </c>
      <c r="AH494" t="s">
        <v>2202</v>
      </c>
      <c r="AI494" t="s">
        <v>1196</v>
      </c>
      <c r="AJ494" t="s">
        <v>1197</v>
      </c>
      <c r="AK494" t="s">
        <v>1198</v>
      </c>
      <c r="AL494" t="s">
        <v>2080</v>
      </c>
      <c r="AM494" t="s">
        <v>2203</v>
      </c>
      <c r="AN494" t="s">
        <v>1201</v>
      </c>
      <c r="AO494" t="s">
        <v>2081</v>
      </c>
      <c r="AP494" t="s">
        <v>2204</v>
      </c>
      <c r="AQ494" t="s">
        <v>1203</v>
      </c>
      <c r="AR494" t="s">
        <v>1201</v>
      </c>
      <c r="AS494" t="s">
        <v>1203</v>
      </c>
      <c r="AU494" t="s">
        <v>1204</v>
      </c>
      <c r="AW494" t="b">
        <v>0</v>
      </c>
      <c r="AY494" t="b">
        <v>0</v>
      </c>
      <c r="BA494" t="s">
        <v>2205</v>
      </c>
      <c r="BB494" t="s">
        <v>1206</v>
      </c>
      <c r="BC494" t="s">
        <v>1206</v>
      </c>
      <c r="BD494" t="s">
        <v>1207</v>
      </c>
      <c r="BE494" t="s">
        <v>1296</v>
      </c>
      <c r="BF494" t="s">
        <v>2206</v>
      </c>
      <c r="BG494" t="s">
        <v>2206</v>
      </c>
      <c r="BH494" t="s">
        <v>1206</v>
      </c>
      <c r="BI494" t="s">
        <v>1206</v>
      </c>
      <c r="BJ494" t="s">
        <v>2207</v>
      </c>
    </row>
    <row r="495" spans="1:62" x14ac:dyDescent="0.25">
      <c r="A495" t="s">
        <v>1177</v>
      </c>
      <c r="B495">
        <v>861322</v>
      </c>
      <c r="C495" t="s">
        <v>1258</v>
      </c>
      <c r="D495" s="112" t="s">
        <v>2915</v>
      </c>
      <c r="E495" t="s">
        <v>1119</v>
      </c>
      <c r="F495" t="s">
        <v>1178</v>
      </c>
      <c r="G495" t="s">
        <v>2211</v>
      </c>
      <c r="H495" t="s">
        <v>2209</v>
      </c>
      <c r="I495">
        <v>16</v>
      </c>
      <c r="J495" t="s">
        <v>2191</v>
      </c>
      <c r="K495">
        <v>16141</v>
      </c>
      <c r="L495" t="s">
        <v>2192</v>
      </c>
      <c r="M495">
        <v>16141163</v>
      </c>
      <c r="N495" t="s">
        <v>2193</v>
      </c>
      <c r="O495">
        <v>16141163426</v>
      </c>
      <c r="P495" t="s">
        <v>2194</v>
      </c>
      <c r="Q495" t="s">
        <v>2195</v>
      </c>
      <c r="R495" t="s">
        <v>2196</v>
      </c>
      <c r="S495" t="s">
        <v>2209</v>
      </c>
      <c r="T495" t="s">
        <v>2210</v>
      </c>
      <c r="U495" t="s">
        <v>2198</v>
      </c>
      <c r="V495" t="s">
        <v>1299</v>
      </c>
      <c r="W495">
        <v>120</v>
      </c>
      <c r="X495" t="s">
        <v>1342</v>
      </c>
      <c r="Y495">
        <v>24</v>
      </c>
      <c r="Z495">
        <v>2880</v>
      </c>
      <c r="AA495" t="s">
        <v>2199</v>
      </c>
      <c r="AB495" t="s">
        <v>2200</v>
      </c>
      <c r="AC495">
        <v>120</v>
      </c>
      <c r="AD495" t="s">
        <v>1191</v>
      </c>
      <c r="AE495" t="s">
        <v>1192</v>
      </c>
      <c r="AF495" t="s">
        <v>1193</v>
      </c>
      <c r="AG495" t="s">
        <v>2201</v>
      </c>
      <c r="AH495" t="s">
        <v>2202</v>
      </c>
      <c r="AI495" t="s">
        <v>1196</v>
      </c>
      <c r="AJ495" t="s">
        <v>1197</v>
      </c>
      <c r="AK495" t="s">
        <v>1198</v>
      </c>
      <c r="AL495" t="s">
        <v>2212</v>
      </c>
      <c r="AM495" t="s">
        <v>2203</v>
      </c>
      <c r="AN495" t="s">
        <v>1201</v>
      </c>
      <c r="AO495" t="s">
        <v>2213</v>
      </c>
      <c r="AP495" t="s">
        <v>2204</v>
      </c>
      <c r="AQ495" t="s">
        <v>1203</v>
      </c>
      <c r="AR495" t="s">
        <v>1201</v>
      </c>
      <c r="AS495" t="s">
        <v>1203</v>
      </c>
      <c r="AU495" t="s">
        <v>1204</v>
      </c>
      <c r="AW495" t="b">
        <v>0</v>
      </c>
      <c r="AY495" t="b">
        <v>0</v>
      </c>
      <c r="BA495" t="s">
        <v>2205</v>
      </c>
      <c r="BB495" t="s">
        <v>1206</v>
      </c>
      <c r="BC495" t="s">
        <v>1206</v>
      </c>
      <c r="BD495" t="s">
        <v>1207</v>
      </c>
      <c r="BE495" t="s">
        <v>1296</v>
      </c>
      <c r="BF495" t="s">
        <v>2206</v>
      </c>
      <c r="BG495" t="s">
        <v>2206</v>
      </c>
      <c r="BH495" t="s">
        <v>1206</v>
      </c>
      <c r="BI495" t="s">
        <v>1206</v>
      </c>
      <c r="BJ495" t="s">
        <v>2207</v>
      </c>
    </row>
    <row r="496" spans="1:62" x14ac:dyDescent="0.25">
      <c r="A496" t="s">
        <v>1177</v>
      </c>
      <c r="B496">
        <v>613031</v>
      </c>
      <c r="C496" t="s">
        <v>1258</v>
      </c>
      <c r="D496" s="112" t="s">
        <v>2916</v>
      </c>
      <c r="E496" t="s">
        <v>1119</v>
      </c>
      <c r="F496" t="s">
        <v>1178</v>
      </c>
      <c r="G496" t="s">
        <v>2214</v>
      </c>
      <c r="H496" t="s">
        <v>2209</v>
      </c>
      <c r="I496">
        <v>16</v>
      </c>
      <c r="J496" t="s">
        <v>2191</v>
      </c>
      <c r="K496">
        <v>16141</v>
      </c>
      <c r="L496" t="s">
        <v>2192</v>
      </c>
      <c r="M496">
        <v>16141163</v>
      </c>
      <c r="N496" t="s">
        <v>2193</v>
      </c>
      <c r="O496">
        <v>16141163426</v>
      </c>
      <c r="P496" t="s">
        <v>2194</v>
      </c>
      <c r="Q496" t="s">
        <v>2195</v>
      </c>
      <c r="R496" t="s">
        <v>2196</v>
      </c>
      <c r="S496" t="s">
        <v>2209</v>
      </c>
      <c r="T496" t="s">
        <v>2210</v>
      </c>
      <c r="U496" t="s">
        <v>2198</v>
      </c>
      <c r="V496" t="s">
        <v>1299</v>
      </c>
      <c r="W496">
        <v>120</v>
      </c>
      <c r="X496" t="s">
        <v>1342</v>
      </c>
      <c r="Y496">
        <v>24</v>
      </c>
      <c r="Z496">
        <v>2880</v>
      </c>
      <c r="AA496" t="s">
        <v>2199</v>
      </c>
      <c r="AB496" t="s">
        <v>2200</v>
      </c>
      <c r="AC496">
        <v>120</v>
      </c>
      <c r="AD496" t="s">
        <v>1191</v>
      </c>
      <c r="AE496" t="s">
        <v>1192</v>
      </c>
      <c r="AF496" t="s">
        <v>1193</v>
      </c>
      <c r="AG496" t="s">
        <v>2201</v>
      </c>
      <c r="AH496" t="s">
        <v>2202</v>
      </c>
      <c r="AI496" t="s">
        <v>1202</v>
      </c>
      <c r="AJ496" t="s">
        <v>1291</v>
      </c>
      <c r="AK496" t="s">
        <v>1292</v>
      </c>
      <c r="AL496" t="s">
        <v>1291</v>
      </c>
      <c r="AM496" t="s">
        <v>1416</v>
      </c>
      <c r="AN496" t="s">
        <v>1201</v>
      </c>
      <c r="AO496" t="s">
        <v>1292</v>
      </c>
      <c r="AP496" t="s">
        <v>1417</v>
      </c>
      <c r="AQ496" t="s">
        <v>1203</v>
      </c>
      <c r="AR496" t="s">
        <v>1201</v>
      </c>
      <c r="AS496" t="s">
        <v>1203</v>
      </c>
      <c r="AU496" t="s">
        <v>1204</v>
      </c>
      <c r="AW496" t="b">
        <v>0</v>
      </c>
      <c r="AY496" t="b">
        <v>0</v>
      </c>
      <c r="BA496" t="s">
        <v>2205</v>
      </c>
      <c r="BB496" t="s">
        <v>1206</v>
      </c>
      <c r="BC496" t="s">
        <v>1206</v>
      </c>
      <c r="BD496" t="s">
        <v>1207</v>
      </c>
      <c r="BE496" t="s">
        <v>1296</v>
      </c>
      <c r="BF496" t="s">
        <v>2206</v>
      </c>
      <c r="BG496" t="s">
        <v>2206</v>
      </c>
      <c r="BH496" t="s">
        <v>1206</v>
      </c>
      <c r="BI496" t="s">
        <v>1206</v>
      </c>
      <c r="BJ496" t="s">
        <v>2207</v>
      </c>
    </row>
    <row r="497" spans="1:62" x14ac:dyDescent="0.25">
      <c r="A497" t="s">
        <v>1177</v>
      </c>
      <c r="B497">
        <v>861320</v>
      </c>
      <c r="C497" t="s">
        <v>1258</v>
      </c>
      <c r="D497" s="112" t="s">
        <v>2917</v>
      </c>
      <c r="E497" t="s">
        <v>1119</v>
      </c>
      <c r="F497" t="s">
        <v>1178</v>
      </c>
      <c r="G497" t="s">
        <v>2215</v>
      </c>
      <c r="H497" t="s">
        <v>2209</v>
      </c>
      <c r="I497">
        <v>16</v>
      </c>
      <c r="J497" t="s">
        <v>2191</v>
      </c>
      <c r="K497">
        <v>16141</v>
      </c>
      <c r="L497" t="s">
        <v>2192</v>
      </c>
      <c r="M497">
        <v>16141163</v>
      </c>
      <c r="N497" t="s">
        <v>2193</v>
      </c>
      <c r="O497">
        <v>16141163426</v>
      </c>
      <c r="P497" t="s">
        <v>2194</v>
      </c>
      <c r="Q497" t="s">
        <v>2195</v>
      </c>
      <c r="R497" t="s">
        <v>2196</v>
      </c>
      <c r="S497" t="s">
        <v>2209</v>
      </c>
      <c r="T497" t="s">
        <v>2210</v>
      </c>
      <c r="U497" t="s">
        <v>2198</v>
      </c>
      <c r="V497" t="s">
        <v>1299</v>
      </c>
      <c r="W497">
        <v>120</v>
      </c>
      <c r="X497" t="s">
        <v>1342</v>
      </c>
      <c r="Y497">
        <v>24</v>
      </c>
      <c r="Z497">
        <v>2880</v>
      </c>
      <c r="AA497" t="s">
        <v>2199</v>
      </c>
      <c r="AB497" t="s">
        <v>2200</v>
      </c>
      <c r="AC497">
        <v>120</v>
      </c>
      <c r="AD497" t="s">
        <v>1191</v>
      </c>
      <c r="AE497" t="s">
        <v>1192</v>
      </c>
      <c r="AF497" t="s">
        <v>1193</v>
      </c>
      <c r="AG497" t="s">
        <v>2201</v>
      </c>
      <c r="AH497" t="s">
        <v>2202</v>
      </c>
      <c r="AI497" t="s">
        <v>1202</v>
      </c>
      <c r="AJ497" t="s">
        <v>1291</v>
      </c>
      <c r="AK497" t="s">
        <v>1292</v>
      </c>
      <c r="AL497" t="s">
        <v>1291</v>
      </c>
      <c r="AM497" t="s">
        <v>1416</v>
      </c>
      <c r="AN497" t="s">
        <v>1201</v>
      </c>
      <c r="AO497" t="s">
        <v>1292</v>
      </c>
      <c r="AP497" t="s">
        <v>1417</v>
      </c>
      <c r="AQ497" t="s">
        <v>1203</v>
      </c>
      <c r="AR497" t="s">
        <v>1201</v>
      </c>
      <c r="AS497" t="s">
        <v>1203</v>
      </c>
      <c r="AU497" t="s">
        <v>1204</v>
      </c>
      <c r="AW497" t="b">
        <v>0</v>
      </c>
      <c r="AY497" t="b">
        <v>0</v>
      </c>
      <c r="BA497" t="s">
        <v>2205</v>
      </c>
      <c r="BB497" t="s">
        <v>1206</v>
      </c>
      <c r="BC497" t="s">
        <v>1206</v>
      </c>
      <c r="BD497" t="s">
        <v>1207</v>
      </c>
      <c r="BE497" t="s">
        <v>1296</v>
      </c>
      <c r="BF497" t="s">
        <v>2206</v>
      </c>
      <c r="BG497" t="s">
        <v>2206</v>
      </c>
      <c r="BH497" t="s">
        <v>1206</v>
      </c>
      <c r="BI497" t="s">
        <v>1206</v>
      </c>
      <c r="BJ497" t="s">
        <v>2207</v>
      </c>
    </row>
    <row r="498" spans="1:62" x14ac:dyDescent="0.25">
      <c r="A498" t="s">
        <v>1177</v>
      </c>
      <c r="B498">
        <v>613032</v>
      </c>
      <c r="C498" t="s">
        <v>1258</v>
      </c>
      <c r="D498" s="112" t="s">
        <v>2918</v>
      </c>
      <c r="E498" t="s">
        <v>1119</v>
      </c>
      <c r="F498" t="s">
        <v>1178</v>
      </c>
      <c r="G498" t="s">
        <v>2216</v>
      </c>
      <c r="H498" t="s">
        <v>2209</v>
      </c>
      <c r="I498">
        <v>16</v>
      </c>
      <c r="J498" t="s">
        <v>2191</v>
      </c>
      <c r="K498">
        <v>16141</v>
      </c>
      <c r="L498" t="s">
        <v>2192</v>
      </c>
      <c r="M498">
        <v>16141163</v>
      </c>
      <c r="N498" t="s">
        <v>2193</v>
      </c>
      <c r="O498">
        <v>16141163426</v>
      </c>
      <c r="P498" t="s">
        <v>2194</v>
      </c>
      <c r="Q498" t="s">
        <v>2195</v>
      </c>
      <c r="R498" t="s">
        <v>2196</v>
      </c>
      <c r="S498" t="s">
        <v>2209</v>
      </c>
      <c r="T498" t="s">
        <v>2210</v>
      </c>
      <c r="U498" t="s">
        <v>2198</v>
      </c>
      <c r="V498" t="s">
        <v>1299</v>
      </c>
      <c r="W498">
        <v>120</v>
      </c>
      <c r="X498" t="s">
        <v>1342</v>
      </c>
      <c r="Y498">
        <v>24</v>
      </c>
      <c r="Z498">
        <v>2880</v>
      </c>
      <c r="AA498" t="s">
        <v>2199</v>
      </c>
      <c r="AB498" t="s">
        <v>2200</v>
      </c>
      <c r="AC498">
        <v>120</v>
      </c>
      <c r="AD498" t="s">
        <v>1191</v>
      </c>
      <c r="AE498" t="s">
        <v>1192</v>
      </c>
      <c r="AF498" t="s">
        <v>1193</v>
      </c>
      <c r="AG498" t="s">
        <v>2201</v>
      </c>
      <c r="AH498" t="s">
        <v>2202</v>
      </c>
      <c r="AI498" t="s">
        <v>1196</v>
      </c>
      <c r="AJ498" t="s">
        <v>1197</v>
      </c>
      <c r="AK498" t="s">
        <v>1198</v>
      </c>
      <c r="AL498" t="s">
        <v>1265</v>
      </c>
      <c r="AM498" t="s">
        <v>2203</v>
      </c>
      <c r="AN498" t="s">
        <v>1201</v>
      </c>
      <c r="AO498" t="s">
        <v>1266</v>
      </c>
      <c r="AP498" t="s">
        <v>2204</v>
      </c>
      <c r="AQ498" t="s">
        <v>1203</v>
      </c>
      <c r="AR498" t="s">
        <v>1201</v>
      </c>
      <c r="AS498" t="s">
        <v>1203</v>
      </c>
      <c r="AU498" t="s">
        <v>1204</v>
      </c>
      <c r="AW498" t="b">
        <v>0</v>
      </c>
      <c r="AY498" t="b">
        <v>0</v>
      </c>
      <c r="BA498" t="s">
        <v>2205</v>
      </c>
      <c r="BB498" t="s">
        <v>1206</v>
      </c>
      <c r="BC498" t="s">
        <v>1206</v>
      </c>
      <c r="BD498" t="s">
        <v>1207</v>
      </c>
      <c r="BE498" t="s">
        <v>1296</v>
      </c>
      <c r="BF498" t="s">
        <v>2206</v>
      </c>
      <c r="BG498" t="s">
        <v>2206</v>
      </c>
      <c r="BH498" t="s">
        <v>1206</v>
      </c>
      <c r="BI498" t="s">
        <v>1206</v>
      </c>
      <c r="BJ498" t="s">
        <v>2207</v>
      </c>
    </row>
    <row r="499" spans="1:62" x14ac:dyDescent="0.25">
      <c r="A499" t="s">
        <v>1177</v>
      </c>
      <c r="B499">
        <v>861321</v>
      </c>
      <c r="C499" t="s">
        <v>1258</v>
      </c>
      <c r="D499" s="112" t="s">
        <v>2919</v>
      </c>
      <c r="E499" t="s">
        <v>1119</v>
      </c>
      <c r="F499" t="s">
        <v>1178</v>
      </c>
      <c r="G499" t="s">
        <v>2217</v>
      </c>
      <c r="H499" t="s">
        <v>2209</v>
      </c>
      <c r="I499">
        <v>16</v>
      </c>
      <c r="J499" t="s">
        <v>2191</v>
      </c>
      <c r="K499">
        <v>16141</v>
      </c>
      <c r="L499" t="s">
        <v>2192</v>
      </c>
      <c r="M499">
        <v>16141163</v>
      </c>
      <c r="N499" t="s">
        <v>2193</v>
      </c>
      <c r="O499">
        <v>16141163426</v>
      </c>
      <c r="P499" t="s">
        <v>2194</v>
      </c>
      <c r="Q499" t="s">
        <v>2195</v>
      </c>
      <c r="R499" t="s">
        <v>2196</v>
      </c>
      <c r="S499" t="s">
        <v>2209</v>
      </c>
      <c r="T499" t="s">
        <v>2210</v>
      </c>
      <c r="U499" t="s">
        <v>2198</v>
      </c>
      <c r="V499" t="s">
        <v>1299</v>
      </c>
      <c r="W499">
        <v>120</v>
      </c>
      <c r="X499" t="s">
        <v>1342</v>
      </c>
      <c r="Y499">
        <v>24</v>
      </c>
      <c r="Z499">
        <v>2880</v>
      </c>
      <c r="AA499" t="s">
        <v>2199</v>
      </c>
      <c r="AB499" t="s">
        <v>2200</v>
      </c>
      <c r="AC499">
        <v>120</v>
      </c>
      <c r="AD499" t="s">
        <v>1191</v>
      </c>
      <c r="AE499" t="s">
        <v>1192</v>
      </c>
      <c r="AF499" t="s">
        <v>1193</v>
      </c>
      <c r="AG499" t="s">
        <v>2201</v>
      </c>
      <c r="AH499" t="s">
        <v>2202</v>
      </c>
      <c r="AI499" t="s">
        <v>1196</v>
      </c>
      <c r="AJ499" t="s">
        <v>1197</v>
      </c>
      <c r="AK499" t="s">
        <v>1198</v>
      </c>
      <c r="AL499" t="s">
        <v>1265</v>
      </c>
      <c r="AM499" t="s">
        <v>2203</v>
      </c>
      <c r="AN499" t="s">
        <v>1201</v>
      </c>
      <c r="AO499" t="s">
        <v>1266</v>
      </c>
      <c r="AP499" t="s">
        <v>2204</v>
      </c>
      <c r="AQ499" t="s">
        <v>1203</v>
      </c>
      <c r="AR499" t="s">
        <v>1201</v>
      </c>
      <c r="AS499" t="s">
        <v>1203</v>
      </c>
      <c r="AU499" t="s">
        <v>1204</v>
      </c>
      <c r="AW499" t="b">
        <v>0</v>
      </c>
      <c r="AY499" t="b">
        <v>0</v>
      </c>
      <c r="BA499" t="s">
        <v>2205</v>
      </c>
      <c r="BB499" t="s">
        <v>1206</v>
      </c>
      <c r="BC499" t="s">
        <v>1206</v>
      </c>
      <c r="BD499" t="s">
        <v>1207</v>
      </c>
      <c r="BE499" t="s">
        <v>1296</v>
      </c>
      <c r="BF499" t="s">
        <v>2206</v>
      </c>
      <c r="BG499" t="s">
        <v>2206</v>
      </c>
      <c r="BH499" t="s">
        <v>1206</v>
      </c>
      <c r="BI499" t="s">
        <v>1206</v>
      </c>
      <c r="BJ499" t="s">
        <v>2207</v>
      </c>
    </row>
    <row r="500" spans="1:62" x14ac:dyDescent="0.25">
      <c r="A500" t="s">
        <v>1177</v>
      </c>
      <c r="B500">
        <v>120041</v>
      </c>
      <c r="C500">
        <v>120041</v>
      </c>
      <c r="D500" s="112" t="s">
        <v>2920</v>
      </c>
      <c r="E500" t="s">
        <v>1119</v>
      </c>
      <c r="F500" t="s">
        <v>1178</v>
      </c>
      <c r="G500" t="s">
        <v>2218</v>
      </c>
      <c r="H500" t="s">
        <v>2219</v>
      </c>
      <c r="I500">
        <v>12</v>
      </c>
      <c r="J500" t="s">
        <v>1279</v>
      </c>
      <c r="K500">
        <v>12154</v>
      </c>
      <c r="L500" t="s">
        <v>2025</v>
      </c>
      <c r="M500">
        <v>12154103</v>
      </c>
      <c r="N500" t="s">
        <v>2220</v>
      </c>
      <c r="O500">
        <v>12154103328</v>
      </c>
      <c r="P500" t="s">
        <v>2221</v>
      </c>
      <c r="Q500" t="s">
        <v>2222</v>
      </c>
      <c r="R500" t="s">
        <v>2223</v>
      </c>
      <c r="S500" t="s">
        <v>2219</v>
      </c>
      <c r="T500" t="s">
        <v>2224</v>
      </c>
      <c r="U500" t="s">
        <v>1187</v>
      </c>
      <c r="V500" t="s">
        <v>1188</v>
      </c>
      <c r="W500">
        <v>195</v>
      </c>
      <c r="X500" t="s">
        <v>1189</v>
      </c>
      <c r="Y500">
        <v>24</v>
      </c>
      <c r="Z500">
        <v>4680</v>
      </c>
      <c r="AA500" t="s">
        <v>28</v>
      </c>
      <c r="AB500" t="s">
        <v>1190</v>
      </c>
      <c r="AC500">
        <v>195</v>
      </c>
      <c r="AD500" t="s">
        <v>1191</v>
      </c>
      <c r="AE500" t="s">
        <v>1192</v>
      </c>
      <c r="AF500" t="s">
        <v>1193</v>
      </c>
      <c r="AG500" t="s">
        <v>1194</v>
      </c>
      <c r="AH500" t="s">
        <v>1195</v>
      </c>
      <c r="AI500" t="s">
        <v>1196</v>
      </c>
      <c r="AJ500" t="s">
        <v>2225</v>
      </c>
      <c r="AK500" t="s">
        <v>2226</v>
      </c>
      <c r="AL500" t="s">
        <v>2227</v>
      </c>
      <c r="AM500" t="s">
        <v>1200</v>
      </c>
      <c r="AN500" t="s">
        <v>1201</v>
      </c>
      <c r="AO500" t="s">
        <v>2228</v>
      </c>
      <c r="AP500" t="s">
        <v>1202</v>
      </c>
      <c r="AQ500" t="s">
        <v>1203</v>
      </c>
      <c r="AR500" t="s">
        <v>1201</v>
      </c>
      <c r="AS500" t="s">
        <v>1203</v>
      </c>
      <c r="AU500" t="s">
        <v>1204</v>
      </c>
      <c r="AW500" t="b">
        <v>0</v>
      </c>
      <c r="AY500" t="b">
        <v>0</v>
      </c>
      <c r="BA500" t="s">
        <v>2144</v>
      </c>
      <c r="BB500" t="s">
        <v>1206</v>
      </c>
      <c r="BC500" t="s">
        <v>1206</v>
      </c>
      <c r="BD500" t="s">
        <v>1207</v>
      </c>
      <c r="BE500" t="s">
        <v>1296</v>
      </c>
      <c r="BF500" t="s">
        <v>2145</v>
      </c>
      <c r="BG500" t="s">
        <v>291</v>
      </c>
      <c r="BH500" t="s">
        <v>1206</v>
      </c>
      <c r="BI500" t="s">
        <v>1206</v>
      </c>
      <c r="BJ500" t="s">
        <v>2146</v>
      </c>
    </row>
    <row r="501" spans="1:62" x14ac:dyDescent="0.25">
      <c r="A501" t="s">
        <v>1177</v>
      </c>
      <c r="B501">
        <v>120042</v>
      </c>
      <c r="C501">
        <v>120042</v>
      </c>
      <c r="D501" s="112" t="s">
        <v>2921</v>
      </c>
      <c r="E501" t="s">
        <v>1119</v>
      </c>
      <c r="F501" t="s">
        <v>1178</v>
      </c>
      <c r="G501" t="s">
        <v>2229</v>
      </c>
      <c r="H501" s="135" t="s">
        <v>2230</v>
      </c>
      <c r="I501">
        <v>12</v>
      </c>
      <c r="J501" t="s">
        <v>1279</v>
      </c>
      <c r="K501">
        <v>12154</v>
      </c>
      <c r="L501" t="s">
        <v>2025</v>
      </c>
      <c r="M501">
        <v>12154103</v>
      </c>
      <c r="N501" t="s">
        <v>2220</v>
      </c>
      <c r="O501">
        <v>12154103328</v>
      </c>
      <c r="P501" t="s">
        <v>2221</v>
      </c>
      <c r="Q501" s="135" t="s">
        <v>2231</v>
      </c>
      <c r="R501" t="s">
        <v>2232</v>
      </c>
      <c r="S501" s="135" t="s">
        <v>2230</v>
      </c>
      <c r="T501" t="s">
        <v>2233</v>
      </c>
      <c r="U501" t="s">
        <v>1237</v>
      </c>
      <c r="V501" t="s">
        <v>1238</v>
      </c>
      <c r="W501">
        <v>1000</v>
      </c>
      <c r="X501" t="s">
        <v>1189</v>
      </c>
      <c r="Y501">
        <v>6</v>
      </c>
      <c r="Z501">
        <v>6000</v>
      </c>
      <c r="AA501" t="s">
        <v>28</v>
      </c>
      <c r="AB501" t="s">
        <v>1190</v>
      </c>
      <c r="AC501">
        <v>1000</v>
      </c>
      <c r="AD501" t="s">
        <v>1289</v>
      </c>
      <c r="AE501" t="s">
        <v>1290</v>
      </c>
      <c r="AF501" t="s">
        <v>1193</v>
      </c>
      <c r="AG501" t="s">
        <v>1194</v>
      </c>
      <c r="AH501" t="s">
        <v>1195</v>
      </c>
      <c r="AI501" t="s">
        <v>1196</v>
      </c>
      <c r="AJ501" t="s">
        <v>2225</v>
      </c>
      <c r="AK501" t="s">
        <v>2226</v>
      </c>
      <c r="AL501" t="s">
        <v>2227</v>
      </c>
      <c r="AM501" t="s">
        <v>1200</v>
      </c>
      <c r="AN501" t="s">
        <v>1201</v>
      </c>
      <c r="AO501" t="s">
        <v>2228</v>
      </c>
      <c r="AP501" t="s">
        <v>1202</v>
      </c>
      <c r="AQ501" t="s">
        <v>1203</v>
      </c>
      <c r="AR501" t="s">
        <v>1201</v>
      </c>
      <c r="AS501" t="s">
        <v>1203</v>
      </c>
      <c r="AU501" t="s">
        <v>1204</v>
      </c>
      <c r="AW501" t="b">
        <v>0</v>
      </c>
      <c r="AY501" t="b">
        <v>0</v>
      </c>
      <c r="BA501" t="s">
        <v>2144</v>
      </c>
      <c r="BB501" t="s">
        <v>1206</v>
      </c>
      <c r="BC501" t="s">
        <v>1206</v>
      </c>
      <c r="BD501" t="s">
        <v>1207</v>
      </c>
      <c r="BE501" t="s">
        <v>1296</v>
      </c>
      <c r="BF501" t="s">
        <v>2145</v>
      </c>
      <c r="BG501" t="s">
        <v>291</v>
      </c>
      <c r="BH501" t="s">
        <v>1206</v>
      </c>
      <c r="BI501" t="s">
        <v>1206</v>
      </c>
      <c r="BJ501" t="s">
        <v>2146</v>
      </c>
    </row>
    <row r="502" spans="1:62" x14ac:dyDescent="0.25">
      <c r="A502" t="s">
        <v>1177</v>
      </c>
      <c r="B502">
        <v>120011</v>
      </c>
      <c r="C502">
        <v>120011</v>
      </c>
      <c r="D502" s="112" t="s">
        <v>2922</v>
      </c>
      <c r="E502" t="s">
        <v>1119</v>
      </c>
      <c r="F502" t="s">
        <v>1178</v>
      </c>
      <c r="G502" t="s">
        <v>292</v>
      </c>
      <c r="H502" t="s">
        <v>2219</v>
      </c>
      <c r="I502">
        <v>12</v>
      </c>
      <c r="J502" t="s">
        <v>1279</v>
      </c>
      <c r="K502">
        <v>12154</v>
      </c>
      <c r="L502" t="s">
        <v>2025</v>
      </c>
      <c r="M502">
        <v>12154103</v>
      </c>
      <c r="N502" t="s">
        <v>2220</v>
      </c>
      <c r="O502">
        <v>12154103328</v>
      </c>
      <c r="P502" t="s">
        <v>2221</v>
      </c>
      <c r="Q502" t="s">
        <v>2222</v>
      </c>
      <c r="R502" t="s">
        <v>2223</v>
      </c>
      <c r="S502" t="s">
        <v>2219</v>
      </c>
      <c r="T502" t="s">
        <v>2224</v>
      </c>
      <c r="U502" t="s">
        <v>1187</v>
      </c>
      <c r="V502" t="s">
        <v>1188</v>
      </c>
      <c r="W502">
        <v>195</v>
      </c>
      <c r="X502" t="s">
        <v>1189</v>
      </c>
      <c r="Y502">
        <v>24</v>
      </c>
      <c r="Z502">
        <v>4680</v>
      </c>
      <c r="AA502" t="s">
        <v>28</v>
      </c>
      <c r="AB502" t="s">
        <v>1190</v>
      </c>
      <c r="AC502">
        <v>195</v>
      </c>
      <c r="AD502" t="s">
        <v>1191</v>
      </c>
      <c r="AE502" t="s">
        <v>1192</v>
      </c>
      <c r="AF502" t="s">
        <v>1193</v>
      </c>
      <c r="AG502" t="s">
        <v>1194</v>
      </c>
      <c r="AH502" t="s">
        <v>1195</v>
      </c>
      <c r="AI502" t="s">
        <v>1196</v>
      </c>
      <c r="AJ502" t="s">
        <v>2225</v>
      </c>
      <c r="AK502" t="s">
        <v>2226</v>
      </c>
      <c r="AL502" t="s">
        <v>2227</v>
      </c>
      <c r="AM502" t="s">
        <v>1200</v>
      </c>
      <c r="AN502" t="s">
        <v>1201</v>
      </c>
      <c r="AO502" t="s">
        <v>2228</v>
      </c>
      <c r="AP502" t="s">
        <v>1202</v>
      </c>
      <c r="AQ502" t="s">
        <v>1203</v>
      </c>
      <c r="AR502" t="s">
        <v>1201</v>
      </c>
      <c r="AS502" t="s">
        <v>1203</v>
      </c>
      <c r="AU502" t="s">
        <v>1204</v>
      </c>
      <c r="AW502" t="b">
        <v>0</v>
      </c>
      <c r="AY502" t="b">
        <v>0</v>
      </c>
      <c r="BA502" t="s">
        <v>2144</v>
      </c>
      <c r="BB502" t="s">
        <v>1206</v>
      </c>
      <c r="BC502" t="s">
        <v>1206</v>
      </c>
      <c r="BD502" t="s">
        <v>1207</v>
      </c>
      <c r="BE502" t="s">
        <v>1296</v>
      </c>
      <c r="BF502" t="s">
        <v>2145</v>
      </c>
      <c r="BG502" t="s">
        <v>291</v>
      </c>
      <c r="BH502" t="s">
        <v>1206</v>
      </c>
      <c r="BI502" t="s">
        <v>1206</v>
      </c>
      <c r="BJ502" t="s">
        <v>2146</v>
      </c>
    </row>
    <row r="503" spans="1:62" x14ac:dyDescent="0.25">
      <c r="A503" t="s">
        <v>1177</v>
      </c>
      <c r="B503">
        <v>120043</v>
      </c>
      <c r="C503">
        <v>120043</v>
      </c>
      <c r="D503" s="112" t="s">
        <v>2923</v>
      </c>
      <c r="E503" t="s">
        <v>1119</v>
      </c>
      <c r="F503" t="s">
        <v>1178</v>
      </c>
      <c r="G503" t="s">
        <v>2234</v>
      </c>
      <c r="H503" s="135" t="s">
        <v>2235</v>
      </c>
      <c r="I503">
        <v>12</v>
      </c>
      <c r="J503" t="s">
        <v>1279</v>
      </c>
      <c r="K503">
        <v>12144</v>
      </c>
      <c r="L503" t="s">
        <v>2236</v>
      </c>
      <c r="M503">
        <v>12144254</v>
      </c>
      <c r="N503" t="s">
        <v>2237</v>
      </c>
      <c r="O503">
        <v>12144254315</v>
      </c>
      <c r="P503" t="s">
        <v>2238</v>
      </c>
      <c r="Q503" s="135" t="s">
        <v>2239</v>
      </c>
      <c r="R503" t="s">
        <v>2240</v>
      </c>
      <c r="S503" s="135" t="s">
        <v>2235</v>
      </c>
      <c r="T503" t="s">
        <v>2241</v>
      </c>
      <c r="U503" t="s">
        <v>1187</v>
      </c>
      <c r="V503" t="s">
        <v>1188</v>
      </c>
      <c r="W503">
        <v>195</v>
      </c>
      <c r="X503" t="s">
        <v>1189</v>
      </c>
      <c r="Y503">
        <v>24</v>
      </c>
      <c r="Z503">
        <v>4680</v>
      </c>
      <c r="AA503" t="s">
        <v>28</v>
      </c>
      <c r="AB503" t="s">
        <v>1190</v>
      </c>
      <c r="AC503">
        <v>195</v>
      </c>
      <c r="AD503" t="s">
        <v>1191</v>
      </c>
      <c r="AE503" t="s">
        <v>1192</v>
      </c>
      <c r="AF503" t="s">
        <v>1193</v>
      </c>
      <c r="AG503" t="s">
        <v>1194</v>
      </c>
      <c r="AH503" t="s">
        <v>1195</v>
      </c>
      <c r="AI503" t="s">
        <v>1202</v>
      </c>
      <c r="AJ503" t="s">
        <v>1291</v>
      </c>
      <c r="AK503" t="s">
        <v>1292</v>
      </c>
      <c r="AL503" t="s">
        <v>1291</v>
      </c>
      <c r="AM503" t="s">
        <v>1416</v>
      </c>
      <c r="AN503" t="s">
        <v>1201</v>
      </c>
      <c r="AO503" t="s">
        <v>1292</v>
      </c>
      <c r="AP503" t="s">
        <v>1417</v>
      </c>
      <c r="AQ503" t="s">
        <v>1203</v>
      </c>
      <c r="AR503" t="s">
        <v>1201</v>
      </c>
      <c r="AS503" t="s">
        <v>1203</v>
      </c>
      <c r="AU503" t="s">
        <v>1204</v>
      </c>
      <c r="AW503" t="b">
        <v>0</v>
      </c>
      <c r="AY503" t="b">
        <v>0</v>
      </c>
      <c r="BA503" t="s">
        <v>2144</v>
      </c>
      <c r="BB503" t="s">
        <v>1206</v>
      </c>
      <c r="BC503" t="s">
        <v>1206</v>
      </c>
      <c r="BD503" t="s">
        <v>1207</v>
      </c>
      <c r="BE503" t="s">
        <v>1296</v>
      </c>
      <c r="BF503" t="s">
        <v>2145</v>
      </c>
      <c r="BG503" t="s">
        <v>291</v>
      </c>
      <c r="BH503" t="s">
        <v>1206</v>
      </c>
      <c r="BI503" t="s">
        <v>1206</v>
      </c>
      <c r="BJ503" t="s">
        <v>2146</v>
      </c>
    </row>
    <row r="504" spans="1:62" x14ac:dyDescent="0.25">
      <c r="A504" t="s">
        <v>1177</v>
      </c>
      <c r="B504">
        <v>120044</v>
      </c>
      <c r="C504">
        <v>120044</v>
      </c>
      <c r="D504" s="112" t="s">
        <v>2924</v>
      </c>
      <c r="E504" t="s">
        <v>1119</v>
      </c>
      <c r="F504" t="s">
        <v>1178</v>
      </c>
      <c r="G504" t="s">
        <v>2242</v>
      </c>
      <c r="H504" s="135" t="s">
        <v>2243</v>
      </c>
      <c r="I504">
        <v>12</v>
      </c>
      <c r="J504" t="s">
        <v>1279</v>
      </c>
      <c r="K504">
        <v>12144</v>
      </c>
      <c r="L504" t="s">
        <v>2236</v>
      </c>
      <c r="M504">
        <v>12144254</v>
      </c>
      <c r="N504" t="s">
        <v>2237</v>
      </c>
      <c r="O504">
        <v>12144254315</v>
      </c>
      <c r="P504" t="s">
        <v>2238</v>
      </c>
      <c r="Q504" s="135" t="s">
        <v>2244</v>
      </c>
      <c r="R504" t="s">
        <v>2245</v>
      </c>
      <c r="S504" s="135" t="s">
        <v>2243</v>
      </c>
      <c r="T504" t="s">
        <v>2246</v>
      </c>
      <c r="U504" t="s">
        <v>1237</v>
      </c>
      <c r="V504" t="s">
        <v>1238</v>
      </c>
      <c r="W504">
        <v>1000</v>
      </c>
      <c r="X504" t="s">
        <v>1189</v>
      </c>
      <c r="Y504">
        <v>6</v>
      </c>
      <c r="Z504">
        <v>6000</v>
      </c>
      <c r="AA504" t="s">
        <v>28</v>
      </c>
      <c r="AB504" t="s">
        <v>1190</v>
      </c>
      <c r="AC504">
        <v>1000</v>
      </c>
      <c r="AD504" t="s">
        <v>1289</v>
      </c>
      <c r="AE504" t="s">
        <v>1290</v>
      </c>
      <c r="AF504" t="s">
        <v>1193</v>
      </c>
      <c r="AG504" t="s">
        <v>1194</v>
      </c>
      <c r="AH504" t="s">
        <v>1195</v>
      </c>
      <c r="AI504" t="s">
        <v>1202</v>
      </c>
      <c r="AJ504" t="s">
        <v>1291</v>
      </c>
      <c r="AK504" t="s">
        <v>1292</v>
      </c>
      <c r="AL504" t="s">
        <v>1291</v>
      </c>
      <c r="AM504" t="s">
        <v>1416</v>
      </c>
      <c r="AN504" t="s">
        <v>1201</v>
      </c>
      <c r="AO504" t="s">
        <v>1292</v>
      </c>
      <c r="AP504" t="s">
        <v>1417</v>
      </c>
      <c r="AQ504" t="s">
        <v>1203</v>
      </c>
      <c r="AR504" t="s">
        <v>1201</v>
      </c>
      <c r="AS504" t="s">
        <v>1203</v>
      </c>
      <c r="AU504" t="s">
        <v>1204</v>
      </c>
      <c r="AW504" t="b">
        <v>0</v>
      </c>
      <c r="AY504" t="b">
        <v>0</v>
      </c>
      <c r="BA504" t="s">
        <v>2144</v>
      </c>
      <c r="BB504" t="s">
        <v>1206</v>
      </c>
      <c r="BC504" t="s">
        <v>1206</v>
      </c>
      <c r="BD504" t="s">
        <v>1207</v>
      </c>
      <c r="BE504" t="s">
        <v>1296</v>
      </c>
      <c r="BF504" t="s">
        <v>2145</v>
      </c>
      <c r="BG504" t="s">
        <v>291</v>
      </c>
      <c r="BH504" t="s">
        <v>1206</v>
      </c>
      <c r="BI504" t="s">
        <v>1206</v>
      </c>
      <c r="BJ504" t="s">
        <v>2146</v>
      </c>
    </row>
    <row r="505" spans="1:62" x14ac:dyDescent="0.25">
      <c r="A505" t="s">
        <v>1177</v>
      </c>
      <c r="B505">
        <v>120010</v>
      </c>
      <c r="C505">
        <v>120010</v>
      </c>
      <c r="D505" s="112" t="s">
        <v>2925</v>
      </c>
      <c r="E505" t="s">
        <v>1119</v>
      </c>
      <c r="F505" t="s">
        <v>1178</v>
      </c>
      <c r="G505" t="s">
        <v>2247</v>
      </c>
      <c r="H505" s="135" t="s">
        <v>2235</v>
      </c>
      <c r="I505">
        <v>12</v>
      </c>
      <c r="J505" t="s">
        <v>1279</v>
      </c>
      <c r="K505">
        <v>12144</v>
      </c>
      <c r="L505" t="s">
        <v>2236</v>
      </c>
      <c r="M505">
        <v>12144254</v>
      </c>
      <c r="N505" t="s">
        <v>2237</v>
      </c>
      <c r="O505">
        <v>12144254315</v>
      </c>
      <c r="P505" t="s">
        <v>2238</v>
      </c>
      <c r="Q505" s="135" t="s">
        <v>2239</v>
      </c>
      <c r="R505" t="s">
        <v>2240</v>
      </c>
      <c r="S505" s="135" t="s">
        <v>2235</v>
      </c>
      <c r="T505" t="s">
        <v>2241</v>
      </c>
      <c r="U505" t="s">
        <v>1187</v>
      </c>
      <c r="V505" t="s">
        <v>1188</v>
      </c>
      <c r="W505">
        <v>195</v>
      </c>
      <c r="X505" t="s">
        <v>1189</v>
      </c>
      <c r="Y505">
        <v>24</v>
      </c>
      <c r="Z505">
        <v>4680</v>
      </c>
      <c r="AA505" t="s">
        <v>28</v>
      </c>
      <c r="AB505" t="s">
        <v>1190</v>
      </c>
      <c r="AC505">
        <v>195</v>
      </c>
      <c r="AD505" t="s">
        <v>1191</v>
      </c>
      <c r="AE505" t="s">
        <v>1192</v>
      </c>
      <c r="AF505" t="s">
        <v>1193</v>
      </c>
      <c r="AG505" t="s">
        <v>1194</v>
      </c>
      <c r="AH505" t="s">
        <v>1195</v>
      </c>
      <c r="AI505" t="s">
        <v>1202</v>
      </c>
      <c r="AJ505" t="s">
        <v>1291</v>
      </c>
      <c r="AK505" t="s">
        <v>1292</v>
      </c>
      <c r="AL505" t="s">
        <v>1291</v>
      </c>
      <c r="AM505" t="s">
        <v>1416</v>
      </c>
      <c r="AN505" t="s">
        <v>1201</v>
      </c>
      <c r="AO505" t="s">
        <v>1292</v>
      </c>
      <c r="AP505" t="s">
        <v>1417</v>
      </c>
      <c r="AQ505" t="s">
        <v>1203</v>
      </c>
      <c r="AR505" t="s">
        <v>1201</v>
      </c>
      <c r="AS505" t="s">
        <v>1203</v>
      </c>
      <c r="AU505" t="s">
        <v>1204</v>
      </c>
      <c r="AW505" t="b">
        <v>0</v>
      </c>
      <c r="AY505" t="b">
        <v>0</v>
      </c>
      <c r="BA505" t="s">
        <v>2144</v>
      </c>
      <c r="BB505" t="s">
        <v>1206</v>
      </c>
      <c r="BC505" t="s">
        <v>1206</v>
      </c>
      <c r="BD505" t="s">
        <v>1207</v>
      </c>
      <c r="BE505" t="s">
        <v>1296</v>
      </c>
      <c r="BF505" t="s">
        <v>2145</v>
      </c>
      <c r="BG505" t="s">
        <v>291</v>
      </c>
      <c r="BH505" t="s">
        <v>1206</v>
      </c>
      <c r="BI505" t="s">
        <v>1206</v>
      </c>
      <c r="BJ505" t="s">
        <v>2146</v>
      </c>
    </row>
    <row r="506" spans="1:62" x14ac:dyDescent="0.25">
      <c r="A506" t="s">
        <v>1177</v>
      </c>
      <c r="B506">
        <v>190046</v>
      </c>
      <c r="C506">
        <v>190046</v>
      </c>
      <c r="D506" s="112" t="s">
        <v>2926</v>
      </c>
      <c r="E506" t="s">
        <v>1119</v>
      </c>
      <c r="F506" t="s">
        <v>1178</v>
      </c>
      <c r="G506" t="s">
        <v>2248</v>
      </c>
      <c r="H506" t="s">
        <v>2249</v>
      </c>
      <c r="I506">
        <v>12</v>
      </c>
      <c r="J506" t="s">
        <v>1279</v>
      </c>
      <c r="K506">
        <v>12142</v>
      </c>
      <c r="L506" t="s">
        <v>1956</v>
      </c>
      <c r="M506">
        <v>12142127</v>
      </c>
      <c r="N506" t="s">
        <v>1957</v>
      </c>
      <c r="O506">
        <v>12142127262</v>
      </c>
      <c r="P506" t="s">
        <v>2250</v>
      </c>
      <c r="Q506" t="s">
        <v>2251</v>
      </c>
      <c r="R506" t="s">
        <v>2252</v>
      </c>
      <c r="S506" t="s">
        <v>2249</v>
      </c>
      <c r="T506" t="s">
        <v>2253</v>
      </c>
      <c r="U506" t="s">
        <v>1230</v>
      </c>
      <c r="V506" t="s">
        <v>1231</v>
      </c>
      <c r="W506">
        <v>7</v>
      </c>
      <c r="X506" t="s">
        <v>1342</v>
      </c>
      <c r="Y506">
        <v>14</v>
      </c>
      <c r="Z506">
        <v>98</v>
      </c>
      <c r="AA506" t="s">
        <v>2254</v>
      </c>
      <c r="AB506" t="s">
        <v>2255</v>
      </c>
      <c r="AC506">
        <v>7</v>
      </c>
      <c r="AD506" t="s">
        <v>1232</v>
      </c>
      <c r="AE506" t="s">
        <v>1192</v>
      </c>
      <c r="AF506" t="s">
        <v>1962</v>
      </c>
      <c r="AG506" t="s">
        <v>2256</v>
      </c>
      <c r="AH506">
        <v>79</v>
      </c>
      <c r="AI506" t="s">
        <v>1202</v>
      </c>
      <c r="AJ506" t="s">
        <v>1291</v>
      </c>
      <c r="AK506" t="s">
        <v>1292</v>
      </c>
      <c r="AL506" t="s">
        <v>1291</v>
      </c>
      <c r="AM506" t="s">
        <v>1200</v>
      </c>
      <c r="AN506" t="s">
        <v>1201</v>
      </c>
      <c r="AO506" t="s">
        <v>1292</v>
      </c>
      <c r="AP506" t="s">
        <v>1202</v>
      </c>
      <c r="AQ506" t="s">
        <v>1203</v>
      </c>
      <c r="AR506" t="s">
        <v>1201</v>
      </c>
      <c r="AS506" t="s">
        <v>1203</v>
      </c>
      <c r="AU506" t="s">
        <v>1204</v>
      </c>
      <c r="AW506" t="b">
        <v>0</v>
      </c>
      <c r="AY506" t="b">
        <v>1</v>
      </c>
      <c r="BA506" t="s">
        <v>1963</v>
      </c>
      <c r="BB506" t="s">
        <v>1206</v>
      </c>
      <c r="BC506" t="s">
        <v>1206</v>
      </c>
      <c r="BD506" t="s">
        <v>1207</v>
      </c>
      <c r="BE506" t="s">
        <v>1296</v>
      </c>
      <c r="BF506" t="s">
        <v>1964</v>
      </c>
      <c r="BG506" t="s">
        <v>369</v>
      </c>
      <c r="BH506" t="s">
        <v>1206</v>
      </c>
      <c r="BI506" t="s">
        <v>1206</v>
      </c>
      <c r="BJ506" t="s">
        <v>1965</v>
      </c>
    </row>
    <row r="507" spans="1:62" x14ac:dyDescent="0.25">
      <c r="A507" t="s">
        <v>1177</v>
      </c>
      <c r="B507">
        <v>190060</v>
      </c>
      <c r="C507">
        <v>190060</v>
      </c>
      <c r="D507" s="112" t="s">
        <v>2927</v>
      </c>
      <c r="E507" t="s">
        <v>1119</v>
      </c>
      <c r="F507" t="s">
        <v>1178</v>
      </c>
      <c r="G507" t="s">
        <v>2257</v>
      </c>
      <c r="H507" t="s">
        <v>2258</v>
      </c>
      <c r="I507">
        <v>12</v>
      </c>
      <c r="J507" t="s">
        <v>1279</v>
      </c>
      <c r="K507">
        <v>12142</v>
      </c>
      <c r="L507" t="s">
        <v>1956</v>
      </c>
      <c r="M507">
        <v>12142127</v>
      </c>
      <c r="N507" t="s">
        <v>1957</v>
      </c>
      <c r="O507">
        <v>12142127256</v>
      </c>
      <c r="P507" t="s">
        <v>2259</v>
      </c>
      <c r="Q507" t="s">
        <v>2260</v>
      </c>
      <c r="R507" t="s">
        <v>2261</v>
      </c>
      <c r="S507" t="s">
        <v>2258</v>
      </c>
      <c r="T507" t="s">
        <v>2262</v>
      </c>
      <c r="U507" t="s">
        <v>1310</v>
      </c>
      <c r="V507" t="s">
        <v>1311</v>
      </c>
      <c r="W507">
        <v>1</v>
      </c>
      <c r="X507" t="s">
        <v>1288</v>
      </c>
      <c r="Y507">
        <v>10</v>
      </c>
      <c r="Z507">
        <v>10</v>
      </c>
      <c r="AA507" t="s">
        <v>2254</v>
      </c>
      <c r="AB507" t="s">
        <v>2255</v>
      </c>
      <c r="AC507">
        <v>1000</v>
      </c>
      <c r="AD507" t="s">
        <v>1289</v>
      </c>
      <c r="AE507" t="s">
        <v>1290</v>
      </c>
      <c r="AF507" t="s">
        <v>1962</v>
      </c>
      <c r="AG507" t="s">
        <v>2256</v>
      </c>
      <c r="AH507">
        <v>79</v>
      </c>
      <c r="AI507" t="s">
        <v>1202</v>
      </c>
      <c r="AJ507" t="s">
        <v>1291</v>
      </c>
      <c r="AK507" t="s">
        <v>1292</v>
      </c>
      <c r="AL507" t="s">
        <v>1291</v>
      </c>
      <c r="AM507" t="s">
        <v>1200</v>
      </c>
      <c r="AN507" t="s">
        <v>1201</v>
      </c>
      <c r="AO507" t="s">
        <v>1292</v>
      </c>
      <c r="AP507" t="s">
        <v>1202</v>
      </c>
      <c r="AQ507" t="s">
        <v>1203</v>
      </c>
      <c r="AR507" t="s">
        <v>1201</v>
      </c>
      <c r="AS507" t="s">
        <v>1203</v>
      </c>
      <c r="AU507" t="s">
        <v>1204</v>
      </c>
      <c r="AW507" t="b">
        <v>0</v>
      </c>
      <c r="AY507" t="b">
        <v>0</v>
      </c>
      <c r="BA507" t="s">
        <v>1963</v>
      </c>
      <c r="BB507" t="s">
        <v>1206</v>
      </c>
      <c r="BC507" t="s">
        <v>1206</v>
      </c>
      <c r="BD507" t="s">
        <v>1207</v>
      </c>
      <c r="BE507" t="s">
        <v>1296</v>
      </c>
      <c r="BF507" t="s">
        <v>1964</v>
      </c>
      <c r="BG507" t="s">
        <v>369</v>
      </c>
      <c r="BH507" t="s">
        <v>1206</v>
      </c>
      <c r="BI507" t="s">
        <v>1206</v>
      </c>
      <c r="BJ507" t="s">
        <v>1965</v>
      </c>
    </row>
    <row r="508" spans="1:62" x14ac:dyDescent="0.25">
      <c r="A508" t="s">
        <v>1177</v>
      </c>
      <c r="B508">
        <v>819057</v>
      </c>
      <c r="C508" t="s">
        <v>1258</v>
      </c>
      <c r="D508" s="112" t="s">
        <v>2928</v>
      </c>
      <c r="E508" t="s">
        <v>1119</v>
      </c>
      <c r="F508" t="s">
        <v>1178</v>
      </c>
      <c r="G508" t="s">
        <v>2263</v>
      </c>
      <c r="H508" t="s">
        <v>2264</v>
      </c>
      <c r="I508">
        <v>12</v>
      </c>
      <c r="J508" t="s">
        <v>1279</v>
      </c>
      <c r="K508">
        <v>12142</v>
      </c>
      <c r="L508" t="s">
        <v>1956</v>
      </c>
      <c r="M508">
        <v>12142127</v>
      </c>
      <c r="N508" t="s">
        <v>1957</v>
      </c>
      <c r="O508">
        <v>12142127256</v>
      </c>
      <c r="P508" t="s">
        <v>2259</v>
      </c>
      <c r="Q508" t="s">
        <v>2265</v>
      </c>
      <c r="R508" t="s">
        <v>2266</v>
      </c>
      <c r="S508" t="s">
        <v>2264</v>
      </c>
      <c r="T508" t="s">
        <v>2267</v>
      </c>
      <c r="U508" t="s">
        <v>1310</v>
      </c>
      <c r="V508" t="s">
        <v>1311</v>
      </c>
      <c r="W508">
        <v>3.23</v>
      </c>
      <c r="X508" t="s">
        <v>1288</v>
      </c>
      <c r="Y508">
        <v>6</v>
      </c>
      <c r="Z508">
        <v>19.38</v>
      </c>
      <c r="AA508" t="s">
        <v>2254</v>
      </c>
      <c r="AB508" t="s">
        <v>2255</v>
      </c>
      <c r="AC508">
        <v>3230</v>
      </c>
      <c r="AD508" t="s">
        <v>1289</v>
      </c>
      <c r="AE508" t="s">
        <v>1290</v>
      </c>
      <c r="AF508" t="s">
        <v>1962</v>
      </c>
      <c r="AG508" t="s">
        <v>2256</v>
      </c>
      <c r="AH508">
        <v>79</v>
      </c>
      <c r="AI508" t="s">
        <v>1202</v>
      </c>
      <c r="AJ508" t="s">
        <v>1291</v>
      </c>
      <c r="AK508" t="s">
        <v>1292</v>
      </c>
      <c r="AL508" t="s">
        <v>1291</v>
      </c>
      <c r="AM508" t="s">
        <v>1200</v>
      </c>
      <c r="AN508" t="s">
        <v>1201</v>
      </c>
      <c r="AO508" t="s">
        <v>1292</v>
      </c>
      <c r="AP508" t="s">
        <v>1202</v>
      </c>
      <c r="AQ508" t="s">
        <v>1203</v>
      </c>
      <c r="AR508" t="s">
        <v>1201</v>
      </c>
      <c r="AS508" t="s">
        <v>1203</v>
      </c>
      <c r="AU508" t="s">
        <v>1204</v>
      </c>
      <c r="AW508" t="b">
        <v>0</v>
      </c>
      <c r="AY508" t="b">
        <v>1</v>
      </c>
      <c r="BA508" t="s">
        <v>1963</v>
      </c>
      <c r="BB508" t="s">
        <v>1206</v>
      </c>
      <c r="BC508" t="s">
        <v>1206</v>
      </c>
      <c r="BD508" t="s">
        <v>1207</v>
      </c>
      <c r="BE508" t="s">
        <v>1296</v>
      </c>
      <c r="BF508" t="s">
        <v>1964</v>
      </c>
      <c r="BG508" t="s">
        <v>369</v>
      </c>
      <c r="BH508" t="s">
        <v>1206</v>
      </c>
      <c r="BI508" t="s">
        <v>1206</v>
      </c>
      <c r="BJ508" t="s">
        <v>1965</v>
      </c>
    </row>
    <row r="509" spans="1:62" x14ac:dyDescent="0.25">
      <c r="A509" t="s">
        <v>1177</v>
      </c>
      <c r="B509">
        <v>819055</v>
      </c>
      <c r="C509" t="s">
        <v>1258</v>
      </c>
      <c r="D509" s="112" t="s">
        <v>2929</v>
      </c>
      <c r="E509" t="s">
        <v>1119</v>
      </c>
      <c r="F509" t="s">
        <v>1178</v>
      </c>
      <c r="G509" t="s">
        <v>2268</v>
      </c>
      <c r="H509" t="s">
        <v>2269</v>
      </c>
      <c r="I509">
        <v>12</v>
      </c>
      <c r="J509" t="s">
        <v>1279</v>
      </c>
      <c r="K509">
        <v>12142</v>
      </c>
      <c r="L509" t="s">
        <v>1956</v>
      </c>
      <c r="M509">
        <v>12142127</v>
      </c>
      <c r="N509" t="s">
        <v>1957</v>
      </c>
      <c r="O509">
        <v>12142127252</v>
      </c>
      <c r="P509" t="s">
        <v>2270</v>
      </c>
      <c r="Q509" t="s">
        <v>2271</v>
      </c>
      <c r="R509" t="s">
        <v>2272</v>
      </c>
      <c r="S509" t="s">
        <v>2269</v>
      </c>
      <c r="T509" t="s">
        <v>2273</v>
      </c>
      <c r="U509" t="s">
        <v>1310</v>
      </c>
      <c r="V509" t="s">
        <v>1311</v>
      </c>
      <c r="W509">
        <v>125</v>
      </c>
      <c r="X509" t="s">
        <v>1342</v>
      </c>
      <c r="Y509">
        <v>48</v>
      </c>
      <c r="Z509">
        <v>6000</v>
      </c>
      <c r="AA509" t="s">
        <v>2254</v>
      </c>
      <c r="AB509" t="s">
        <v>2255</v>
      </c>
      <c r="AC509">
        <v>125</v>
      </c>
      <c r="AD509" t="s">
        <v>1191</v>
      </c>
      <c r="AE509" t="s">
        <v>1192</v>
      </c>
      <c r="AF509" t="s">
        <v>1193</v>
      </c>
      <c r="AG509" t="s">
        <v>2256</v>
      </c>
      <c r="AH509">
        <v>79</v>
      </c>
      <c r="AI509" t="s">
        <v>1202</v>
      </c>
      <c r="AJ509" t="s">
        <v>1291</v>
      </c>
      <c r="AK509" t="s">
        <v>1292</v>
      </c>
      <c r="AL509" t="s">
        <v>1291</v>
      </c>
      <c r="AM509" t="s">
        <v>1200</v>
      </c>
      <c r="AN509" t="s">
        <v>1201</v>
      </c>
      <c r="AO509" t="s">
        <v>1292</v>
      </c>
      <c r="AP509" t="s">
        <v>1202</v>
      </c>
      <c r="AQ509" t="s">
        <v>1203</v>
      </c>
      <c r="AR509" t="s">
        <v>1201</v>
      </c>
      <c r="AS509" t="s">
        <v>1203</v>
      </c>
      <c r="AU509" t="s">
        <v>1204</v>
      </c>
      <c r="AW509" t="b">
        <v>0</v>
      </c>
      <c r="AY509" t="b">
        <v>0</v>
      </c>
      <c r="BA509" t="s">
        <v>1963</v>
      </c>
      <c r="BB509" t="s">
        <v>1206</v>
      </c>
      <c r="BC509" t="s">
        <v>1206</v>
      </c>
      <c r="BD509" t="s">
        <v>1207</v>
      </c>
      <c r="BE509" t="s">
        <v>1296</v>
      </c>
      <c r="BF509" t="s">
        <v>1964</v>
      </c>
      <c r="BG509" t="s">
        <v>369</v>
      </c>
      <c r="BH509" t="s">
        <v>1206</v>
      </c>
      <c r="BI509" t="s">
        <v>1206</v>
      </c>
      <c r="BJ509" t="s">
        <v>1965</v>
      </c>
    </row>
    <row r="510" spans="1:62" x14ac:dyDescent="0.25">
      <c r="A510" t="s">
        <v>1177</v>
      </c>
      <c r="B510">
        <v>190058</v>
      </c>
      <c r="C510">
        <v>190058</v>
      </c>
      <c r="D510" s="112" t="s">
        <v>2930</v>
      </c>
      <c r="E510" t="s">
        <v>1119</v>
      </c>
      <c r="F510" t="s">
        <v>1178</v>
      </c>
      <c r="G510" t="s">
        <v>2274</v>
      </c>
      <c r="H510" t="s">
        <v>2269</v>
      </c>
      <c r="I510">
        <v>12</v>
      </c>
      <c r="J510" t="s">
        <v>1279</v>
      </c>
      <c r="K510">
        <v>12142</v>
      </c>
      <c r="L510" t="s">
        <v>1956</v>
      </c>
      <c r="M510">
        <v>12142127</v>
      </c>
      <c r="N510" t="s">
        <v>1957</v>
      </c>
      <c r="O510">
        <v>12142127252</v>
      </c>
      <c r="P510" t="s">
        <v>2270</v>
      </c>
      <c r="Q510" t="s">
        <v>2271</v>
      </c>
      <c r="R510" t="s">
        <v>2272</v>
      </c>
      <c r="S510" t="s">
        <v>2269</v>
      </c>
      <c r="T510" t="s">
        <v>2273</v>
      </c>
      <c r="U510" t="s">
        <v>1310</v>
      </c>
      <c r="V510" t="s">
        <v>1311</v>
      </c>
      <c r="W510">
        <v>125</v>
      </c>
      <c r="X510" t="s">
        <v>1342</v>
      </c>
      <c r="Y510">
        <v>48</v>
      </c>
      <c r="Z510">
        <v>6000</v>
      </c>
      <c r="AA510" t="s">
        <v>2254</v>
      </c>
      <c r="AB510" t="s">
        <v>2255</v>
      </c>
      <c r="AC510">
        <v>125</v>
      </c>
      <c r="AD510" t="s">
        <v>1191</v>
      </c>
      <c r="AE510" t="s">
        <v>1192</v>
      </c>
      <c r="AF510" t="s">
        <v>1193</v>
      </c>
      <c r="AG510" t="s">
        <v>2256</v>
      </c>
      <c r="AH510">
        <v>79</v>
      </c>
      <c r="AI510" t="s">
        <v>1202</v>
      </c>
      <c r="AJ510" t="s">
        <v>1291</v>
      </c>
      <c r="AK510" t="s">
        <v>1292</v>
      </c>
      <c r="AL510" t="s">
        <v>1291</v>
      </c>
      <c r="AM510" t="s">
        <v>1200</v>
      </c>
      <c r="AN510" t="s">
        <v>1201</v>
      </c>
      <c r="AO510" t="s">
        <v>1292</v>
      </c>
      <c r="AP510" t="s">
        <v>1202</v>
      </c>
      <c r="AQ510" t="s">
        <v>1203</v>
      </c>
      <c r="AR510" t="s">
        <v>1201</v>
      </c>
      <c r="AS510" t="s">
        <v>1203</v>
      </c>
      <c r="AU510" t="s">
        <v>1204</v>
      </c>
      <c r="AW510" t="b">
        <v>0</v>
      </c>
      <c r="AY510" t="b">
        <v>0</v>
      </c>
      <c r="BA510" t="s">
        <v>1963</v>
      </c>
      <c r="BB510" t="s">
        <v>1206</v>
      </c>
      <c r="BC510" t="s">
        <v>1206</v>
      </c>
      <c r="BD510" t="s">
        <v>1207</v>
      </c>
      <c r="BE510" t="s">
        <v>1296</v>
      </c>
      <c r="BF510" t="s">
        <v>1964</v>
      </c>
      <c r="BG510" t="s">
        <v>369</v>
      </c>
      <c r="BH510" t="s">
        <v>1206</v>
      </c>
      <c r="BI510" t="s">
        <v>1206</v>
      </c>
      <c r="BJ510" t="s">
        <v>1965</v>
      </c>
    </row>
    <row r="511" spans="1:62" x14ac:dyDescent="0.25">
      <c r="A511" t="s">
        <v>1177</v>
      </c>
      <c r="B511">
        <v>190057</v>
      </c>
      <c r="C511">
        <v>190057</v>
      </c>
      <c r="D511" s="112" t="s">
        <v>2931</v>
      </c>
      <c r="E511" t="s">
        <v>1119</v>
      </c>
      <c r="F511" t="s">
        <v>1178</v>
      </c>
      <c r="G511" t="s">
        <v>380</v>
      </c>
      <c r="H511" t="s">
        <v>2275</v>
      </c>
      <c r="I511">
        <v>12</v>
      </c>
      <c r="J511" t="s">
        <v>1279</v>
      </c>
      <c r="K511">
        <v>12142</v>
      </c>
      <c r="L511" t="s">
        <v>1956</v>
      </c>
      <c r="M511">
        <v>12142127</v>
      </c>
      <c r="N511" t="s">
        <v>1957</v>
      </c>
      <c r="O511">
        <v>12142127252</v>
      </c>
      <c r="P511" t="s">
        <v>2270</v>
      </c>
      <c r="Q511" t="s">
        <v>2276</v>
      </c>
      <c r="R511" t="s">
        <v>2277</v>
      </c>
      <c r="S511" t="s">
        <v>2275</v>
      </c>
      <c r="T511" t="s">
        <v>2278</v>
      </c>
      <c r="U511" t="s">
        <v>1237</v>
      </c>
      <c r="V511" t="s">
        <v>1238</v>
      </c>
      <c r="W511">
        <v>325</v>
      </c>
      <c r="X511" t="s">
        <v>1342</v>
      </c>
      <c r="Y511">
        <v>24</v>
      </c>
      <c r="Z511">
        <v>7800</v>
      </c>
      <c r="AA511" t="s">
        <v>2254</v>
      </c>
      <c r="AB511" t="s">
        <v>2255</v>
      </c>
      <c r="AC511">
        <v>325</v>
      </c>
      <c r="AD511" t="s">
        <v>1191</v>
      </c>
      <c r="AE511" t="s">
        <v>1192</v>
      </c>
      <c r="AF511" t="s">
        <v>1193</v>
      </c>
      <c r="AG511" t="s">
        <v>2256</v>
      </c>
      <c r="AH511">
        <v>79</v>
      </c>
      <c r="AI511" t="s">
        <v>1202</v>
      </c>
      <c r="AJ511" t="s">
        <v>1291</v>
      </c>
      <c r="AK511" t="s">
        <v>1292</v>
      </c>
      <c r="AL511" t="s">
        <v>1291</v>
      </c>
      <c r="AM511" t="s">
        <v>1200</v>
      </c>
      <c r="AN511" t="s">
        <v>1201</v>
      </c>
      <c r="AO511" t="s">
        <v>1292</v>
      </c>
      <c r="AP511" t="s">
        <v>1202</v>
      </c>
      <c r="AQ511" t="s">
        <v>1203</v>
      </c>
      <c r="AR511" t="s">
        <v>1201</v>
      </c>
      <c r="AS511" t="s">
        <v>1203</v>
      </c>
      <c r="AU511" t="s">
        <v>1204</v>
      </c>
      <c r="AW511" t="b">
        <v>0</v>
      </c>
      <c r="AY511" t="b">
        <v>0</v>
      </c>
      <c r="BA511" t="s">
        <v>1963</v>
      </c>
      <c r="BB511" t="s">
        <v>1206</v>
      </c>
      <c r="BC511" t="s">
        <v>1206</v>
      </c>
      <c r="BD511" t="s">
        <v>1207</v>
      </c>
      <c r="BE511" t="s">
        <v>1296</v>
      </c>
      <c r="BF511" t="s">
        <v>1964</v>
      </c>
      <c r="BG511" t="s">
        <v>369</v>
      </c>
      <c r="BH511" t="s">
        <v>1206</v>
      </c>
      <c r="BI511" t="s">
        <v>1206</v>
      </c>
      <c r="BJ511" t="s">
        <v>1965</v>
      </c>
    </row>
    <row r="512" spans="1:62" x14ac:dyDescent="0.25">
      <c r="A512" t="s">
        <v>1177</v>
      </c>
      <c r="B512">
        <v>819001</v>
      </c>
      <c r="C512" t="s">
        <v>1258</v>
      </c>
      <c r="D512" s="112" t="s">
        <v>2932</v>
      </c>
      <c r="E512" t="s">
        <v>1119</v>
      </c>
      <c r="F512" t="s">
        <v>1178</v>
      </c>
      <c r="G512" t="s">
        <v>2279</v>
      </c>
      <c r="H512" t="s">
        <v>2280</v>
      </c>
      <c r="I512">
        <v>12</v>
      </c>
      <c r="J512" t="s">
        <v>1279</v>
      </c>
      <c r="K512">
        <v>12142</v>
      </c>
      <c r="L512" t="s">
        <v>1956</v>
      </c>
      <c r="M512">
        <v>12142127</v>
      </c>
      <c r="N512" t="s">
        <v>1957</v>
      </c>
      <c r="O512">
        <v>12142127252</v>
      </c>
      <c r="P512" t="s">
        <v>2270</v>
      </c>
      <c r="Q512" t="s">
        <v>2281</v>
      </c>
      <c r="R512" t="s">
        <v>2282</v>
      </c>
      <c r="S512" t="s">
        <v>2280</v>
      </c>
      <c r="T512" t="s">
        <v>2283</v>
      </c>
      <c r="U512" t="s">
        <v>1187</v>
      </c>
      <c r="V512" t="s">
        <v>1188</v>
      </c>
      <c r="W512">
        <v>300</v>
      </c>
      <c r="X512" t="s">
        <v>1342</v>
      </c>
      <c r="Y512">
        <v>24</v>
      </c>
      <c r="Z512">
        <v>7200</v>
      </c>
      <c r="AA512" t="s">
        <v>2254</v>
      </c>
      <c r="AB512" t="s">
        <v>2255</v>
      </c>
      <c r="AC512">
        <v>300</v>
      </c>
      <c r="AD512" t="s">
        <v>1191</v>
      </c>
      <c r="AE512" t="s">
        <v>1192</v>
      </c>
      <c r="AF512" t="s">
        <v>1193</v>
      </c>
      <c r="AG512" t="s">
        <v>2256</v>
      </c>
      <c r="AH512">
        <v>79</v>
      </c>
      <c r="AI512" t="s">
        <v>1202</v>
      </c>
      <c r="AJ512" t="s">
        <v>1291</v>
      </c>
      <c r="AK512" t="s">
        <v>1292</v>
      </c>
      <c r="AL512" t="s">
        <v>1291</v>
      </c>
      <c r="AM512" t="s">
        <v>1200</v>
      </c>
      <c r="AN512" t="s">
        <v>1201</v>
      </c>
      <c r="AO512" t="s">
        <v>1292</v>
      </c>
      <c r="AP512" t="s">
        <v>1202</v>
      </c>
      <c r="AQ512" t="s">
        <v>1203</v>
      </c>
      <c r="AR512" t="s">
        <v>1201</v>
      </c>
      <c r="AS512" t="s">
        <v>1203</v>
      </c>
      <c r="AU512" t="s">
        <v>1204</v>
      </c>
      <c r="AW512" t="b">
        <v>0</v>
      </c>
      <c r="AY512" t="b">
        <v>0</v>
      </c>
      <c r="BA512" t="s">
        <v>1963</v>
      </c>
      <c r="BB512" t="s">
        <v>1206</v>
      </c>
      <c r="BC512" t="s">
        <v>1206</v>
      </c>
      <c r="BD512" t="s">
        <v>1207</v>
      </c>
      <c r="BE512" t="s">
        <v>1296</v>
      </c>
      <c r="BF512" t="s">
        <v>1964</v>
      </c>
      <c r="BG512" t="s">
        <v>369</v>
      </c>
      <c r="BH512" t="s">
        <v>1206</v>
      </c>
      <c r="BI512" t="s">
        <v>1206</v>
      </c>
      <c r="BJ512" t="s">
        <v>1965</v>
      </c>
    </row>
    <row r="513" spans="1:62" x14ac:dyDescent="0.25">
      <c r="A513" t="s">
        <v>1177</v>
      </c>
      <c r="B513">
        <v>819058</v>
      </c>
      <c r="C513" t="s">
        <v>1258</v>
      </c>
      <c r="D513" s="112" t="s">
        <v>2933</v>
      </c>
      <c r="E513" t="s">
        <v>1119</v>
      </c>
      <c r="F513" t="s">
        <v>1178</v>
      </c>
      <c r="G513" t="s">
        <v>2284</v>
      </c>
      <c r="H513" t="s">
        <v>2285</v>
      </c>
      <c r="I513">
        <v>12</v>
      </c>
      <c r="J513" t="s">
        <v>1279</v>
      </c>
      <c r="K513">
        <v>12142</v>
      </c>
      <c r="L513" t="s">
        <v>1956</v>
      </c>
      <c r="M513">
        <v>12142127</v>
      </c>
      <c r="N513" t="s">
        <v>1957</v>
      </c>
      <c r="O513">
        <v>12142127252</v>
      </c>
      <c r="P513" t="s">
        <v>2270</v>
      </c>
      <c r="Q513" t="s">
        <v>2286</v>
      </c>
      <c r="R513" t="s">
        <v>2287</v>
      </c>
      <c r="S513" t="s">
        <v>2285</v>
      </c>
      <c r="T513" t="s">
        <v>2288</v>
      </c>
      <c r="U513" t="s">
        <v>1237</v>
      </c>
      <c r="V513" t="s">
        <v>1238</v>
      </c>
      <c r="W513">
        <v>580</v>
      </c>
      <c r="X513" t="s">
        <v>1342</v>
      </c>
      <c r="Y513">
        <v>12</v>
      </c>
      <c r="Z513">
        <v>6960</v>
      </c>
      <c r="AA513" t="s">
        <v>2254</v>
      </c>
      <c r="AB513" t="s">
        <v>2255</v>
      </c>
      <c r="AC513">
        <v>580</v>
      </c>
      <c r="AD513" t="s">
        <v>1289</v>
      </c>
      <c r="AE513" t="s">
        <v>1290</v>
      </c>
      <c r="AF513" t="s">
        <v>1193</v>
      </c>
      <c r="AG513" t="s">
        <v>2256</v>
      </c>
      <c r="AH513">
        <v>79</v>
      </c>
      <c r="AI513" t="s">
        <v>1202</v>
      </c>
      <c r="AJ513" t="s">
        <v>1291</v>
      </c>
      <c r="AK513" t="s">
        <v>1292</v>
      </c>
      <c r="AL513" t="s">
        <v>1291</v>
      </c>
      <c r="AM513" t="s">
        <v>1200</v>
      </c>
      <c r="AN513" t="s">
        <v>1201</v>
      </c>
      <c r="AO513" t="s">
        <v>1292</v>
      </c>
      <c r="AP513" t="s">
        <v>1202</v>
      </c>
      <c r="AQ513" t="s">
        <v>1203</v>
      </c>
      <c r="AR513" t="s">
        <v>1201</v>
      </c>
      <c r="AS513" t="s">
        <v>1203</v>
      </c>
      <c r="AU513" t="s">
        <v>1204</v>
      </c>
      <c r="AW513" t="b">
        <v>0</v>
      </c>
      <c r="AY513" t="b">
        <v>1</v>
      </c>
      <c r="BA513" t="s">
        <v>1963</v>
      </c>
      <c r="BB513" t="s">
        <v>1206</v>
      </c>
      <c r="BC513" t="s">
        <v>1206</v>
      </c>
      <c r="BD513" t="s">
        <v>1207</v>
      </c>
      <c r="BE513" t="s">
        <v>1296</v>
      </c>
      <c r="BF513" t="s">
        <v>1964</v>
      </c>
      <c r="BG513" t="s">
        <v>369</v>
      </c>
      <c r="BH513" t="s">
        <v>1206</v>
      </c>
      <c r="BI513" t="s">
        <v>1206</v>
      </c>
      <c r="BJ513" t="s">
        <v>1965</v>
      </c>
    </row>
    <row r="514" spans="1:62" x14ac:dyDescent="0.25">
      <c r="A514" t="s">
        <v>1177</v>
      </c>
      <c r="B514">
        <v>150304</v>
      </c>
      <c r="C514">
        <v>150304</v>
      </c>
      <c r="D514" s="112" t="s">
        <v>2934</v>
      </c>
      <c r="E514" t="s">
        <v>1119</v>
      </c>
      <c r="F514" t="s">
        <v>1178</v>
      </c>
      <c r="G514" t="s">
        <v>2289</v>
      </c>
      <c r="H514" t="s">
        <v>2290</v>
      </c>
      <c r="I514">
        <v>12</v>
      </c>
      <c r="J514" t="s">
        <v>1279</v>
      </c>
      <c r="K514">
        <v>12101</v>
      </c>
      <c r="L514" t="s">
        <v>1280</v>
      </c>
      <c r="M514">
        <v>12101265</v>
      </c>
      <c r="N514" t="s">
        <v>1281</v>
      </c>
      <c r="O514">
        <v>12101265573</v>
      </c>
      <c r="P514" t="s">
        <v>2291</v>
      </c>
      <c r="Q514" t="s">
        <v>2292</v>
      </c>
      <c r="R514" t="s">
        <v>2293</v>
      </c>
      <c r="S514" t="s">
        <v>2290</v>
      </c>
      <c r="T514" t="s">
        <v>2294</v>
      </c>
      <c r="U514" t="s">
        <v>1310</v>
      </c>
      <c r="V514" t="s">
        <v>1311</v>
      </c>
      <c r="W514">
        <v>1</v>
      </c>
      <c r="X514" t="s">
        <v>1288</v>
      </c>
      <c r="Y514">
        <v>20</v>
      </c>
      <c r="Z514">
        <v>20</v>
      </c>
      <c r="AA514" t="s">
        <v>2254</v>
      </c>
      <c r="AB514" t="s">
        <v>2255</v>
      </c>
      <c r="AC514">
        <v>1000</v>
      </c>
      <c r="AD514" t="s">
        <v>1191</v>
      </c>
      <c r="AE514" t="s">
        <v>1290</v>
      </c>
      <c r="AF514" t="s">
        <v>1193</v>
      </c>
      <c r="AG514" t="s">
        <v>2256</v>
      </c>
      <c r="AH514">
        <v>79</v>
      </c>
      <c r="AI514" t="s">
        <v>1202</v>
      </c>
      <c r="AJ514" t="s">
        <v>1291</v>
      </c>
      <c r="AK514" t="s">
        <v>1292</v>
      </c>
      <c r="AL514" t="s">
        <v>1291</v>
      </c>
      <c r="AM514" t="s">
        <v>1321</v>
      </c>
      <c r="AN514" t="s">
        <v>1201</v>
      </c>
      <c r="AO514" t="s">
        <v>1292</v>
      </c>
      <c r="AP514" t="s">
        <v>1322</v>
      </c>
      <c r="AQ514" t="s">
        <v>1203</v>
      </c>
      <c r="AR514" t="s">
        <v>1201</v>
      </c>
      <c r="AS514" t="s">
        <v>1203</v>
      </c>
      <c r="AU514" t="s">
        <v>1204</v>
      </c>
      <c r="AW514" t="b">
        <v>0</v>
      </c>
      <c r="AY514" t="b">
        <v>0</v>
      </c>
      <c r="BA514" t="s">
        <v>1295</v>
      </c>
      <c r="BB514" t="s">
        <v>1206</v>
      </c>
      <c r="BC514" t="s">
        <v>1206</v>
      </c>
      <c r="BD514" t="s">
        <v>1207</v>
      </c>
      <c r="BE514" t="s">
        <v>1296</v>
      </c>
      <c r="BF514" t="s">
        <v>1297</v>
      </c>
      <c r="BG514" t="s">
        <v>1298</v>
      </c>
      <c r="BH514" t="s">
        <v>1206</v>
      </c>
      <c r="BI514" t="s">
        <v>1206</v>
      </c>
      <c r="BJ514" t="s">
        <v>1299</v>
      </c>
    </row>
    <row r="515" spans="1:62" x14ac:dyDescent="0.25">
      <c r="A515" t="s">
        <v>1177</v>
      </c>
      <c r="B515">
        <v>150213</v>
      </c>
      <c r="C515">
        <v>150213</v>
      </c>
      <c r="D515" s="112" t="s">
        <v>2935</v>
      </c>
      <c r="E515" t="s">
        <v>1119</v>
      </c>
      <c r="F515" t="s">
        <v>1178</v>
      </c>
      <c r="G515" t="s">
        <v>2295</v>
      </c>
      <c r="H515" s="135" t="s">
        <v>2296</v>
      </c>
      <c r="I515">
        <v>12</v>
      </c>
      <c r="J515" t="s">
        <v>1279</v>
      </c>
      <c r="K515">
        <v>12101</v>
      </c>
      <c r="L515" t="s">
        <v>1280</v>
      </c>
      <c r="M515">
        <v>12101265</v>
      </c>
      <c r="N515" t="s">
        <v>1281</v>
      </c>
      <c r="O515">
        <v>12101265573</v>
      </c>
      <c r="P515" t="s">
        <v>2291</v>
      </c>
      <c r="Q515" s="135" t="s">
        <v>2297</v>
      </c>
      <c r="R515" t="s">
        <v>2298</v>
      </c>
      <c r="S515" s="135" t="s">
        <v>2296</v>
      </c>
      <c r="T515" t="s">
        <v>2299</v>
      </c>
      <c r="U515" t="s">
        <v>1230</v>
      </c>
      <c r="V515" t="s">
        <v>1231</v>
      </c>
      <c r="W515">
        <v>7</v>
      </c>
      <c r="X515" t="s">
        <v>1342</v>
      </c>
      <c r="Y515">
        <v>14</v>
      </c>
      <c r="Z515">
        <v>98</v>
      </c>
      <c r="AA515" t="s">
        <v>2254</v>
      </c>
      <c r="AB515" t="s">
        <v>2255</v>
      </c>
      <c r="AC515">
        <v>7</v>
      </c>
      <c r="AD515" t="s">
        <v>1232</v>
      </c>
      <c r="AE515" t="s">
        <v>1192</v>
      </c>
      <c r="AF515" t="s">
        <v>1193</v>
      </c>
      <c r="AG515" t="s">
        <v>2256</v>
      </c>
      <c r="AH515">
        <v>79</v>
      </c>
      <c r="AI515" t="s">
        <v>1202</v>
      </c>
      <c r="AJ515" t="s">
        <v>1291</v>
      </c>
      <c r="AK515" t="s">
        <v>1292</v>
      </c>
      <c r="AL515" t="s">
        <v>1291</v>
      </c>
      <c r="AM515" t="s">
        <v>1293</v>
      </c>
      <c r="AN515" t="s">
        <v>1201</v>
      </c>
      <c r="AO515" t="s">
        <v>1292</v>
      </c>
      <c r="AP515" t="s">
        <v>1294</v>
      </c>
      <c r="AQ515" t="s">
        <v>1203</v>
      </c>
      <c r="AR515" t="s">
        <v>1201</v>
      </c>
      <c r="AS515" t="s">
        <v>1203</v>
      </c>
      <c r="AU515" t="s">
        <v>1204</v>
      </c>
      <c r="AW515" t="b">
        <v>0</v>
      </c>
      <c r="AY515" t="b">
        <v>1</v>
      </c>
      <c r="BA515" t="s">
        <v>1295</v>
      </c>
      <c r="BB515" t="s">
        <v>1206</v>
      </c>
      <c r="BC515" t="s">
        <v>1206</v>
      </c>
      <c r="BD515" t="s">
        <v>1207</v>
      </c>
      <c r="BE515" t="s">
        <v>1296</v>
      </c>
      <c r="BF515" t="s">
        <v>1297</v>
      </c>
      <c r="BG515" t="s">
        <v>1298</v>
      </c>
      <c r="BH515" t="s">
        <v>1206</v>
      </c>
      <c r="BI515" t="s">
        <v>1206</v>
      </c>
      <c r="BJ515" t="s">
        <v>1299</v>
      </c>
    </row>
    <row r="516" spans="1:62" x14ac:dyDescent="0.25">
      <c r="A516" t="s">
        <v>1177</v>
      </c>
      <c r="B516">
        <v>815276</v>
      </c>
      <c r="C516" t="s">
        <v>1258</v>
      </c>
      <c r="D516" s="112" t="s">
        <v>2936</v>
      </c>
      <c r="E516" t="s">
        <v>1119</v>
      </c>
      <c r="F516" t="s">
        <v>1178</v>
      </c>
      <c r="G516" t="s">
        <v>2300</v>
      </c>
      <c r="H516" s="135" t="s">
        <v>2301</v>
      </c>
      <c r="I516">
        <v>12</v>
      </c>
      <c r="J516" t="s">
        <v>1279</v>
      </c>
      <c r="K516">
        <v>12101</v>
      </c>
      <c r="L516" t="s">
        <v>1280</v>
      </c>
      <c r="M516">
        <v>12101265</v>
      </c>
      <c r="N516" t="s">
        <v>1281</v>
      </c>
      <c r="O516">
        <v>12101265573</v>
      </c>
      <c r="P516" t="s">
        <v>2291</v>
      </c>
      <c r="Q516" s="135" t="s">
        <v>2302</v>
      </c>
      <c r="R516" t="s">
        <v>2303</v>
      </c>
      <c r="S516" s="135" t="s">
        <v>2301</v>
      </c>
      <c r="T516" t="s">
        <v>2304</v>
      </c>
      <c r="U516" t="s">
        <v>1187</v>
      </c>
      <c r="V516" t="s">
        <v>1188</v>
      </c>
      <c r="W516">
        <v>305</v>
      </c>
      <c r="X516" t="s">
        <v>1342</v>
      </c>
      <c r="Y516">
        <v>24</v>
      </c>
      <c r="Z516">
        <v>7320</v>
      </c>
      <c r="AA516" t="s">
        <v>2254</v>
      </c>
      <c r="AB516" t="s">
        <v>2255</v>
      </c>
      <c r="AC516">
        <v>305</v>
      </c>
      <c r="AD516" t="s">
        <v>1191</v>
      </c>
      <c r="AE516" t="s">
        <v>1192</v>
      </c>
      <c r="AF516" t="s">
        <v>1193</v>
      </c>
      <c r="AG516" t="s">
        <v>2256</v>
      </c>
      <c r="AH516">
        <v>79</v>
      </c>
      <c r="AI516" t="s">
        <v>1196</v>
      </c>
      <c r="AJ516" t="s">
        <v>2225</v>
      </c>
      <c r="AK516" t="s">
        <v>2226</v>
      </c>
      <c r="AL516" t="s">
        <v>2305</v>
      </c>
      <c r="AM516" t="s">
        <v>1293</v>
      </c>
      <c r="AN516" t="s">
        <v>1201</v>
      </c>
      <c r="AO516" t="s">
        <v>2306</v>
      </c>
      <c r="AP516" t="s">
        <v>1294</v>
      </c>
      <c r="AQ516" t="s">
        <v>1203</v>
      </c>
      <c r="AR516" t="s">
        <v>1201</v>
      </c>
      <c r="AS516" t="s">
        <v>1203</v>
      </c>
      <c r="AU516" t="s">
        <v>1204</v>
      </c>
      <c r="AW516" t="b">
        <v>0</v>
      </c>
      <c r="AY516" t="b">
        <v>0</v>
      </c>
      <c r="BA516" t="s">
        <v>1295</v>
      </c>
      <c r="BJ516" t="s">
        <v>1299</v>
      </c>
    </row>
    <row r="517" spans="1:62" x14ac:dyDescent="0.25">
      <c r="A517" t="s">
        <v>1177</v>
      </c>
      <c r="B517">
        <v>815213</v>
      </c>
      <c r="C517" t="s">
        <v>1258</v>
      </c>
      <c r="D517" s="112" t="s">
        <v>2937</v>
      </c>
      <c r="E517" t="s">
        <v>1119</v>
      </c>
      <c r="F517" t="s">
        <v>1178</v>
      </c>
      <c r="G517" t="s">
        <v>2307</v>
      </c>
      <c r="H517" s="135" t="s">
        <v>2308</v>
      </c>
      <c r="I517">
        <v>12</v>
      </c>
      <c r="J517" t="s">
        <v>1279</v>
      </c>
      <c r="K517">
        <v>12101</v>
      </c>
      <c r="L517" t="s">
        <v>1280</v>
      </c>
      <c r="M517">
        <v>12101265</v>
      </c>
      <c r="N517" t="s">
        <v>1281</v>
      </c>
      <c r="O517">
        <v>12101265573</v>
      </c>
      <c r="P517" t="s">
        <v>2291</v>
      </c>
      <c r="Q517" s="135" t="s">
        <v>2309</v>
      </c>
      <c r="R517" t="s">
        <v>2310</v>
      </c>
      <c r="S517" s="135" t="s">
        <v>2308</v>
      </c>
      <c r="T517" t="s">
        <v>2311</v>
      </c>
      <c r="U517" t="s">
        <v>2312</v>
      </c>
      <c r="V517" t="s">
        <v>2313</v>
      </c>
      <c r="W517">
        <v>3.23</v>
      </c>
      <c r="X517" t="s">
        <v>1288</v>
      </c>
      <c r="Y517">
        <v>6</v>
      </c>
      <c r="Z517">
        <v>19.38</v>
      </c>
      <c r="AA517" t="s">
        <v>2254</v>
      </c>
      <c r="AB517" t="s">
        <v>2255</v>
      </c>
      <c r="AC517">
        <v>3230</v>
      </c>
      <c r="AD517" t="s">
        <v>1191</v>
      </c>
      <c r="AE517" t="s">
        <v>1290</v>
      </c>
      <c r="AF517" t="s">
        <v>1193</v>
      </c>
      <c r="AG517" t="s">
        <v>2256</v>
      </c>
      <c r="AH517">
        <v>79</v>
      </c>
      <c r="AI517" t="s">
        <v>1196</v>
      </c>
      <c r="AJ517" t="s">
        <v>2225</v>
      </c>
      <c r="AK517" t="s">
        <v>2226</v>
      </c>
      <c r="AL517" t="s">
        <v>2305</v>
      </c>
      <c r="AM517" t="s">
        <v>1293</v>
      </c>
      <c r="AN517" t="s">
        <v>1201</v>
      </c>
      <c r="AO517" t="s">
        <v>2306</v>
      </c>
      <c r="AP517" t="s">
        <v>1294</v>
      </c>
      <c r="AQ517" t="s">
        <v>1203</v>
      </c>
      <c r="AR517" t="s">
        <v>1201</v>
      </c>
      <c r="AS517" t="s">
        <v>1203</v>
      </c>
      <c r="AU517" t="s">
        <v>1204</v>
      </c>
      <c r="AW517" t="b">
        <v>0</v>
      </c>
      <c r="AY517" t="b">
        <v>0</v>
      </c>
      <c r="BA517" t="s">
        <v>1295</v>
      </c>
      <c r="BJ517" t="s">
        <v>1299</v>
      </c>
    </row>
    <row r="518" spans="1:62" x14ac:dyDescent="0.25">
      <c r="A518" t="s">
        <v>1177</v>
      </c>
      <c r="B518">
        <v>150319</v>
      </c>
      <c r="C518">
        <v>150319</v>
      </c>
      <c r="D518" s="112" t="s">
        <v>2938</v>
      </c>
      <c r="E518" t="s">
        <v>1119</v>
      </c>
      <c r="F518" t="s">
        <v>1178</v>
      </c>
      <c r="G518" t="s">
        <v>2314</v>
      </c>
      <c r="H518" s="135" t="s">
        <v>2315</v>
      </c>
      <c r="I518">
        <v>12</v>
      </c>
      <c r="J518" t="s">
        <v>1279</v>
      </c>
      <c r="K518">
        <v>12174</v>
      </c>
      <c r="L518" t="s">
        <v>1571</v>
      </c>
      <c r="M518">
        <v>12174108</v>
      </c>
      <c r="N518" t="s">
        <v>2137</v>
      </c>
      <c r="O518">
        <v>12174108814</v>
      </c>
      <c r="P518" t="s">
        <v>2316</v>
      </c>
      <c r="Q518" s="135" t="s">
        <v>2317</v>
      </c>
      <c r="R518" t="s">
        <v>2318</v>
      </c>
      <c r="S518" s="135" t="s">
        <v>2315</v>
      </c>
      <c r="T518" t="s">
        <v>2319</v>
      </c>
      <c r="U518" t="s">
        <v>1310</v>
      </c>
      <c r="V518" t="s">
        <v>1311</v>
      </c>
      <c r="W518">
        <v>70</v>
      </c>
      <c r="X518" t="s">
        <v>1342</v>
      </c>
      <c r="Y518">
        <v>48</v>
      </c>
      <c r="Z518">
        <v>3360</v>
      </c>
      <c r="AA518" t="s">
        <v>28</v>
      </c>
      <c r="AB518" t="s">
        <v>1190</v>
      </c>
      <c r="AC518">
        <v>70</v>
      </c>
      <c r="AD518" t="s">
        <v>1191</v>
      </c>
      <c r="AE518" t="s">
        <v>1192</v>
      </c>
      <c r="AF518" t="s">
        <v>1193</v>
      </c>
      <c r="AG518" t="s">
        <v>1194</v>
      </c>
      <c r="AH518" t="s">
        <v>1195</v>
      </c>
      <c r="AI518" t="s">
        <v>1202</v>
      </c>
      <c r="AJ518" t="s">
        <v>1291</v>
      </c>
      <c r="AK518" t="s">
        <v>1292</v>
      </c>
      <c r="AL518" t="s">
        <v>1291</v>
      </c>
      <c r="AM518" t="s">
        <v>2320</v>
      </c>
      <c r="AN518" t="s">
        <v>1201</v>
      </c>
      <c r="AO518" t="s">
        <v>1292</v>
      </c>
      <c r="AP518" t="s">
        <v>2321</v>
      </c>
      <c r="AQ518" t="s">
        <v>1203</v>
      </c>
      <c r="AR518" t="s">
        <v>1201</v>
      </c>
      <c r="AS518" t="s">
        <v>1203</v>
      </c>
      <c r="AU518" t="s">
        <v>1204</v>
      </c>
      <c r="AW518" t="b">
        <v>0</v>
      </c>
      <c r="AY518" t="b">
        <v>0</v>
      </c>
      <c r="BA518" t="s">
        <v>1295</v>
      </c>
      <c r="BB518" t="s">
        <v>1206</v>
      </c>
      <c r="BC518" t="s">
        <v>1206</v>
      </c>
      <c r="BD518" t="s">
        <v>1207</v>
      </c>
      <c r="BE518" t="s">
        <v>1296</v>
      </c>
      <c r="BF518" t="s">
        <v>2322</v>
      </c>
      <c r="BG518" t="s">
        <v>1298</v>
      </c>
      <c r="BH518" t="s">
        <v>2323</v>
      </c>
      <c r="BI518" t="s">
        <v>2323</v>
      </c>
      <c r="BJ518" t="s">
        <v>1299</v>
      </c>
    </row>
    <row r="519" spans="1:62" x14ac:dyDescent="0.25">
      <c r="A519" t="s">
        <v>1177</v>
      </c>
      <c r="B519">
        <v>150375</v>
      </c>
      <c r="C519">
        <v>150375</v>
      </c>
      <c r="D519" s="112" t="s">
        <v>2939</v>
      </c>
      <c r="E519" t="s">
        <v>1119</v>
      </c>
      <c r="F519" t="s">
        <v>1178</v>
      </c>
      <c r="G519" t="s">
        <v>2324</v>
      </c>
      <c r="H519" s="135" t="s">
        <v>2315</v>
      </c>
      <c r="I519">
        <v>12</v>
      </c>
      <c r="J519" t="s">
        <v>1279</v>
      </c>
      <c r="K519">
        <v>12174</v>
      </c>
      <c r="L519" t="s">
        <v>1571</v>
      </c>
      <c r="M519">
        <v>12174108</v>
      </c>
      <c r="N519" t="s">
        <v>2137</v>
      </c>
      <c r="O519">
        <v>12174108814</v>
      </c>
      <c r="P519" t="s">
        <v>2316</v>
      </c>
      <c r="Q519" s="135" t="s">
        <v>2317</v>
      </c>
      <c r="R519" t="s">
        <v>2318</v>
      </c>
      <c r="S519" s="135" t="s">
        <v>2315</v>
      </c>
      <c r="T519" t="s">
        <v>2319</v>
      </c>
      <c r="U519" t="s">
        <v>1310</v>
      </c>
      <c r="V519" t="s">
        <v>1311</v>
      </c>
      <c r="W519">
        <v>70</v>
      </c>
      <c r="X519" t="s">
        <v>1342</v>
      </c>
      <c r="Y519">
        <v>48</v>
      </c>
      <c r="Z519">
        <v>3360</v>
      </c>
      <c r="AA519" t="s">
        <v>28</v>
      </c>
      <c r="AB519" t="s">
        <v>1190</v>
      </c>
      <c r="AC519">
        <v>70</v>
      </c>
      <c r="AD519" t="s">
        <v>1191</v>
      </c>
      <c r="AE519" t="s">
        <v>1192</v>
      </c>
      <c r="AF519" t="s">
        <v>1193</v>
      </c>
      <c r="AG519" t="s">
        <v>1194</v>
      </c>
      <c r="AH519" t="s">
        <v>1195</v>
      </c>
      <c r="AI519" t="s">
        <v>1202</v>
      </c>
      <c r="AJ519" t="s">
        <v>1291</v>
      </c>
      <c r="AK519" t="s">
        <v>1292</v>
      </c>
      <c r="AL519" t="s">
        <v>1291</v>
      </c>
      <c r="AM519" t="s">
        <v>2320</v>
      </c>
      <c r="AN519" t="s">
        <v>1201</v>
      </c>
      <c r="AO519" t="s">
        <v>1292</v>
      </c>
      <c r="AP519" t="s">
        <v>2321</v>
      </c>
      <c r="AQ519" t="s">
        <v>1203</v>
      </c>
      <c r="AR519" t="s">
        <v>1201</v>
      </c>
      <c r="AS519" t="s">
        <v>1203</v>
      </c>
      <c r="AU519" t="s">
        <v>1204</v>
      </c>
      <c r="AW519" t="b">
        <v>0</v>
      </c>
      <c r="AY519" t="b">
        <v>0</v>
      </c>
      <c r="BA519" t="s">
        <v>1295</v>
      </c>
      <c r="BB519" t="s">
        <v>1206</v>
      </c>
      <c r="BC519" t="s">
        <v>1206</v>
      </c>
      <c r="BD519" t="s">
        <v>1207</v>
      </c>
      <c r="BE519" t="s">
        <v>1296</v>
      </c>
      <c r="BF519" t="s">
        <v>2322</v>
      </c>
      <c r="BG519" t="s">
        <v>1298</v>
      </c>
      <c r="BH519" t="s">
        <v>2323</v>
      </c>
      <c r="BI519" t="s">
        <v>2323</v>
      </c>
      <c r="BJ519" t="s">
        <v>1299</v>
      </c>
    </row>
    <row r="520" spans="1:62" x14ac:dyDescent="0.25">
      <c r="A520" t="s">
        <v>1177</v>
      </c>
      <c r="B520">
        <v>150376</v>
      </c>
      <c r="C520">
        <v>150376</v>
      </c>
      <c r="D520" s="112" t="s">
        <v>2940</v>
      </c>
      <c r="E520" t="s">
        <v>1119</v>
      </c>
      <c r="F520" t="s">
        <v>1178</v>
      </c>
      <c r="G520" t="s">
        <v>2325</v>
      </c>
      <c r="H520" s="135" t="s">
        <v>2326</v>
      </c>
      <c r="I520">
        <v>12</v>
      </c>
      <c r="J520" t="s">
        <v>1279</v>
      </c>
      <c r="K520">
        <v>12174</v>
      </c>
      <c r="L520" t="s">
        <v>1571</v>
      </c>
      <c r="M520">
        <v>12174108</v>
      </c>
      <c r="N520" t="s">
        <v>2137</v>
      </c>
      <c r="O520">
        <v>12174108814</v>
      </c>
      <c r="P520" t="s">
        <v>2316</v>
      </c>
      <c r="Q520" s="135" t="s">
        <v>2327</v>
      </c>
      <c r="R520" t="s">
        <v>2328</v>
      </c>
      <c r="S520" s="135" t="s">
        <v>2326</v>
      </c>
      <c r="T520" t="s">
        <v>2329</v>
      </c>
      <c r="U520" t="s">
        <v>1230</v>
      </c>
      <c r="V520" t="s">
        <v>1231</v>
      </c>
      <c r="W520">
        <v>18</v>
      </c>
      <c r="X520" t="s">
        <v>1342</v>
      </c>
      <c r="Y520">
        <v>100</v>
      </c>
      <c r="Z520">
        <v>1800</v>
      </c>
      <c r="AA520" t="s">
        <v>28</v>
      </c>
      <c r="AB520" t="s">
        <v>1190</v>
      </c>
      <c r="AC520">
        <v>18</v>
      </c>
      <c r="AD520" t="s">
        <v>1232</v>
      </c>
      <c r="AE520" t="s">
        <v>1192</v>
      </c>
      <c r="AF520" t="s">
        <v>1193</v>
      </c>
      <c r="AG520" t="s">
        <v>1194</v>
      </c>
      <c r="AH520" t="s">
        <v>1195</v>
      </c>
      <c r="AI520" t="s">
        <v>1202</v>
      </c>
      <c r="AJ520" t="s">
        <v>1291</v>
      </c>
      <c r="AK520" t="s">
        <v>1292</v>
      </c>
      <c r="AL520" t="s">
        <v>1291</v>
      </c>
      <c r="AM520" t="s">
        <v>2320</v>
      </c>
      <c r="AN520" t="s">
        <v>1201</v>
      </c>
      <c r="AO520" t="s">
        <v>1292</v>
      </c>
      <c r="AP520" t="s">
        <v>2321</v>
      </c>
      <c r="AQ520" t="s">
        <v>1203</v>
      </c>
      <c r="AR520" t="s">
        <v>1201</v>
      </c>
      <c r="AS520" t="s">
        <v>1203</v>
      </c>
      <c r="AU520" t="s">
        <v>1204</v>
      </c>
      <c r="AW520" t="b">
        <v>0</v>
      </c>
      <c r="AY520" t="b">
        <v>0</v>
      </c>
      <c r="BA520" t="s">
        <v>1295</v>
      </c>
      <c r="BB520" t="s">
        <v>1206</v>
      </c>
      <c r="BC520" t="s">
        <v>1206</v>
      </c>
      <c r="BD520" t="s">
        <v>1207</v>
      </c>
      <c r="BE520" t="s">
        <v>1296</v>
      </c>
      <c r="BF520" t="s">
        <v>2322</v>
      </c>
      <c r="BG520" t="s">
        <v>1298</v>
      </c>
      <c r="BH520" t="s">
        <v>2323</v>
      </c>
      <c r="BI520" t="s">
        <v>2323</v>
      </c>
      <c r="BJ520" t="s">
        <v>1299</v>
      </c>
    </row>
    <row r="521" spans="1:62" x14ac:dyDescent="0.25">
      <c r="A521" t="s">
        <v>1177</v>
      </c>
      <c r="B521">
        <v>150360</v>
      </c>
      <c r="C521">
        <v>150360</v>
      </c>
      <c r="D521" s="112" t="s">
        <v>2941</v>
      </c>
      <c r="E521" t="s">
        <v>1119</v>
      </c>
      <c r="F521" t="s">
        <v>1178</v>
      </c>
      <c r="G521" t="s">
        <v>2330</v>
      </c>
      <c r="H521" s="135" t="s">
        <v>2331</v>
      </c>
      <c r="I521">
        <v>12</v>
      </c>
      <c r="J521" t="s">
        <v>1279</v>
      </c>
      <c r="K521">
        <v>12174</v>
      </c>
      <c r="L521" t="s">
        <v>1571</v>
      </c>
      <c r="M521">
        <v>12174108</v>
      </c>
      <c r="N521" t="s">
        <v>2137</v>
      </c>
      <c r="O521">
        <v>12174108814</v>
      </c>
      <c r="P521" t="s">
        <v>2316</v>
      </c>
      <c r="Q521" s="135" t="s">
        <v>2332</v>
      </c>
      <c r="R521" t="s">
        <v>2333</v>
      </c>
      <c r="S521" s="135" t="s">
        <v>2331</v>
      </c>
      <c r="T521" t="s">
        <v>2334</v>
      </c>
      <c r="U521" t="s">
        <v>1310</v>
      </c>
      <c r="V521" t="s">
        <v>1311</v>
      </c>
      <c r="W521">
        <v>180</v>
      </c>
      <c r="X521" t="s">
        <v>1342</v>
      </c>
      <c r="Y521">
        <v>24</v>
      </c>
      <c r="Z521">
        <v>4320</v>
      </c>
      <c r="AA521" t="s">
        <v>28</v>
      </c>
      <c r="AB521" t="s">
        <v>1190</v>
      </c>
      <c r="AC521">
        <v>180</v>
      </c>
      <c r="AD521" t="s">
        <v>1191</v>
      </c>
      <c r="AE521" t="s">
        <v>1192</v>
      </c>
      <c r="AF521" t="s">
        <v>1193</v>
      </c>
      <c r="AG521" t="s">
        <v>1194</v>
      </c>
      <c r="AH521" t="s">
        <v>1195</v>
      </c>
      <c r="AI521" t="s">
        <v>1202</v>
      </c>
      <c r="AJ521" t="s">
        <v>1291</v>
      </c>
      <c r="AK521" t="s">
        <v>1292</v>
      </c>
      <c r="AL521" t="s">
        <v>1291</v>
      </c>
      <c r="AM521" t="s">
        <v>2320</v>
      </c>
      <c r="AN521" t="s">
        <v>1201</v>
      </c>
      <c r="AO521" t="s">
        <v>1292</v>
      </c>
      <c r="AP521" t="s">
        <v>2321</v>
      </c>
      <c r="AQ521" t="s">
        <v>1203</v>
      </c>
      <c r="AR521" t="s">
        <v>1201</v>
      </c>
      <c r="AS521" t="s">
        <v>1203</v>
      </c>
      <c r="AU521" t="s">
        <v>1204</v>
      </c>
      <c r="AW521" t="b">
        <v>0</v>
      </c>
      <c r="AY521" t="b">
        <v>1</v>
      </c>
      <c r="BA521" t="s">
        <v>1295</v>
      </c>
      <c r="BB521" t="s">
        <v>1206</v>
      </c>
      <c r="BC521" t="s">
        <v>1206</v>
      </c>
      <c r="BD521" t="s">
        <v>1207</v>
      </c>
      <c r="BE521" t="s">
        <v>1296</v>
      </c>
      <c r="BF521" t="s">
        <v>2322</v>
      </c>
      <c r="BG521" t="s">
        <v>1298</v>
      </c>
      <c r="BH521" t="s">
        <v>2323</v>
      </c>
      <c r="BI521" t="s">
        <v>2323</v>
      </c>
      <c r="BJ521" t="s">
        <v>1299</v>
      </c>
    </row>
    <row r="522" spans="1:62" x14ac:dyDescent="0.25">
      <c r="A522" t="s">
        <v>1177</v>
      </c>
      <c r="B522">
        <v>150990</v>
      </c>
      <c r="C522">
        <v>150990</v>
      </c>
      <c r="D522" s="112" t="s">
        <v>2942</v>
      </c>
      <c r="E522" t="s">
        <v>1119</v>
      </c>
      <c r="F522" t="s">
        <v>1178</v>
      </c>
      <c r="G522" t="s">
        <v>2335</v>
      </c>
      <c r="H522" s="135" t="s">
        <v>2326</v>
      </c>
      <c r="I522">
        <v>12</v>
      </c>
      <c r="J522" t="s">
        <v>1279</v>
      </c>
      <c r="K522">
        <v>12174</v>
      </c>
      <c r="L522" t="s">
        <v>1571</v>
      </c>
      <c r="M522">
        <v>12174108</v>
      </c>
      <c r="N522" t="s">
        <v>2137</v>
      </c>
      <c r="O522">
        <v>12174108814</v>
      </c>
      <c r="P522" t="s">
        <v>2316</v>
      </c>
      <c r="Q522" s="135" t="s">
        <v>2327</v>
      </c>
      <c r="R522" t="s">
        <v>2328</v>
      </c>
      <c r="S522" s="135" t="s">
        <v>2326</v>
      </c>
      <c r="T522" t="s">
        <v>2329</v>
      </c>
      <c r="U522" t="s">
        <v>1230</v>
      </c>
      <c r="V522" t="s">
        <v>1231</v>
      </c>
      <c r="W522">
        <v>18</v>
      </c>
      <c r="X522" t="s">
        <v>1342</v>
      </c>
      <c r="Y522">
        <v>100</v>
      </c>
      <c r="Z522">
        <v>1800</v>
      </c>
      <c r="AA522" t="s">
        <v>28</v>
      </c>
      <c r="AB522" t="s">
        <v>1190</v>
      </c>
      <c r="AC522">
        <v>18</v>
      </c>
      <c r="AD522" t="s">
        <v>1232</v>
      </c>
      <c r="AE522" t="s">
        <v>1192</v>
      </c>
      <c r="AF522" t="s">
        <v>1193</v>
      </c>
      <c r="AG522" t="s">
        <v>1194</v>
      </c>
      <c r="AH522" t="s">
        <v>1195</v>
      </c>
      <c r="AI522" t="s">
        <v>1202</v>
      </c>
      <c r="AJ522" t="s">
        <v>1291</v>
      </c>
      <c r="AK522" t="s">
        <v>1292</v>
      </c>
      <c r="AL522" t="s">
        <v>1291</v>
      </c>
      <c r="AM522" t="s">
        <v>2320</v>
      </c>
      <c r="AN522" t="s">
        <v>1201</v>
      </c>
      <c r="AO522" t="s">
        <v>1292</v>
      </c>
      <c r="AP522" t="s">
        <v>2321</v>
      </c>
      <c r="AQ522" t="s">
        <v>1203</v>
      </c>
      <c r="AR522" t="s">
        <v>1201</v>
      </c>
      <c r="AS522" t="s">
        <v>1203</v>
      </c>
      <c r="AU522" t="s">
        <v>1204</v>
      </c>
      <c r="AW522" t="b">
        <v>0</v>
      </c>
      <c r="AY522" t="b">
        <v>1</v>
      </c>
      <c r="BA522" t="s">
        <v>1295</v>
      </c>
      <c r="BB522" t="s">
        <v>1206</v>
      </c>
      <c r="BC522" t="s">
        <v>1206</v>
      </c>
      <c r="BD522" t="s">
        <v>1207</v>
      </c>
      <c r="BE522" t="s">
        <v>1296</v>
      </c>
      <c r="BF522" t="s">
        <v>2322</v>
      </c>
      <c r="BG522" t="s">
        <v>1298</v>
      </c>
      <c r="BH522" t="s">
        <v>2323</v>
      </c>
      <c r="BI522" t="s">
        <v>2323</v>
      </c>
      <c r="BJ522" t="s">
        <v>1299</v>
      </c>
    </row>
    <row r="523" spans="1:62" x14ac:dyDescent="0.25">
      <c r="A523" t="s">
        <v>1177</v>
      </c>
      <c r="B523">
        <v>150365</v>
      </c>
      <c r="C523">
        <v>150365</v>
      </c>
      <c r="D523" s="112" t="s">
        <v>2943</v>
      </c>
      <c r="E523" t="s">
        <v>1119</v>
      </c>
      <c r="F523" t="s">
        <v>1178</v>
      </c>
      <c r="G523" t="s">
        <v>2335</v>
      </c>
      <c r="H523" s="135" t="s">
        <v>2336</v>
      </c>
      <c r="I523">
        <v>12</v>
      </c>
      <c r="J523" t="s">
        <v>1279</v>
      </c>
      <c r="K523">
        <v>12174</v>
      </c>
      <c r="L523" t="s">
        <v>1571</v>
      </c>
      <c r="M523">
        <v>12174108</v>
      </c>
      <c r="N523" t="s">
        <v>2137</v>
      </c>
      <c r="O523">
        <v>12174108814</v>
      </c>
      <c r="P523" t="s">
        <v>2316</v>
      </c>
      <c r="Q523" s="135" t="s">
        <v>2327</v>
      </c>
      <c r="R523" t="s">
        <v>2328</v>
      </c>
      <c r="S523" s="135" t="s">
        <v>2336</v>
      </c>
      <c r="T523" t="s">
        <v>2337</v>
      </c>
      <c r="U523" t="s">
        <v>1230</v>
      </c>
      <c r="V523" t="s">
        <v>1231</v>
      </c>
      <c r="W523">
        <v>18</v>
      </c>
      <c r="X523" t="s">
        <v>1342</v>
      </c>
      <c r="Y523">
        <v>10</v>
      </c>
      <c r="Z523">
        <v>180</v>
      </c>
      <c r="AA523" t="s">
        <v>28</v>
      </c>
      <c r="AB523" t="s">
        <v>1190</v>
      </c>
      <c r="AC523">
        <v>18</v>
      </c>
      <c r="AD523" t="s">
        <v>1232</v>
      </c>
      <c r="AE523" t="s">
        <v>1192</v>
      </c>
      <c r="AF523" t="s">
        <v>1193</v>
      </c>
      <c r="AG523" t="s">
        <v>1194</v>
      </c>
      <c r="AH523" t="s">
        <v>1195</v>
      </c>
      <c r="AI523" t="s">
        <v>1202</v>
      </c>
      <c r="AJ523" t="s">
        <v>1291</v>
      </c>
      <c r="AK523" t="s">
        <v>1292</v>
      </c>
      <c r="AL523" t="s">
        <v>1291</v>
      </c>
      <c r="AM523" t="s">
        <v>2320</v>
      </c>
      <c r="AN523" t="s">
        <v>1201</v>
      </c>
      <c r="AO523" t="s">
        <v>1292</v>
      </c>
      <c r="AP523" t="s">
        <v>2321</v>
      </c>
      <c r="AQ523" t="s">
        <v>1203</v>
      </c>
      <c r="AR523" t="s">
        <v>1201</v>
      </c>
      <c r="AS523" t="s">
        <v>1203</v>
      </c>
      <c r="AU523" t="s">
        <v>1204</v>
      </c>
      <c r="AW523" t="b">
        <v>0</v>
      </c>
      <c r="AY523" t="b">
        <v>1</v>
      </c>
      <c r="BA523" t="s">
        <v>1295</v>
      </c>
      <c r="BB523" t="s">
        <v>1206</v>
      </c>
      <c r="BC523" t="s">
        <v>1206</v>
      </c>
      <c r="BD523" t="s">
        <v>1207</v>
      </c>
      <c r="BE523" t="s">
        <v>1296</v>
      </c>
      <c r="BF523" t="s">
        <v>2322</v>
      </c>
      <c r="BG523" t="s">
        <v>1298</v>
      </c>
      <c r="BH523" t="s">
        <v>2323</v>
      </c>
      <c r="BI523" t="s">
        <v>2323</v>
      </c>
      <c r="BJ523" t="s">
        <v>1299</v>
      </c>
    </row>
    <row r="524" spans="1:62" x14ac:dyDescent="0.25">
      <c r="A524" t="s">
        <v>1177</v>
      </c>
      <c r="B524">
        <v>150980</v>
      </c>
      <c r="C524">
        <v>150980</v>
      </c>
      <c r="D524" s="112" t="s">
        <v>2944</v>
      </c>
      <c r="E524" t="s">
        <v>1119</v>
      </c>
      <c r="F524" t="s">
        <v>1178</v>
      </c>
      <c r="G524" t="s">
        <v>2335</v>
      </c>
      <c r="H524" s="135" t="s">
        <v>2336</v>
      </c>
      <c r="I524">
        <v>12</v>
      </c>
      <c r="J524" t="s">
        <v>1279</v>
      </c>
      <c r="K524">
        <v>12174</v>
      </c>
      <c r="L524" t="s">
        <v>1571</v>
      </c>
      <c r="M524">
        <v>12174108</v>
      </c>
      <c r="N524" t="s">
        <v>2137</v>
      </c>
      <c r="O524">
        <v>12174108814</v>
      </c>
      <c r="P524" t="s">
        <v>2316</v>
      </c>
      <c r="Q524" s="135" t="s">
        <v>2327</v>
      </c>
      <c r="R524" t="s">
        <v>2328</v>
      </c>
      <c r="S524" s="135" t="s">
        <v>2336</v>
      </c>
      <c r="T524" t="s">
        <v>2337</v>
      </c>
      <c r="U524" t="s">
        <v>1230</v>
      </c>
      <c r="V524" t="s">
        <v>1231</v>
      </c>
      <c r="W524">
        <v>18</v>
      </c>
      <c r="X524" t="s">
        <v>1342</v>
      </c>
      <c r="Y524">
        <v>10</v>
      </c>
      <c r="Z524">
        <v>180</v>
      </c>
      <c r="AA524" t="s">
        <v>28</v>
      </c>
      <c r="AB524" t="s">
        <v>1190</v>
      </c>
      <c r="AC524">
        <v>18</v>
      </c>
      <c r="AD524" t="s">
        <v>1232</v>
      </c>
      <c r="AE524" t="s">
        <v>1192</v>
      </c>
      <c r="AF524" t="s">
        <v>1193</v>
      </c>
      <c r="AG524" t="s">
        <v>1194</v>
      </c>
      <c r="AH524" t="s">
        <v>1195</v>
      </c>
      <c r="AI524" t="s">
        <v>1202</v>
      </c>
      <c r="AJ524" t="s">
        <v>1291</v>
      </c>
      <c r="AK524" t="s">
        <v>1292</v>
      </c>
      <c r="AL524" t="s">
        <v>1291</v>
      </c>
      <c r="AM524" t="s">
        <v>2320</v>
      </c>
      <c r="AN524" t="s">
        <v>1201</v>
      </c>
      <c r="AO524" t="s">
        <v>1292</v>
      </c>
      <c r="AP524" t="s">
        <v>2321</v>
      </c>
      <c r="AQ524" t="s">
        <v>1203</v>
      </c>
      <c r="AR524" t="s">
        <v>1201</v>
      </c>
      <c r="AS524" t="s">
        <v>1203</v>
      </c>
      <c r="AU524" t="s">
        <v>1204</v>
      </c>
      <c r="AW524" t="b">
        <v>0</v>
      </c>
      <c r="AY524" t="b">
        <v>1</v>
      </c>
      <c r="BA524" t="s">
        <v>1295</v>
      </c>
      <c r="BB524" t="s">
        <v>1206</v>
      </c>
      <c r="BC524" t="s">
        <v>1206</v>
      </c>
      <c r="BD524" t="s">
        <v>1207</v>
      </c>
      <c r="BE524" t="s">
        <v>1296</v>
      </c>
      <c r="BF524" t="s">
        <v>2322</v>
      </c>
      <c r="BG524" t="s">
        <v>1298</v>
      </c>
      <c r="BH524" t="s">
        <v>2323</v>
      </c>
      <c r="BI524" t="s">
        <v>2323</v>
      </c>
      <c r="BJ524" t="s">
        <v>1299</v>
      </c>
    </row>
    <row r="525" spans="1:62" x14ac:dyDescent="0.25">
      <c r="A525" t="s">
        <v>1177</v>
      </c>
      <c r="B525">
        <v>150994</v>
      </c>
      <c r="C525">
        <v>150994</v>
      </c>
      <c r="D525" s="112" t="s">
        <v>2945</v>
      </c>
      <c r="E525" t="s">
        <v>1119</v>
      </c>
      <c r="F525" t="s">
        <v>1178</v>
      </c>
      <c r="G525" t="s">
        <v>2335</v>
      </c>
      <c r="H525" s="135" t="s">
        <v>2338</v>
      </c>
      <c r="I525">
        <v>12</v>
      </c>
      <c r="J525" t="s">
        <v>1279</v>
      </c>
      <c r="K525">
        <v>12174</v>
      </c>
      <c r="L525" t="s">
        <v>1571</v>
      </c>
      <c r="M525">
        <v>12174108</v>
      </c>
      <c r="N525" t="s">
        <v>2137</v>
      </c>
      <c r="O525">
        <v>12174108814</v>
      </c>
      <c r="P525" t="s">
        <v>2316</v>
      </c>
      <c r="Q525" s="135" t="s">
        <v>2327</v>
      </c>
      <c r="R525" t="s">
        <v>2328</v>
      </c>
      <c r="S525" s="135" t="s">
        <v>2338</v>
      </c>
      <c r="T525" t="s">
        <v>2339</v>
      </c>
      <c r="U525" t="s">
        <v>1230</v>
      </c>
      <c r="V525" t="s">
        <v>1231</v>
      </c>
      <c r="W525">
        <v>18</v>
      </c>
      <c r="X525" t="s">
        <v>1342</v>
      </c>
      <c r="Y525">
        <v>120</v>
      </c>
      <c r="Z525">
        <v>2160</v>
      </c>
      <c r="AA525" t="s">
        <v>28</v>
      </c>
      <c r="AB525" t="s">
        <v>1190</v>
      </c>
      <c r="AC525">
        <v>18</v>
      </c>
      <c r="AD525" t="s">
        <v>1232</v>
      </c>
      <c r="AE525" t="s">
        <v>1192</v>
      </c>
      <c r="AF525" t="s">
        <v>1193</v>
      </c>
      <c r="AG525" t="s">
        <v>1194</v>
      </c>
      <c r="AH525" t="s">
        <v>1195</v>
      </c>
      <c r="AI525" t="s">
        <v>1202</v>
      </c>
      <c r="AJ525" t="s">
        <v>1291</v>
      </c>
      <c r="AK525" t="s">
        <v>1292</v>
      </c>
      <c r="AL525" t="s">
        <v>1291</v>
      </c>
      <c r="AM525" t="s">
        <v>2320</v>
      </c>
      <c r="AN525" t="s">
        <v>1201</v>
      </c>
      <c r="AO525" t="s">
        <v>1292</v>
      </c>
      <c r="AP525" t="s">
        <v>2321</v>
      </c>
      <c r="AQ525" t="s">
        <v>1203</v>
      </c>
      <c r="AR525" t="s">
        <v>1201</v>
      </c>
      <c r="AS525" t="s">
        <v>1203</v>
      </c>
      <c r="AU525" t="s">
        <v>1204</v>
      </c>
      <c r="AW525" t="b">
        <v>0</v>
      </c>
      <c r="AY525" t="b">
        <v>1</v>
      </c>
      <c r="BA525" t="s">
        <v>1295</v>
      </c>
      <c r="BB525" t="s">
        <v>1206</v>
      </c>
      <c r="BC525" t="s">
        <v>1206</v>
      </c>
      <c r="BD525" t="s">
        <v>1207</v>
      </c>
      <c r="BE525" t="s">
        <v>1296</v>
      </c>
      <c r="BF525" t="s">
        <v>2322</v>
      </c>
      <c r="BG525" t="s">
        <v>1298</v>
      </c>
      <c r="BH525" t="s">
        <v>2323</v>
      </c>
      <c r="BI525" t="s">
        <v>2323</v>
      </c>
      <c r="BJ525" t="s">
        <v>1299</v>
      </c>
    </row>
    <row r="526" spans="1:62" x14ac:dyDescent="0.25">
      <c r="A526" t="s">
        <v>1177</v>
      </c>
      <c r="B526">
        <v>150995</v>
      </c>
      <c r="C526">
        <v>150995</v>
      </c>
      <c r="D526" s="112" t="s">
        <v>2946</v>
      </c>
      <c r="E526" t="s">
        <v>1119</v>
      </c>
      <c r="F526" t="s">
        <v>1178</v>
      </c>
      <c r="G526" t="s">
        <v>2340</v>
      </c>
      <c r="H526" s="135" t="s">
        <v>2338</v>
      </c>
      <c r="I526">
        <v>12</v>
      </c>
      <c r="J526" t="s">
        <v>1279</v>
      </c>
      <c r="K526">
        <v>12174</v>
      </c>
      <c r="L526" t="s">
        <v>1571</v>
      </c>
      <c r="M526">
        <v>12174108</v>
      </c>
      <c r="N526" t="s">
        <v>2137</v>
      </c>
      <c r="O526">
        <v>12174108814</v>
      </c>
      <c r="P526" t="s">
        <v>2316</v>
      </c>
      <c r="Q526" s="135" t="s">
        <v>2327</v>
      </c>
      <c r="R526" t="s">
        <v>2328</v>
      </c>
      <c r="S526" s="135" t="s">
        <v>2338</v>
      </c>
      <c r="T526" t="s">
        <v>2339</v>
      </c>
      <c r="U526" t="s">
        <v>1230</v>
      </c>
      <c r="V526" t="s">
        <v>1231</v>
      </c>
      <c r="W526">
        <v>18</v>
      </c>
      <c r="X526" t="s">
        <v>1342</v>
      </c>
      <c r="Y526">
        <v>120</v>
      </c>
      <c r="Z526">
        <v>2160</v>
      </c>
      <c r="AA526" t="s">
        <v>28</v>
      </c>
      <c r="AB526" t="s">
        <v>1190</v>
      </c>
      <c r="AC526">
        <v>18</v>
      </c>
      <c r="AD526" t="s">
        <v>1232</v>
      </c>
      <c r="AE526" t="s">
        <v>1192</v>
      </c>
      <c r="AF526" t="s">
        <v>1193</v>
      </c>
      <c r="AG526" t="s">
        <v>1194</v>
      </c>
      <c r="AH526" t="s">
        <v>1195</v>
      </c>
      <c r="AI526" t="s">
        <v>1202</v>
      </c>
      <c r="AJ526" t="s">
        <v>1291</v>
      </c>
      <c r="AK526" t="s">
        <v>1292</v>
      </c>
      <c r="AL526" t="s">
        <v>1291</v>
      </c>
      <c r="AM526" t="s">
        <v>2320</v>
      </c>
      <c r="AN526" t="s">
        <v>1201</v>
      </c>
      <c r="AO526" t="s">
        <v>1292</v>
      </c>
      <c r="AP526" t="s">
        <v>2321</v>
      </c>
      <c r="AQ526" t="s">
        <v>1203</v>
      </c>
      <c r="AR526" t="s">
        <v>1201</v>
      </c>
      <c r="AS526" t="s">
        <v>1203</v>
      </c>
      <c r="AU526" t="s">
        <v>1204</v>
      </c>
      <c r="AW526" t="b">
        <v>0</v>
      </c>
      <c r="AY526" t="b">
        <v>0</v>
      </c>
      <c r="BA526" t="s">
        <v>1295</v>
      </c>
      <c r="BB526" t="s">
        <v>1206</v>
      </c>
      <c r="BC526" t="s">
        <v>1206</v>
      </c>
      <c r="BD526" t="s">
        <v>1207</v>
      </c>
      <c r="BE526" t="s">
        <v>1296</v>
      </c>
      <c r="BF526" t="s">
        <v>2322</v>
      </c>
      <c r="BG526" t="s">
        <v>1298</v>
      </c>
      <c r="BH526" t="s">
        <v>2323</v>
      </c>
      <c r="BI526" t="s">
        <v>2323</v>
      </c>
      <c r="BJ526" t="s">
        <v>1299</v>
      </c>
    </row>
    <row r="527" spans="1:62" x14ac:dyDescent="0.25">
      <c r="A527" t="s">
        <v>1177</v>
      </c>
      <c r="B527">
        <v>150193</v>
      </c>
      <c r="C527">
        <v>150193</v>
      </c>
      <c r="D527" s="112" t="s">
        <v>2947</v>
      </c>
      <c r="E527" t="s">
        <v>1119</v>
      </c>
      <c r="F527" t="s">
        <v>1178</v>
      </c>
      <c r="G527" t="s">
        <v>452</v>
      </c>
      <c r="H527" s="135" t="s">
        <v>2331</v>
      </c>
      <c r="I527">
        <v>12</v>
      </c>
      <c r="J527" t="s">
        <v>1279</v>
      </c>
      <c r="K527">
        <v>12174</v>
      </c>
      <c r="L527" t="s">
        <v>1571</v>
      </c>
      <c r="M527">
        <v>12174108</v>
      </c>
      <c r="N527" t="s">
        <v>2137</v>
      </c>
      <c r="O527">
        <v>12174108814</v>
      </c>
      <c r="P527" t="s">
        <v>2316</v>
      </c>
      <c r="Q527" s="135" t="s">
        <v>2332</v>
      </c>
      <c r="R527" t="s">
        <v>2333</v>
      </c>
      <c r="S527" s="135" t="s">
        <v>2331</v>
      </c>
      <c r="T527" t="s">
        <v>2334</v>
      </c>
      <c r="U527" t="s">
        <v>1310</v>
      </c>
      <c r="V527" t="s">
        <v>1311</v>
      </c>
      <c r="W527">
        <v>180</v>
      </c>
      <c r="X527" t="s">
        <v>1342</v>
      </c>
      <c r="Y527">
        <v>24</v>
      </c>
      <c r="Z527">
        <v>4320</v>
      </c>
      <c r="AA527" t="s">
        <v>28</v>
      </c>
      <c r="AB527" t="s">
        <v>1190</v>
      </c>
      <c r="AC527">
        <v>180</v>
      </c>
      <c r="AD527" t="s">
        <v>1191</v>
      </c>
      <c r="AE527" t="s">
        <v>1192</v>
      </c>
      <c r="AF527" t="s">
        <v>1193</v>
      </c>
      <c r="AG527" t="s">
        <v>1194</v>
      </c>
      <c r="AH527" t="s">
        <v>1195</v>
      </c>
      <c r="AI527" t="s">
        <v>1202</v>
      </c>
      <c r="AJ527" t="s">
        <v>1291</v>
      </c>
      <c r="AK527" t="s">
        <v>1292</v>
      </c>
      <c r="AL527" t="s">
        <v>1291</v>
      </c>
      <c r="AM527" t="s">
        <v>2320</v>
      </c>
      <c r="AN527" t="s">
        <v>1201</v>
      </c>
      <c r="AO527" t="s">
        <v>1292</v>
      </c>
      <c r="AP527" t="s">
        <v>2321</v>
      </c>
      <c r="AQ527" t="s">
        <v>1203</v>
      </c>
      <c r="AR527" t="s">
        <v>1201</v>
      </c>
      <c r="AS527" t="s">
        <v>1203</v>
      </c>
      <c r="AU527" t="s">
        <v>1204</v>
      </c>
      <c r="AW527" t="b">
        <v>0</v>
      </c>
      <c r="AY527" t="b">
        <v>0</v>
      </c>
      <c r="BA527" t="s">
        <v>1295</v>
      </c>
      <c r="BB527" t="s">
        <v>1206</v>
      </c>
      <c r="BC527" t="s">
        <v>1206</v>
      </c>
      <c r="BD527" t="s">
        <v>1207</v>
      </c>
      <c r="BE527" t="s">
        <v>1296</v>
      </c>
      <c r="BF527" t="s">
        <v>2322</v>
      </c>
      <c r="BG527" t="s">
        <v>1298</v>
      </c>
      <c r="BH527" t="s">
        <v>2323</v>
      </c>
      <c r="BI527" t="s">
        <v>2323</v>
      </c>
      <c r="BJ527" t="s">
        <v>1299</v>
      </c>
    </row>
    <row r="528" spans="1:62" x14ac:dyDescent="0.25">
      <c r="A528" t="s">
        <v>1177</v>
      </c>
      <c r="B528">
        <v>612096</v>
      </c>
      <c r="C528">
        <v>612096</v>
      </c>
      <c r="D528" s="112" t="s">
        <v>2948</v>
      </c>
      <c r="E528" t="s">
        <v>1119</v>
      </c>
      <c r="F528" t="s">
        <v>1178</v>
      </c>
      <c r="G528" t="s">
        <v>447</v>
      </c>
      <c r="H528" s="135" t="s">
        <v>2336</v>
      </c>
      <c r="I528">
        <v>12</v>
      </c>
      <c r="J528" t="s">
        <v>1279</v>
      </c>
      <c r="K528">
        <v>12174</v>
      </c>
      <c r="L528" t="s">
        <v>1571</v>
      </c>
      <c r="M528">
        <v>12174108</v>
      </c>
      <c r="N528" t="s">
        <v>2137</v>
      </c>
      <c r="O528">
        <v>12174108814</v>
      </c>
      <c r="P528" t="s">
        <v>2316</v>
      </c>
      <c r="Q528" s="135" t="s">
        <v>2327</v>
      </c>
      <c r="R528" t="s">
        <v>2328</v>
      </c>
      <c r="S528" s="135" t="s">
        <v>2336</v>
      </c>
      <c r="T528" t="s">
        <v>2337</v>
      </c>
      <c r="U528" t="s">
        <v>1230</v>
      </c>
      <c r="V528" t="s">
        <v>1231</v>
      </c>
      <c r="W528">
        <v>18</v>
      </c>
      <c r="X528" t="s">
        <v>1342</v>
      </c>
      <c r="Y528">
        <v>10</v>
      </c>
      <c r="Z528">
        <v>180</v>
      </c>
      <c r="AA528" t="s">
        <v>28</v>
      </c>
      <c r="AB528" t="s">
        <v>1190</v>
      </c>
      <c r="AC528">
        <v>18</v>
      </c>
      <c r="AD528" t="s">
        <v>1232</v>
      </c>
      <c r="AE528" t="s">
        <v>1192</v>
      </c>
      <c r="AF528" t="s">
        <v>1193</v>
      </c>
      <c r="AG528" t="s">
        <v>1194</v>
      </c>
      <c r="AH528" t="s">
        <v>1195</v>
      </c>
      <c r="AI528" t="s">
        <v>1202</v>
      </c>
      <c r="AJ528" t="s">
        <v>1291</v>
      </c>
      <c r="AK528" t="s">
        <v>1292</v>
      </c>
      <c r="AL528" t="s">
        <v>1291</v>
      </c>
      <c r="AM528" t="s">
        <v>2320</v>
      </c>
      <c r="AN528" t="s">
        <v>1201</v>
      </c>
      <c r="AO528" t="s">
        <v>1292</v>
      </c>
      <c r="AP528" t="s">
        <v>2321</v>
      </c>
      <c r="AQ528" t="s">
        <v>1203</v>
      </c>
      <c r="AR528" t="s">
        <v>1201</v>
      </c>
      <c r="AS528" t="s">
        <v>1203</v>
      </c>
      <c r="AU528" t="s">
        <v>1204</v>
      </c>
      <c r="AW528" t="b">
        <v>0</v>
      </c>
      <c r="AY528" t="b">
        <v>0</v>
      </c>
      <c r="BA528" t="s">
        <v>1295</v>
      </c>
      <c r="BB528" t="s">
        <v>1206</v>
      </c>
      <c r="BC528" t="s">
        <v>1206</v>
      </c>
      <c r="BD528" t="s">
        <v>1207</v>
      </c>
      <c r="BE528" t="s">
        <v>1296</v>
      </c>
      <c r="BF528" t="s">
        <v>2322</v>
      </c>
      <c r="BG528" t="s">
        <v>1298</v>
      </c>
      <c r="BH528" t="s">
        <v>2323</v>
      </c>
      <c r="BI528" t="s">
        <v>2323</v>
      </c>
      <c r="BJ528" t="s">
        <v>1299</v>
      </c>
    </row>
    <row r="529" spans="1:62" x14ac:dyDescent="0.25">
      <c r="A529" t="s">
        <v>1177</v>
      </c>
      <c r="B529">
        <v>150194</v>
      </c>
      <c r="C529">
        <v>150194</v>
      </c>
      <c r="D529" s="112" t="s">
        <v>2949</v>
      </c>
      <c r="E529" t="s">
        <v>1119</v>
      </c>
      <c r="F529" t="s">
        <v>1178</v>
      </c>
      <c r="G529" t="s">
        <v>448</v>
      </c>
      <c r="H529" s="135" t="s">
        <v>2336</v>
      </c>
      <c r="I529">
        <v>12</v>
      </c>
      <c r="J529" t="s">
        <v>1279</v>
      </c>
      <c r="K529">
        <v>12174</v>
      </c>
      <c r="L529" t="s">
        <v>1571</v>
      </c>
      <c r="M529">
        <v>12174108</v>
      </c>
      <c r="N529" t="s">
        <v>2137</v>
      </c>
      <c r="O529">
        <v>12174108814</v>
      </c>
      <c r="P529" t="s">
        <v>2316</v>
      </c>
      <c r="Q529" s="135" t="s">
        <v>2327</v>
      </c>
      <c r="R529" t="s">
        <v>2328</v>
      </c>
      <c r="S529" s="135" t="s">
        <v>2336</v>
      </c>
      <c r="T529" t="s">
        <v>2337</v>
      </c>
      <c r="U529" t="s">
        <v>1230</v>
      </c>
      <c r="V529" t="s">
        <v>1231</v>
      </c>
      <c r="W529">
        <v>18</v>
      </c>
      <c r="X529" t="s">
        <v>1342</v>
      </c>
      <c r="Y529">
        <v>10</v>
      </c>
      <c r="Z529">
        <v>180</v>
      </c>
      <c r="AA529" t="s">
        <v>28</v>
      </c>
      <c r="AB529" t="s">
        <v>1190</v>
      </c>
      <c r="AC529">
        <v>18</v>
      </c>
      <c r="AD529" t="s">
        <v>1232</v>
      </c>
      <c r="AE529" t="s">
        <v>1192</v>
      </c>
      <c r="AF529" t="s">
        <v>1193</v>
      </c>
      <c r="AG529" t="s">
        <v>1194</v>
      </c>
      <c r="AH529" t="s">
        <v>1195</v>
      </c>
      <c r="AI529" t="s">
        <v>1202</v>
      </c>
      <c r="AJ529" t="s">
        <v>1291</v>
      </c>
      <c r="AK529" t="s">
        <v>1292</v>
      </c>
      <c r="AL529" t="s">
        <v>1291</v>
      </c>
      <c r="AM529" t="s">
        <v>2320</v>
      </c>
      <c r="AN529" t="s">
        <v>1201</v>
      </c>
      <c r="AO529" t="s">
        <v>1292</v>
      </c>
      <c r="AP529" t="s">
        <v>2321</v>
      </c>
      <c r="AQ529" t="s">
        <v>1203</v>
      </c>
      <c r="AR529" t="s">
        <v>1201</v>
      </c>
      <c r="AS529" t="s">
        <v>1203</v>
      </c>
      <c r="AU529" t="s">
        <v>1204</v>
      </c>
      <c r="AW529" t="b">
        <v>0</v>
      </c>
      <c r="AY529" t="b">
        <v>0</v>
      </c>
      <c r="BA529" t="s">
        <v>1295</v>
      </c>
      <c r="BB529" t="s">
        <v>1206</v>
      </c>
      <c r="BC529" t="s">
        <v>1206</v>
      </c>
      <c r="BD529" t="s">
        <v>1207</v>
      </c>
      <c r="BE529" t="s">
        <v>1296</v>
      </c>
      <c r="BF529" t="s">
        <v>2322</v>
      </c>
      <c r="BG529" t="s">
        <v>1298</v>
      </c>
      <c r="BH529" t="s">
        <v>2323</v>
      </c>
      <c r="BI529" t="s">
        <v>2323</v>
      </c>
      <c r="BJ529" t="s">
        <v>1299</v>
      </c>
    </row>
    <row r="530" spans="1:62" x14ac:dyDescent="0.25">
      <c r="A530" t="s">
        <v>1177</v>
      </c>
      <c r="B530">
        <v>612088</v>
      </c>
      <c r="C530">
        <v>612088</v>
      </c>
      <c r="D530" s="112" t="s">
        <v>2950</v>
      </c>
      <c r="E530" t="s">
        <v>1119</v>
      </c>
      <c r="F530" t="s">
        <v>1178</v>
      </c>
      <c r="G530" t="s">
        <v>2341</v>
      </c>
      <c r="H530" s="135" t="s">
        <v>2342</v>
      </c>
      <c r="I530">
        <v>12</v>
      </c>
      <c r="J530" t="s">
        <v>1279</v>
      </c>
      <c r="K530">
        <v>12174</v>
      </c>
      <c r="L530" t="s">
        <v>1571</v>
      </c>
      <c r="M530">
        <v>12174108</v>
      </c>
      <c r="N530" t="s">
        <v>2137</v>
      </c>
      <c r="O530">
        <v>12174108814</v>
      </c>
      <c r="P530" t="s">
        <v>2316</v>
      </c>
      <c r="Q530" s="135" t="s">
        <v>2343</v>
      </c>
      <c r="R530" t="s">
        <v>2344</v>
      </c>
      <c r="S530" s="135" t="s">
        <v>2342</v>
      </c>
      <c r="T530" t="s">
        <v>2345</v>
      </c>
      <c r="U530" t="s">
        <v>1230</v>
      </c>
      <c r="V530" t="s">
        <v>1231</v>
      </c>
      <c r="W530">
        <v>20</v>
      </c>
      <c r="X530" t="s">
        <v>1342</v>
      </c>
      <c r="Y530">
        <v>10</v>
      </c>
      <c r="Z530">
        <v>200</v>
      </c>
      <c r="AA530" t="s">
        <v>28</v>
      </c>
      <c r="AB530" t="s">
        <v>1190</v>
      </c>
      <c r="AC530">
        <v>20</v>
      </c>
      <c r="AD530" t="s">
        <v>1232</v>
      </c>
      <c r="AE530" t="s">
        <v>1192</v>
      </c>
      <c r="AF530" t="s">
        <v>1193</v>
      </c>
      <c r="AG530" t="s">
        <v>1194</v>
      </c>
      <c r="AH530" t="s">
        <v>1195</v>
      </c>
      <c r="AI530" t="s">
        <v>1202</v>
      </c>
      <c r="AJ530" t="s">
        <v>1291</v>
      </c>
      <c r="AK530" t="s">
        <v>1292</v>
      </c>
      <c r="AL530" t="s">
        <v>1291</v>
      </c>
      <c r="AM530" t="s">
        <v>2346</v>
      </c>
      <c r="AN530" t="s">
        <v>1201</v>
      </c>
      <c r="AO530" t="s">
        <v>1292</v>
      </c>
      <c r="AP530" t="s">
        <v>2347</v>
      </c>
      <c r="AQ530" t="s">
        <v>1203</v>
      </c>
      <c r="AR530" t="s">
        <v>1201</v>
      </c>
      <c r="AS530" t="s">
        <v>1203</v>
      </c>
      <c r="AU530" t="s">
        <v>1204</v>
      </c>
      <c r="AW530" t="b">
        <v>0</v>
      </c>
      <c r="AY530" t="b">
        <v>0</v>
      </c>
      <c r="BA530" t="s">
        <v>1295</v>
      </c>
      <c r="BB530" t="s">
        <v>1206</v>
      </c>
      <c r="BC530" t="s">
        <v>1206</v>
      </c>
      <c r="BD530" t="s">
        <v>1207</v>
      </c>
      <c r="BE530" t="s">
        <v>1296</v>
      </c>
      <c r="BF530" t="s">
        <v>2322</v>
      </c>
      <c r="BG530" t="s">
        <v>1298</v>
      </c>
      <c r="BH530" t="s">
        <v>2323</v>
      </c>
      <c r="BI530" t="s">
        <v>2323</v>
      </c>
      <c r="BJ530" t="s">
        <v>1299</v>
      </c>
    </row>
    <row r="531" spans="1:62" x14ac:dyDescent="0.25">
      <c r="A531" t="s">
        <v>1177</v>
      </c>
      <c r="B531">
        <v>612961</v>
      </c>
      <c r="C531">
        <v>612961</v>
      </c>
      <c r="D531" s="112" t="s">
        <v>2951</v>
      </c>
      <c r="E531" t="s">
        <v>1119</v>
      </c>
      <c r="F531" t="s">
        <v>1178</v>
      </c>
      <c r="G531" t="s">
        <v>2348</v>
      </c>
      <c r="H531" t="s">
        <v>2349</v>
      </c>
      <c r="I531">
        <v>18</v>
      </c>
      <c r="J531" t="s">
        <v>2350</v>
      </c>
      <c r="K531">
        <v>18169</v>
      </c>
      <c r="L531" t="s">
        <v>2351</v>
      </c>
      <c r="M531">
        <v>18169232</v>
      </c>
      <c r="N531" t="s">
        <v>2352</v>
      </c>
      <c r="O531">
        <v>18169232178</v>
      </c>
      <c r="P531" t="s">
        <v>2353</v>
      </c>
      <c r="Q531" t="s">
        <v>2354</v>
      </c>
      <c r="R531" t="s">
        <v>2355</v>
      </c>
      <c r="S531" t="s">
        <v>2349</v>
      </c>
      <c r="T531" t="s">
        <v>2356</v>
      </c>
      <c r="U531" t="s">
        <v>2357</v>
      </c>
      <c r="V531" t="s">
        <v>2358</v>
      </c>
      <c r="W531">
        <v>155</v>
      </c>
      <c r="X531" t="s">
        <v>1342</v>
      </c>
      <c r="Y531">
        <v>60</v>
      </c>
      <c r="Z531">
        <v>9300</v>
      </c>
      <c r="AA531" t="s">
        <v>28</v>
      </c>
      <c r="AB531" t="s">
        <v>1190</v>
      </c>
      <c r="AC531">
        <v>155</v>
      </c>
      <c r="AD531" t="s">
        <v>1191</v>
      </c>
      <c r="AE531" t="s">
        <v>1192</v>
      </c>
      <c r="AF531" t="s">
        <v>1193</v>
      </c>
      <c r="AG531" t="s">
        <v>1194</v>
      </c>
      <c r="AH531" t="s">
        <v>1195</v>
      </c>
      <c r="AI531" t="s">
        <v>1196</v>
      </c>
      <c r="AJ531" t="s">
        <v>1546</v>
      </c>
      <c r="AK531" t="s">
        <v>1547</v>
      </c>
      <c r="AL531" t="s">
        <v>1978</v>
      </c>
      <c r="AM531" t="s">
        <v>1200</v>
      </c>
      <c r="AN531" t="s">
        <v>1201</v>
      </c>
      <c r="AO531" t="s">
        <v>1979</v>
      </c>
      <c r="AP531" t="s">
        <v>1202</v>
      </c>
      <c r="AQ531" t="s">
        <v>1203</v>
      </c>
      <c r="AR531" t="s">
        <v>1201</v>
      </c>
      <c r="AS531" t="s">
        <v>1203</v>
      </c>
      <c r="AU531" t="s">
        <v>1204</v>
      </c>
      <c r="AW531" t="b">
        <v>0</v>
      </c>
      <c r="AY531" t="b">
        <v>0</v>
      </c>
      <c r="BA531" t="s">
        <v>2359</v>
      </c>
      <c r="BB531" t="s">
        <v>1206</v>
      </c>
      <c r="BC531" t="s">
        <v>1206</v>
      </c>
      <c r="BD531" t="s">
        <v>1207</v>
      </c>
      <c r="BE531" t="s">
        <v>2360</v>
      </c>
      <c r="BF531" t="s">
        <v>2361</v>
      </c>
      <c r="BG531" t="s">
        <v>360</v>
      </c>
      <c r="BH531" t="s">
        <v>1206</v>
      </c>
      <c r="BI531" t="s">
        <v>1206</v>
      </c>
      <c r="BJ531" t="s">
        <v>2362</v>
      </c>
    </row>
    <row r="532" spans="1:62" x14ac:dyDescent="0.25">
      <c r="A532" t="s">
        <v>1177</v>
      </c>
      <c r="B532">
        <v>612962</v>
      </c>
      <c r="C532">
        <v>612962</v>
      </c>
      <c r="D532" s="112" t="s">
        <v>2952</v>
      </c>
      <c r="E532" t="s">
        <v>1119</v>
      </c>
      <c r="F532" t="s">
        <v>1178</v>
      </c>
      <c r="G532" t="s">
        <v>2363</v>
      </c>
      <c r="H532" t="s">
        <v>2349</v>
      </c>
      <c r="I532">
        <v>18</v>
      </c>
      <c r="J532" t="s">
        <v>2350</v>
      </c>
      <c r="K532">
        <v>18169</v>
      </c>
      <c r="L532" t="s">
        <v>2351</v>
      </c>
      <c r="M532">
        <v>18169232</v>
      </c>
      <c r="N532" t="s">
        <v>2352</v>
      </c>
      <c r="O532">
        <v>18169232178</v>
      </c>
      <c r="P532" t="s">
        <v>2353</v>
      </c>
      <c r="Q532" t="s">
        <v>2354</v>
      </c>
      <c r="R532" t="s">
        <v>2355</v>
      </c>
      <c r="S532" t="s">
        <v>2349</v>
      </c>
      <c r="T532" t="s">
        <v>2356</v>
      </c>
      <c r="U532" t="s">
        <v>2357</v>
      </c>
      <c r="V532" t="s">
        <v>2358</v>
      </c>
      <c r="W532">
        <v>155</v>
      </c>
      <c r="X532" t="s">
        <v>1342</v>
      </c>
      <c r="Y532">
        <v>60</v>
      </c>
      <c r="Z532">
        <v>9300</v>
      </c>
      <c r="AA532" t="s">
        <v>28</v>
      </c>
      <c r="AB532" t="s">
        <v>1190</v>
      </c>
      <c r="AC532">
        <v>155</v>
      </c>
      <c r="AD532" t="s">
        <v>1191</v>
      </c>
      <c r="AE532" t="s">
        <v>1192</v>
      </c>
      <c r="AF532" t="s">
        <v>1193</v>
      </c>
      <c r="AG532" t="s">
        <v>1194</v>
      </c>
      <c r="AH532" t="s">
        <v>1195</v>
      </c>
      <c r="AI532" t="s">
        <v>1196</v>
      </c>
      <c r="AJ532" t="s">
        <v>2225</v>
      </c>
      <c r="AK532" t="s">
        <v>2226</v>
      </c>
      <c r="AL532" t="s">
        <v>2305</v>
      </c>
      <c r="AM532" t="s">
        <v>1293</v>
      </c>
      <c r="AN532" t="s">
        <v>1201</v>
      </c>
      <c r="AO532" t="s">
        <v>2306</v>
      </c>
      <c r="AP532" t="s">
        <v>1294</v>
      </c>
      <c r="AQ532" t="s">
        <v>1203</v>
      </c>
      <c r="AR532" t="s">
        <v>1201</v>
      </c>
      <c r="AS532" t="s">
        <v>1203</v>
      </c>
      <c r="AU532" t="s">
        <v>1204</v>
      </c>
      <c r="AW532" t="b">
        <v>0</v>
      </c>
      <c r="AY532" t="b">
        <v>0</v>
      </c>
      <c r="BA532" t="s">
        <v>2359</v>
      </c>
      <c r="BB532" t="s">
        <v>1206</v>
      </c>
      <c r="BC532" t="s">
        <v>1206</v>
      </c>
      <c r="BD532" t="s">
        <v>1207</v>
      </c>
      <c r="BE532" t="s">
        <v>2360</v>
      </c>
      <c r="BF532" t="s">
        <v>2361</v>
      </c>
      <c r="BG532" t="s">
        <v>360</v>
      </c>
      <c r="BH532" t="s">
        <v>1206</v>
      </c>
      <c r="BI532" t="s">
        <v>1206</v>
      </c>
      <c r="BJ532" t="s">
        <v>2362</v>
      </c>
    </row>
    <row r="533" spans="1:62" x14ac:dyDescent="0.25">
      <c r="A533" t="s">
        <v>1177</v>
      </c>
      <c r="B533">
        <v>612963</v>
      </c>
      <c r="C533">
        <v>612963</v>
      </c>
      <c r="D533" s="112" t="s">
        <v>2953</v>
      </c>
      <c r="E533" t="s">
        <v>1119</v>
      </c>
      <c r="F533" t="s">
        <v>1178</v>
      </c>
      <c r="G533" t="s">
        <v>2364</v>
      </c>
      <c r="H533" t="s">
        <v>2349</v>
      </c>
      <c r="I533">
        <v>18</v>
      </c>
      <c r="J533" t="s">
        <v>2350</v>
      </c>
      <c r="K533">
        <v>18169</v>
      </c>
      <c r="L533" t="s">
        <v>2351</v>
      </c>
      <c r="M533">
        <v>18169232</v>
      </c>
      <c r="N533" t="s">
        <v>2352</v>
      </c>
      <c r="O533">
        <v>18169232178</v>
      </c>
      <c r="P533" t="s">
        <v>2353</v>
      </c>
      <c r="Q533" t="s">
        <v>2354</v>
      </c>
      <c r="R533" t="s">
        <v>2355</v>
      </c>
      <c r="S533" t="s">
        <v>2349</v>
      </c>
      <c r="T533" t="s">
        <v>2356</v>
      </c>
      <c r="U533" t="s">
        <v>2357</v>
      </c>
      <c r="V533" t="s">
        <v>2358</v>
      </c>
      <c r="W533">
        <v>155</v>
      </c>
      <c r="X533" t="s">
        <v>1342</v>
      </c>
      <c r="Y533">
        <v>60</v>
      </c>
      <c r="Z533">
        <v>9300</v>
      </c>
      <c r="AA533" t="s">
        <v>28</v>
      </c>
      <c r="AB533" t="s">
        <v>1190</v>
      </c>
      <c r="AC533">
        <v>155</v>
      </c>
      <c r="AD533" t="s">
        <v>1191</v>
      </c>
      <c r="AE533" t="s">
        <v>1192</v>
      </c>
      <c r="AF533" t="s">
        <v>1193</v>
      </c>
      <c r="AG533" t="s">
        <v>1194</v>
      </c>
      <c r="AH533" t="s">
        <v>1195</v>
      </c>
      <c r="AI533" t="s">
        <v>1202</v>
      </c>
      <c r="AJ533" t="s">
        <v>1291</v>
      </c>
      <c r="AK533" t="s">
        <v>1292</v>
      </c>
      <c r="AL533" t="s">
        <v>1291</v>
      </c>
      <c r="AM533" t="s">
        <v>1318</v>
      </c>
      <c r="AN533" t="s">
        <v>1201</v>
      </c>
      <c r="AO533" t="s">
        <v>1292</v>
      </c>
      <c r="AP533" t="s">
        <v>1319</v>
      </c>
      <c r="AQ533" t="s">
        <v>1203</v>
      </c>
      <c r="AR533" t="s">
        <v>1201</v>
      </c>
      <c r="AS533" t="s">
        <v>1203</v>
      </c>
      <c r="AU533" t="s">
        <v>1204</v>
      </c>
      <c r="AW533" t="b">
        <v>0</v>
      </c>
      <c r="AY533" t="b">
        <v>0</v>
      </c>
      <c r="BA533" t="s">
        <v>2359</v>
      </c>
      <c r="BB533" t="s">
        <v>1206</v>
      </c>
      <c r="BC533" t="s">
        <v>1206</v>
      </c>
      <c r="BD533" t="s">
        <v>1207</v>
      </c>
      <c r="BE533" t="s">
        <v>2360</v>
      </c>
      <c r="BF533" t="s">
        <v>2361</v>
      </c>
      <c r="BG533" t="s">
        <v>360</v>
      </c>
      <c r="BH533" t="s">
        <v>1206</v>
      </c>
      <c r="BI533" t="s">
        <v>1206</v>
      </c>
      <c r="BJ533" t="s">
        <v>2362</v>
      </c>
    </row>
    <row r="534" spans="1:62" x14ac:dyDescent="0.25">
      <c r="A534" t="s">
        <v>1177</v>
      </c>
      <c r="B534">
        <v>612148</v>
      </c>
      <c r="C534">
        <v>612148</v>
      </c>
      <c r="D534" s="112" t="s">
        <v>2954</v>
      </c>
      <c r="E534" t="s">
        <v>1119</v>
      </c>
      <c r="F534" t="s">
        <v>1178</v>
      </c>
      <c r="G534" t="s">
        <v>2365</v>
      </c>
      <c r="H534" t="s">
        <v>2366</v>
      </c>
      <c r="I534">
        <v>18</v>
      </c>
      <c r="J534" t="s">
        <v>2350</v>
      </c>
      <c r="K534">
        <v>18169</v>
      </c>
      <c r="L534" t="s">
        <v>2351</v>
      </c>
      <c r="M534">
        <v>18169232</v>
      </c>
      <c r="N534" t="s">
        <v>2352</v>
      </c>
      <c r="O534">
        <v>18169232178</v>
      </c>
      <c r="P534" t="s">
        <v>2353</v>
      </c>
      <c r="Q534" t="s">
        <v>2367</v>
      </c>
      <c r="R534" t="s">
        <v>2368</v>
      </c>
      <c r="S534" t="s">
        <v>2366</v>
      </c>
      <c r="T534" t="s">
        <v>2369</v>
      </c>
      <c r="U534" t="s">
        <v>2357</v>
      </c>
      <c r="V534" t="s">
        <v>2358</v>
      </c>
      <c r="W534">
        <v>300</v>
      </c>
      <c r="X534" t="s">
        <v>1342</v>
      </c>
      <c r="Y534">
        <v>24</v>
      </c>
      <c r="Z534">
        <v>7200</v>
      </c>
      <c r="AA534" t="s">
        <v>28</v>
      </c>
      <c r="AB534" t="s">
        <v>1190</v>
      </c>
      <c r="AC534">
        <v>300</v>
      </c>
      <c r="AD534" t="s">
        <v>1191</v>
      </c>
      <c r="AE534" t="s">
        <v>1192</v>
      </c>
      <c r="AF534" t="s">
        <v>1193</v>
      </c>
      <c r="AG534" t="s">
        <v>1194</v>
      </c>
      <c r="AH534" t="s">
        <v>1195</v>
      </c>
      <c r="AI534" t="s">
        <v>1196</v>
      </c>
      <c r="AJ534" t="s">
        <v>2225</v>
      </c>
      <c r="AK534" t="s">
        <v>2226</v>
      </c>
      <c r="AL534" t="s">
        <v>2305</v>
      </c>
      <c r="AM534" t="s">
        <v>1293</v>
      </c>
      <c r="AN534" t="s">
        <v>1201</v>
      </c>
      <c r="AO534" t="s">
        <v>2306</v>
      </c>
      <c r="AP534" t="s">
        <v>1294</v>
      </c>
      <c r="AQ534" t="s">
        <v>1203</v>
      </c>
      <c r="AR534" t="s">
        <v>1201</v>
      </c>
      <c r="AS534" t="s">
        <v>1203</v>
      </c>
      <c r="AU534" t="s">
        <v>1204</v>
      </c>
      <c r="AW534" t="b">
        <v>0</v>
      </c>
      <c r="AY534" t="b">
        <v>0</v>
      </c>
      <c r="BA534" t="s">
        <v>2359</v>
      </c>
      <c r="BB534" t="s">
        <v>1206</v>
      </c>
      <c r="BC534" t="s">
        <v>1206</v>
      </c>
      <c r="BD534" t="s">
        <v>1207</v>
      </c>
      <c r="BE534" t="s">
        <v>2360</v>
      </c>
      <c r="BF534" t="s">
        <v>2361</v>
      </c>
      <c r="BG534" t="s">
        <v>360</v>
      </c>
      <c r="BH534" t="s">
        <v>1206</v>
      </c>
      <c r="BI534" t="s">
        <v>1206</v>
      </c>
      <c r="BJ534" t="s">
        <v>2362</v>
      </c>
    </row>
    <row r="535" spans="1:62" x14ac:dyDescent="0.25">
      <c r="A535" t="s">
        <v>1177</v>
      </c>
      <c r="B535">
        <v>612141</v>
      </c>
      <c r="C535">
        <v>612141</v>
      </c>
      <c r="D535" s="112" t="s">
        <v>2955</v>
      </c>
      <c r="E535" t="s">
        <v>1119</v>
      </c>
      <c r="F535" t="s">
        <v>1178</v>
      </c>
      <c r="G535" t="s">
        <v>364</v>
      </c>
      <c r="H535" t="s">
        <v>2366</v>
      </c>
      <c r="I535">
        <v>18</v>
      </c>
      <c r="J535" t="s">
        <v>2350</v>
      </c>
      <c r="K535">
        <v>18169</v>
      </c>
      <c r="L535" t="s">
        <v>2351</v>
      </c>
      <c r="M535">
        <v>18169232</v>
      </c>
      <c r="N535" t="s">
        <v>2352</v>
      </c>
      <c r="O535">
        <v>18169232178</v>
      </c>
      <c r="P535" t="s">
        <v>2353</v>
      </c>
      <c r="Q535" t="s">
        <v>2367</v>
      </c>
      <c r="R535" t="s">
        <v>2368</v>
      </c>
      <c r="S535" t="s">
        <v>2366</v>
      </c>
      <c r="T535" t="s">
        <v>2369</v>
      </c>
      <c r="U535" t="s">
        <v>2357</v>
      </c>
      <c r="V535" t="s">
        <v>2358</v>
      </c>
      <c r="W535">
        <v>300</v>
      </c>
      <c r="X535" t="s">
        <v>1342</v>
      </c>
      <c r="Y535">
        <v>24</v>
      </c>
      <c r="Z535">
        <v>7200</v>
      </c>
      <c r="AA535" t="s">
        <v>28</v>
      </c>
      <c r="AB535" t="s">
        <v>1190</v>
      </c>
      <c r="AC535">
        <v>300</v>
      </c>
      <c r="AD535" t="s">
        <v>1191</v>
      </c>
      <c r="AE535" t="s">
        <v>1192</v>
      </c>
      <c r="AF535" t="s">
        <v>1193</v>
      </c>
      <c r="AG535" t="s">
        <v>1194</v>
      </c>
      <c r="AH535" t="s">
        <v>1195</v>
      </c>
      <c r="AI535" t="s">
        <v>1196</v>
      </c>
      <c r="AJ535" t="s">
        <v>2225</v>
      </c>
      <c r="AK535" t="s">
        <v>2226</v>
      </c>
      <c r="AL535" t="s">
        <v>2305</v>
      </c>
      <c r="AM535" t="s">
        <v>1293</v>
      </c>
      <c r="AN535" t="s">
        <v>1201</v>
      </c>
      <c r="AO535" t="s">
        <v>2306</v>
      </c>
      <c r="AP535" t="s">
        <v>1294</v>
      </c>
      <c r="AQ535" t="s">
        <v>1203</v>
      </c>
      <c r="AR535" t="s">
        <v>1201</v>
      </c>
      <c r="AS535" t="s">
        <v>1203</v>
      </c>
      <c r="AU535" t="s">
        <v>1204</v>
      </c>
      <c r="AW535" t="b">
        <v>0</v>
      </c>
      <c r="AY535" t="b">
        <v>0</v>
      </c>
      <c r="BA535" t="s">
        <v>2359</v>
      </c>
      <c r="BB535" t="s">
        <v>1206</v>
      </c>
      <c r="BC535" t="s">
        <v>1206</v>
      </c>
      <c r="BD535" t="s">
        <v>1207</v>
      </c>
      <c r="BE535" t="s">
        <v>2360</v>
      </c>
      <c r="BF535" t="s">
        <v>2361</v>
      </c>
      <c r="BG535" t="s">
        <v>360</v>
      </c>
      <c r="BH535" t="s">
        <v>1206</v>
      </c>
      <c r="BI535" t="s">
        <v>1206</v>
      </c>
      <c r="BJ535" t="s">
        <v>2362</v>
      </c>
    </row>
    <row r="536" spans="1:62" x14ac:dyDescent="0.25">
      <c r="A536" t="s">
        <v>1177</v>
      </c>
      <c r="B536">
        <v>612046</v>
      </c>
      <c r="C536">
        <v>612046</v>
      </c>
      <c r="D536" s="112" t="s">
        <v>2956</v>
      </c>
      <c r="E536" t="s">
        <v>1119</v>
      </c>
      <c r="F536" t="s">
        <v>1178</v>
      </c>
      <c r="G536" t="s">
        <v>1060</v>
      </c>
      <c r="H536" t="s">
        <v>2349</v>
      </c>
      <c r="I536">
        <v>18</v>
      </c>
      <c r="J536" t="s">
        <v>2350</v>
      </c>
      <c r="K536">
        <v>18169</v>
      </c>
      <c r="L536" t="s">
        <v>2351</v>
      </c>
      <c r="M536">
        <v>18169232</v>
      </c>
      <c r="N536" t="s">
        <v>2352</v>
      </c>
      <c r="O536">
        <v>18169232178</v>
      </c>
      <c r="P536" t="s">
        <v>2353</v>
      </c>
      <c r="Q536" t="s">
        <v>2354</v>
      </c>
      <c r="R536" t="s">
        <v>2355</v>
      </c>
      <c r="S536" t="s">
        <v>2349</v>
      </c>
      <c r="T536" t="s">
        <v>2356</v>
      </c>
      <c r="U536" t="s">
        <v>2357</v>
      </c>
      <c r="V536" t="s">
        <v>2358</v>
      </c>
      <c r="W536">
        <v>155</v>
      </c>
      <c r="X536" t="s">
        <v>1342</v>
      </c>
      <c r="Y536">
        <v>60</v>
      </c>
      <c r="Z536">
        <v>9300</v>
      </c>
      <c r="AA536" t="s">
        <v>28</v>
      </c>
      <c r="AB536" t="s">
        <v>1190</v>
      </c>
      <c r="AC536">
        <v>155</v>
      </c>
      <c r="AD536" t="s">
        <v>1191</v>
      </c>
      <c r="AE536" t="s">
        <v>1192</v>
      </c>
      <c r="AF536" t="s">
        <v>1193</v>
      </c>
      <c r="AG536" t="s">
        <v>1194</v>
      </c>
      <c r="AH536" t="s">
        <v>1195</v>
      </c>
      <c r="AI536" t="s">
        <v>1196</v>
      </c>
      <c r="AJ536" t="s">
        <v>2225</v>
      </c>
      <c r="AK536" t="s">
        <v>2226</v>
      </c>
      <c r="AL536" t="s">
        <v>2305</v>
      </c>
      <c r="AM536" t="s">
        <v>1293</v>
      </c>
      <c r="AN536" t="s">
        <v>1201</v>
      </c>
      <c r="AO536" t="s">
        <v>2306</v>
      </c>
      <c r="AP536" t="s">
        <v>1294</v>
      </c>
      <c r="AQ536" t="s">
        <v>1203</v>
      </c>
      <c r="AR536" t="s">
        <v>1201</v>
      </c>
      <c r="AS536" t="s">
        <v>1203</v>
      </c>
      <c r="AU536" t="s">
        <v>1204</v>
      </c>
      <c r="AW536" t="b">
        <v>0</v>
      </c>
      <c r="AY536" t="b">
        <v>0</v>
      </c>
      <c r="BA536" t="s">
        <v>2359</v>
      </c>
      <c r="BB536" t="s">
        <v>1206</v>
      </c>
      <c r="BC536" t="s">
        <v>1206</v>
      </c>
      <c r="BD536" t="s">
        <v>1207</v>
      </c>
      <c r="BE536" t="s">
        <v>2360</v>
      </c>
      <c r="BF536" t="s">
        <v>2361</v>
      </c>
      <c r="BG536" t="s">
        <v>360</v>
      </c>
      <c r="BH536" t="s">
        <v>1206</v>
      </c>
      <c r="BI536" t="s">
        <v>1206</v>
      </c>
      <c r="BJ536" t="s">
        <v>2362</v>
      </c>
    </row>
    <row r="537" spans="1:62" x14ac:dyDescent="0.25">
      <c r="A537" t="s">
        <v>1177</v>
      </c>
      <c r="B537">
        <v>612043</v>
      </c>
      <c r="C537">
        <v>612043</v>
      </c>
      <c r="D537" s="112" t="s">
        <v>2957</v>
      </c>
      <c r="E537" t="s">
        <v>1119</v>
      </c>
      <c r="F537" t="s">
        <v>1178</v>
      </c>
      <c r="G537" t="s">
        <v>363</v>
      </c>
      <c r="H537" t="s">
        <v>2370</v>
      </c>
      <c r="I537">
        <v>18</v>
      </c>
      <c r="J537" t="s">
        <v>2350</v>
      </c>
      <c r="K537">
        <v>18169</v>
      </c>
      <c r="L537" t="s">
        <v>2351</v>
      </c>
      <c r="M537">
        <v>18169232</v>
      </c>
      <c r="N537" t="s">
        <v>2352</v>
      </c>
      <c r="O537">
        <v>18169232178</v>
      </c>
      <c r="P537" t="s">
        <v>2353</v>
      </c>
      <c r="Q537" t="s">
        <v>2371</v>
      </c>
      <c r="R537" t="s">
        <v>2372</v>
      </c>
      <c r="S537" t="s">
        <v>2370</v>
      </c>
      <c r="T537" t="s">
        <v>2373</v>
      </c>
      <c r="U537" t="s">
        <v>2357</v>
      </c>
      <c r="V537" t="s">
        <v>2358</v>
      </c>
      <c r="W537">
        <v>425</v>
      </c>
      <c r="X537" t="s">
        <v>1342</v>
      </c>
      <c r="Y537">
        <v>24</v>
      </c>
      <c r="Z537">
        <v>10200</v>
      </c>
      <c r="AA537" t="s">
        <v>28</v>
      </c>
      <c r="AB537" t="s">
        <v>1190</v>
      </c>
      <c r="AC537">
        <v>425</v>
      </c>
      <c r="AD537" t="s">
        <v>1191</v>
      </c>
      <c r="AE537" t="s">
        <v>1192</v>
      </c>
      <c r="AF537" t="s">
        <v>1193</v>
      </c>
      <c r="AG537" t="s">
        <v>1194</v>
      </c>
      <c r="AH537" t="s">
        <v>1195</v>
      </c>
      <c r="AI537" t="s">
        <v>1196</v>
      </c>
      <c r="AJ537" t="s">
        <v>2225</v>
      </c>
      <c r="AK537" t="s">
        <v>2226</v>
      </c>
      <c r="AL537" t="s">
        <v>2305</v>
      </c>
      <c r="AM537" t="s">
        <v>1293</v>
      </c>
      <c r="AN537" t="s">
        <v>1201</v>
      </c>
      <c r="AO537" t="s">
        <v>2306</v>
      </c>
      <c r="AP537" t="s">
        <v>1294</v>
      </c>
      <c r="AQ537" t="s">
        <v>1203</v>
      </c>
      <c r="AR537" t="s">
        <v>1201</v>
      </c>
      <c r="AS537" t="s">
        <v>1203</v>
      </c>
      <c r="AU537" t="s">
        <v>1204</v>
      </c>
      <c r="AW537" t="b">
        <v>0</v>
      </c>
      <c r="AY537" t="b">
        <v>0</v>
      </c>
      <c r="BA537" t="s">
        <v>2359</v>
      </c>
      <c r="BB537" t="s">
        <v>1206</v>
      </c>
      <c r="BC537" t="s">
        <v>1206</v>
      </c>
      <c r="BD537" t="s">
        <v>1207</v>
      </c>
      <c r="BE537" t="s">
        <v>2360</v>
      </c>
      <c r="BF537" t="s">
        <v>2361</v>
      </c>
      <c r="BG537" t="s">
        <v>360</v>
      </c>
      <c r="BH537" t="s">
        <v>1206</v>
      </c>
      <c r="BI537" t="s">
        <v>1206</v>
      </c>
      <c r="BJ537" t="s">
        <v>2362</v>
      </c>
    </row>
    <row r="538" spans="1:62" x14ac:dyDescent="0.25">
      <c r="A538" t="s">
        <v>1177</v>
      </c>
      <c r="B538">
        <v>612047</v>
      </c>
      <c r="C538">
        <v>612047</v>
      </c>
      <c r="D538" s="112" t="s">
        <v>2958</v>
      </c>
      <c r="E538" t="s">
        <v>1119</v>
      </c>
      <c r="F538" t="s">
        <v>1178</v>
      </c>
      <c r="G538" t="s">
        <v>1061</v>
      </c>
      <c r="H538" t="s">
        <v>2349</v>
      </c>
      <c r="I538">
        <v>18</v>
      </c>
      <c r="J538" t="s">
        <v>2350</v>
      </c>
      <c r="K538">
        <v>18169</v>
      </c>
      <c r="L538" t="s">
        <v>2351</v>
      </c>
      <c r="M538">
        <v>18169232</v>
      </c>
      <c r="N538" t="s">
        <v>2352</v>
      </c>
      <c r="O538">
        <v>18169232178</v>
      </c>
      <c r="P538" t="s">
        <v>2353</v>
      </c>
      <c r="Q538" t="s">
        <v>2354</v>
      </c>
      <c r="R538" t="s">
        <v>2355</v>
      </c>
      <c r="S538" t="s">
        <v>2349</v>
      </c>
      <c r="T538" t="s">
        <v>2356</v>
      </c>
      <c r="U538" t="s">
        <v>2357</v>
      </c>
      <c r="V538" t="s">
        <v>2358</v>
      </c>
      <c r="W538">
        <v>155</v>
      </c>
      <c r="X538" t="s">
        <v>1342</v>
      </c>
      <c r="Y538">
        <v>60</v>
      </c>
      <c r="Z538">
        <v>9300</v>
      </c>
      <c r="AA538" t="s">
        <v>28</v>
      </c>
      <c r="AB538" t="s">
        <v>1190</v>
      </c>
      <c r="AC538">
        <v>155</v>
      </c>
      <c r="AD538" t="s">
        <v>1191</v>
      </c>
      <c r="AE538" t="s">
        <v>1192</v>
      </c>
      <c r="AF538" t="s">
        <v>1193</v>
      </c>
      <c r="AG538" t="s">
        <v>1194</v>
      </c>
      <c r="AH538" t="s">
        <v>1195</v>
      </c>
      <c r="AI538" t="s">
        <v>1202</v>
      </c>
      <c r="AJ538" t="s">
        <v>1291</v>
      </c>
      <c r="AK538" t="s">
        <v>1292</v>
      </c>
      <c r="AL538" t="s">
        <v>1291</v>
      </c>
      <c r="AM538" t="s">
        <v>1318</v>
      </c>
      <c r="AN538" t="s">
        <v>1201</v>
      </c>
      <c r="AO538" t="s">
        <v>1292</v>
      </c>
      <c r="AP538" t="s">
        <v>1319</v>
      </c>
      <c r="AQ538" t="s">
        <v>1203</v>
      </c>
      <c r="AR538" t="s">
        <v>1201</v>
      </c>
      <c r="AS538" t="s">
        <v>1203</v>
      </c>
      <c r="AU538" t="s">
        <v>1204</v>
      </c>
      <c r="AW538" t="b">
        <v>0</v>
      </c>
      <c r="AY538" t="b">
        <v>0</v>
      </c>
      <c r="BA538" t="s">
        <v>2359</v>
      </c>
      <c r="BB538" t="s">
        <v>1206</v>
      </c>
      <c r="BC538" t="s">
        <v>1206</v>
      </c>
      <c r="BD538" t="s">
        <v>1207</v>
      </c>
      <c r="BE538" t="s">
        <v>2360</v>
      </c>
      <c r="BF538" t="s">
        <v>2361</v>
      </c>
      <c r="BG538" t="s">
        <v>360</v>
      </c>
      <c r="BH538" t="s">
        <v>1206</v>
      </c>
      <c r="BI538" t="s">
        <v>1206</v>
      </c>
      <c r="BJ538" t="s">
        <v>2362</v>
      </c>
    </row>
    <row r="539" spans="1:62" x14ac:dyDescent="0.25">
      <c r="A539" t="s">
        <v>1177</v>
      </c>
      <c r="B539">
        <v>612044</v>
      </c>
      <c r="C539">
        <v>612044</v>
      </c>
      <c r="D539" s="112" t="s">
        <v>2959</v>
      </c>
      <c r="E539" t="s">
        <v>1119</v>
      </c>
      <c r="F539" t="s">
        <v>1178</v>
      </c>
      <c r="G539" t="s">
        <v>365</v>
      </c>
      <c r="H539" t="s">
        <v>2370</v>
      </c>
      <c r="I539">
        <v>18</v>
      </c>
      <c r="J539" t="s">
        <v>2350</v>
      </c>
      <c r="K539">
        <v>18169</v>
      </c>
      <c r="L539" t="s">
        <v>2351</v>
      </c>
      <c r="M539">
        <v>18169232</v>
      </c>
      <c r="N539" t="s">
        <v>2352</v>
      </c>
      <c r="O539">
        <v>18169232178</v>
      </c>
      <c r="P539" t="s">
        <v>2353</v>
      </c>
      <c r="Q539" t="s">
        <v>2371</v>
      </c>
      <c r="R539" t="s">
        <v>2372</v>
      </c>
      <c r="S539" t="s">
        <v>2370</v>
      </c>
      <c r="T539" t="s">
        <v>2373</v>
      </c>
      <c r="U539" t="s">
        <v>2357</v>
      </c>
      <c r="V539" t="s">
        <v>2358</v>
      </c>
      <c r="W539">
        <v>425</v>
      </c>
      <c r="X539" t="s">
        <v>1342</v>
      </c>
      <c r="Y539">
        <v>24</v>
      </c>
      <c r="Z539">
        <v>10200</v>
      </c>
      <c r="AA539" t="s">
        <v>28</v>
      </c>
      <c r="AB539" t="s">
        <v>1190</v>
      </c>
      <c r="AC539">
        <v>425</v>
      </c>
      <c r="AD539" t="s">
        <v>1191</v>
      </c>
      <c r="AE539" t="s">
        <v>1192</v>
      </c>
      <c r="AF539" t="s">
        <v>1193</v>
      </c>
      <c r="AG539" t="s">
        <v>1194</v>
      </c>
      <c r="AH539" t="s">
        <v>1195</v>
      </c>
      <c r="AI539" t="s">
        <v>1202</v>
      </c>
      <c r="AJ539" t="s">
        <v>1291</v>
      </c>
      <c r="AK539" t="s">
        <v>1292</v>
      </c>
      <c r="AL539" t="s">
        <v>1291</v>
      </c>
      <c r="AM539" t="s">
        <v>1318</v>
      </c>
      <c r="AN539" t="s">
        <v>1201</v>
      </c>
      <c r="AO539" t="s">
        <v>1292</v>
      </c>
      <c r="AP539" t="s">
        <v>1319</v>
      </c>
      <c r="AQ539" t="s">
        <v>1203</v>
      </c>
      <c r="AR539" t="s">
        <v>1201</v>
      </c>
      <c r="AS539" t="s">
        <v>1203</v>
      </c>
      <c r="AU539" t="s">
        <v>1204</v>
      </c>
      <c r="AW539" t="b">
        <v>0</v>
      </c>
      <c r="AY539" t="b">
        <v>0</v>
      </c>
      <c r="BA539" t="s">
        <v>2359</v>
      </c>
      <c r="BB539" t="s">
        <v>1206</v>
      </c>
      <c r="BC539" t="s">
        <v>1206</v>
      </c>
      <c r="BD539" t="s">
        <v>1207</v>
      </c>
      <c r="BE539" t="s">
        <v>2360</v>
      </c>
      <c r="BF539" t="s">
        <v>2361</v>
      </c>
      <c r="BG539" t="s">
        <v>360</v>
      </c>
      <c r="BH539" t="s">
        <v>1206</v>
      </c>
      <c r="BI539" t="s">
        <v>1206</v>
      </c>
      <c r="BJ539" t="s">
        <v>2362</v>
      </c>
    </row>
    <row r="540" spans="1:62" x14ac:dyDescent="0.25">
      <c r="A540" t="s">
        <v>1177</v>
      </c>
      <c r="B540">
        <v>612045</v>
      </c>
      <c r="C540">
        <v>612045</v>
      </c>
      <c r="D540" s="112" t="s">
        <v>2960</v>
      </c>
      <c r="E540" t="s">
        <v>1119</v>
      </c>
      <c r="F540" t="s">
        <v>1178</v>
      </c>
      <c r="G540" t="s">
        <v>2374</v>
      </c>
      <c r="H540" t="s">
        <v>2349</v>
      </c>
      <c r="I540">
        <v>18</v>
      </c>
      <c r="J540" t="s">
        <v>2350</v>
      </c>
      <c r="K540">
        <v>18169</v>
      </c>
      <c r="L540" t="s">
        <v>2351</v>
      </c>
      <c r="M540">
        <v>18169232</v>
      </c>
      <c r="N540" t="s">
        <v>2352</v>
      </c>
      <c r="O540">
        <v>18169232178</v>
      </c>
      <c r="P540" t="s">
        <v>2353</v>
      </c>
      <c r="Q540" t="s">
        <v>2354</v>
      </c>
      <c r="R540" t="s">
        <v>2355</v>
      </c>
      <c r="S540" t="s">
        <v>2349</v>
      </c>
      <c r="T540" t="s">
        <v>2356</v>
      </c>
      <c r="U540" t="s">
        <v>2357</v>
      </c>
      <c r="V540" t="s">
        <v>2358</v>
      </c>
      <c r="W540">
        <v>155</v>
      </c>
      <c r="X540" t="s">
        <v>1342</v>
      </c>
      <c r="Y540">
        <v>60</v>
      </c>
      <c r="Z540">
        <v>9300</v>
      </c>
      <c r="AA540" t="s">
        <v>28</v>
      </c>
      <c r="AB540" t="s">
        <v>1190</v>
      </c>
      <c r="AC540">
        <v>155</v>
      </c>
      <c r="AD540" t="s">
        <v>1191</v>
      </c>
      <c r="AE540" t="s">
        <v>1192</v>
      </c>
      <c r="AF540" t="s">
        <v>1193</v>
      </c>
      <c r="AG540" t="s">
        <v>1194</v>
      </c>
      <c r="AH540" t="s">
        <v>1195</v>
      </c>
      <c r="AI540" t="s">
        <v>1196</v>
      </c>
      <c r="AJ540" t="s">
        <v>1546</v>
      </c>
      <c r="AK540" t="s">
        <v>1547</v>
      </c>
      <c r="AL540" t="s">
        <v>1978</v>
      </c>
      <c r="AM540" t="s">
        <v>1200</v>
      </c>
      <c r="AN540" t="s">
        <v>1201</v>
      </c>
      <c r="AO540" t="s">
        <v>1979</v>
      </c>
      <c r="AP540" t="s">
        <v>1202</v>
      </c>
      <c r="AQ540" t="s">
        <v>1203</v>
      </c>
      <c r="AR540" t="s">
        <v>1201</v>
      </c>
      <c r="AS540" t="s">
        <v>1203</v>
      </c>
      <c r="AU540" t="s">
        <v>1204</v>
      </c>
      <c r="AW540" t="b">
        <v>0</v>
      </c>
      <c r="AY540" t="b">
        <v>0</v>
      </c>
      <c r="BA540" t="s">
        <v>2359</v>
      </c>
      <c r="BB540" t="s">
        <v>1206</v>
      </c>
      <c r="BC540" t="s">
        <v>1206</v>
      </c>
      <c r="BD540" t="s">
        <v>1207</v>
      </c>
      <c r="BE540" t="s">
        <v>2360</v>
      </c>
      <c r="BF540" t="s">
        <v>2361</v>
      </c>
      <c r="BG540" t="s">
        <v>360</v>
      </c>
      <c r="BH540" t="s">
        <v>1206</v>
      </c>
      <c r="BI540" t="s">
        <v>1206</v>
      </c>
      <c r="BJ540" t="s">
        <v>2362</v>
      </c>
    </row>
    <row r="541" spans="1:62" x14ac:dyDescent="0.25">
      <c r="A541" t="s">
        <v>1177</v>
      </c>
      <c r="B541">
        <v>612042</v>
      </c>
      <c r="C541">
        <v>612042</v>
      </c>
      <c r="D541" s="112" t="s">
        <v>2961</v>
      </c>
      <c r="E541" t="s">
        <v>1119</v>
      </c>
      <c r="F541" t="s">
        <v>1178</v>
      </c>
      <c r="G541" t="s">
        <v>362</v>
      </c>
      <c r="H541" t="s">
        <v>2370</v>
      </c>
      <c r="I541">
        <v>18</v>
      </c>
      <c r="J541" t="s">
        <v>2350</v>
      </c>
      <c r="K541">
        <v>18169</v>
      </c>
      <c r="L541" t="s">
        <v>2351</v>
      </c>
      <c r="M541">
        <v>18169232</v>
      </c>
      <c r="N541" t="s">
        <v>2352</v>
      </c>
      <c r="O541">
        <v>18169232178</v>
      </c>
      <c r="P541" t="s">
        <v>2353</v>
      </c>
      <c r="Q541" t="s">
        <v>2371</v>
      </c>
      <c r="R541" t="s">
        <v>2372</v>
      </c>
      <c r="S541" t="s">
        <v>2370</v>
      </c>
      <c r="T541" t="s">
        <v>2373</v>
      </c>
      <c r="U541" t="s">
        <v>2357</v>
      </c>
      <c r="V541" t="s">
        <v>2358</v>
      </c>
      <c r="W541">
        <v>425</v>
      </c>
      <c r="X541" t="s">
        <v>1342</v>
      </c>
      <c r="Y541">
        <v>24</v>
      </c>
      <c r="Z541">
        <v>10200</v>
      </c>
      <c r="AA541" t="s">
        <v>28</v>
      </c>
      <c r="AB541" t="s">
        <v>1190</v>
      </c>
      <c r="AC541">
        <v>425</v>
      </c>
      <c r="AD541" t="s">
        <v>1191</v>
      </c>
      <c r="AE541" t="s">
        <v>1192</v>
      </c>
      <c r="AF541" t="s">
        <v>1193</v>
      </c>
      <c r="AG541" t="s">
        <v>1194</v>
      </c>
      <c r="AH541" t="s">
        <v>1195</v>
      </c>
      <c r="AI541" t="s">
        <v>1196</v>
      </c>
      <c r="AJ541" t="s">
        <v>1546</v>
      </c>
      <c r="AK541" t="s">
        <v>1547</v>
      </c>
      <c r="AL541" t="s">
        <v>1978</v>
      </c>
      <c r="AM541" t="s">
        <v>1200</v>
      </c>
      <c r="AN541" t="s">
        <v>1201</v>
      </c>
      <c r="AO541" t="s">
        <v>1979</v>
      </c>
      <c r="AP541" t="s">
        <v>1202</v>
      </c>
      <c r="AQ541" t="s">
        <v>1203</v>
      </c>
      <c r="AR541" t="s">
        <v>1201</v>
      </c>
      <c r="AS541" t="s">
        <v>1203</v>
      </c>
      <c r="AU541" t="s">
        <v>1204</v>
      </c>
      <c r="AW541" t="b">
        <v>0</v>
      </c>
      <c r="AY541" t="b">
        <v>0</v>
      </c>
      <c r="BA541" t="s">
        <v>2359</v>
      </c>
      <c r="BB541" t="s">
        <v>1206</v>
      </c>
      <c r="BC541" t="s">
        <v>1206</v>
      </c>
      <c r="BD541" t="s">
        <v>1207</v>
      </c>
      <c r="BE541" t="s">
        <v>2360</v>
      </c>
      <c r="BF541" t="s">
        <v>2361</v>
      </c>
      <c r="BG541" t="s">
        <v>360</v>
      </c>
      <c r="BH541" t="s">
        <v>1206</v>
      </c>
      <c r="BI541" t="s">
        <v>1206</v>
      </c>
      <c r="BJ541" t="s">
        <v>2362</v>
      </c>
    </row>
    <row r="542" spans="1:62" x14ac:dyDescent="0.25">
      <c r="A542" t="s">
        <v>1177</v>
      </c>
      <c r="B542">
        <v>612160</v>
      </c>
      <c r="C542">
        <v>612160</v>
      </c>
      <c r="D542" s="112" t="s">
        <v>2962</v>
      </c>
      <c r="E542" t="s">
        <v>1119</v>
      </c>
      <c r="F542" t="s">
        <v>1178</v>
      </c>
      <c r="G542" t="s">
        <v>2375</v>
      </c>
      <c r="H542" t="s">
        <v>2370</v>
      </c>
      <c r="I542">
        <v>18</v>
      </c>
      <c r="J542" t="s">
        <v>2350</v>
      </c>
      <c r="K542">
        <v>18169</v>
      </c>
      <c r="L542" t="s">
        <v>2351</v>
      </c>
      <c r="M542">
        <v>18169232</v>
      </c>
      <c r="N542" t="s">
        <v>2352</v>
      </c>
      <c r="O542">
        <v>18169232178</v>
      </c>
      <c r="P542" t="s">
        <v>2353</v>
      </c>
      <c r="Q542" t="s">
        <v>2371</v>
      </c>
      <c r="R542" t="s">
        <v>2372</v>
      </c>
      <c r="S542" t="s">
        <v>2370</v>
      </c>
      <c r="T542" t="s">
        <v>2373</v>
      </c>
      <c r="U542" t="s">
        <v>2357</v>
      </c>
      <c r="V542" t="s">
        <v>2358</v>
      </c>
      <c r="W542">
        <v>425</v>
      </c>
      <c r="X542" t="s">
        <v>1342</v>
      </c>
      <c r="Y542">
        <v>24</v>
      </c>
      <c r="Z542">
        <v>10200</v>
      </c>
      <c r="AA542" t="s">
        <v>28</v>
      </c>
      <c r="AB542" t="s">
        <v>1190</v>
      </c>
      <c r="AC542">
        <v>425</v>
      </c>
      <c r="AD542" t="s">
        <v>1191</v>
      </c>
      <c r="AE542" t="s">
        <v>1192</v>
      </c>
      <c r="AF542" t="s">
        <v>1193</v>
      </c>
      <c r="AG542" t="s">
        <v>1194</v>
      </c>
      <c r="AH542" t="s">
        <v>1195</v>
      </c>
      <c r="AI542" t="s">
        <v>1196</v>
      </c>
      <c r="AJ542" t="s">
        <v>2225</v>
      </c>
      <c r="AK542" t="s">
        <v>2226</v>
      </c>
      <c r="AL542" t="s">
        <v>2305</v>
      </c>
      <c r="AM542" t="s">
        <v>1293</v>
      </c>
      <c r="AN542" t="s">
        <v>1201</v>
      </c>
      <c r="AO542" t="s">
        <v>2306</v>
      </c>
      <c r="AP542" t="s">
        <v>1294</v>
      </c>
      <c r="AQ542" t="s">
        <v>1203</v>
      </c>
      <c r="AR542" t="s">
        <v>1201</v>
      </c>
      <c r="AS542" t="s">
        <v>1203</v>
      </c>
      <c r="AU542" t="s">
        <v>1204</v>
      </c>
      <c r="AW542" t="b">
        <v>0</v>
      </c>
      <c r="AY542" t="b">
        <v>0</v>
      </c>
      <c r="BA542" t="s">
        <v>2359</v>
      </c>
      <c r="BJ542" t="s">
        <v>2362</v>
      </c>
    </row>
    <row r="543" spans="1:62" x14ac:dyDescent="0.25">
      <c r="A543" t="s">
        <v>1177</v>
      </c>
      <c r="B543">
        <v>612161</v>
      </c>
      <c r="C543">
        <v>612161</v>
      </c>
      <c r="D543" s="112" t="s">
        <v>2963</v>
      </c>
      <c r="E543" t="s">
        <v>1119</v>
      </c>
      <c r="F543" t="s">
        <v>1178</v>
      </c>
      <c r="G543" t="s">
        <v>2376</v>
      </c>
      <c r="H543" t="s">
        <v>2349</v>
      </c>
      <c r="I543">
        <v>18</v>
      </c>
      <c r="J543" t="s">
        <v>2350</v>
      </c>
      <c r="K543">
        <v>18169</v>
      </c>
      <c r="L543" t="s">
        <v>2351</v>
      </c>
      <c r="M543">
        <v>18169232</v>
      </c>
      <c r="N543" t="s">
        <v>2352</v>
      </c>
      <c r="O543">
        <v>18169232178</v>
      </c>
      <c r="P543" t="s">
        <v>2353</v>
      </c>
      <c r="Q543" t="s">
        <v>2354</v>
      </c>
      <c r="R543" t="s">
        <v>2355</v>
      </c>
      <c r="S543" t="s">
        <v>2349</v>
      </c>
      <c r="T543" t="s">
        <v>2356</v>
      </c>
      <c r="U543" t="s">
        <v>2357</v>
      </c>
      <c r="V543" t="s">
        <v>2358</v>
      </c>
      <c r="W543">
        <v>155</v>
      </c>
      <c r="X543" t="s">
        <v>1342</v>
      </c>
      <c r="Y543">
        <v>60</v>
      </c>
      <c r="Z543">
        <v>9300</v>
      </c>
      <c r="AA543" t="s">
        <v>28</v>
      </c>
      <c r="AB543" t="s">
        <v>1190</v>
      </c>
      <c r="AC543">
        <v>155</v>
      </c>
      <c r="AD543" t="s">
        <v>1191</v>
      </c>
      <c r="AE543" t="s">
        <v>1192</v>
      </c>
      <c r="AF543" t="s">
        <v>1193</v>
      </c>
      <c r="AG543" t="s">
        <v>1194</v>
      </c>
      <c r="AH543" t="s">
        <v>1195</v>
      </c>
      <c r="AI543" t="s">
        <v>1196</v>
      </c>
      <c r="AJ543" t="s">
        <v>2225</v>
      </c>
      <c r="AK543" t="s">
        <v>2226</v>
      </c>
      <c r="AL543" t="s">
        <v>2305</v>
      </c>
      <c r="AM543" t="s">
        <v>1293</v>
      </c>
      <c r="AN543" t="s">
        <v>1201</v>
      </c>
      <c r="AO543" t="s">
        <v>2306</v>
      </c>
      <c r="AP543" t="s">
        <v>1294</v>
      </c>
      <c r="AQ543" t="s">
        <v>1203</v>
      </c>
      <c r="AR543" t="s">
        <v>1201</v>
      </c>
      <c r="AS543" t="s">
        <v>1203</v>
      </c>
      <c r="AU543" t="s">
        <v>1204</v>
      </c>
      <c r="AW543" t="b">
        <v>0</v>
      </c>
      <c r="AY543" t="b">
        <v>0</v>
      </c>
      <c r="BA543" t="s">
        <v>2359</v>
      </c>
      <c r="BJ543" t="s">
        <v>2362</v>
      </c>
    </row>
    <row r="544" spans="1:62" x14ac:dyDescent="0.25">
      <c r="A544" t="s">
        <v>1177</v>
      </c>
      <c r="B544">
        <v>612162</v>
      </c>
      <c r="C544" t="s">
        <v>1258</v>
      </c>
      <c r="D544" s="112" t="s">
        <v>2964</v>
      </c>
      <c r="E544" t="s">
        <v>1119</v>
      </c>
      <c r="F544" t="s">
        <v>1178</v>
      </c>
      <c r="G544" t="s">
        <v>2377</v>
      </c>
      <c r="H544" t="s">
        <v>2370</v>
      </c>
      <c r="I544">
        <v>18</v>
      </c>
      <c r="J544" t="s">
        <v>2350</v>
      </c>
      <c r="K544">
        <v>18169</v>
      </c>
      <c r="L544" t="s">
        <v>2351</v>
      </c>
      <c r="M544">
        <v>18169232</v>
      </c>
      <c r="N544" t="s">
        <v>2352</v>
      </c>
      <c r="O544">
        <v>18169232178</v>
      </c>
      <c r="P544" t="s">
        <v>2353</v>
      </c>
      <c r="Q544" t="s">
        <v>2371</v>
      </c>
      <c r="R544" t="s">
        <v>2372</v>
      </c>
      <c r="S544" t="s">
        <v>2370</v>
      </c>
      <c r="T544" t="s">
        <v>2373</v>
      </c>
      <c r="U544" t="s">
        <v>2357</v>
      </c>
      <c r="V544" t="s">
        <v>2358</v>
      </c>
      <c r="W544">
        <v>425</v>
      </c>
      <c r="X544" t="s">
        <v>1342</v>
      </c>
      <c r="Y544">
        <v>24</v>
      </c>
      <c r="Z544">
        <v>10200</v>
      </c>
      <c r="AA544" t="s">
        <v>28</v>
      </c>
      <c r="AB544" t="s">
        <v>1190</v>
      </c>
      <c r="AC544">
        <v>425</v>
      </c>
      <c r="AD544" t="s">
        <v>1191</v>
      </c>
      <c r="AE544" t="s">
        <v>1192</v>
      </c>
      <c r="AF544" t="s">
        <v>1193</v>
      </c>
      <c r="AG544" t="s">
        <v>1194</v>
      </c>
      <c r="AH544" t="s">
        <v>1195</v>
      </c>
      <c r="AI544" t="s">
        <v>1202</v>
      </c>
      <c r="AJ544" t="s">
        <v>1291</v>
      </c>
      <c r="AK544" t="s">
        <v>1292</v>
      </c>
      <c r="AL544" t="s">
        <v>1291</v>
      </c>
      <c r="AM544" t="s">
        <v>1318</v>
      </c>
      <c r="AN544" t="s">
        <v>1201</v>
      </c>
      <c r="AO544" t="s">
        <v>1292</v>
      </c>
      <c r="AP544" t="s">
        <v>1319</v>
      </c>
      <c r="AQ544" t="s">
        <v>1203</v>
      </c>
      <c r="AR544" t="s">
        <v>1201</v>
      </c>
      <c r="AS544" t="s">
        <v>1203</v>
      </c>
      <c r="AU544" t="s">
        <v>1204</v>
      </c>
      <c r="AW544" t="b">
        <v>0</v>
      </c>
      <c r="AY544" t="b">
        <v>0</v>
      </c>
      <c r="BA544" t="s">
        <v>2359</v>
      </c>
      <c r="BJ544" t="s">
        <v>2362</v>
      </c>
    </row>
    <row r="545" spans="1:62" x14ac:dyDescent="0.25">
      <c r="A545" t="s">
        <v>1177</v>
      </c>
      <c r="B545">
        <v>612163</v>
      </c>
      <c r="C545" t="s">
        <v>1258</v>
      </c>
      <c r="D545" s="112" t="s">
        <v>2965</v>
      </c>
      <c r="E545" t="s">
        <v>1119</v>
      </c>
      <c r="F545" t="s">
        <v>1178</v>
      </c>
      <c r="G545" t="s">
        <v>2378</v>
      </c>
      <c r="H545" t="s">
        <v>2349</v>
      </c>
      <c r="I545">
        <v>18</v>
      </c>
      <c r="J545" t="s">
        <v>2350</v>
      </c>
      <c r="K545">
        <v>18169</v>
      </c>
      <c r="L545" t="s">
        <v>2351</v>
      </c>
      <c r="M545">
        <v>18169232</v>
      </c>
      <c r="N545" t="s">
        <v>2352</v>
      </c>
      <c r="O545">
        <v>18169232178</v>
      </c>
      <c r="P545" t="s">
        <v>2353</v>
      </c>
      <c r="Q545" t="s">
        <v>2354</v>
      </c>
      <c r="R545" t="s">
        <v>2355</v>
      </c>
      <c r="S545" t="s">
        <v>2349</v>
      </c>
      <c r="T545" t="s">
        <v>2356</v>
      </c>
      <c r="U545" t="s">
        <v>2357</v>
      </c>
      <c r="V545" t="s">
        <v>2358</v>
      </c>
      <c r="W545">
        <v>155</v>
      </c>
      <c r="X545" t="s">
        <v>1342</v>
      </c>
      <c r="Y545">
        <v>60</v>
      </c>
      <c r="Z545">
        <v>9300</v>
      </c>
      <c r="AA545" t="s">
        <v>28</v>
      </c>
      <c r="AB545" t="s">
        <v>1190</v>
      </c>
      <c r="AC545">
        <v>155</v>
      </c>
      <c r="AD545" t="s">
        <v>1191</v>
      </c>
      <c r="AE545" t="s">
        <v>1192</v>
      </c>
      <c r="AF545" t="s">
        <v>1193</v>
      </c>
      <c r="AG545" t="s">
        <v>1194</v>
      </c>
      <c r="AH545" t="s">
        <v>1195</v>
      </c>
      <c r="AI545" t="s">
        <v>1202</v>
      </c>
      <c r="AJ545" t="s">
        <v>1291</v>
      </c>
      <c r="AK545" t="s">
        <v>1292</v>
      </c>
      <c r="AL545" t="s">
        <v>1291</v>
      </c>
      <c r="AM545" t="s">
        <v>1318</v>
      </c>
      <c r="AN545" t="s">
        <v>1201</v>
      </c>
      <c r="AO545" t="s">
        <v>1292</v>
      </c>
      <c r="AP545" t="s">
        <v>1319</v>
      </c>
      <c r="AQ545" t="s">
        <v>1203</v>
      </c>
      <c r="AR545" t="s">
        <v>1201</v>
      </c>
      <c r="AS545" t="s">
        <v>1203</v>
      </c>
      <c r="AU545" t="s">
        <v>1204</v>
      </c>
      <c r="AW545" t="b">
        <v>0</v>
      </c>
      <c r="AY545" t="b">
        <v>0</v>
      </c>
      <c r="BA545" t="s">
        <v>2359</v>
      </c>
      <c r="BJ545" t="s">
        <v>2362</v>
      </c>
    </row>
    <row r="546" spans="1:62" x14ac:dyDescent="0.25">
      <c r="A546" t="s">
        <v>1177</v>
      </c>
      <c r="B546">
        <v>612164</v>
      </c>
      <c r="C546" t="s">
        <v>1258</v>
      </c>
      <c r="D546" s="112" t="s">
        <v>2966</v>
      </c>
      <c r="E546" t="s">
        <v>1119</v>
      </c>
      <c r="F546" t="s">
        <v>1178</v>
      </c>
      <c r="G546" t="s">
        <v>2379</v>
      </c>
      <c r="H546" t="s">
        <v>2370</v>
      </c>
      <c r="I546">
        <v>18</v>
      </c>
      <c r="J546" t="s">
        <v>2350</v>
      </c>
      <c r="K546">
        <v>18169</v>
      </c>
      <c r="L546" t="s">
        <v>2351</v>
      </c>
      <c r="M546">
        <v>18169232</v>
      </c>
      <c r="N546" t="s">
        <v>2352</v>
      </c>
      <c r="O546">
        <v>18169232178</v>
      </c>
      <c r="P546" t="s">
        <v>2353</v>
      </c>
      <c r="Q546" t="s">
        <v>2371</v>
      </c>
      <c r="R546" t="s">
        <v>2372</v>
      </c>
      <c r="S546" t="s">
        <v>2370</v>
      </c>
      <c r="T546" t="s">
        <v>2373</v>
      </c>
      <c r="U546" t="s">
        <v>2357</v>
      </c>
      <c r="V546" t="s">
        <v>2358</v>
      </c>
      <c r="W546">
        <v>425</v>
      </c>
      <c r="X546" t="s">
        <v>1342</v>
      </c>
      <c r="Y546">
        <v>24</v>
      </c>
      <c r="Z546">
        <v>10200</v>
      </c>
      <c r="AA546" t="s">
        <v>28</v>
      </c>
      <c r="AB546" t="s">
        <v>1190</v>
      </c>
      <c r="AC546">
        <v>425</v>
      </c>
      <c r="AD546" t="s">
        <v>1191</v>
      </c>
      <c r="AE546" t="s">
        <v>1192</v>
      </c>
      <c r="AF546" t="s">
        <v>1193</v>
      </c>
      <c r="AG546" t="s">
        <v>1194</v>
      </c>
      <c r="AH546" t="s">
        <v>1195</v>
      </c>
      <c r="AI546" t="s">
        <v>1196</v>
      </c>
      <c r="AJ546" t="s">
        <v>1546</v>
      </c>
      <c r="AK546" t="s">
        <v>1547</v>
      </c>
      <c r="AL546" t="s">
        <v>1978</v>
      </c>
      <c r="AM546" t="s">
        <v>1200</v>
      </c>
      <c r="AN546" t="s">
        <v>1201</v>
      </c>
      <c r="AO546" t="s">
        <v>1979</v>
      </c>
      <c r="AP546" t="s">
        <v>1202</v>
      </c>
      <c r="AQ546" t="s">
        <v>1203</v>
      </c>
      <c r="AR546" t="s">
        <v>1201</v>
      </c>
      <c r="AS546" t="s">
        <v>1203</v>
      </c>
      <c r="AU546" t="s">
        <v>1204</v>
      </c>
      <c r="AW546" t="b">
        <v>0</v>
      </c>
      <c r="AY546" t="b">
        <v>0</v>
      </c>
      <c r="BA546" t="s">
        <v>2359</v>
      </c>
      <c r="BJ546" t="s">
        <v>2362</v>
      </c>
    </row>
    <row r="547" spans="1:62" x14ac:dyDescent="0.25">
      <c r="A547" t="s">
        <v>1177</v>
      </c>
      <c r="B547">
        <v>612165</v>
      </c>
      <c r="C547" t="s">
        <v>1258</v>
      </c>
      <c r="D547" s="112" t="s">
        <v>2967</v>
      </c>
      <c r="E547" t="s">
        <v>1119</v>
      </c>
      <c r="F547" t="s">
        <v>1178</v>
      </c>
      <c r="G547" t="s">
        <v>2380</v>
      </c>
      <c r="H547" t="s">
        <v>2349</v>
      </c>
      <c r="I547">
        <v>18</v>
      </c>
      <c r="J547" t="s">
        <v>2350</v>
      </c>
      <c r="K547">
        <v>18169</v>
      </c>
      <c r="L547" t="s">
        <v>2351</v>
      </c>
      <c r="M547">
        <v>18169232</v>
      </c>
      <c r="N547" t="s">
        <v>2352</v>
      </c>
      <c r="O547">
        <v>18169232178</v>
      </c>
      <c r="P547" t="s">
        <v>2353</v>
      </c>
      <c r="Q547" t="s">
        <v>2354</v>
      </c>
      <c r="R547" t="s">
        <v>2355</v>
      </c>
      <c r="S547" t="s">
        <v>2349</v>
      </c>
      <c r="T547" t="s">
        <v>2356</v>
      </c>
      <c r="U547" t="s">
        <v>2357</v>
      </c>
      <c r="V547" t="s">
        <v>2358</v>
      </c>
      <c r="W547">
        <v>155</v>
      </c>
      <c r="X547" t="s">
        <v>1342</v>
      </c>
      <c r="Y547">
        <v>60</v>
      </c>
      <c r="Z547">
        <v>9300</v>
      </c>
      <c r="AA547" t="s">
        <v>28</v>
      </c>
      <c r="AB547" t="s">
        <v>1190</v>
      </c>
      <c r="AC547">
        <v>155</v>
      </c>
      <c r="AD547" t="s">
        <v>1191</v>
      </c>
      <c r="AE547" t="s">
        <v>1192</v>
      </c>
      <c r="AF547" t="s">
        <v>1193</v>
      </c>
      <c r="AG547" t="s">
        <v>1194</v>
      </c>
      <c r="AH547" t="s">
        <v>1195</v>
      </c>
      <c r="AI547" t="s">
        <v>1196</v>
      </c>
      <c r="AJ547" t="s">
        <v>1546</v>
      </c>
      <c r="AK547" t="s">
        <v>1547</v>
      </c>
      <c r="AL547" t="s">
        <v>1978</v>
      </c>
      <c r="AM547" t="s">
        <v>1200</v>
      </c>
      <c r="AN547" t="s">
        <v>1201</v>
      </c>
      <c r="AO547" t="s">
        <v>1979</v>
      </c>
      <c r="AP547" t="s">
        <v>1202</v>
      </c>
      <c r="AQ547" t="s">
        <v>1203</v>
      </c>
      <c r="AR547" t="s">
        <v>1201</v>
      </c>
      <c r="AS547" t="s">
        <v>1203</v>
      </c>
      <c r="AU547" t="s">
        <v>1204</v>
      </c>
      <c r="AW547" t="b">
        <v>0</v>
      </c>
      <c r="AY547" t="b">
        <v>0</v>
      </c>
      <c r="BA547" t="s">
        <v>2359</v>
      </c>
      <c r="BJ547" t="s">
        <v>2362</v>
      </c>
    </row>
    <row r="548" spans="1:62" x14ac:dyDescent="0.25">
      <c r="A548" t="s">
        <v>1177</v>
      </c>
      <c r="B548">
        <v>612132</v>
      </c>
      <c r="C548">
        <v>612132</v>
      </c>
      <c r="D548" s="112" t="s">
        <v>2968</v>
      </c>
      <c r="E548" t="s">
        <v>1119</v>
      </c>
      <c r="F548" t="s">
        <v>1178</v>
      </c>
      <c r="G548" t="s">
        <v>2381</v>
      </c>
      <c r="H548" t="s">
        <v>2382</v>
      </c>
      <c r="I548">
        <v>18</v>
      </c>
      <c r="J548" t="s">
        <v>2350</v>
      </c>
      <c r="K548">
        <v>18169</v>
      </c>
      <c r="L548" t="s">
        <v>2351</v>
      </c>
      <c r="M548">
        <v>18169232</v>
      </c>
      <c r="N548" t="s">
        <v>2352</v>
      </c>
      <c r="O548">
        <v>18169232178</v>
      </c>
      <c r="P548" t="s">
        <v>2353</v>
      </c>
      <c r="Q548" t="s">
        <v>2354</v>
      </c>
      <c r="R548" t="s">
        <v>2355</v>
      </c>
      <c r="S548" t="s">
        <v>2382</v>
      </c>
      <c r="T548" t="s">
        <v>2383</v>
      </c>
      <c r="U548" t="s">
        <v>2357</v>
      </c>
      <c r="V548" t="s">
        <v>2358</v>
      </c>
      <c r="W548">
        <v>155</v>
      </c>
      <c r="X548" t="s">
        <v>1342</v>
      </c>
      <c r="Y548">
        <v>48</v>
      </c>
      <c r="Z548">
        <v>7440</v>
      </c>
      <c r="AA548" t="s">
        <v>28</v>
      </c>
      <c r="AB548" t="s">
        <v>1190</v>
      </c>
      <c r="AC548">
        <v>155</v>
      </c>
      <c r="AD548" t="s">
        <v>1191</v>
      </c>
      <c r="AE548" t="s">
        <v>1192</v>
      </c>
      <c r="AF548" t="s">
        <v>1193</v>
      </c>
      <c r="AG548" t="s">
        <v>1194</v>
      </c>
      <c r="AH548" t="s">
        <v>1195</v>
      </c>
      <c r="AI548" t="s">
        <v>1196</v>
      </c>
      <c r="AJ548" t="s">
        <v>1546</v>
      </c>
      <c r="AK548" t="s">
        <v>1547</v>
      </c>
      <c r="AL548" t="s">
        <v>1978</v>
      </c>
      <c r="AM548" t="s">
        <v>1200</v>
      </c>
      <c r="AN548" t="s">
        <v>1201</v>
      </c>
      <c r="AO548" t="s">
        <v>1979</v>
      </c>
      <c r="AP548" t="s">
        <v>1202</v>
      </c>
      <c r="AQ548" t="s">
        <v>1203</v>
      </c>
      <c r="AR548" t="s">
        <v>1201</v>
      </c>
      <c r="AS548" t="s">
        <v>1203</v>
      </c>
      <c r="AU548" t="s">
        <v>1204</v>
      </c>
      <c r="AW548" t="b">
        <v>0</v>
      </c>
      <c r="AY548" t="b">
        <v>0</v>
      </c>
      <c r="BA548" t="s">
        <v>2359</v>
      </c>
      <c r="BJ548" t="s">
        <v>2362</v>
      </c>
    </row>
    <row r="549" spans="1:62" x14ac:dyDescent="0.25">
      <c r="A549" t="s">
        <v>1177</v>
      </c>
      <c r="B549">
        <v>612158</v>
      </c>
      <c r="C549">
        <v>612158</v>
      </c>
      <c r="D549" s="112" t="s">
        <v>2969</v>
      </c>
      <c r="E549" t="s">
        <v>1119</v>
      </c>
      <c r="F549" t="s">
        <v>1178</v>
      </c>
      <c r="G549" t="s">
        <v>2384</v>
      </c>
      <c r="H549" t="s">
        <v>2349</v>
      </c>
      <c r="I549">
        <v>18</v>
      </c>
      <c r="J549" t="s">
        <v>2350</v>
      </c>
      <c r="K549">
        <v>18169</v>
      </c>
      <c r="L549" t="s">
        <v>2351</v>
      </c>
      <c r="M549">
        <v>18169232</v>
      </c>
      <c r="N549" t="s">
        <v>2352</v>
      </c>
      <c r="O549">
        <v>18169232178</v>
      </c>
      <c r="P549" t="s">
        <v>2353</v>
      </c>
      <c r="Q549" t="s">
        <v>2354</v>
      </c>
      <c r="R549" t="s">
        <v>2355</v>
      </c>
      <c r="S549" t="s">
        <v>2349</v>
      </c>
      <c r="T549" t="s">
        <v>2356</v>
      </c>
      <c r="U549" t="s">
        <v>2357</v>
      </c>
      <c r="V549" t="s">
        <v>2358</v>
      </c>
      <c r="W549">
        <v>155</v>
      </c>
      <c r="X549" t="s">
        <v>1342</v>
      </c>
      <c r="Y549">
        <v>60</v>
      </c>
      <c r="Z549">
        <v>9300</v>
      </c>
      <c r="AA549" t="s">
        <v>28</v>
      </c>
      <c r="AB549" t="s">
        <v>1190</v>
      </c>
      <c r="AC549">
        <v>155</v>
      </c>
      <c r="AD549" t="s">
        <v>1191</v>
      </c>
      <c r="AE549" t="s">
        <v>1192</v>
      </c>
      <c r="AF549" t="s">
        <v>1193</v>
      </c>
      <c r="AG549" t="s">
        <v>1194</v>
      </c>
      <c r="AH549" t="s">
        <v>1195</v>
      </c>
      <c r="AI549" t="s">
        <v>1196</v>
      </c>
      <c r="AJ549" t="s">
        <v>2225</v>
      </c>
      <c r="AK549" t="s">
        <v>1272</v>
      </c>
      <c r="AL549" t="s">
        <v>2305</v>
      </c>
      <c r="AM549" t="s">
        <v>1293</v>
      </c>
      <c r="AN549" t="s">
        <v>1201</v>
      </c>
      <c r="AO549" t="s">
        <v>2306</v>
      </c>
      <c r="AP549" t="s">
        <v>1294</v>
      </c>
      <c r="AQ549" t="s">
        <v>1203</v>
      </c>
      <c r="AR549" t="s">
        <v>1201</v>
      </c>
      <c r="AS549" t="s">
        <v>1203</v>
      </c>
      <c r="AU549" t="s">
        <v>1204</v>
      </c>
      <c r="AW549" t="b">
        <v>1</v>
      </c>
      <c r="AY549" t="b">
        <v>0</v>
      </c>
      <c r="BA549" t="s">
        <v>2359</v>
      </c>
      <c r="BJ549" t="s">
        <v>2362</v>
      </c>
    </row>
    <row r="550" spans="1:62" x14ac:dyDescent="0.25">
      <c r="A550" t="s">
        <v>1177</v>
      </c>
      <c r="B550">
        <v>612159</v>
      </c>
      <c r="C550">
        <v>612159</v>
      </c>
      <c r="D550" s="112" t="s">
        <v>2970</v>
      </c>
      <c r="E550" t="s">
        <v>1119</v>
      </c>
      <c r="F550" t="s">
        <v>1178</v>
      </c>
      <c r="G550" t="s">
        <v>2385</v>
      </c>
      <c r="H550" t="s">
        <v>2349</v>
      </c>
      <c r="I550">
        <v>18</v>
      </c>
      <c r="J550" t="s">
        <v>2350</v>
      </c>
      <c r="K550">
        <v>18169</v>
      </c>
      <c r="L550" t="s">
        <v>2351</v>
      </c>
      <c r="M550">
        <v>18169232</v>
      </c>
      <c r="N550" t="s">
        <v>2352</v>
      </c>
      <c r="O550">
        <v>18169232178</v>
      </c>
      <c r="P550" t="s">
        <v>2353</v>
      </c>
      <c r="Q550" t="s">
        <v>2354</v>
      </c>
      <c r="R550" t="s">
        <v>2355</v>
      </c>
      <c r="S550" t="s">
        <v>2349</v>
      </c>
      <c r="T550" t="s">
        <v>2356</v>
      </c>
      <c r="U550" t="s">
        <v>2357</v>
      </c>
      <c r="V550" t="s">
        <v>2358</v>
      </c>
      <c r="W550">
        <v>155</v>
      </c>
      <c r="X550" t="s">
        <v>1342</v>
      </c>
      <c r="Y550">
        <v>60</v>
      </c>
      <c r="Z550">
        <v>9300</v>
      </c>
      <c r="AA550" t="s">
        <v>28</v>
      </c>
      <c r="AB550" t="s">
        <v>1190</v>
      </c>
      <c r="AC550">
        <v>155</v>
      </c>
      <c r="AD550" t="s">
        <v>1191</v>
      </c>
      <c r="AE550" t="s">
        <v>1192</v>
      </c>
      <c r="AF550" t="s">
        <v>1193</v>
      </c>
      <c r="AG550" t="s">
        <v>1194</v>
      </c>
      <c r="AH550" t="s">
        <v>1195</v>
      </c>
      <c r="AI550" t="s">
        <v>1202</v>
      </c>
      <c r="AJ550" t="s">
        <v>1291</v>
      </c>
      <c r="AK550" t="s">
        <v>1272</v>
      </c>
      <c r="AL550" t="s">
        <v>1291</v>
      </c>
      <c r="AM550" t="s">
        <v>1318</v>
      </c>
      <c r="AN550" t="s">
        <v>1201</v>
      </c>
      <c r="AO550" t="s">
        <v>1292</v>
      </c>
      <c r="AP550" t="s">
        <v>1319</v>
      </c>
      <c r="AQ550" t="s">
        <v>1203</v>
      </c>
      <c r="AR550" t="s">
        <v>1201</v>
      </c>
      <c r="AS550" t="s">
        <v>1203</v>
      </c>
      <c r="AU550" t="s">
        <v>1204</v>
      </c>
      <c r="AW550" t="b">
        <v>1</v>
      </c>
      <c r="AY550" t="b">
        <v>0</v>
      </c>
      <c r="BA550" t="s">
        <v>2359</v>
      </c>
      <c r="BJ550" t="s">
        <v>2362</v>
      </c>
    </row>
    <row r="551" spans="1:62" x14ac:dyDescent="0.25">
      <c r="A551" t="s">
        <v>1177</v>
      </c>
      <c r="B551">
        <v>612157</v>
      </c>
      <c r="C551">
        <v>612157</v>
      </c>
      <c r="D551" s="112" t="s">
        <v>2971</v>
      </c>
      <c r="E551" t="s">
        <v>1119</v>
      </c>
      <c r="F551" t="s">
        <v>1178</v>
      </c>
      <c r="G551" t="s">
        <v>2386</v>
      </c>
      <c r="H551" t="s">
        <v>2349</v>
      </c>
      <c r="I551">
        <v>18</v>
      </c>
      <c r="J551" t="s">
        <v>2350</v>
      </c>
      <c r="K551">
        <v>18169</v>
      </c>
      <c r="L551" t="s">
        <v>2351</v>
      </c>
      <c r="M551">
        <v>18169232</v>
      </c>
      <c r="N551" t="s">
        <v>2352</v>
      </c>
      <c r="O551">
        <v>18169232178</v>
      </c>
      <c r="P551" t="s">
        <v>2353</v>
      </c>
      <c r="Q551" t="s">
        <v>2354</v>
      </c>
      <c r="R551" t="s">
        <v>2355</v>
      </c>
      <c r="S551" t="s">
        <v>2349</v>
      </c>
      <c r="T551" t="s">
        <v>2356</v>
      </c>
      <c r="U551" t="s">
        <v>2357</v>
      </c>
      <c r="V551" t="s">
        <v>2358</v>
      </c>
      <c r="W551">
        <v>155</v>
      </c>
      <c r="X551" t="s">
        <v>1342</v>
      </c>
      <c r="Y551">
        <v>60</v>
      </c>
      <c r="Z551">
        <v>9300</v>
      </c>
      <c r="AA551" t="s">
        <v>28</v>
      </c>
      <c r="AB551" t="s">
        <v>1190</v>
      </c>
      <c r="AC551">
        <v>155</v>
      </c>
      <c r="AD551" t="s">
        <v>1191</v>
      </c>
      <c r="AE551" t="s">
        <v>1192</v>
      </c>
      <c r="AF551" t="s">
        <v>1193</v>
      </c>
      <c r="AG551" t="s">
        <v>1194</v>
      </c>
      <c r="AH551" t="s">
        <v>1195</v>
      </c>
      <c r="AI551" t="s">
        <v>1196</v>
      </c>
      <c r="AJ551" t="s">
        <v>1546</v>
      </c>
      <c r="AK551" t="s">
        <v>1272</v>
      </c>
      <c r="AL551" t="s">
        <v>1978</v>
      </c>
      <c r="AM551" t="s">
        <v>1200</v>
      </c>
      <c r="AN551" t="s">
        <v>1201</v>
      </c>
      <c r="AO551" t="s">
        <v>1979</v>
      </c>
      <c r="AP551" t="s">
        <v>1202</v>
      </c>
      <c r="AQ551" t="s">
        <v>1203</v>
      </c>
      <c r="AR551" t="s">
        <v>1201</v>
      </c>
      <c r="AS551" t="s">
        <v>1203</v>
      </c>
      <c r="AU551" t="s">
        <v>1204</v>
      </c>
      <c r="AW551" t="b">
        <v>1</v>
      </c>
      <c r="AY551" t="b">
        <v>0</v>
      </c>
      <c r="BA551" t="s">
        <v>2359</v>
      </c>
      <c r="BJ551" t="s">
        <v>2362</v>
      </c>
    </row>
    <row r="552" spans="1:62" x14ac:dyDescent="0.25">
      <c r="A552" t="s">
        <v>1177</v>
      </c>
      <c r="B552">
        <v>612155</v>
      </c>
      <c r="C552">
        <v>612155</v>
      </c>
      <c r="D552" s="112" t="s">
        <v>2972</v>
      </c>
      <c r="E552" t="s">
        <v>1119</v>
      </c>
      <c r="F552" t="s">
        <v>1178</v>
      </c>
      <c r="G552" t="s">
        <v>2387</v>
      </c>
      <c r="H552" t="s">
        <v>2366</v>
      </c>
      <c r="I552">
        <v>18</v>
      </c>
      <c r="J552" t="s">
        <v>2350</v>
      </c>
      <c r="K552">
        <v>18169</v>
      </c>
      <c r="L552" t="s">
        <v>2351</v>
      </c>
      <c r="M552">
        <v>18169232</v>
      </c>
      <c r="N552" t="s">
        <v>2352</v>
      </c>
      <c r="O552">
        <v>18169232178</v>
      </c>
      <c r="P552" t="s">
        <v>2353</v>
      </c>
      <c r="Q552" t="s">
        <v>2367</v>
      </c>
      <c r="R552" t="s">
        <v>2368</v>
      </c>
      <c r="S552" t="s">
        <v>2366</v>
      </c>
      <c r="T552" t="s">
        <v>2369</v>
      </c>
      <c r="U552" t="s">
        <v>2357</v>
      </c>
      <c r="V552" t="s">
        <v>2358</v>
      </c>
      <c r="W552">
        <v>300</v>
      </c>
      <c r="X552" t="s">
        <v>1342</v>
      </c>
      <c r="Y552">
        <v>24</v>
      </c>
      <c r="Z552">
        <v>7200</v>
      </c>
      <c r="AA552" t="s">
        <v>28</v>
      </c>
      <c r="AB552" t="s">
        <v>1190</v>
      </c>
      <c r="AC552">
        <v>300</v>
      </c>
      <c r="AD552" t="s">
        <v>1191</v>
      </c>
      <c r="AE552" t="s">
        <v>1192</v>
      </c>
      <c r="AF552" t="s">
        <v>1193</v>
      </c>
      <c r="AG552" t="s">
        <v>1194</v>
      </c>
      <c r="AH552" t="s">
        <v>1195</v>
      </c>
      <c r="AI552" t="s">
        <v>1196</v>
      </c>
      <c r="AJ552" t="s">
        <v>2225</v>
      </c>
      <c r="AK552" t="s">
        <v>1272</v>
      </c>
      <c r="AL552" t="s">
        <v>2305</v>
      </c>
      <c r="AM552" t="s">
        <v>1293</v>
      </c>
      <c r="AN552" t="s">
        <v>1201</v>
      </c>
      <c r="AO552" t="s">
        <v>2306</v>
      </c>
      <c r="AP552" t="s">
        <v>1294</v>
      </c>
      <c r="AQ552" t="s">
        <v>1203</v>
      </c>
      <c r="AR552" t="s">
        <v>1201</v>
      </c>
      <c r="AS552" t="s">
        <v>1203</v>
      </c>
      <c r="AU552" t="s">
        <v>1204</v>
      </c>
      <c r="AW552" t="b">
        <v>0</v>
      </c>
      <c r="AY552" t="b">
        <v>0</v>
      </c>
      <c r="BA552" t="s">
        <v>2359</v>
      </c>
      <c r="BJ552" t="s">
        <v>2362</v>
      </c>
    </row>
    <row r="553" spans="1:62" x14ac:dyDescent="0.25">
      <c r="A553" t="s">
        <v>1177</v>
      </c>
      <c r="B553">
        <v>612153</v>
      </c>
      <c r="C553">
        <v>612153</v>
      </c>
      <c r="D553" s="112" t="s">
        <v>2973</v>
      </c>
      <c r="E553" t="s">
        <v>1119</v>
      </c>
      <c r="F553" t="s">
        <v>1178</v>
      </c>
      <c r="G553" t="s">
        <v>2388</v>
      </c>
      <c r="H553" t="s">
        <v>2349</v>
      </c>
      <c r="I553">
        <v>18</v>
      </c>
      <c r="J553" t="s">
        <v>2350</v>
      </c>
      <c r="K553">
        <v>18169</v>
      </c>
      <c r="L553" t="s">
        <v>2351</v>
      </c>
      <c r="M553">
        <v>18169232</v>
      </c>
      <c r="N553" t="s">
        <v>2352</v>
      </c>
      <c r="O553">
        <v>18169232178</v>
      </c>
      <c r="P553" t="s">
        <v>2353</v>
      </c>
      <c r="Q553" t="s">
        <v>2354</v>
      </c>
      <c r="R553" t="s">
        <v>2355</v>
      </c>
      <c r="S553" t="s">
        <v>2349</v>
      </c>
      <c r="T553" t="s">
        <v>2356</v>
      </c>
      <c r="U553" t="s">
        <v>2357</v>
      </c>
      <c r="V553" t="s">
        <v>2358</v>
      </c>
      <c r="W553">
        <v>155</v>
      </c>
      <c r="X553" t="s">
        <v>1342</v>
      </c>
      <c r="Y553">
        <v>60</v>
      </c>
      <c r="Z553">
        <v>9300</v>
      </c>
      <c r="AA553" t="s">
        <v>28</v>
      </c>
      <c r="AB553" t="s">
        <v>1190</v>
      </c>
      <c r="AC553">
        <v>155</v>
      </c>
      <c r="AD553" t="s">
        <v>1191</v>
      </c>
      <c r="AE553" t="s">
        <v>1192</v>
      </c>
      <c r="AF553" t="s">
        <v>1193</v>
      </c>
      <c r="AG553" t="s">
        <v>1194</v>
      </c>
      <c r="AH553" t="s">
        <v>1195</v>
      </c>
      <c r="AI553" t="s">
        <v>1196</v>
      </c>
      <c r="AJ553" t="s">
        <v>2225</v>
      </c>
      <c r="AK553" t="s">
        <v>1272</v>
      </c>
      <c r="AL553" t="s">
        <v>2305</v>
      </c>
      <c r="AM553" t="s">
        <v>1293</v>
      </c>
      <c r="AN553" t="s">
        <v>1201</v>
      </c>
      <c r="AO553" t="s">
        <v>2306</v>
      </c>
      <c r="AP553" t="s">
        <v>1294</v>
      </c>
      <c r="AQ553" t="s">
        <v>1203</v>
      </c>
      <c r="AR553" t="s">
        <v>1201</v>
      </c>
      <c r="AS553" t="s">
        <v>1203</v>
      </c>
      <c r="AU553" t="s">
        <v>1204</v>
      </c>
      <c r="AW553" t="b">
        <v>0</v>
      </c>
      <c r="AY553" t="b">
        <v>0</v>
      </c>
      <c r="BA553" t="s">
        <v>2359</v>
      </c>
      <c r="BJ553" t="s">
        <v>2362</v>
      </c>
    </row>
    <row r="554" spans="1:62" x14ac:dyDescent="0.25">
      <c r="A554" t="s">
        <v>1177</v>
      </c>
      <c r="B554">
        <v>612150</v>
      </c>
      <c r="C554">
        <v>612150</v>
      </c>
      <c r="D554" s="112" t="s">
        <v>2974</v>
      </c>
      <c r="E554" t="s">
        <v>1119</v>
      </c>
      <c r="F554" t="s">
        <v>1178</v>
      </c>
      <c r="G554" t="s">
        <v>2389</v>
      </c>
      <c r="H554" t="s">
        <v>2370</v>
      </c>
      <c r="I554">
        <v>18</v>
      </c>
      <c r="J554" t="s">
        <v>2350</v>
      </c>
      <c r="K554">
        <v>18169</v>
      </c>
      <c r="L554" t="s">
        <v>2351</v>
      </c>
      <c r="M554">
        <v>18169232</v>
      </c>
      <c r="N554" t="s">
        <v>2352</v>
      </c>
      <c r="O554">
        <v>18169232178</v>
      </c>
      <c r="P554" t="s">
        <v>2353</v>
      </c>
      <c r="Q554" t="s">
        <v>2371</v>
      </c>
      <c r="R554" t="s">
        <v>2372</v>
      </c>
      <c r="S554" t="s">
        <v>2370</v>
      </c>
      <c r="T554" t="s">
        <v>2373</v>
      </c>
      <c r="U554" t="s">
        <v>2357</v>
      </c>
      <c r="V554" t="s">
        <v>2358</v>
      </c>
      <c r="W554">
        <v>425</v>
      </c>
      <c r="X554" t="s">
        <v>1342</v>
      </c>
      <c r="Y554">
        <v>24</v>
      </c>
      <c r="Z554">
        <v>10200</v>
      </c>
      <c r="AA554" t="s">
        <v>28</v>
      </c>
      <c r="AB554" t="s">
        <v>1190</v>
      </c>
      <c r="AC554">
        <v>425</v>
      </c>
      <c r="AD554" t="s">
        <v>1191</v>
      </c>
      <c r="AE554" t="s">
        <v>1192</v>
      </c>
      <c r="AF554" t="s">
        <v>1193</v>
      </c>
      <c r="AG554" t="s">
        <v>1194</v>
      </c>
      <c r="AH554" t="s">
        <v>1195</v>
      </c>
      <c r="AI554" t="s">
        <v>1196</v>
      </c>
      <c r="AJ554" t="s">
        <v>2225</v>
      </c>
      <c r="AK554" t="s">
        <v>1272</v>
      </c>
      <c r="AL554" t="s">
        <v>2305</v>
      </c>
      <c r="AM554" t="s">
        <v>1293</v>
      </c>
      <c r="AN554" t="s">
        <v>1201</v>
      </c>
      <c r="AO554" t="s">
        <v>2306</v>
      </c>
      <c r="AP554" t="s">
        <v>1294</v>
      </c>
      <c r="AQ554" t="s">
        <v>1203</v>
      </c>
      <c r="AR554" t="s">
        <v>1201</v>
      </c>
      <c r="AS554" t="s">
        <v>1203</v>
      </c>
      <c r="AU554" t="s">
        <v>1204</v>
      </c>
      <c r="AW554" t="b">
        <v>0</v>
      </c>
      <c r="AY554" t="b">
        <v>0</v>
      </c>
      <c r="BA554" t="s">
        <v>2359</v>
      </c>
      <c r="BJ554" t="s">
        <v>2362</v>
      </c>
    </row>
    <row r="555" spans="1:62" x14ac:dyDescent="0.25">
      <c r="A555" t="s">
        <v>1177</v>
      </c>
      <c r="B555">
        <v>612151</v>
      </c>
      <c r="C555">
        <v>612151</v>
      </c>
      <c r="D555" s="112" t="s">
        <v>2975</v>
      </c>
      <c r="E555" t="s">
        <v>1119</v>
      </c>
      <c r="F555" t="s">
        <v>1178</v>
      </c>
      <c r="G555" t="s">
        <v>2390</v>
      </c>
      <c r="H555" t="s">
        <v>2370</v>
      </c>
      <c r="I555">
        <v>18</v>
      </c>
      <c r="J555" t="s">
        <v>2350</v>
      </c>
      <c r="K555">
        <v>18169</v>
      </c>
      <c r="L555" t="s">
        <v>2351</v>
      </c>
      <c r="M555">
        <v>18169232</v>
      </c>
      <c r="N555" t="s">
        <v>2352</v>
      </c>
      <c r="O555">
        <v>18169232178</v>
      </c>
      <c r="P555" t="s">
        <v>2353</v>
      </c>
      <c r="Q555" t="s">
        <v>2371</v>
      </c>
      <c r="R555" t="s">
        <v>2372</v>
      </c>
      <c r="S555" t="s">
        <v>2370</v>
      </c>
      <c r="T555" t="s">
        <v>2373</v>
      </c>
      <c r="U555" t="s">
        <v>2357</v>
      </c>
      <c r="V555" t="s">
        <v>2358</v>
      </c>
      <c r="W555">
        <v>425</v>
      </c>
      <c r="X555" t="s">
        <v>1342</v>
      </c>
      <c r="Y555">
        <v>24</v>
      </c>
      <c r="Z555">
        <v>10200</v>
      </c>
      <c r="AA555" t="s">
        <v>28</v>
      </c>
      <c r="AB555" t="s">
        <v>1190</v>
      </c>
      <c r="AC555">
        <v>425</v>
      </c>
      <c r="AD555" t="s">
        <v>1191</v>
      </c>
      <c r="AE555" t="s">
        <v>1192</v>
      </c>
      <c r="AF555" t="s">
        <v>1193</v>
      </c>
      <c r="AG555" t="s">
        <v>1194</v>
      </c>
      <c r="AH555" t="s">
        <v>1195</v>
      </c>
      <c r="AI555" t="s">
        <v>1196</v>
      </c>
      <c r="AJ555" t="s">
        <v>2225</v>
      </c>
      <c r="AK555" t="s">
        <v>1272</v>
      </c>
      <c r="AL555" t="s">
        <v>2305</v>
      </c>
      <c r="AM555" t="s">
        <v>1318</v>
      </c>
      <c r="AN555" t="s">
        <v>1201</v>
      </c>
      <c r="AO555" t="s">
        <v>2306</v>
      </c>
      <c r="AP555" t="s">
        <v>1319</v>
      </c>
      <c r="AQ555" t="s">
        <v>1203</v>
      </c>
      <c r="AR555" t="s">
        <v>1201</v>
      </c>
      <c r="AS555" t="s">
        <v>1203</v>
      </c>
      <c r="AU555" t="s">
        <v>1204</v>
      </c>
      <c r="AW555" t="b">
        <v>0</v>
      </c>
      <c r="AY555" t="b">
        <v>0</v>
      </c>
      <c r="BA555" t="s">
        <v>2359</v>
      </c>
      <c r="BJ555" t="s">
        <v>2362</v>
      </c>
    </row>
    <row r="556" spans="1:62" x14ac:dyDescent="0.25">
      <c r="A556" t="s">
        <v>1177</v>
      </c>
      <c r="B556">
        <v>612154</v>
      </c>
      <c r="C556">
        <v>612154</v>
      </c>
      <c r="D556" s="112" t="s">
        <v>2976</v>
      </c>
      <c r="E556" t="s">
        <v>1119</v>
      </c>
      <c r="F556" t="s">
        <v>1178</v>
      </c>
      <c r="G556" t="s">
        <v>2391</v>
      </c>
      <c r="H556" t="s">
        <v>2349</v>
      </c>
      <c r="I556">
        <v>18</v>
      </c>
      <c r="J556" t="s">
        <v>2350</v>
      </c>
      <c r="K556">
        <v>18169</v>
      </c>
      <c r="L556" t="s">
        <v>2351</v>
      </c>
      <c r="M556">
        <v>18169232</v>
      </c>
      <c r="N556" t="s">
        <v>2352</v>
      </c>
      <c r="O556">
        <v>18169232178</v>
      </c>
      <c r="P556" t="s">
        <v>2353</v>
      </c>
      <c r="Q556" t="s">
        <v>2354</v>
      </c>
      <c r="R556" t="s">
        <v>2355</v>
      </c>
      <c r="S556" t="s">
        <v>2349</v>
      </c>
      <c r="T556" t="s">
        <v>2356</v>
      </c>
      <c r="U556" t="s">
        <v>2357</v>
      </c>
      <c r="V556" t="s">
        <v>2358</v>
      </c>
      <c r="W556">
        <v>155</v>
      </c>
      <c r="X556" t="s">
        <v>1342</v>
      </c>
      <c r="Y556">
        <v>60</v>
      </c>
      <c r="Z556">
        <v>9300</v>
      </c>
      <c r="AA556" t="s">
        <v>28</v>
      </c>
      <c r="AB556" t="s">
        <v>1190</v>
      </c>
      <c r="AC556">
        <v>155</v>
      </c>
      <c r="AD556" t="s">
        <v>1191</v>
      </c>
      <c r="AE556" t="s">
        <v>1192</v>
      </c>
      <c r="AF556" t="s">
        <v>1193</v>
      </c>
      <c r="AG556" t="s">
        <v>1194</v>
      </c>
      <c r="AH556" t="s">
        <v>1195</v>
      </c>
      <c r="AI556" t="s">
        <v>1196</v>
      </c>
      <c r="AJ556" t="s">
        <v>2225</v>
      </c>
      <c r="AK556" t="s">
        <v>1272</v>
      </c>
      <c r="AL556" t="s">
        <v>2305</v>
      </c>
      <c r="AM556" t="s">
        <v>1318</v>
      </c>
      <c r="AN556" t="s">
        <v>1201</v>
      </c>
      <c r="AO556" t="s">
        <v>2306</v>
      </c>
      <c r="AP556" t="s">
        <v>1319</v>
      </c>
      <c r="AQ556" t="s">
        <v>1203</v>
      </c>
      <c r="AR556" t="s">
        <v>1201</v>
      </c>
      <c r="AS556" t="s">
        <v>1203</v>
      </c>
      <c r="AU556" t="s">
        <v>1204</v>
      </c>
      <c r="AW556" t="b">
        <v>0</v>
      </c>
      <c r="AY556" t="b">
        <v>0</v>
      </c>
      <c r="BA556" t="s">
        <v>2359</v>
      </c>
      <c r="BJ556" t="s">
        <v>2362</v>
      </c>
    </row>
    <row r="557" spans="1:62" x14ac:dyDescent="0.25">
      <c r="A557" t="s">
        <v>1177</v>
      </c>
      <c r="B557">
        <v>612149</v>
      </c>
      <c r="C557">
        <v>612149</v>
      </c>
      <c r="D557" s="112" t="s">
        <v>2977</v>
      </c>
      <c r="E557" t="s">
        <v>1119</v>
      </c>
      <c r="F557" t="s">
        <v>1178</v>
      </c>
      <c r="G557" t="s">
        <v>2392</v>
      </c>
      <c r="H557" t="s">
        <v>2370</v>
      </c>
      <c r="I557">
        <v>18</v>
      </c>
      <c r="J557" t="s">
        <v>2350</v>
      </c>
      <c r="K557">
        <v>18169</v>
      </c>
      <c r="L557" t="s">
        <v>2351</v>
      </c>
      <c r="M557">
        <v>18169232</v>
      </c>
      <c r="N557" t="s">
        <v>2352</v>
      </c>
      <c r="O557">
        <v>18169232178</v>
      </c>
      <c r="P557" t="s">
        <v>2353</v>
      </c>
      <c r="Q557" t="s">
        <v>2371</v>
      </c>
      <c r="R557" t="s">
        <v>2372</v>
      </c>
      <c r="S557" t="s">
        <v>2370</v>
      </c>
      <c r="T557" t="s">
        <v>2373</v>
      </c>
      <c r="U557" t="s">
        <v>2357</v>
      </c>
      <c r="V557" t="s">
        <v>2358</v>
      </c>
      <c r="W557">
        <v>425</v>
      </c>
      <c r="X557" t="s">
        <v>1342</v>
      </c>
      <c r="Y557">
        <v>24</v>
      </c>
      <c r="Z557">
        <v>10200</v>
      </c>
      <c r="AA557" t="s">
        <v>28</v>
      </c>
      <c r="AB557" t="s">
        <v>1190</v>
      </c>
      <c r="AC557">
        <v>425</v>
      </c>
      <c r="AD557" t="s">
        <v>1191</v>
      </c>
      <c r="AE557" t="s">
        <v>1192</v>
      </c>
      <c r="AF557" t="s">
        <v>1193</v>
      </c>
      <c r="AG557" t="s">
        <v>1194</v>
      </c>
      <c r="AH557" t="s">
        <v>1195</v>
      </c>
      <c r="AI557" t="s">
        <v>1196</v>
      </c>
      <c r="AJ557" t="s">
        <v>1546</v>
      </c>
      <c r="AK557" t="s">
        <v>1272</v>
      </c>
      <c r="AL557" t="s">
        <v>1978</v>
      </c>
      <c r="AM557" t="s">
        <v>1200</v>
      </c>
      <c r="AN557" t="s">
        <v>1201</v>
      </c>
      <c r="AO557" t="s">
        <v>1979</v>
      </c>
      <c r="AP557" t="s">
        <v>1202</v>
      </c>
      <c r="AQ557" t="s">
        <v>1203</v>
      </c>
      <c r="AR557" t="s">
        <v>1201</v>
      </c>
      <c r="AS557" t="s">
        <v>1203</v>
      </c>
      <c r="AU557" t="s">
        <v>1204</v>
      </c>
      <c r="AW557" t="b">
        <v>0</v>
      </c>
      <c r="AY557" t="b">
        <v>0</v>
      </c>
      <c r="BA557" t="s">
        <v>2359</v>
      </c>
      <c r="BJ557" t="s">
        <v>2362</v>
      </c>
    </row>
    <row r="558" spans="1:62" x14ac:dyDescent="0.25">
      <c r="A558" t="s">
        <v>1177</v>
      </c>
      <c r="B558">
        <v>612152</v>
      </c>
      <c r="C558">
        <v>612152</v>
      </c>
      <c r="D558" s="112" t="s">
        <v>2978</v>
      </c>
      <c r="E558" t="s">
        <v>1119</v>
      </c>
      <c r="F558" t="s">
        <v>1178</v>
      </c>
      <c r="G558" t="s">
        <v>2393</v>
      </c>
      <c r="H558" t="s">
        <v>2349</v>
      </c>
      <c r="I558">
        <v>18</v>
      </c>
      <c r="J558" t="s">
        <v>2350</v>
      </c>
      <c r="K558">
        <v>18169</v>
      </c>
      <c r="L558" t="s">
        <v>2351</v>
      </c>
      <c r="M558">
        <v>18169232</v>
      </c>
      <c r="N558" t="s">
        <v>2352</v>
      </c>
      <c r="O558">
        <v>18169232178</v>
      </c>
      <c r="P558" t="s">
        <v>2353</v>
      </c>
      <c r="Q558" t="s">
        <v>2354</v>
      </c>
      <c r="R558" t="s">
        <v>2355</v>
      </c>
      <c r="S558" t="s">
        <v>2349</v>
      </c>
      <c r="T558" t="s">
        <v>2356</v>
      </c>
      <c r="U558" t="s">
        <v>2357</v>
      </c>
      <c r="V558" t="s">
        <v>2358</v>
      </c>
      <c r="W558">
        <v>155</v>
      </c>
      <c r="X558" t="s">
        <v>1342</v>
      </c>
      <c r="Y558">
        <v>60</v>
      </c>
      <c r="Z558">
        <v>9300</v>
      </c>
      <c r="AA558" t="s">
        <v>28</v>
      </c>
      <c r="AB558" t="s">
        <v>1190</v>
      </c>
      <c r="AC558">
        <v>155</v>
      </c>
      <c r="AD558" t="s">
        <v>1191</v>
      </c>
      <c r="AE558" t="s">
        <v>1192</v>
      </c>
      <c r="AF558" t="s">
        <v>1193</v>
      </c>
      <c r="AG558" t="s">
        <v>1194</v>
      </c>
      <c r="AH558" t="s">
        <v>1195</v>
      </c>
      <c r="AI558" t="s">
        <v>1196</v>
      </c>
      <c r="AJ558" t="s">
        <v>1546</v>
      </c>
      <c r="AK558" t="s">
        <v>1272</v>
      </c>
      <c r="AL558" t="s">
        <v>1978</v>
      </c>
      <c r="AM558" t="s">
        <v>1200</v>
      </c>
      <c r="AN558" t="s">
        <v>1201</v>
      </c>
      <c r="AO558" t="s">
        <v>1979</v>
      </c>
      <c r="AP558" t="s">
        <v>1202</v>
      </c>
      <c r="AQ558" t="s">
        <v>1203</v>
      </c>
      <c r="AR558" t="s">
        <v>1201</v>
      </c>
      <c r="AS558" t="s">
        <v>1203</v>
      </c>
      <c r="AU558" t="s">
        <v>1204</v>
      </c>
      <c r="AW558" t="b">
        <v>0</v>
      </c>
      <c r="AY558" t="b">
        <v>0</v>
      </c>
      <c r="BA558" t="s">
        <v>2359</v>
      </c>
      <c r="BJ558" t="s">
        <v>2362</v>
      </c>
    </row>
    <row r="559" spans="1:62" x14ac:dyDescent="0.25">
      <c r="A559" t="s">
        <v>1177</v>
      </c>
      <c r="B559">
        <v>120037</v>
      </c>
      <c r="C559">
        <v>120037</v>
      </c>
      <c r="D559" s="112" t="s">
        <v>2979</v>
      </c>
      <c r="E559" t="s">
        <v>1119</v>
      </c>
      <c r="F559" t="s">
        <v>1178</v>
      </c>
      <c r="G559" t="s">
        <v>2394</v>
      </c>
      <c r="H559" t="s">
        <v>2395</v>
      </c>
      <c r="I559">
        <v>12</v>
      </c>
      <c r="J559" t="s">
        <v>1279</v>
      </c>
      <c r="K559">
        <v>12174</v>
      </c>
      <c r="L559" t="s">
        <v>1571</v>
      </c>
      <c r="M559">
        <v>12174108</v>
      </c>
      <c r="N559" t="s">
        <v>2137</v>
      </c>
      <c r="O559">
        <v>12174108104</v>
      </c>
      <c r="P559" t="s">
        <v>2396</v>
      </c>
      <c r="Q559" t="s">
        <v>2397</v>
      </c>
      <c r="R559" t="s">
        <v>2398</v>
      </c>
      <c r="S559" t="s">
        <v>2395</v>
      </c>
      <c r="T559" t="s">
        <v>2399</v>
      </c>
      <c r="U559" t="s">
        <v>1187</v>
      </c>
      <c r="V559" t="s">
        <v>1188</v>
      </c>
      <c r="W559">
        <v>195</v>
      </c>
      <c r="X559" t="s">
        <v>1189</v>
      </c>
      <c r="Y559">
        <v>24</v>
      </c>
      <c r="Z559">
        <v>4680</v>
      </c>
      <c r="AA559" t="s">
        <v>28</v>
      </c>
      <c r="AB559" t="s">
        <v>1190</v>
      </c>
      <c r="AC559">
        <v>195</v>
      </c>
      <c r="AD559" t="s">
        <v>1191</v>
      </c>
      <c r="AE559" t="s">
        <v>1192</v>
      </c>
      <c r="AF559" t="s">
        <v>1193</v>
      </c>
      <c r="AG559" t="s">
        <v>1194</v>
      </c>
      <c r="AH559" t="s">
        <v>1195</v>
      </c>
      <c r="AI559" t="s">
        <v>1202</v>
      </c>
      <c r="AJ559" t="s">
        <v>1291</v>
      </c>
      <c r="AK559" t="s">
        <v>1292</v>
      </c>
      <c r="AL559" t="s">
        <v>1291</v>
      </c>
      <c r="AM559" t="s">
        <v>2400</v>
      </c>
      <c r="AN559" t="s">
        <v>1201</v>
      </c>
      <c r="AO559" t="s">
        <v>1292</v>
      </c>
      <c r="AP559" t="s">
        <v>2401</v>
      </c>
      <c r="AQ559" t="s">
        <v>1203</v>
      </c>
      <c r="AR559" t="s">
        <v>1201</v>
      </c>
      <c r="AS559" t="s">
        <v>1203</v>
      </c>
      <c r="AU559" t="s">
        <v>1204</v>
      </c>
      <c r="AW559" t="b">
        <v>0</v>
      </c>
      <c r="AY559" t="b">
        <v>0</v>
      </c>
      <c r="BA559" t="s">
        <v>2144</v>
      </c>
      <c r="BB559" t="s">
        <v>1206</v>
      </c>
      <c r="BC559" t="s">
        <v>1206</v>
      </c>
      <c r="BD559" t="s">
        <v>1207</v>
      </c>
      <c r="BE559" t="s">
        <v>1296</v>
      </c>
      <c r="BF559" t="s">
        <v>2145</v>
      </c>
      <c r="BG559" t="s">
        <v>291</v>
      </c>
      <c r="BH559" t="s">
        <v>1206</v>
      </c>
      <c r="BI559" t="s">
        <v>1206</v>
      </c>
      <c r="BJ559" t="s">
        <v>2146</v>
      </c>
    </row>
    <row r="560" spans="1:62" x14ac:dyDescent="0.25">
      <c r="A560" t="s">
        <v>1177</v>
      </c>
      <c r="B560">
        <v>120032</v>
      </c>
      <c r="C560">
        <v>120032</v>
      </c>
      <c r="D560" s="112" t="s">
        <v>2980</v>
      </c>
      <c r="E560" t="s">
        <v>1119</v>
      </c>
      <c r="F560" t="s">
        <v>1178</v>
      </c>
      <c r="G560" t="s">
        <v>299</v>
      </c>
      <c r="H560" t="s">
        <v>2395</v>
      </c>
      <c r="I560">
        <v>12</v>
      </c>
      <c r="J560" t="s">
        <v>1279</v>
      </c>
      <c r="K560">
        <v>12174</v>
      </c>
      <c r="L560" t="s">
        <v>1571</v>
      </c>
      <c r="M560">
        <v>12174108</v>
      </c>
      <c r="N560" t="s">
        <v>2137</v>
      </c>
      <c r="O560">
        <v>12174108104</v>
      </c>
      <c r="P560" t="s">
        <v>2396</v>
      </c>
      <c r="Q560" t="s">
        <v>2397</v>
      </c>
      <c r="R560" t="s">
        <v>2398</v>
      </c>
      <c r="S560" t="s">
        <v>2395</v>
      </c>
      <c r="T560" t="s">
        <v>2399</v>
      </c>
      <c r="U560" t="s">
        <v>1187</v>
      </c>
      <c r="V560" t="s">
        <v>1188</v>
      </c>
      <c r="W560">
        <v>195</v>
      </c>
      <c r="X560" t="s">
        <v>1189</v>
      </c>
      <c r="Y560">
        <v>24</v>
      </c>
      <c r="Z560">
        <v>4680</v>
      </c>
      <c r="AA560" t="s">
        <v>28</v>
      </c>
      <c r="AB560" t="s">
        <v>1190</v>
      </c>
      <c r="AC560">
        <v>195</v>
      </c>
      <c r="AD560" t="s">
        <v>1191</v>
      </c>
      <c r="AE560" t="s">
        <v>1192</v>
      </c>
      <c r="AF560" t="s">
        <v>1193</v>
      </c>
      <c r="AG560" t="s">
        <v>1194</v>
      </c>
      <c r="AH560" t="s">
        <v>1195</v>
      </c>
      <c r="AI560" t="s">
        <v>1202</v>
      </c>
      <c r="AJ560" t="s">
        <v>1291</v>
      </c>
      <c r="AK560" t="s">
        <v>1292</v>
      </c>
      <c r="AL560" t="s">
        <v>1291</v>
      </c>
      <c r="AM560" t="s">
        <v>2400</v>
      </c>
      <c r="AN560" t="s">
        <v>1201</v>
      </c>
      <c r="AO560" t="s">
        <v>1292</v>
      </c>
      <c r="AP560" t="s">
        <v>2401</v>
      </c>
      <c r="AQ560" t="s">
        <v>1203</v>
      </c>
      <c r="AR560" t="s">
        <v>1201</v>
      </c>
      <c r="AS560" t="s">
        <v>1203</v>
      </c>
      <c r="AU560" t="s">
        <v>1204</v>
      </c>
      <c r="AW560" t="b">
        <v>0</v>
      </c>
      <c r="AY560" t="b">
        <v>0</v>
      </c>
      <c r="BA560" t="s">
        <v>2144</v>
      </c>
      <c r="BB560" t="s">
        <v>1206</v>
      </c>
      <c r="BC560" t="s">
        <v>1206</v>
      </c>
      <c r="BD560" t="s">
        <v>1207</v>
      </c>
      <c r="BE560" t="s">
        <v>1296</v>
      </c>
      <c r="BF560" t="s">
        <v>2145</v>
      </c>
      <c r="BG560" t="s">
        <v>291</v>
      </c>
      <c r="BH560" t="s">
        <v>1206</v>
      </c>
      <c r="BI560" t="s">
        <v>1206</v>
      </c>
      <c r="BJ560" t="s">
        <v>2146</v>
      </c>
    </row>
    <row r="561" spans="1:62" x14ac:dyDescent="0.25">
      <c r="A561" t="s">
        <v>1177</v>
      </c>
      <c r="B561">
        <v>120009</v>
      </c>
      <c r="C561">
        <v>120009</v>
      </c>
      <c r="D561" s="112" t="s">
        <v>2981</v>
      </c>
      <c r="E561" t="s">
        <v>1119</v>
      </c>
      <c r="F561" t="s">
        <v>1178</v>
      </c>
      <c r="G561" t="s">
        <v>2402</v>
      </c>
      <c r="H561" t="s">
        <v>2395</v>
      </c>
      <c r="I561">
        <v>12</v>
      </c>
      <c r="J561" t="s">
        <v>1279</v>
      </c>
      <c r="K561">
        <v>12174</v>
      </c>
      <c r="L561" t="s">
        <v>1571</v>
      </c>
      <c r="M561">
        <v>12174108</v>
      </c>
      <c r="N561" t="s">
        <v>2137</v>
      </c>
      <c r="O561">
        <v>12174108104</v>
      </c>
      <c r="P561" t="s">
        <v>2396</v>
      </c>
      <c r="Q561" t="s">
        <v>2397</v>
      </c>
      <c r="R561" t="s">
        <v>2398</v>
      </c>
      <c r="S561" t="s">
        <v>2395</v>
      </c>
      <c r="T561" t="s">
        <v>2399</v>
      </c>
      <c r="U561" t="s">
        <v>1187</v>
      </c>
      <c r="V561" t="s">
        <v>1188</v>
      </c>
      <c r="W561">
        <v>195</v>
      </c>
      <c r="X561" t="s">
        <v>1189</v>
      </c>
      <c r="Y561">
        <v>24</v>
      </c>
      <c r="Z561">
        <v>4680</v>
      </c>
      <c r="AA561" t="s">
        <v>28</v>
      </c>
      <c r="AB561" t="s">
        <v>1190</v>
      </c>
      <c r="AC561">
        <v>195</v>
      </c>
      <c r="AD561" t="s">
        <v>1191</v>
      </c>
      <c r="AE561" t="s">
        <v>1192</v>
      </c>
      <c r="AF561" t="s">
        <v>1193</v>
      </c>
      <c r="AG561" t="s">
        <v>1194</v>
      </c>
      <c r="AH561" t="s">
        <v>1195</v>
      </c>
      <c r="AI561" t="s">
        <v>1202</v>
      </c>
      <c r="AJ561" t="s">
        <v>1291</v>
      </c>
      <c r="AK561" t="s">
        <v>1292</v>
      </c>
      <c r="AL561" t="s">
        <v>1291</v>
      </c>
      <c r="AM561" t="s">
        <v>2400</v>
      </c>
      <c r="AN561" t="s">
        <v>1201</v>
      </c>
      <c r="AO561" t="s">
        <v>1292</v>
      </c>
      <c r="AP561" t="s">
        <v>2401</v>
      </c>
      <c r="AQ561" t="s">
        <v>1203</v>
      </c>
      <c r="AR561" t="s">
        <v>1201</v>
      </c>
      <c r="AS561" t="s">
        <v>1203</v>
      </c>
      <c r="AU561" t="s">
        <v>1204</v>
      </c>
      <c r="AW561" t="b">
        <v>0</v>
      </c>
      <c r="AY561" t="b">
        <v>0</v>
      </c>
      <c r="BA561" t="s">
        <v>2144</v>
      </c>
      <c r="BB561" t="s">
        <v>1206</v>
      </c>
      <c r="BC561" t="s">
        <v>1206</v>
      </c>
      <c r="BD561" t="s">
        <v>1207</v>
      </c>
      <c r="BE561" t="s">
        <v>1296</v>
      </c>
      <c r="BF561" t="s">
        <v>2145</v>
      </c>
      <c r="BG561" t="s">
        <v>291</v>
      </c>
      <c r="BH561" t="s">
        <v>1206</v>
      </c>
      <c r="BI561" t="s">
        <v>1206</v>
      </c>
      <c r="BJ561" t="s">
        <v>2146</v>
      </c>
    </row>
    <row r="562" spans="1:62" x14ac:dyDescent="0.25">
      <c r="A562" t="s">
        <v>1177</v>
      </c>
      <c r="B562">
        <v>612147</v>
      </c>
      <c r="C562">
        <v>612147</v>
      </c>
      <c r="D562" s="112" t="s">
        <v>2982</v>
      </c>
      <c r="E562" t="s">
        <v>1119</v>
      </c>
      <c r="F562" t="s">
        <v>1178</v>
      </c>
      <c r="G562" t="s">
        <v>2403</v>
      </c>
      <c r="H562" t="s">
        <v>2404</v>
      </c>
      <c r="I562">
        <v>12</v>
      </c>
      <c r="J562" t="s">
        <v>1279</v>
      </c>
      <c r="K562">
        <v>12174</v>
      </c>
      <c r="L562" t="s">
        <v>1571</v>
      </c>
      <c r="M562">
        <v>12174108</v>
      </c>
      <c r="N562" t="s">
        <v>2137</v>
      </c>
      <c r="O562">
        <v>12174108103</v>
      </c>
      <c r="P562" t="s">
        <v>2405</v>
      </c>
      <c r="Q562">
        <v>121741081031583</v>
      </c>
      <c r="R562" t="s">
        <v>2406</v>
      </c>
      <c r="S562" t="s">
        <v>2404</v>
      </c>
      <c r="T562" t="s">
        <v>2407</v>
      </c>
      <c r="U562" t="s">
        <v>1230</v>
      </c>
      <c r="V562" t="s">
        <v>1231</v>
      </c>
      <c r="W562">
        <v>3.8</v>
      </c>
      <c r="X562" t="s">
        <v>1342</v>
      </c>
      <c r="Y562">
        <v>36</v>
      </c>
      <c r="Z562">
        <v>136.80000000000001</v>
      </c>
      <c r="AA562" t="s">
        <v>28</v>
      </c>
      <c r="AB562" t="s">
        <v>1190</v>
      </c>
      <c r="AC562">
        <v>4</v>
      </c>
      <c r="AD562" t="s">
        <v>1232</v>
      </c>
      <c r="AE562" t="s">
        <v>1192</v>
      </c>
      <c r="AF562" t="s">
        <v>1193</v>
      </c>
      <c r="AG562" t="s">
        <v>1194</v>
      </c>
      <c r="AH562" t="s">
        <v>1195</v>
      </c>
      <c r="AI562" t="s">
        <v>1202</v>
      </c>
      <c r="AJ562" t="s">
        <v>1291</v>
      </c>
      <c r="AK562" t="s">
        <v>1292</v>
      </c>
      <c r="AL562" t="s">
        <v>1291</v>
      </c>
      <c r="AM562" t="s">
        <v>2346</v>
      </c>
      <c r="AN562" t="s">
        <v>1201</v>
      </c>
      <c r="AO562" t="s">
        <v>1292</v>
      </c>
      <c r="AP562" t="s">
        <v>2347</v>
      </c>
      <c r="AQ562" t="s">
        <v>1203</v>
      </c>
      <c r="AR562" t="s">
        <v>1201</v>
      </c>
      <c r="AS562" t="s">
        <v>1203</v>
      </c>
      <c r="AU562" t="s">
        <v>1204</v>
      </c>
      <c r="AW562" t="b">
        <v>0</v>
      </c>
      <c r="AY562" t="b">
        <v>1</v>
      </c>
      <c r="BA562" t="s">
        <v>2408</v>
      </c>
      <c r="BB562" t="s">
        <v>1206</v>
      </c>
      <c r="BC562" t="s">
        <v>1206</v>
      </c>
      <c r="BD562" t="s">
        <v>1207</v>
      </c>
      <c r="BE562" t="s">
        <v>1296</v>
      </c>
      <c r="BF562" t="s">
        <v>301</v>
      </c>
      <c r="BG562" t="s">
        <v>301</v>
      </c>
      <c r="BH562" t="s">
        <v>1206</v>
      </c>
      <c r="BI562" t="s">
        <v>1206</v>
      </c>
      <c r="BJ562" t="s">
        <v>2409</v>
      </c>
    </row>
    <row r="563" spans="1:62" x14ac:dyDescent="0.25">
      <c r="A563" t="s">
        <v>1177</v>
      </c>
      <c r="B563">
        <v>612146</v>
      </c>
      <c r="C563">
        <v>612146</v>
      </c>
      <c r="D563" s="112" t="s">
        <v>2983</v>
      </c>
      <c r="E563" t="s">
        <v>1119</v>
      </c>
      <c r="F563" t="s">
        <v>1178</v>
      </c>
      <c r="G563" t="s">
        <v>2403</v>
      </c>
      <c r="H563" t="s">
        <v>2404</v>
      </c>
      <c r="I563">
        <v>12</v>
      </c>
      <c r="J563" t="s">
        <v>1279</v>
      </c>
      <c r="K563">
        <v>12174</v>
      </c>
      <c r="L563" t="s">
        <v>1571</v>
      </c>
      <c r="M563">
        <v>12174108</v>
      </c>
      <c r="N563" t="s">
        <v>2137</v>
      </c>
      <c r="O563">
        <v>12174108103</v>
      </c>
      <c r="P563" t="s">
        <v>2405</v>
      </c>
      <c r="Q563">
        <v>121741081031583</v>
      </c>
      <c r="R563" t="s">
        <v>2406</v>
      </c>
      <c r="S563" t="s">
        <v>2404</v>
      </c>
      <c r="T563" t="s">
        <v>2407</v>
      </c>
      <c r="U563" t="s">
        <v>1230</v>
      </c>
      <c r="V563" t="s">
        <v>1231</v>
      </c>
      <c r="W563">
        <v>3.8</v>
      </c>
      <c r="X563" t="s">
        <v>1342</v>
      </c>
      <c r="Y563">
        <v>36</v>
      </c>
      <c r="Z563">
        <v>136.80000000000001</v>
      </c>
      <c r="AA563" t="s">
        <v>28</v>
      </c>
      <c r="AB563" t="s">
        <v>1190</v>
      </c>
      <c r="AC563">
        <v>4</v>
      </c>
      <c r="AD563" t="s">
        <v>1232</v>
      </c>
      <c r="AE563" t="s">
        <v>1192</v>
      </c>
      <c r="AF563" t="s">
        <v>1193</v>
      </c>
      <c r="AG563" t="s">
        <v>1194</v>
      </c>
      <c r="AH563" t="s">
        <v>1195</v>
      </c>
      <c r="AI563" t="s">
        <v>1202</v>
      </c>
      <c r="AJ563" t="s">
        <v>1291</v>
      </c>
      <c r="AK563" t="s">
        <v>1292</v>
      </c>
      <c r="AL563" t="s">
        <v>1291</v>
      </c>
      <c r="AM563" t="s">
        <v>2346</v>
      </c>
      <c r="AN563" t="s">
        <v>1201</v>
      </c>
      <c r="AO563" t="s">
        <v>1292</v>
      </c>
      <c r="AP563" t="s">
        <v>2347</v>
      </c>
      <c r="AQ563" t="s">
        <v>1203</v>
      </c>
      <c r="AR563" t="s">
        <v>1201</v>
      </c>
      <c r="AS563" t="s">
        <v>1203</v>
      </c>
      <c r="AU563" t="s">
        <v>1204</v>
      </c>
      <c r="AW563" t="b">
        <v>0</v>
      </c>
      <c r="AY563" t="b">
        <v>1</v>
      </c>
      <c r="BA563" t="s">
        <v>2408</v>
      </c>
      <c r="BB563" t="s">
        <v>1206</v>
      </c>
      <c r="BC563" t="s">
        <v>1206</v>
      </c>
      <c r="BD563" t="s">
        <v>1207</v>
      </c>
      <c r="BE563" t="s">
        <v>1296</v>
      </c>
      <c r="BF563" t="s">
        <v>301</v>
      </c>
      <c r="BG563" t="s">
        <v>301</v>
      </c>
      <c r="BH563" t="s">
        <v>1206</v>
      </c>
      <c r="BI563" t="s">
        <v>1206</v>
      </c>
      <c r="BJ563" t="s">
        <v>2409</v>
      </c>
    </row>
    <row r="564" spans="1:62" x14ac:dyDescent="0.25">
      <c r="A564" t="s">
        <v>1177</v>
      </c>
      <c r="B564">
        <v>612145</v>
      </c>
      <c r="C564">
        <v>612145</v>
      </c>
      <c r="D564" s="112" t="s">
        <v>2984</v>
      </c>
      <c r="E564" t="s">
        <v>1119</v>
      </c>
      <c r="F564" t="s">
        <v>1178</v>
      </c>
      <c r="G564" t="s">
        <v>2403</v>
      </c>
      <c r="H564" t="s">
        <v>2410</v>
      </c>
      <c r="I564">
        <v>12</v>
      </c>
      <c r="J564" t="s">
        <v>1279</v>
      </c>
      <c r="K564">
        <v>12174</v>
      </c>
      <c r="L564" t="s">
        <v>1571</v>
      </c>
      <c r="M564">
        <v>12174108</v>
      </c>
      <c r="N564" t="s">
        <v>2137</v>
      </c>
      <c r="O564">
        <v>12174108103</v>
      </c>
      <c r="P564" t="s">
        <v>2405</v>
      </c>
      <c r="Q564">
        <v>121741081031583</v>
      </c>
      <c r="R564" t="s">
        <v>2406</v>
      </c>
      <c r="S564" t="s">
        <v>2410</v>
      </c>
      <c r="T564" t="s">
        <v>2411</v>
      </c>
      <c r="U564" t="s">
        <v>1230</v>
      </c>
      <c r="V564" t="s">
        <v>1231</v>
      </c>
      <c r="W564">
        <v>3.8</v>
      </c>
      <c r="X564" t="s">
        <v>1342</v>
      </c>
      <c r="Y564">
        <v>24</v>
      </c>
      <c r="Z564">
        <v>91.2</v>
      </c>
      <c r="AA564" t="s">
        <v>28</v>
      </c>
      <c r="AB564" t="s">
        <v>1190</v>
      </c>
      <c r="AC564">
        <v>4</v>
      </c>
      <c r="AD564" t="s">
        <v>1232</v>
      </c>
      <c r="AE564" t="s">
        <v>1192</v>
      </c>
      <c r="AF564" t="s">
        <v>1193</v>
      </c>
      <c r="AG564" t="s">
        <v>1194</v>
      </c>
      <c r="AH564" t="s">
        <v>1195</v>
      </c>
      <c r="AI564" t="s">
        <v>1202</v>
      </c>
      <c r="AJ564" t="s">
        <v>1291</v>
      </c>
      <c r="AK564" t="s">
        <v>1292</v>
      </c>
      <c r="AL564" t="s">
        <v>1291</v>
      </c>
      <c r="AM564" t="s">
        <v>2346</v>
      </c>
      <c r="AN564" t="s">
        <v>1201</v>
      </c>
      <c r="AO564" t="s">
        <v>1292</v>
      </c>
      <c r="AP564" t="s">
        <v>2347</v>
      </c>
      <c r="AQ564" t="s">
        <v>1203</v>
      </c>
      <c r="AR564" t="s">
        <v>1201</v>
      </c>
      <c r="AS564" t="s">
        <v>1203</v>
      </c>
      <c r="AU564" t="s">
        <v>1204</v>
      </c>
      <c r="AW564" t="b">
        <v>0</v>
      </c>
      <c r="AY564" t="b">
        <v>1</v>
      </c>
      <c r="BA564" t="s">
        <v>2408</v>
      </c>
      <c r="BB564" t="s">
        <v>1206</v>
      </c>
      <c r="BC564" t="s">
        <v>1206</v>
      </c>
      <c r="BD564" t="s">
        <v>1207</v>
      </c>
      <c r="BE564" t="s">
        <v>1296</v>
      </c>
      <c r="BF564" t="s">
        <v>301</v>
      </c>
      <c r="BG564" t="s">
        <v>301</v>
      </c>
      <c r="BH564" t="s">
        <v>1206</v>
      </c>
      <c r="BI564" t="s">
        <v>1206</v>
      </c>
      <c r="BJ564" t="s">
        <v>2409</v>
      </c>
    </row>
    <row r="565" spans="1:62" x14ac:dyDescent="0.25">
      <c r="A565" t="s">
        <v>1177</v>
      </c>
      <c r="B565">
        <v>612136</v>
      </c>
      <c r="C565">
        <v>612136</v>
      </c>
      <c r="D565" s="112" t="s">
        <v>2985</v>
      </c>
      <c r="E565" t="s">
        <v>1119</v>
      </c>
      <c r="F565" t="s">
        <v>1178</v>
      </c>
      <c r="G565" t="s">
        <v>2412</v>
      </c>
      <c r="H565" t="s">
        <v>2413</v>
      </c>
      <c r="I565">
        <v>12</v>
      </c>
      <c r="J565" t="s">
        <v>1279</v>
      </c>
      <c r="K565">
        <v>12174</v>
      </c>
      <c r="L565" t="s">
        <v>1571</v>
      </c>
      <c r="M565">
        <v>12174108</v>
      </c>
      <c r="N565" t="s">
        <v>2137</v>
      </c>
      <c r="O565">
        <v>12174108103</v>
      </c>
      <c r="P565" t="s">
        <v>2405</v>
      </c>
      <c r="Q565">
        <v>121741081031340</v>
      </c>
      <c r="R565" t="s">
        <v>2414</v>
      </c>
      <c r="S565" t="s">
        <v>2413</v>
      </c>
      <c r="T565" t="s">
        <v>2415</v>
      </c>
      <c r="U565" t="s">
        <v>1230</v>
      </c>
      <c r="V565" t="s">
        <v>1231</v>
      </c>
      <c r="W565">
        <v>76</v>
      </c>
      <c r="X565" t="s">
        <v>1342</v>
      </c>
      <c r="Y565">
        <v>24</v>
      </c>
      <c r="Z565">
        <v>1824</v>
      </c>
      <c r="AA565" t="s">
        <v>28</v>
      </c>
      <c r="AB565" t="s">
        <v>1190</v>
      </c>
      <c r="AC565">
        <v>76</v>
      </c>
      <c r="AD565" t="s">
        <v>1191</v>
      </c>
      <c r="AE565" t="s">
        <v>1192</v>
      </c>
      <c r="AF565" t="s">
        <v>1193</v>
      </c>
      <c r="AG565" t="s">
        <v>1194</v>
      </c>
      <c r="AH565" t="s">
        <v>1195</v>
      </c>
      <c r="AI565" t="s">
        <v>1202</v>
      </c>
      <c r="AJ565" t="s">
        <v>1291</v>
      </c>
      <c r="AK565" t="s">
        <v>1292</v>
      </c>
      <c r="AL565" t="s">
        <v>1291</v>
      </c>
      <c r="AM565" t="s">
        <v>1200</v>
      </c>
      <c r="AN565" t="s">
        <v>1201</v>
      </c>
      <c r="AO565" t="s">
        <v>1292</v>
      </c>
      <c r="AP565" t="s">
        <v>1202</v>
      </c>
      <c r="AQ565" t="s">
        <v>1203</v>
      </c>
      <c r="AR565" t="s">
        <v>1201</v>
      </c>
      <c r="AS565" t="s">
        <v>1203</v>
      </c>
      <c r="AU565" t="s">
        <v>1204</v>
      </c>
      <c r="AW565" t="b">
        <v>0</v>
      </c>
      <c r="AY565" t="b">
        <v>1</v>
      </c>
      <c r="BA565" t="s">
        <v>2408</v>
      </c>
      <c r="BB565" t="s">
        <v>1206</v>
      </c>
      <c r="BC565" t="s">
        <v>1206</v>
      </c>
      <c r="BD565" t="s">
        <v>1207</v>
      </c>
      <c r="BE565" t="s">
        <v>1296</v>
      </c>
      <c r="BF565" t="s">
        <v>301</v>
      </c>
      <c r="BG565" t="s">
        <v>301</v>
      </c>
      <c r="BH565" t="s">
        <v>1206</v>
      </c>
      <c r="BI565" t="s">
        <v>1206</v>
      </c>
      <c r="BJ565" t="s">
        <v>2409</v>
      </c>
    </row>
    <row r="566" spans="1:62" x14ac:dyDescent="0.25">
      <c r="A566" t="s">
        <v>1177</v>
      </c>
      <c r="B566">
        <v>612135</v>
      </c>
      <c r="C566">
        <v>612135</v>
      </c>
      <c r="D566" s="112" t="s">
        <v>2986</v>
      </c>
      <c r="E566" t="s">
        <v>1119</v>
      </c>
      <c r="F566" t="s">
        <v>1178</v>
      </c>
      <c r="G566" t="s">
        <v>2416</v>
      </c>
      <c r="H566" t="s">
        <v>2417</v>
      </c>
      <c r="I566">
        <v>12</v>
      </c>
      <c r="J566" t="s">
        <v>1279</v>
      </c>
      <c r="K566">
        <v>12174</v>
      </c>
      <c r="L566" t="s">
        <v>1571</v>
      </c>
      <c r="M566">
        <v>12174108</v>
      </c>
      <c r="N566" t="s">
        <v>2137</v>
      </c>
      <c r="O566">
        <v>12174108103</v>
      </c>
      <c r="P566" t="s">
        <v>2405</v>
      </c>
      <c r="Q566">
        <v>121741081031340</v>
      </c>
      <c r="R566" t="s">
        <v>2414</v>
      </c>
      <c r="S566" t="s">
        <v>2417</v>
      </c>
      <c r="T566" t="s">
        <v>2418</v>
      </c>
      <c r="U566" t="s">
        <v>1230</v>
      </c>
      <c r="V566" t="s">
        <v>1231</v>
      </c>
      <c r="W566">
        <v>76</v>
      </c>
      <c r="X566" t="s">
        <v>1342</v>
      </c>
      <c r="Y566">
        <v>36</v>
      </c>
      <c r="Z566">
        <v>2736</v>
      </c>
      <c r="AA566" t="s">
        <v>28</v>
      </c>
      <c r="AB566" t="s">
        <v>1190</v>
      </c>
      <c r="AC566">
        <v>76</v>
      </c>
      <c r="AD566" t="s">
        <v>1191</v>
      </c>
      <c r="AE566" t="s">
        <v>1192</v>
      </c>
      <c r="AF566" t="s">
        <v>1193</v>
      </c>
      <c r="AG566" t="s">
        <v>1194</v>
      </c>
      <c r="AH566" t="s">
        <v>1195</v>
      </c>
      <c r="AI566" t="s">
        <v>1202</v>
      </c>
      <c r="AJ566" t="s">
        <v>1291</v>
      </c>
      <c r="AK566" t="s">
        <v>1292</v>
      </c>
      <c r="AL566" t="s">
        <v>1291</v>
      </c>
      <c r="AM566" t="s">
        <v>1200</v>
      </c>
      <c r="AN566" t="s">
        <v>1201</v>
      </c>
      <c r="AO566" t="s">
        <v>1292</v>
      </c>
      <c r="AP566" t="s">
        <v>1202</v>
      </c>
      <c r="AQ566" t="s">
        <v>1203</v>
      </c>
      <c r="AR566" t="s">
        <v>1201</v>
      </c>
      <c r="AS566" t="s">
        <v>1203</v>
      </c>
      <c r="AU566" t="s">
        <v>1204</v>
      </c>
      <c r="AW566" t="b">
        <v>0</v>
      </c>
      <c r="AY566" t="b">
        <v>1</v>
      </c>
      <c r="BA566" t="s">
        <v>2408</v>
      </c>
      <c r="BB566" t="s">
        <v>1206</v>
      </c>
      <c r="BC566" t="s">
        <v>1206</v>
      </c>
      <c r="BD566" t="s">
        <v>1207</v>
      </c>
      <c r="BE566" t="s">
        <v>1296</v>
      </c>
      <c r="BF566" t="s">
        <v>301</v>
      </c>
      <c r="BG566" t="s">
        <v>301</v>
      </c>
      <c r="BH566" t="s">
        <v>1206</v>
      </c>
      <c r="BI566" t="s">
        <v>1206</v>
      </c>
      <c r="BJ566" t="s">
        <v>2409</v>
      </c>
    </row>
    <row r="567" spans="1:62" x14ac:dyDescent="0.25">
      <c r="A567" t="s">
        <v>1177</v>
      </c>
      <c r="B567">
        <v>612137</v>
      </c>
      <c r="C567">
        <v>612137</v>
      </c>
      <c r="D567" s="112" t="s">
        <v>2987</v>
      </c>
      <c r="E567" t="s">
        <v>1119</v>
      </c>
      <c r="F567" t="s">
        <v>1178</v>
      </c>
      <c r="G567" t="s">
        <v>303</v>
      </c>
      <c r="H567" t="s">
        <v>2417</v>
      </c>
      <c r="I567">
        <v>12</v>
      </c>
      <c r="J567" t="s">
        <v>1279</v>
      </c>
      <c r="K567">
        <v>12174</v>
      </c>
      <c r="L567" t="s">
        <v>1571</v>
      </c>
      <c r="M567">
        <v>12174108</v>
      </c>
      <c r="N567" t="s">
        <v>2137</v>
      </c>
      <c r="O567">
        <v>12174108103</v>
      </c>
      <c r="P567" t="s">
        <v>2405</v>
      </c>
      <c r="Q567">
        <v>121741081031340</v>
      </c>
      <c r="R567" t="s">
        <v>2414</v>
      </c>
      <c r="S567" t="s">
        <v>2417</v>
      </c>
      <c r="T567" t="s">
        <v>2418</v>
      </c>
      <c r="U567" t="s">
        <v>1230</v>
      </c>
      <c r="V567" t="s">
        <v>1231</v>
      </c>
      <c r="W567">
        <v>76</v>
      </c>
      <c r="X567" t="s">
        <v>1342</v>
      </c>
      <c r="Y567">
        <v>36</v>
      </c>
      <c r="Z567">
        <v>2736</v>
      </c>
      <c r="AA567" t="s">
        <v>28</v>
      </c>
      <c r="AB567" t="s">
        <v>1190</v>
      </c>
      <c r="AC567">
        <v>76</v>
      </c>
      <c r="AD567" t="s">
        <v>1191</v>
      </c>
      <c r="AE567" t="s">
        <v>1192</v>
      </c>
      <c r="AF567" t="s">
        <v>1193</v>
      </c>
      <c r="AG567" t="s">
        <v>1194</v>
      </c>
      <c r="AH567" t="s">
        <v>1195</v>
      </c>
      <c r="AI567" t="s">
        <v>1202</v>
      </c>
      <c r="AJ567" t="s">
        <v>1291</v>
      </c>
      <c r="AK567" t="s">
        <v>1292</v>
      </c>
      <c r="AL567" t="s">
        <v>1291</v>
      </c>
      <c r="AM567" t="s">
        <v>1200</v>
      </c>
      <c r="AN567" t="s">
        <v>1201</v>
      </c>
      <c r="AO567" t="s">
        <v>1292</v>
      </c>
      <c r="AP567" t="s">
        <v>1202</v>
      </c>
      <c r="AQ567" t="s">
        <v>1203</v>
      </c>
      <c r="AR567" t="s">
        <v>1201</v>
      </c>
      <c r="AS567" t="s">
        <v>1203</v>
      </c>
      <c r="AU567" t="s">
        <v>1204</v>
      </c>
      <c r="AW567" t="b">
        <v>0</v>
      </c>
      <c r="AY567" t="b">
        <v>1</v>
      </c>
      <c r="BA567" t="s">
        <v>2408</v>
      </c>
      <c r="BB567" t="s">
        <v>1206</v>
      </c>
      <c r="BC567" t="s">
        <v>1206</v>
      </c>
      <c r="BD567" t="s">
        <v>1207</v>
      </c>
      <c r="BE567" t="s">
        <v>1296</v>
      </c>
      <c r="BF567" t="s">
        <v>301</v>
      </c>
      <c r="BG567" t="s">
        <v>301</v>
      </c>
      <c r="BH567" t="s">
        <v>1206</v>
      </c>
      <c r="BI567" t="s">
        <v>1206</v>
      </c>
      <c r="BJ567" t="s">
        <v>2409</v>
      </c>
    </row>
    <row r="568" spans="1:62" x14ac:dyDescent="0.25">
      <c r="A568" t="s">
        <v>1177</v>
      </c>
      <c r="B568">
        <v>612087</v>
      </c>
      <c r="C568">
        <v>612087</v>
      </c>
      <c r="D568" s="112" t="s">
        <v>2988</v>
      </c>
      <c r="E568" t="s">
        <v>1119</v>
      </c>
      <c r="F568" t="s">
        <v>1178</v>
      </c>
      <c r="G568" t="s">
        <v>302</v>
      </c>
      <c r="H568" t="s">
        <v>2419</v>
      </c>
      <c r="I568">
        <v>12</v>
      </c>
      <c r="J568" t="s">
        <v>1279</v>
      </c>
      <c r="K568">
        <v>12174</v>
      </c>
      <c r="L568" t="s">
        <v>1571</v>
      </c>
      <c r="M568">
        <v>12174108</v>
      </c>
      <c r="N568" t="s">
        <v>2137</v>
      </c>
      <c r="O568">
        <v>12174108103</v>
      </c>
      <c r="P568" t="s">
        <v>2405</v>
      </c>
      <c r="Q568">
        <v>121741081031337</v>
      </c>
      <c r="R568" t="s">
        <v>2420</v>
      </c>
      <c r="S568" t="s">
        <v>2419</v>
      </c>
      <c r="T568" t="s">
        <v>2421</v>
      </c>
      <c r="U568" t="s">
        <v>1230</v>
      </c>
      <c r="V568" t="s">
        <v>1231</v>
      </c>
      <c r="W568">
        <v>4.2</v>
      </c>
      <c r="X568" t="s">
        <v>1342</v>
      </c>
      <c r="Y568">
        <v>36</v>
      </c>
      <c r="Z568">
        <v>151.19999999999999</v>
      </c>
      <c r="AA568" t="s">
        <v>28</v>
      </c>
      <c r="AB568" t="s">
        <v>1190</v>
      </c>
      <c r="AC568">
        <v>4</v>
      </c>
      <c r="AD568" t="s">
        <v>1232</v>
      </c>
      <c r="AE568" t="s">
        <v>1192</v>
      </c>
      <c r="AF568" t="s">
        <v>1193</v>
      </c>
      <c r="AG568" t="s">
        <v>1194</v>
      </c>
      <c r="AH568" t="s">
        <v>1195</v>
      </c>
      <c r="AI568" t="s">
        <v>1202</v>
      </c>
      <c r="AJ568" t="s">
        <v>1291</v>
      </c>
      <c r="AK568" t="s">
        <v>1292</v>
      </c>
      <c r="AL568" t="s">
        <v>1291</v>
      </c>
      <c r="AM568" t="s">
        <v>2346</v>
      </c>
      <c r="AN568" t="s">
        <v>1201</v>
      </c>
      <c r="AO568" t="s">
        <v>1292</v>
      </c>
      <c r="AP568" t="s">
        <v>2347</v>
      </c>
      <c r="AQ568" t="s">
        <v>1203</v>
      </c>
      <c r="AR568" t="s">
        <v>1201</v>
      </c>
      <c r="AS568" t="s">
        <v>1203</v>
      </c>
      <c r="AU568" t="s">
        <v>1204</v>
      </c>
      <c r="AW568" t="b">
        <v>0</v>
      </c>
      <c r="AY568" t="b">
        <v>1</v>
      </c>
      <c r="BA568" t="s">
        <v>2408</v>
      </c>
      <c r="BB568" t="s">
        <v>1206</v>
      </c>
      <c r="BC568" t="s">
        <v>1206</v>
      </c>
      <c r="BD568" t="s">
        <v>1207</v>
      </c>
      <c r="BE568" t="s">
        <v>1296</v>
      </c>
      <c r="BF568" t="s">
        <v>301</v>
      </c>
      <c r="BG568" t="s">
        <v>301</v>
      </c>
      <c r="BH568" t="s">
        <v>1206</v>
      </c>
      <c r="BI568" t="s">
        <v>1206</v>
      </c>
      <c r="BJ568" t="s">
        <v>2409</v>
      </c>
    </row>
    <row r="569" spans="1:62" x14ac:dyDescent="0.25">
      <c r="A569" t="s">
        <v>1177</v>
      </c>
      <c r="B569">
        <v>612039</v>
      </c>
      <c r="C569">
        <v>612039</v>
      </c>
      <c r="D569" s="112" t="s">
        <v>2989</v>
      </c>
      <c r="E569" t="s">
        <v>1119</v>
      </c>
      <c r="F569" t="s">
        <v>1178</v>
      </c>
      <c r="G569" t="s">
        <v>2422</v>
      </c>
      <c r="H569" t="s">
        <v>2423</v>
      </c>
      <c r="I569">
        <v>12</v>
      </c>
      <c r="J569" t="s">
        <v>1279</v>
      </c>
      <c r="K569">
        <v>12174</v>
      </c>
      <c r="L569" t="s">
        <v>1571</v>
      </c>
      <c r="M569">
        <v>12174108</v>
      </c>
      <c r="N569" t="s">
        <v>2137</v>
      </c>
      <c r="O569">
        <v>12174108103</v>
      </c>
      <c r="P569" t="s">
        <v>2405</v>
      </c>
      <c r="Q569">
        <v>121741081031344</v>
      </c>
      <c r="R569" t="s">
        <v>2424</v>
      </c>
      <c r="S569" t="s">
        <v>2423</v>
      </c>
      <c r="T569" t="s">
        <v>2425</v>
      </c>
      <c r="U569" t="s">
        <v>2312</v>
      </c>
      <c r="V569" t="s">
        <v>2313</v>
      </c>
      <c r="W569">
        <v>20</v>
      </c>
      <c r="X569" t="s">
        <v>1288</v>
      </c>
      <c r="Y569">
        <v>1</v>
      </c>
      <c r="Z569">
        <v>20</v>
      </c>
      <c r="AA569" t="s">
        <v>28</v>
      </c>
      <c r="AB569" t="s">
        <v>1190</v>
      </c>
      <c r="AC569">
        <v>20000</v>
      </c>
      <c r="AD569" t="s">
        <v>1289</v>
      </c>
      <c r="AE569" t="s">
        <v>1290</v>
      </c>
      <c r="AF569" t="s">
        <v>1193</v>
      </c>
      <c r="AG569" t="s">
        <v>1194</v>
      </c>
      <c r="AH569" t="s">
        <v>1195</v>
      </c>
      <c r="AI569" t="s">
        <v>1202</v>
      </c>
      <c r="AJ569" t="s">
        <v>1291</v>
      </c>
      <c r="AK569" t="s">
        <v>1292</v>
      </c>
      <c r="AL569" t="s">
        <v>1291</v>
      </c>
      <c r="AM569" t="s">
        <v>1200</v>
      </c>
      <c r="AN569" t="s">
        <v>1201</v>
      </c>
      <c r="AO569" t="s">
        <v>1292</v>
      </c>
      <c r="AP569" t="s">
        <v>1202</v>
      </c>
      <c r="AQ569" t="s">
        <v>1203</v>
      </c>
      <c r="AR569" t="s">
        <v>1201</v>
      </c>
      <c r="AS569" t="s">
        <v>1203</v>
      </c>
      <c r="AU569" t="s">
        <v>1204</v>
      </c>
      <c r="AW569" t="b">
        <v>0</v>
      </c>
      <c r="AY569" t="b">
        <v>0</v>
      </c>
      <c r="BA569" t="s">
        <v>2408</v>
      </c>
      <c r="BB569" t="s">
        <v>1206</v>
      </c>
      <c r="BC569" t="s">
        <v>1206</v>
      </c>
      <c r="BD569" t="s">
        <v>1207</v>
      </c>
      <c r="BE569" t="s">
        <v>1296</v>
      </c>
      <c r="BF569" t="s">
        <v>301</v>
      </c>
      <c r="BG569" t="s">
        <v>301</v>
      </c>
      <c r="BH569" t="s">
        <v>1206</v>
      </c>
      <c r="BI569" t="s">
        <v>1206</v>
      </c>
      <c r="BJ569" t="s">
        <v>2409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A1BA-2115-4D4E-953D-00226E24296B}">
  <sheetPr>
    <tabColor rgb="FF00B05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C9FB-0599-423E-98D5-A7707B80244B}">
  <sheetPr>
    <tabColor rgb="FF00B050"/>
  </sheetPr>
  <dimension ref="A1:AF168"/>
  <sheetViews>
    <sheetView workbookViewId="0">
      <selection activeCell="D14" sqref="D14"/>
    </sheetView>
  </sheetViews>
  <sheetFormatPr defaultRowHeight="15" x14ac:dyDescent="0.25"/>
  <cols>
    <col min="1" max="1" width="21.5703125" bestFit="1" customWidth="1"/>
    <col min="2" max="2" width="6.140625" bestFit="1" customWidth="1"/>
    <col min="3" max="3" width="12" bestFit="1" customWidth="1"/>
    <col min="4" max="4" width="22.42578125" bestFit="1" customWidth="1"/>
    <col min="5" max="5" width="39.7109375" bestFit="1" customWidth="1"/>
    <col min="6" max="6" width="9.85546875" bestFit="1" customWidth="1"/>
    <col min="7" max="7" width="18" bestFit="1" customWidth="1"/>
    <col min="8" max="8" width="22.28515625" bestFit="1" customWidth="1"/>
    <col min="9" max="9" width="21.7109375" bestFit="1" customWidth="1"/>
    <col min="10" max="10" width="21.42578125" bestFit="1" customWidth="1"/>
    <col min="11" max="11" width="56" bestFit="1" customWidth="1"/>
    <col min="12" max="12" width="22.7109375" bestFit="1" customWidth="1"/>
    <col min="13" max="13" width="22.85546875" bestFit="1" customWidth="1"/>
    <col min="14" max="14" width="25.7109375" bestFit="1" customWidth="1"/>
    <col min="15" max="15" width="25.85546875" bestFit="1" customWidth="1"/>
    <col min="16" max="16" width="26.140625" bestFit="1" customWidth="1"/>
    <col min="17" max="17" width="26.28515625" bestFit="1" customWidth="1"/>
    <col min="18" max="18" width="20.7109375" bestFit="1" customWidth="1"/>
    <col min="19" max="19" width="19.140625" bestFit="1" customWidth="1"/>
    <col min="20" max="20" width="20.28515625" bestFit="1" customWidth="1"/>
    <col min="21" max="21" width="14.85546875" bestFit="1" customWidth="1"/>
    <col min="22" max="22" width="12.85546875" bestFit="1" customWidth="1"/>
    <col min="23" max="23" width="17.7109375" bestFit="1" customWidth="1"/>
    <col min="24" max="24" width="17.5703125" bestFit="1" customWidth="1"/>
    <col min="25" max="25" width="19.5703125" bestFit="1" customWidth="1"/>
    <col min="26" max="26" width="19.7109375" bestFit="1" customWidth="1"/>
    <col min="27" max="27" width="10.28515625" bestFit="1" customWidth="1"/>
    <col min="28" max="28" width="6" bestFit="1" customWidth="1"/>
    <col min="29" max="29" width="11.7109375" bestFit="1" customWidth="1"/>
    <col min="30" max="30" width="13.85546875" bestFit="1" customWidth="1"/>
    <col min="31" max="32" width="11.28515625" bestFit="1" customWidth="1"/>
  </cols>
  <sheetData>
    <row r="1" spans="1:32" x14ac:dyDescent="0.25">
      <c r="A1" t="s">
        <v>146</v>
      </c>
      <c r="B1" t="s">
        <v>13</v>
      </c>
      <c r="C1" t="s">
        <v>2</v>
      </c>
      <c r="D1" t="s">
        <v>10</v>
      </c>
      <c r="E1" t="s">
        <v>9</v>
      </c>
      <c r="F1" t="s">
        <v>6</v>
      </c>
      <c r="G1" t="s">
        <v>14</v>
      </c>
      <c r="H1" t="s">
        <v>39</v>
      </c>
      <c r="I1" t="s">
        <v>175</v>
      </c>
      <c r="J1" t="s">
        <v>32</v>
      </c>
      <c r="K1" t="s">
        <v>23</v>
      </c>
      <c r="L1" t="s">
        <v>43</v>
      </c>
      <c r="M1" t="s">
        <v>42</v>
      </c>
      <c r="N1" t="s">
        <v>134</v>
      </c>
      <c r="O1" t="s">
        <v>135</v>
      </c>
      <c r="P1" t="s">
        <v>138</v>
      </c>
      <c r="Q1" t="s">
        <v>139</v>
      </c>
      <c r="R1" t="s">
        <v>120</v>
      </c>
      <c r="S1" t="s">
        <v>121</v>
      </c>
      <c r="T1" t="s">
        <v>124</v>
      </c>
      <c r="U1" t="s">
        <v>125</v>
      </c>
      <c r="V1" t="s">
        <v>122</v>
      </c>
      <c r="W1" t="s">
        <v>145</v>
      </c>
      <c r="X1" t="s">
        <v>211</v>
      </c>
      <c r="Y1" t="s">
        <v>126</v>
      </c>
      <c r="Z1" t="s">
        <v>176</v>
      </c>
      <c r="AA1" t="s">
        <v>127</v>
      </c>
      <c r="AB1" t="s">
        <v>128</v>
      </c>
      <c r="AC1" t="s">
        <v>130</v>
      </c>
      <c r="AD1" t="s">
        <v>131</v>
      </c>
      <c r="AE1" t="s">
        <v>132</v>
      </c>
      <c r="AF1" t="s">
        <v>123</v>
      </c>
    </row>
    <row r="2" spans="1:32" x14ac:dyDescent="0.25">
      <c r="A2">
        <v>1</v>
      </c>
      <c r="B2">
        <v>1</v>
      </c>
      <c r="C2">
        <v>100189</v>
      </c>
      <c r="D2" t="s">
        <v>237</v>
      </c>
      <c r="E2" t="s">
        <v>238</v>
      </c>
      <c r="F2">
        <v>48</v>
      </c>
      <c r="G2" t="s">
        <v>479</v>
      </c>
      <c r="H2" t="s">
        <v>946</v>
      </c>
      <c r="I2" t="s">
        <v>947</v>
      </c>
      <c r="J2" t="s">
        <v>667</v>
      </c>
      <c r="K2" t="s">
        <v>806</v>
      </c>
      <c r="L2">
        <v>1354.9536000000001</v>
      </c>
      <c r="M2">
        <v>65038</v>
      </c>
      <c r="N2">
        <v>1441</v>
      </c>
      <c r="O2">
        <v>69189</v>
      </c>
      <c r="P2">
        <v>1557</v>
      </c>
      <c r="Q2">
        <v>74724</v>
      </c>
      <c r="R2" s="133">
        <v>45553</v>
      </c>
      <c r="S2">
        <v>45553</v>
      </c>
      <c r="T2" t="s">
        <v>225</v>
      </c>
      <c r="U2" t="s">
        <v>129</v>
      </c>
      <c r="V2" t="s">
        <v>142</v>
      </c>
      <c r="W2">
        <v>10062</v>
      </c>
      <c r="X2" t="s">
        <v>477</v>
      </c>
      <c r="Y2" t="s">
        <v>653</v>
      </c>
      <c r="Z2" t="s">
        <v>654</v>
      </c>
      <c r="AA2" t="s">
        <v>143</v>
      </c>
      <c r="AB2" t="s">
        <v>144</v>
      </c>
      <c r="AC2">
        <v>11611</v>
      </c>
      <c r="AD2">
        <v>11612</v>
      </c>
      <c r="AE2">
        <v>123</v>
      </c>
      <c r="AF2">
        <v>1</v>
      </c>
    </row>
    <row r="3" spans="1:32" x14ac:dyDescent="0.25">
      <c r="A3">
        <v>1</v>
      </c>
      <c r="B3">
        <v>4</v>
      </c>
      <c r="C3">
        <v>100986</v>
      </c>
      <c r="D3" t="s">
        <v>237</v>
      </c>
      <c r="E3" t="s">
        <v>241</v>
      </c>
      <c r="F3">
        <v>48</v>
      </c>
      <c r="G3" t="s">
        <v>479</v>
      </c>
      <c r="H3" t="s">
        <v>946</v>
      </c>
      <c r="I3" t="s">
        <v>947</v>
      </c>
      <c r="J3" t="s">
        <v>668</v>
      </c>
      <c r="K3" t="s">
        <v>807</v>
      </c>
      <c r="L3">
        <v>1129.1280000000002</v>
      </c>
      <c r="M3">
        <v>54198</v>
      </c>
      <c r="N3">
        <v>1201</v>
      </c>
      <c r="O3">
        <v>57658</v>
      </c>
      <c r="P3">
        <v>1297</v>
      </c>
      <c r="Q3">
        <v>62270</v>
      </c>
      <c r="R3" s="133">
        <v>45553</v>
      </c>
      <c r="S3">
        <v>45553</v>
      </c>
      <c r="T3" t="s">
        <v>225</v>
      </c>
      <c r="U3" t="s">
        <v>129</v>
      </c>
      <c r="V3" t="s">
        <v>142</v>
      </c>
      <c r="W3">
        <v>10062</v>
      </c>
      <c r="X3" t="s">
        <v>477</v>
      </c>
      <c r="Y3" t="s">
        <v>653</v>
      </c>
      <c r="Z3" t="s">
        <v>654</v>
      </c>
      <c r="AA3" t="s">
        <v>143</v>
      </c>
      <c r="AB3" t="s">
        <v>144</v>
      </c>
      <c r="AC3">
        <v>11611</v>
      </c>
      <c r="AD3">
        <v>11612</v>
      </c>
      <c r="AE3">
        <v>123</v>
      </c>
      <c r="AF3">
        <v>1</v>
      </c>
    </row>
    <row r="4" spans="1:32" x14ac:dyDescent="0.25">
      <c r="A4">
        <v>1</v>
      </c>
      <c r="B4">
        <v>5</v>
      </c>
      <c r="C4">
        <v>100179</v>
      </c>
      <c r="D4" t="s">
        <v>237</v>
      </c>
      <c r="E4" t="s">
        <v>242</v>
      </c>
      <c r="F4">
        <v>48</v>
      </c>
      <c r="G4" t="s">
        <v>479</v>
      </c>
      <c r="H4" t="s">
        <v>946</v>
      </c>
      <c r="I4" t="s">
        <v>947</v>
      </c>
      <c r="J4" t="s">
        <v>669</v>
      </c>
      <c r="K4" t="s">
        <v>808</v>
      </c>
      <c r="L4">
        <v>1990.0927999999999</v>
      </c>
      <c r="M4">
        <v>95524</v>
      </c>
      <c r="N4">
        <v>2117</v>
      </c>
      <c r="O4">
        <v>101622</v>
      </c>
      <c r="P4">
        <v>2286</v>
      </c>
      <c r="Q4">
        <v>109751</v>
      </c>
      <c r="R4" s="133">
        <v>45553</v>
      </c>
      <c r="S4">
        <v>45553</v>
      </c>
      <c r="T4" t="s">
        <v>225</v>
      </c>
      <c r="U4" t="s">
        <v>129</v>
      </c>
      <c r="V4" t="s">
        <v>142</v>
      </c>
      <c r="W4">
        <v>20080</v>
      </c>
      <c r="X4" t="s">
        <v>482</v>
      </c>
      <c r="Y4" t="s">
        <v>653</v>
      </c>
      <c r="Z4" t="s">
        <v>654</v>
      </c>
      <c r="AA4" t="s">
        <v>143</v>
      </c>
      <c r="AB4" t="s">
        <v>144</v>
      </c>
      <c r="AC4">
        <v>11611</v>
      </c>
      <c r="AD4">
        <v>11612</v>
      </c>
      <c r="AE4">
        <v>123</v>
      </c>
      <c r="AF4">
        <v>1</v>
      </c>
    </row>
    <row r="5" spans="1:32" x14ac:dyDescent="0.25">
      <c r="A5">
        <v>1</v>
      </c>
      <c r="B5">
        <v>6</v>
      </c>
      <c r="C5">
        <v>100234</v>
      </c>
      <c r="D5" t="s">
        <v>237</v>
      </c>
      <c r="E5" t="s">
        <v>243</v>
      </c>
      <c r="F5">
        <v>48</v>
      </c>
      <c r="G5" t="s">
        <v>486</v>
      </c>
      <c r="H5" t="s">
        <v>946</v>
      </c>
      <c r="I5" t="s">
        <v>947</v>
      </c>
      <c r="J5" t="s">
        <v>750</v>
      </c>
      <c r="K5" t="s">
        <v>809</v>
      </c>
      <c r="L5">
        <v>6382.6</v>
      </c>
      <c r="M5">
        <v>306365</v>
      </c>
      <c r="N5">
        <v>6790</v>
      </c>
      <c r="O5">
        <v>325920</v>
      </c>
      <c r="P5">
        <v>0</v>
      </c>
      <c r="Q5">
        <v>0</v>
      </c>
      <c r="R5" s="133">
        <v>45553</v>
      </c>
      <c r="S5">
        <v>45553</v>
      </c>
      <c r="T5" t="s">
        <v>225</v>
      </c>
      <c r="U5" t="s">
        <v>129</v>
      </c>
      <c r="V5" t="s">
        <v>142</v>
      </c>
      <c r="W5">
        <v>20130</v>
      </c>
      <c r="X5" t="s">
        <v>484</v>
      </c>
      <c r="Y5" t="s">
        <v>653</v>
      </c>
      <c r="Z5" t="s">
        <v>654</v>
      </c>
      <c r="AA5" t="s">
        <v>143</v>
      </c>
      <c r="AB5" t="s">
        <v>144</v>
      </c>
      <c r="AC5">
        <v>11611</v>
      </c>
      <c r="AD5">
        <v>11612</v>
      </c>
      <c r="AE5">
        <v>123</v>
      </c>
      <c r="AF5">
        <v>1</v>
      </c>
    </row>
    <row r="6" spans="1:32" x14ac:dyDescent="0.25">
      <c r="A6">
        <v>1</v>
      </c>
      <c r="B6">
        <v>7</v>
      </c>
      <c r="C6">
        <v>100161</v>
      </c>
      <c r="D6" t="s">
        <v>237</v>
      </c>
      <c r="E6" t="s">
        <v>244</v>
      </c>
      <c r="F6">
        <v>48</v>
      </c>
      <c r="G6" t="s">
        <v>486</v>
      </c>
      <c r="H6" t="s">
        <v>946</v>
      </c>
      <c r="I6" t="s">
        <v>947</v>
      </c>
      <c r="J6" t="s">
        <v>678</v>
      </c>
      <c r="K6" t="s">
        <v>809</v>
      </c>
      <c r="L6">
        <v>7181.2616000000007</v>
      </c>
      <c r="M6">
        <v>344701</v>
      </c>
      <c r="N6">
        <v>7640</v>
      </c>
      <c r="O6">
        <v>366703</v>
      </c>
      <c r="P6">
        <v>8251</v>
      </c>
      <c r="Q6">
        <v>396039</v>
      </c>
      <c r="R6" s="133">
        <v>45553</v>
      </c>
      <c r="S6">
        <v>45553</v>
      </c>
      <c r="T6" t="s">
        <v>225</v>
      </c>
      <c r="U6" t="s">
        <v>129</v>
      </c>
      <c r="V6" t="s">
        <v>142</v>
      </c>
      <c r="W6">
        <v>20135</v>
      </c>
      <c r="X6" t="s">
        <v>484</v>
      </c>
      <c r="Y6" t="s">
        <v>653</v>
      </c>
      <c r="Z6" t="s">
        <v>654</v>
      </c>
      <c r="AA6" t="s">
        <v>143</v>
      </c>
      <c r="AB6" t="s">
        <v>144</v>
      </c>
      <c r="AC6">
        <v>11611</v>
      </c>
      <c r="AD6">
        <v>11612</v>
      </c>
      <c r="AE6">
        <v>123</v>
      </c>
      <c r="AF6">
        <v>1</v>
      </c>
    </row>
    <row r="7" spans="1:32" x14ac:dyDescent="0.25">
      <c r="A7">
        <v>1</v>
      </c>
      <c r="B7">
        <v>8</v>
      </c>
      <c r="C7">
        <v>100220</v>
      </c>
      <c r="D7" t="s">
        <v>237</v>
      </c>
      <c r="E7" t="s">
        <v>245</v>
      </c>
      <c r="F7">
        <v>24</v>
      </c>
      <c r="G7" t="s">
        <v>479</v>
      </c>
      <c r="H7" t="s">
        <v>946</v>
      </c>
      <c r="I7" t="s">
        <v>947</v>
      </c>
      <c r="J7" t="s">
        <v>671</v>
      </c>
      <c r="K7" t="s">
        <v>810</v>
      </c>
      <c r="L7">
        <v>6117.2849999999999</v>
      </c>
      <c r="M7">
        <v>146815</v>
      </c>
      <c r="N7">
        <v>6508</v>
      </c>
      <c r="O7">
        <v>156186</v>
      </c>
      <c r="P7">
        <v>7028</v>
      </c>
      <c r="Q7">
        <v>168681</v>
      </c>
      <c r="R7" s="133">
        <v>45553</v>
      </c>
      <c r="S7">
        <v>45945</v>
      </c>
      <c r="T7" t="s">
        <v>225</v>
      </c>
      <c r="U7" t="s">
        <v>129</v>
      </c>
      <c r="V7" t="s">
        <v>142</v>
      </c>
      <c r="W7">
        <v>10250</v>
      </c>
      <c r="X7" t="s">
        <v>488</v>
      </c>
      <c r="Y7" t="s">
        <v>653</v>
      </c>
      <c r="Z7" t="s">
        <v>654</v>
      </c>
      <c r="AA7" t="s">
        <v>143</v>
      </c>
      <c r="AB7" t="s">
        <v>144</v>
      </c>
      <c r="AC7">
        <v>11611</v>
      </c>
      <c r="AD7">
        <v>11612</v>
      </c>
      <c r="AE7">
        <v>123</v>
      </c>
      <c r="AF7">
        <v>1</v>
      </c>
    </row>
    <row r="8" spans="1:32" x14ac:dyDescent="0.25">
      <c r="A8">
        <v>1</v>
      </c>
      <c r="B8">
        <v>10</v>
      </c>
      <c r="C8">
        <v>100992</v>
      </c>
      <c r="D8" t="s">
        <v>237</v>
      </c>
      <c r="E8" t="s">
        <v>1012</v>
      </c>
      <c r="F8">
        <v>24</v>
      </c>
      <c r="G8" t="s">
        <v>479</v>
      </c>
      <c r="H8" t="s">
        <v>946</v>
      </c>
      <c r="I8" t="s">
        <v>947</v>
      </c>
      <c r="J8" t="s">
        <v>1013</v>
      </c>
      <c r="K8" t="s">
        <v>1014</v>
      </c>
      <c r="L8">
        <v>6117.2849999999999</v>
      </c>
      <c r="M8">
        <v>146815</v>
      </c>
      <c r="N8">
        <v>6508</v>
      </c>
      <c r="O8">
        <v>156186</v>
      </c>
      <c r="P8">
        <v>7028</v>
      </c>
      <c r="Q8">
        <v>168681</v>
      </c>
      <c r="R8" s="133">
        <v>45730</v>
      </c>
      <c r="S8">
        <v>45945</v>
      </c>
      <c r="T8" t="s">
        <v>225</v>
      </c>
      <c r="U8" t="s">
        <v>129</v>
      </c>
      <c r="V8" t="s">
        <v>142</v>
      </c>
      <c r="W8">
        <v>10250</v>
      </c>
      <c r="X8" t="s">
        <v>488</v>
      </c>
      <c r="Y8" t="s">
        <v>653</v>
      </c>
      <c r="Z8" t="s">
        <v>654</v>
      </c>
      <c r="AA8" t="s">
        <v>143</v>
      </c>
      <c r="AB8" t="s">
        <v>144</v>
      </c>
      <c r="AC8">
        <v>11611</v>
      </c>
      <c r="AD8">
        <v>11612</v>
      </c>
      <c r="AE8">
        <v>123</v>
      </c>
      <c r="AF8">
        <v>1</v>
      </c>
    </row>
    <row r="9" spans="1:32" x14ac:dyDescent="0.25">
      <c r="A9">
        <v>1</v>
      </c>
      <c r="G9" t="s">
        <v>479</v>
      </c>
      <c r="H9" t="s">
        <v>946</v>
      </c>
      <c r="I9" t="s">
        <v>947</v>
      </c>
      <c r="J9" t="s">
        <v>1093</v>
      </c>
      <c r="K9" t="s">
        <v>1105</v>
      </c>
      <c r="L9">
        <v>16126.64</v>
      </c>
      <c r="M9">
        <v>0</v>
      </c>
      <c r="N9">
        <v>17156</v>
      </c>
      <c r="O9">
        <v>0</v>
      </c>
      <c r="P9">
        <v>18528</v>
      </c>
      <c r="Q9">
        <v>0</v>
      </c>
      <c r="R9" s="133">
        <v>46059</v>
      </c>
      <c r="T9" t="s">
        <v>225</v>
      </c>
      <c r="U9" t="s">
        <v>129</v>
      </c>
      <c r="V9" t="s">
        <v>142</v>
      </c>
      <c r="W9">
        <v>10600</v>
      </c>
      <c r="X9" t="s">
        <v>495</v>
      </c>
      <c r="Y9" t="s">
        <v>653</v>
      </c>
      <c r="Z9" t="s">
        <v>654</v>
      </c>
      <c r="AA9" t="s">
        <v>143</v>
      </c>
      <c r="AB9" t="s">
        <v>144</v>
      </c>
      <c r="AC9">
        <v>11611</v>
      </c>
      <c r="AD9">
        <v>11612</v>
      </c>
      <c r="AE9">
        <v>123</v>
      </c>
      <c r="AF9">
        <v>1</v>
      </c>
    </row>
    <row r="10" spans="1:32" x14ac:dyDescent="0.25">
      <c r="A10">
        <v>1</v>
      </c>
      <c r="B10">
        <v>11</v>
      </c>
      <c r="C10">
        <v>100162</v>
      </c>
      <c r="D10" t="s">
        <v>237</v>
      </c>
      <c r="E10" t="s">
        <v>246</v>
      </c>
      <c r="F10">
        <v>24</v>
      </c>
      <c r="G10" t="s">
        <v>486</v>
      </c>
      <c r="H10" t="s">
        <v>946</v>
      </c>
      <c r="I10" t="s">
        <v>947</v>
      </c>
      <c r="J10" t="s">
        <v>679</v>
      </c>
      <c r="K10" t="s">
        <v>811</v>
      </c>
      <c r="L10">
        <v>15649.731000000002</v>
      </c>
      <c r="M10">
        <v>375594</v>
      </c>
      <c r="N10">
        <v>16649</v>
      </c>
      <c r="O10">
        <v>399568</v>
      </c>
      <c r="P10">
        <v>17981</v>
      </c>
      <c r="Q10">
        <v>431533</v>
      </c>
      <c r="R10" s="133">
        <v>45553</v>
      </c>
      <c r="S10">
        <v>45553</v>
      </c>
      <c r="T10" t="s">
        <v>225</v>
      </c>
      <c r="U10" t="s">
        <v>129</v>
      </c>
      <c r="V10" t="s">
        <v>142</v>
      </c>
      <c r="W10">
        <v>20275</v>
      </c>
      <c r="X10" t="s">
        <v>490</v>
      </c>
      <c r="Y10" t="s">
        <v>653</v>
      </c>
      <c r="Z10" t="s">
        <v>654</v>
      </c>
      <c r="AA10" t="s">
        <v>143</v>
      </c>
      <c r="AB10" t="s">
        <v>144</v>
      </c>
      <c r="AC10">
        <v>11611</v>
      </c>
      <c r="AD10">
        <v>11612</v>
      </c>
      <c r="AE10">
        <v>123</v>
      </c>
      <c r="AF10">
        <v>1</v>
      </c>
    </row>
    <row r="11" spans="1:32" x14ac:dyDescent="0.25">
      <c r="A11">
        <v>1</v>
      </c>
      <c r="B11">
        <v>13</v>
      </c>
      <c r="C11">
        <v>100158</v>
      </c>
      <c r="D11" t="s">
        <v>237</v>
      </c>
      <c r="E11" t="s">
        <v>247</v>
      </c>
      <c r="F11">
        <v>24</v>
      </c>
      <c r="G11" t="s">
        <v>479</v>
      </c>
      <c r="H11" t="s">
        <v>946</v>
      </c>
      <c r="I11" t="s">
        <v>947</v>
      </c>
      <c r="J11" t="s">
        <v>670</v>
      </c>
      <c r="K11" t="s">
        <v>812</v>
      </c>
      <c r="L11">
        <v>8383.7847999999994</v>
      </c>
      <c r="M11">
        <v>201211</v>
      </c>
      <c r="N11">
        <v>8919</v>
      </c>
      <c r="O11">
        <v>214054</v>
      </c>
      <c r="P11">
        <v>9632</v>
      </c>
      <c r="Q11">
        <v>231178</v>
      </c>
      <c r="R11" s="133">
        <v>45553</v>
      </c>
      <c r="S11">
        <v>45553</v>
      </c>
      <c r="T11" t="s">
        <v>225</v>
      </c>
      <c r="U11" t="s">
        <v>129</v>
      </c>
      <c r="V11" t="s">
        <v>142</v>
      </c>
      <c r="W11">
        <v>10300</v>
      </c>
      <c r="X11" t="s">
        <v>493</v>
      </c>
      <c r="Y11" t="s">
        <v>653</v>
      </c>
      <c r="Z11" t="s">
        <v>654</v>
      </c>
      <c r="AA11" t="s">
        <v>143</v>
      </c>
      <c r="AB11" t="s">
        <v>144</v>
      </c>
      <c r="AC11">
        <v>11611</v>
      </c>
      <c r="AD11">
        <v>11612</v>
      </c>
      <c r="AE11">
        <v>123</v>
      </c>
      <c r="AF11">
        <v>1</v>
      </c>
    </row>
    <row r="12" spans="1:32" x14ac:dyDescent="0.25">
      <c r="A12">
        <v>1</v>
      </c>
      <c r="B12">
        <v>15</v>
      </c>
      <c r="C12">
        <v>100991</v>
      </c>
      <c r="D12" t="s">
        <v>237</v>
      </c>
      <c r="E12" t="s">
        <v>249</v>
      </c>
      <c r="F12">
        <v>12</v>
      </c>
      <c r="G12" t="s">
        <v>479</v>
      </c>
      <c r="H12" t="s">
        <v>946</v>
      </c>
      <c r="I12" t="s">
        <v>947</v>
      </c>
      <c r="J12" t="s">
        <v>751</v>
      </c>
      <c r="K12" t="s">
        <v>813</v>
      </c>
      <c r="L12">
        <v>16126.875</v>
      </c>
      <c r="M12">
        <v>193522</v>
      </c>
      <c r="N12">
        <v>17156</v>
      </c>
      <c r="O12">
        <v>205875</v>
      </c>
      <c r="P12">
        <v>0</v>
      </c>
      <c r="Q12">
        <v>0</v>
      </c>
      <c r="R12" s="133">
        <v>45553</v>
      </c>
      <c r="S12">
        <v>45553</v>
      </c>
      <c r="T12" t="s">
        <v>225</v>
      </c>
      <c r="U12" t="s">
        <v>129</v>
      </c>
      <c r="V12" t="s">
        <v>142</v>
      </c>
      <c r="W12">
        <v>10300</v>
      </c>
      <c r="X12" t="s">
        <v>495</v>
      </c>
      <c r="Y12" t="s">
        <v>653</v>
      </c>
      <c r="Z12" t="s">
        <v>654</v>
      </c>
      <c r="AA12" t="s">
        <v>143</v>
      </c>
      <c r="AB12" t="s">
        <v>144</v>
      </c>
      <c r="AC12">
        <v>11611</v>
      </c>
      <c r="AD12">
        <v>11612</v>
      </c>
      <c r="AE12">
        <v>123</v>
      </c>
      <c r="AF12">
        <v>1</v>
      </c>
    </row>
    <row r="13" spans="1:32" x14ac:dyDescent="0.25">
      <c r="A13">
        <v>1</v>
      </c>
      <c r="B13">
        <v>283</v>
      </c>
      <c r="C13">
        <v>100241</v>
      </c>
      <c r="E13" t="s">
        <v>1077</v>
      </c>
      <c r="F13">
        <v>12</v>
      </c>
      <c r="G13" t="s">
        <v>479</v>
      </c>
      <c r="H13" t="s">
        <v>946</v>
      </c>
      <c r="I13" t="s">
        <v>947</v>
      </c>
      <c r="J13" t="s">
        <v>1079</v>
      </c>
      <c r="K13" t="s">
        <v>1080</v>
      </c>
      <c r="L13">
        <v>10467.0504</v>
      </c>
      <c r="M13">
        <v>125605</v>
      </c>
      <c r="N13">
        <v>11135</v>
      </c>
      <c r="O13">
        <v>133622</v>
      </c>
      <c r="P13">
        <v>12026</v>
      </c>
      <c r="Q13">
        <v>144312</v>
      </c>
      <c r="R13" s="133"/>
      <c r="T13" t="s">
        <v>225</v>
      </c>
      <c r="U13" t="s">
        <v>129</v>
      </c>
      <c r="V13" t="s">
        <v>142</v>
      </c>
      <c r="W13">
        <v>10450</v>
      </c>
      <c r="X13" t="s">
        <v>1078</v>
      </c>
      <c r="AA13" t="s">
        <v>143</v>
      </c>
      <c r="AB13" t="s">
        <v>144</v>
      </c>
      <c r="AC13">
        <v>11611</v>
      </c>
      <c r="AD13">
        <v>11612</v>
      </c>
      <c r="AF13">
        <v>1</v>
      </c>
    </row>
    <row r="14" spans="1:32" x14ac:dyDescent="0.25">
      <c r="A14">
        <v>1</v>
      </c>
      <c r="B14">
        <v>16</v>
      </c>
      <c r="C14">
        <v>100225</v>
      </c>
      <c r="D14" t="s">
        <v>237</v>
      </c>
      <c r="E14" t="s">
        <v>250</v>
      </c>
      <c r="F14">
        <v>12</v>
      </c>
      <c r="G14" t="s">
        <v>479</v>
      </c>
      <c r="H14" t="s">
        <v>946</v>
      </c>
      <c r="I14" t="s">
        <v>947</v>
      </c>
      <c r="J14" t="s">
        <v>674</v>
      </c>
      <c r="K14" t="s">
        <v>814</v>
      </c>
      <c r="L14">
        <v>16126.921999999999</v>
      </c>
      <c r="M14">
        <v>193523</v>
      </c>
      <c r="N14">
        <v>17156</v>
      </c>
      <c r="O14">
        <v>205876</v>
      </c>
      <c r="P14">
        <v>18529</v>
      </c>
      <c r="Q14">
        <v>222346</v>
      </c>
      <c r="R14" s="133">
        <v>45553</v>
      </c>
      <c r="S14">
        <v>45553</v>
      </c>
      <c r="T14" t="s">
        <v>225</v>
      </c>
      <c r="U14" t="s">
        <v>129</v>
      </c>
      <c r="V14" t="s">
        <v>142</v>
      </c>
      <c r="W14">
        <v>10600</v>
      </c>
      <c r="X14" t="s">
        <v>495</v>
      </c>
      <c r="Y14" t="s">
        <v>653</v>
      </c>
      <c r="Z14" t="s">
        <v>654</v>
      </c>
      <c r="AA14" t="s">
        <v>143</v>
      </c>
      <c r="AB14" t="s">
        <v>144</v>
      </c>
      <c r="AC14">
        <v>11611</v>
      </c>
      <c r="AD14">
        <v>11612</v>
      </c>
      <c r="AE14">
        <v>123</v>
      </c>
      <c r="AF14">
        <v>1</v>
      </c>
    </row>
    <row r="15" spans="1:32" x14ac:dyDescent="0.25">
      <c r="A15">
        <v>1</v>
      </c>
      <c r="B15">
        <v>18</v>
      </c>
      <c r="C15">
        <v>100163</v>
      </c>
      <c r="D15" t="s">
        <v>237</v>
      </c>
      <c r="E15" t="s">
        <v>252</v>
      </c>
      <c r="F15">
        <v>12</v>
      </c>
      <c r="G15" t="s">
        <v>486</v>
      </c>
      <c r="H15" t="s">
        <v>946</v>
      </c>
      <c r="I15" t="s">
        <v>947</v>
      </c>
      <c r="J15" t="s">
        <v>681</v>
      </c>
      <c r="K15" t="s">
        <v>815</v>
      </c>
      <c r="L15">
        <v>23525.408199999998</v>
      </c>
      <c r="M15">
        <v>282305</v>
      </c>
      <c r="N15">
        <v>25027</v>
      </c>
      <c r="O15">
        <v>300324</v>
      </c>
      <c r="P15">
        <v>27029</v>
      </c>
      <c r="Q15">
        <v>324350</v>
      </c>
      <c r="R15" s="133">
        <v>45553</v>
      </c>
      <c r="S15">
        <v>45553</v>
      </c>
      <c r="T15" t="s">
        <v>225</v>
      </c>
      <c r="U15" t="s">
        <v>129</v>
      </c>
      <c r="V15" t="s">
        <v>142</v>
      </c>
      <c r="W15">
        <v>20600</v>
      </c>
      <c r="X15" t="s">
        <v>497</v>
      </c>
      <c r="Y15" t="s">
        <v>653</v>
      </c>
      <c r="Z15" t="s">
        <v>654</v>
      </c>
      <c r="AA15" t="s">
        <v>143</v>
      </c>
      <c r="AB15" t="s">
        <v>144</v>
      </c>
      <c r="AC15">
        <v>11611</v>
      </c>
      <c r="AD15">
        <v>11612</v>
      </c>
      <c r="AE15">
        <v>123</v>
      </c>
      <c r="AF15">
        <v>1</v>
      </c>
    </row>
    <row r="16" spans="1:32" x14ac:dyDescent="0.25">
      <c r="A16">
        <v>1</v>
      </c>
      <c r="B16">
        <v>20</v>
      </c>
      <c r="C16">
        <v>100166</v>
      </c>
      <c r="D16" t="s">
        <v>237</v>
      </c>
      <c r="E16" t="s">
        <v>254</v>
      </c>
      <c r="F16">
        <v>12</v>
      </c>
      <c r="G16" t="s">
        <v>486</v>
      </c>
      <c r="H16" t="s">
        <v>946</v>
      </c>
      <c r="I16" t="s">
        <v>947</v>
      </c>
      <c r="J16" t="s">
        <v>680</v>
      </c>
      <c r="K16" t="s">
        <v>816</v>
      </c>
      <c r="L16">
        <v>28098.3766</v>
      </c>
      <c r="M16">
        <v>337181</v>
      </c>
      <c r="N16">
        <v>29892</v>
      </c>
      <c r="O16">
        <v>358703</v>
      </c>
      <c r="P16">
        <v>32283</v>
      </c>
      <c r="Q16">
        <v>387399</v>
      </c>
      <c r="R16" s="133">
        <v>45553</v>
      </c>
      <c r="S16">
        <v>45553</v>
      </c>
      <c r="T16" t="s">
        <v>225</v>
      </c>
      <c r="U16" t="s">
        <v>129</v>
      </c>
      <c r="V16" t="s">
        <v>142</v>
      </c>
      <c r="W16">
        <v>20620</v>
      </c>
      <c r="X16" t="s">
        <v>498</v>
      </c>
      <c r="Y16" t="s">
        <v>653</v>
      </c>
      <c r="Z16" t="s">
        <v>654</v>
      </c>
      <c r="AA16" t="s">
        <v>143</v>
      </c>
      <c r="AB16" t="s">
        <v>144</v>
      </c>
      <c r="AC16">
        <v>11611</v>
      </c>
      <c r="AD16">
        <v>11612</v>
      </c>
      <c r="AE16">
        <v>123</v>
      </c>
      <c r="AF16">
        <v>1</v>
      </c>
    </row>
    <row r="17" spans="1:32" x14ac:dyDescent="0.25">
      <c r="A17">
        <v>1</v>
      </c>
      <c r="B17">
        <v>21</v>
      </c>
      <c r="C17">
        <v>100187</v>
      </c>
      <c r="D17" t="s">
        <v>237</v>
      </c>
      <c r="E17" t="s">
        <v>255</v>
      </c>
      <c r="F17">
        <v>12</v>
      </c>
      <c r="G17" t="s">
        <v>479</v>
      </c>
      <c r="H17" t="s">
        <v>946</v>
      </c>
      <c r="I17" t="s">
        <v>947</v>
      </c>
      <c r="J17" t="s">
        <v>672</v>
      </c>
      <c r="K17" t="s">
        <v>817</v>
      </c>
      <c r="L17">
        <v>18545.946199999998</v>
      </c>
      <c r="M17">
        <v>222551</v>
      </c>
      <c r="N17">
        <v>19730</v>
      </c>
      <c r="O17">
        <v>236757</v>
      </c>
      <c r="P17">
        <v>21308</v>
      </c>
      <c r="Q17">
        <v>255697</v>
      </c>
      <c r="R17" s="133">
        <v>45553</v>
      </c>
      <c r="S17">
        <v>45553</v>
      </c>
      <c r="T17" t="s">
        <v>225</v>
      </c>
      <c r="U17" t="s">
        <v>129</v>
      </c>
      <c r="V17" t="s">
        <v>142</v>
      </c>
      <c r="W17">
        <v>10685</v>
      </c>
      <c r="X17" t="s">
        <v>500</v>
      </c>
      <c r="Y17" t="s">
        <v>653</v>
      </c>
      <c r="Z17" t="s">
        <v>654</v>
      </c>
      <c r="AA17" t="s">
        <v>143</v>
      </c>
      <c r="AB17" t="s">
        <v>144</v>
      </c>
      <c r="AC17">
        <v>11611</v>
      </c>
      <c r="AD17">
        <v>11612</v>
      </c>
      <c r="AE17">
        <v>123</v>
      </c>
      <c r="AF17">
        <v>1</v>
      </c>
    </row>
    <row r="18" spans="1:32" x14ac:dyDescent="0.25">
      <c r="A18">
        <v>1</v>
      </c>
      <c r="B18">
        <v>23</v>
      </c>
      <c r="C18">
        <v>100976</v>
      </c>
      <c r="D18" t="s">
        <v>237</v>
      </c>
      <c r="E18" t="s">
        <v>257</v>
      </c>
      <c r="F18">
        <v>12</v>
      </c>
      <c r="G18" t="s">
        <v>479</v>
      </c>
      <c r="H18" t="s">
        <v>946</v>
      </c>
      <c r="I18" t="s">
        <v>947</v>
      </c>
      <c r="J18" t="s">
        <v>673</v>
      </c>
      <c r="K18" t="s">
        <v>818</v>
      </c>
      <c r="L18">
        <v>18545.946199999998</v>
      </c>
      <c r="M18">
        <v>222551</v>
      </c>
      <c r="N18">
        <v>19730</v>
      </c>
      <c r="O18">
        <v>236757</v>
      </c>
      <c r="P18">
        <v>21308</v>
      </c>
      <c r="Q18">
        <v>255697</v>
      </c>
      <c r="R18" s="133">
        <v>45553</v>
      </c>
      <c r="S18">
        <v>45553</v>
      </c>
      <c r="T18" t="s">
        <v>225</v>
      </c>
      <c r="U18" t="s">
        <v>129</v>
      </c>
      <c r="V18" t="s">
        <v>142</v>
      </c>
      <c r="W18">
        <v>10685</v>
      </c>
      <c r="X18" t="s">
        <v>500</v>
      </c>
      <c r="Y18" t="s">
        <v>653</v>
      </c>
      <c r="Z18" t="s">
        <v>654</v>
      </c>
      <c r="AA18" t="s">
        <v>143</v>
      </c>
      <c r="AB18" t="s">
        <v>144</v>
      </c>
      <c r="AC18">
        <v>11611</v>
      </c>
      <c r="AD18">
        <v>11612</v>
      </c>
      <c r="AE18">
        <v>123</v>
      </c>
      <c r="AF18">
        <v>1</v>
      </c>
    </row>
    <row r="19" spans="1:32" x14ac:dyDescent="0.25">
      <c r="A19">
        <v>2</v>
      </c>
      <c r="B19">
        <v>25</v>
      </c>
      <c r="C19">
        <v>100252</v>
      </c>
      <c r="D19" t="s">
        <v>237</v>
      </c>
      <c r="E19" t="s">
        <v>259</v>
      </c>
      <c r="F19">
        <v>12</v>
      </c>
      <c r="G19" t="s">
        <v>479</v>
      </c>
      <c r="H19" t="s">
        <v>946</v>
      </c>
      <c r="I19" t="s">
        <v>947</v>
      </c>
      <c r="J19" t="s">
        <v>676</v>
      </c>
      <c r="K19" t="s">
        <v>819</v>
      </c>
      <c r="L19">
        <v>19897.732</v>
      </c>
      <c r="M19">
        <v>238773</v>
      </c>
      <c r="N19">
        <v>21168</v>
      </c>
      <c r="O19">
        <v>254014</v>
      </c>
      <c r="P19">
        <v>22861</v>
      </c>
      <c r="Q19">
        <v>274335</v>
      </c>
      <c r="R19" s="133"/>
      <c r="S19">
        <v>45553</v>
      </c>
      <c r="T19" t="s">
        <v>225</v>
      </c>
      <c r="U19" t="s">
        <v>129</v>
      </c>
      <c r="V19" t="s">
        <v>142</v>
      </c>
      <c r="W19">
        <v>10825</v>
      </c>
      <c r="X19" t="s">
        <v>501</v>
      </c>
      <c r="Y19" t="s">
        <v>653</v>
      </c>
      <c r="Z19" t="s">
        <v>654</v>
      </c>
      <c r="AA19" t="s">
        <v>143</v>
      </c>
      <c r="AB19" t="s">
        <v>144</v>
      </c>
      <c r="AC19">
        <v>11611</v>
      </c>
      <c r="AD19">
        <v>11612</v>
      </c>
      <c r="AE19">
        <v>123</v>
      </c>
      <c r="AF19">
        <v>1</v>
      </c>
    </row>
    <row r="20" spans="1:32" x14ac:dyDescent="0.25">
      <c r="A20">
        <v>1</v>
      </c>
      <c r="B20">
        <v>29</v>
      </c>
      <c r="C20">
        <v>100176</v>
      </c>
      <c r="D20" t="s">
        <v>237</v>
      </c>
      <c r="E20" t="s">
        <v>261</v>
      </c>
      <c r="F20">
        <v>12</v>
      </c>
      <c r="G20" t="s">
        <v>479</v>
      </c>
      <c r="H20" t="s">
        <v>946</v>
      </c>
      <c r="I20" t="s">
        <v>947</v>
      </c>
      <c r="J20" t="s">
        <v>675</v>
      </c>
      <c r="K20" t="s">
        <v>820</v>
      </c>
      <c r="L20">
        <v>20620.723599999998</v>
      </c>
      <c r="M20">
        <v>247449</v>
      </c>
      <c r="N20">
        <v>21937</v>
      </c>
      <c r="O20">
        <v>263243</v>
      </c>
      <c r="P20">
        <v>0</v>
      </c>
      <c r="Q20">
        <v>0</v>
      </c>
      <c r="R20" s="133">
        <v>45553</v>
      </c>
      <c r="S20">
        <v>45553</v>
      </c>
      <c r="T20" t="s">
        <v>225</v>
      </c>
      <c r="U20" t="s">
        <v>129</v>
      </c>
      <c r="V20" t="s">
        <v>142</v>
      </c>
      <c r="W20">
        <v>10925</v>
      </c>
      <c r="X20" t="s">
        <v>503</v>
      </c>
      <c r="Y20" t="s">
        <v>653</v>
      </c>
      <c r="Z20" t="s">
        <v>654</v>
      </c>
      <c r="AA20" t="s">
        <v>143</v>
      </c>
      <c r="AB20" t="s">
        <v>144</v>
      </c>
      <c r="AC20">
        <v>11611</v>
      </c>
      <c r="AD20">
        <v>11612</v>
      </c>
      <c r="AE20">
        <v>123</v>
      </c>
      <c r="AF20">
        <v>1</v>
      </c>
    </row>
    <row r="21" spans="1:32" x14ac:dyDescent="0.25">
      <c r="A21">
        <v>1</v>
      </c>
      <c r="B21">
        <v>31</v>
      </c>
      <c r="C21">
        <v>100186</v>
      </c>
      <c r="D21" t="s">
        <v>237</v>
      </c>
      <c r="E21" t="s">
        <v>263</v>
      </c>
      <c r="F21">
        <v>1</v>
      </c>
      <c r="G21" t="s">
        <v>506</v>
      </c>
      <c r="H21" t="s">
        <v>946</v>
      </c>
      <c r="I21" t="s">
        <v>947</v>
      </c>
      <c r="J21" t="s">
        <v>752</v>
      </c>
      <c r="K21" t="s">
        <v>264</v>
      </c>
      <c r="L21">
        <v>131767.85714285713</v>
      </c>
      <c r="M21">
        <v>131768</v>
      </c>
      <c r="N21">
        <v>140179</v>
      </c>
      <c r="O21">
        <v>140179</v>
      </c>
      <c r="P21">
        <v>151393</v>
      </c>
      <c r="Q21">
        <v>151393</v>
      </c>
      <c r="R21" s="133">
        <v>45553</v>
      </c>
      <c r="S21">
        <v>45839</v>
      </c>
      <c r="T21" t="s">
        <v>225</v>
      </c>
      <c r="U21" t="s">
        <v>129</v>
      </c>
      <c r="V21" t="s">
        <v>142</v>
      </c>
      <c r="W21">
        <v>11006</v>
      </c>
      <c r="X21" t="s">
        <v>505</v>
      </c>
      <c r="Y21" t="s">
        <v>653</v>
      </c>
      <c r="Z21" t="s">
        <v>654</v>
      </c>
      <c r="AA21" t="s">
        <v>143</v>
      </c>
      <c r="AB21" t="s">
        <v>144</v>
      </c>
      <c r="AC21">
        <v>11611</v>
      </c>
      <c r="AD21">
        <v>11612</v>
      </c>
      <c r="AE21">
        <v>123</v>
      </c>
      <c r="AF21">
        <v>1</v>
      </c>
    </row>
    <row r="22" spans="1:32" x14ac:dyDescent="0.25">
      <c r="A22">
        <v>1</v>
      </c>
      <c r="B22">
        <v>33</v>
      </c>
      <c r="C22">
        <v>100181</v>
      </c>
      <c r="D22" t="s">
        <v>237</v>
      </c>
      <c r="E22" t="s">
        <v>265</v>
      </c>
      <c r="F22">
        <v>1</v>
      </c>
      <c r="G22" t="s">
        <v>506</v>
      </c>
      <c r="H22" t="s">
        <v>946</v>
      </c>
      <c r="I22" t="s">
        <v>947</v>
      </c>
      <c r="J22" t="s">
        <v>677</v>
      </c>
      <c r="K22" t="s">
        <v>821</v>
      </c>
      <c r="L22">
        <v>478163.5992</v>
      </c>
      <c r="M22">
        <v>478164</v>
      </c>
      <c r="N22">
        <v>508685</v>
      </c>
      <c r="O22">
        <v>508685</v>
      </c>
      <c r="P22">
        <v>549379</v>
      </c>
      <c r="Q22">
        <v>549379</v>
      </c>
      <c r="R22" s="133">
        <v>45553</v>
      </c>
      <c r="S22">
        <v>45553</v>
      </c>
      <c r="T22" t="s">
        <v>225</v>
      </c>
      <c r="U22" t="s">
        <v>129</v>
      </c>
      <c r="V22" t="s">
        <v>142</v>
      </c>
      <c r="W22">
        <v>11025</v>
      </c>
      <c r="X22" t="s">
        <v>507</v>
      </c>
      <c r="Y22" t="s">
        <v>653</v>
      </c>
      <c r="Z22" t="s">
        <v>654</v>
      </c>
      <c r="AA22" t="s">
        <v>143</v>
      </c>
      <c r="AB22" t="s">
        <v>144</v>
      </c>
      <c r="AC22">
        <v>11611</v>
      </c>
      <c r="AD22">
        <v>11612</v>
      </c>
      <c r="AE22">
        <v>123</v>
      </c>
      <c r="AF22">
        <v>1</v>
      </c>
    </row>
    <row r="23" spans="1:32" x14ac:dyDescent="0.25">
      <c r="A23">
        <v>1</v>
      </c>
      <c r="B23">
        <v>35</v>
      </c>
      <c r="C23">
        <v>100156</v>
      </c>
      <c r="D23" t="s">
        <v>237</v>
      </c>
      <c r="E23" t="s">
        <v>266</v>
      </c>
      <c r="F23">
        <v>12</v>
      </c>
      <c r="G23" t="s">
        <v>479</v>
      </c>
      <c r="H23" t="s">
        <v>946</v>
      </c>
      <c r="I23" t="s">
        <v>947</v>
      </c>
      <c r="J23" t="s">
        <v>659</v>
      </c>
      <c r="K23" t="s">
        <v>822</v>
      </c>
      <c r="L23">
        <v>12770.454600000001</v>
      </c>
      <c r="M23">
        <v>153245</v>
      </c>
      <c r="N23">
        <v>13586</v>
      </c>
      <c r="O23">
        <v>163027</v>
      </c>
      <c r="P23">
        <v>14672</v>
      </c>
      <c r="Q23">
        <v>176069</v>
      </c>
      <c r="R23" s="133">
        <v>45553</v>
      </c>
      <c r="S23">
        <v>45553</v>
      </c>
      <c r="T23" t="s">
        <v>225</v>
      </c>
      <c r="U23" t="s">
        <v>129</v>
      </c>
      <c r="V23" t="s">
        <v>142</v>
      </c>
      <c r="W23">
        <v>20520</v>
      </c>
      <c r="X23" t="s">
        <v>509</v>
      </c>
      <c r="Y23" t="s">
        <v>653</v>
      </c>
      <c r="Z23" t="s">
        <v>654</v>
      </c>
      <c r="AA23" t="s">
        <v>143</v>
      </c>
      <c r="AB23" t="s">
        <v>144</v>
      </c>
      <c r="AC23">
        <v>11611</v>
      </c>
      <c r="AD23">
        <v>11612</v>
      </c>
      <c r="AE23">
        <v>123</v>
      </c>
      <c r="AF23">
        <v>1</v>
      </c>
    </row>
    <row r="24" spans="1:32" x14ac:dyDescent="0.25">
      <c r="A24">
        <v>1</v>
      </c>
      <c r="B24">
        <v>36</v>
      </c>
      <c r="C24">
        <v>100191</v>
      </c>
      <c r="D24" t="s">
        <v>237</v>
      </c>
      <c r="E24" t="s">
        <v>267</v>
      </c>
      <c r="F24">
        <v>12</v>
      </c>
      <c r="G24" t="s">
        <v>486</v>
      </c>
      <c r="H24" t="s">
        <v>946</v>
      </c>
      <c r="I24" t="s">
        <v>947</v>
      </c>
      <c r="J24" t="s">
        <v>658</v>
      </c>
      <c r="K24" t="s">
        <v>823</v>
      </c>
      <c r="L24">
        <v>17445.046400000003</v>
      </c>
      <c r="M24">
        <v>209341</v>
      </c>
      <c r="N24">
        <v>18559</v>
      </c>
      <c r="O24">
        <v>222703</v>
      </c>
      <c r="P24">
        <v>20043</v>
      </c>
      <c r="Q24">
        <v>240516</v>
      </c>
      <c r="R24" s="133">
        <v>45553</v>
      </c>
      <c r="S24">
        <v>45553</v>
      </c>
      <c r="T24" t="s">
        <v>225</v>
      </c>
      <c r="U24" t="s">
        <v>129</v>
      </c>
      <c r="V24" t="s">
        <v>142</v>
      </c>
      <c r="W24">
        <v>20620</v>
      </c>
      <c r="X24" t="s">
        <v>498</v>
      </c>
      <c r="Y24" t="s">
        <v>653</v>
      </c>
      <c r="Z24" t="s">
        <v>654</v>
      </c>
      <c r="AA24" t="s">
        <v>143</v>
      </c>
      <c r="AB24" t="s">
        <v>144</v>
      </c>
      <c r="AC24">
        <v>11611</v>
      </c>
      <c r="AD24">
        <v>11612</v>
      </c>
      <c r="AE24">
        <v>123</v>
      </c>
      <c r="AF24">
        <v>1</v>
      </c>
    </row>
    <row r="25" spans="1:32" x14ac:dyDescent="0.25">
      <c r="A25">
        <v>1</v>
      </c>
      <c r="B25">
        <v>37</v>
      </c>
      <c r="C25">
        <v>100180</v>
      </c>
      <c r="D25" t="s">
        <v>237</v>
      </c>
      <c r="E25" t="s">
        <v>268</v>
      </c>
      <c r="F25">
        <v>12</v>
      </c>
      <c r="G25" t="s">
        <v>479</v>
      </c>
      <c r="H25" t="s">
        <v>946</v>
      </c>
      <c r="I25" t="s">
        <v>947</v>
      </c>
      <c r="J25" t="s">
        <v>660</v>
      </c>
      <c r="K25" t="s">
        <v>824</v>
      </c>
      <c r="L25">
        <v>13651.168800000001</v>
      </c>
      <c r="M25">
        <v>163814</v>
      </c>
      <c r="N25">
        <v>14523</v>
      </c>
      <c r="O25">
        <v>174270</v>
      </c>
      <c r="P25">
        <v>15684</v>
      </c>
      <c r="Q25">
        <v>188212</v>
      </c>
      <c r="R25" s="133">
        <v>45553</v>
      </c>
      <c r="S25">
        <v>45553</v>
      </c>
      <c r="T25" t="s">
        <v>225</v>
      </c>
      <c r="U25" t="s">
        <v>129</v>
      </c>
      <c r="V25" t="s">
        <v>142</v>
      </c>
      <c r="W25">
        <v>20520</v>
      </c>
      <c r="X25" t="s">
        <v>509</v>
      </c>
      <c r="Y25" t="s">
        <v>653</v>
      </c>
      <c r="Z25" t="s">
        <v>654</v>
      </c>
      <c r="AA25" t="s">
        <v>143</v>
      </c>
      <c r="AB25" t="s">
        <v>144</v>
      </c>
      <c r="AC25">
        <v>11611</v>
      </c>
      <c r="AD25">
        <v>11612</v>
      </c>
      <c r="AE25">
        <v>123</v>
      </c>
      <c r="AF25">
        <v>1</v>
      </c>
    </row>
    <row r="26" spans="1:32" x14ac:dyDescent="0.25">
      <c r="A26">
        <v>1</v>
      </c>
      <c r="B26">
        <v>38</v>
      </c>
      <c r="C26">
        <v>100141</v>
      </c>
      <c r="D26" t="s">
        <v>237</v>
      </c>
      <c r="E26" t="s">
        <v>269</v>
      </c>
      <c r="F26">
        <v>48</v>
      </c>
      <c r="G26" t="s">
        <v>486</v>
      </c>
      <c r="H26" t="s">
        <v>946</v>
      </c>
      <c r="I26" t="s">
        <v>947</v>
      </c>
      <c r="J26" t="s">
        <v>802</v>
      </c>
      <c r="K26" t="s">
        <v>825</v>
      </c>
      <c r="L26">
        <v>7282.8850000000002</v>
      </c>
      <c r="M26">
        <v>349578</v>
      </c>
      <c r="N26">
        <v>7748</v>
      </c>
      <c r="O26">
        <v>371892</v>
      </c>
      <c r="P26">
        <v>8368</v>
      </c>
      <c r="Q26">
        <v>401643</v>
      </c>
      <c r="R26" s="133">
        <v>45553</v>
      </c>
      <c r="S26">
        <v>45553</v>
      </c>
      <c r="T26" t="s">
        <v>225</v>
      </c>
      <c r="U26" t="s">
        <v>129</v>
      </c>
      <c r="V26" t="s">
        <v>142</v>
      </c>
      <c r="W26">
        <v>20135</v>
      </c>
      <c r="X26" t="s">
        <v>484</v>
      </c>
      <c r="Y26" t="s">
        <v>653</v>
      </c>
      <c r="Z26" t="s">
        <v>654</v>
      </c>
      <c r="AA26" t="s">
        <v>143</v>
      </c>
      <c r="AB26" t="s">
        <v>144</v>
      </c>
      <c r="AC26">
        <v>11611</v>
      </c>
      <c r="AD26">
        <v>11612</v>
      </c>
      <c r="AE26">
        <v>123</v>
      </c>
      <c r="AF26">
        <v>1</v>
      </c>
    </row>
    <row r="27" spans="1:32" x14ac:dyDescent="0.25">
      <c r="A27">
        <v>1</v>
      </c>
      <c r="B27">
        <v>39</v>
      </c>
      <c r="C27">
        <v>100151</v>
      </c>
      <c r="D27" t="s">
        <v>237</v>
      </c>
      <c r="E27" t="s">
        <v>270</v>
      </c>
      <c r="F27">
        <v>12</v>
      </c>
      <c r="G27" t="s">
        <v>479</v>
      </c>
      <c r="H27" t="s">
        <v>946</v>
      </c>
      <c r="I27" t="s">
        <v>947</v>
      </c>
      <c r="J27" t="s">
        <v>661</v>
      </c>
      <c r="K27" t="s">
        <v>826</v>
      </c>
      <c r="L27">
        <v>18800</v>
      </c>
      <c r="M27">
        <v>225600</v>
      </c>
      <c r="N27">
        <v>20000</v>
      </c>
      <c r="O27">
        <v>240000</v>
      </c>
      <c r="P27">
        <v>21600</v>
      </c>
      <c r="Q27">
        <v>259200</v>
      </c>
      <c r="R27" s="133">
        <v>45553</v>
      </c>
      <c r="S27">
        <v>45553</v>
      </c>
      <c r="T27" t="s">
        <v>225</v>
      </c>
      <c r="U27" t="s">
        <v>129</v>
      </c>
      <c r="V27" t="s">
        <v>142</v>
      </c>
      <c r="W27">
        <v>10650</v>
      </c>
      <c r="X27" t="s">
        <v>513</v>
      </c>
      <c r="Y27" t="s">
        <v>653</v>
      </c>
      <c r="Z27" t="s">
        <v>654</v>
      </c>
      <c r="AA27" t="s">
        <v>143</v>
      </c>
      <c r="AB27" t="s">
        <v>144</v>
      </c>
      <c r="AC27">
        <v>11611</v>
      </c>
      <c r="AD27">
        <v>11612</v>
      </c>
      <c r="AE27">
        <v>123</v>
      </c>
      <c r="AF27">
        <v>1</v>
      </c>
    </row>
    <row r="28" spans="1:32" x14ac:dyDescent="0.25">
      <c r="A28">
        <v>1</v>
      </c>
      <c r="B28">
        <v>40</v>
      </c>
      <c r="C28">
        <v>100173</v>
      </c>
      <c r="D28" t="s">
        <v>237</v>
      </c>
      <c r="E28" t="s">
        <v>272</v>
      </c>
      <c r="F28">
        <v>48</v>
      </c>
      <c r="G28" t="s">
        <v>486</v>
      </c>
      <c r="H28" t="s">
        <v>946</v>
      </c>
      <c r="I28" t="s">
        <v>947</v>
      </c>
      <c r="J28" t="s">
        <v>803</v>
      </c>
      <c r="K28" t="s">
        <v>828</v>
      </c>
      <c r="L28">
        <v>7282.8850000000002</v>
      </c>
      <c r="M28">
        <v>349578</v>
      </c>
      <c r="N28">
        <v>7748</v>
      </c>
      <c r="O28">
        <v>371892</v>
      </c>
      <c r="P28">
        <v>8368</v>
      </c>
      <c r="Q28">
        <v>401643</v>
      </c>
      <c r="R28" s="133">
        <v>45553</v>
      </c>
      <c r="S28">
        <v>45553</v>
      </c>
      <c r="T28" t="s">
        <v>225</v>
      </c>
      <c r="U28" t="s">
        <v>129</v>
      </c>
      <c r="V28" t="s">
        <v>142</v>
      </c>
      <c r="W28">
        <v>10150</v>
      </c>
      <c r="X28" t="s">
        <v>517</v>
      </c>
      <c r="Y28" t="s">
        <v>653</v>
      </c>
      <c r="Z28" t="s">
        <v>654</v>
      </c>
      <c r="AA28" t="s">
        <v>143</v>
      </c>
      <c r="AB28" t="s">
        <v>144</v>
      </c>
      <c r="AC28">
        <v>11611</v>
      </c>
      <c r="AD28">
        <v>11612</v>
      </c>
      <c r="AE28">
        <v>123</v>
      </c>
      <c r="AF28">
        <v>1</v>
      </c>
    </row>
    <row r="29" spans="1:32" x14ac:dyDescent="0.25">
      <c r="A29">
        <v>1</v>
      </c>
      <c r="B29">
        <v>41</v>
      </c>
      <c r="C29">
        <v>100174</v>
      </c>
      <c r="D29" t="s">
        <v>237</v>
      </c>
      <c r="E29" t="s">
        <v>271</v>
      </c>
      <c r="F29">
        <v>12</v>
      </c>
      <c r="G29" t="s">
        <v>479</v>
      </c>
      <c r="H29" t="s">
        <v>946</v>
      </c>
      <c r="I29" t="s">
        <v>947</v>
      </c>
      <c r="J29" t="s">
        <v>662</v>
      </c>
      <c r="K29" t="s">
        <v>827</v>
      </c>
      <c r="L29">
        <v>18800</v>
      </c>
      <c r="M29">
        <v>225600</v>
      </c>
      <c r="N29">
        <v>20000</v>
      </c>
      <c r="O29">
        <v>240000</v>
      </c>
      <c r="P29">
        <v>21600</v>
      </c>
      <c r="Q29">
        <v>259200</v>
      </c>
      <c r="R29" s="133">
        <v>45553</v>
      </c>
      <c r="S29">
        <v>45553</v>
      </c>
      <c r="T29" t="s">
        <v>225</v>
      </c>
      <c r="U29" t="s">
        <v>129</v>
      </c>
      <c r="V29" t="s">
        <v>142</v>
      </c>
      <c r="W29">
        <v>10650</v>
      </c>
      <c r="X29" t="s">
        <v>513</v>
      </c>
      <c r="Y29" t="s">
        <v>653</v>
      </c>
      <c r="Z29" t="s">
        <v>654</v>
      </c>
      <c r="AA29" t="s">
        <v>143</v>
      </c>
      <c r="AB29" t="s">
        <v>144</v>
      </c>
      <c r="AC29">
        <v>11611</v>
      </c>
      <c r="AD29">
        <v>11612</v>
      </c>
      <c r="AE29">
        <v>123</v>
      </c>
      <c r="AF29">
        <v>1</v>
      </c>
    </row>
    <row r="30" spans="1:32" x14ac:dyDescent="0.25">
      <c r="A30">
        <v>1</v>
      </c>
      <c r="B30">
        <v>42</v>
      </c>
      <c r="C30">
        <v>100192</v>
      </c>
      <c r="D30" t="s">
        <v>237</v>
      </c>
      <c r="E30" t="s">
        <v>273</v>
      </c>
      <c r="F30">
        <v>48</v>
      </c>
      <c r="G30" t="s">
        <v>486</v>
      </c>
      <c r="H30" t="s">
        <v>946</v>
      </c>
      <c r="I30" t="s">
        <v>947</v>
      </c>
      <c r="J30" t="s">
        <v>663</v>
      </c>
      <c r="K30" t="s">
        <v>829</v>
      </c>
      <c r="L30">
        <v>8807.2078000000001</v>
      </c>
      <c r="M30">
        <v>422746</v>
      </c>
      <c r="N30">
        <v>9369</v>
      </c>
      <c r="O30">
        <v>449730</v>
      </c>
      <c r="P30">
        <v>10119</v>
      </c>
      <c r="Q30">
        <v>485708</v>
      </c>
      <c r="R30" s="133">
        <v>45553</v>
      </c>
      <c r="S30">
        <v>45553</v>
      </c>
      <c r="T30" t="s">
        <v>225</v>
      </c>
      <c r="U30" t="s">
        <v>129</v>
      </c>
      <c r="V30" t="s">
        <v>142</v>
      </c>
      <c r="W30">
        <v>20135</v>
      </c>
      <c r="X30" t="s">
        <v>484</v>
      </c>
      <c r="Y30" t="s">
        <v>653</v>
      </c>
      <c r="Z30" t="s">
        <v>654</v>
      </c>
      <c r="AA30" t="s">
        <v>143</v>
      </c>
      <c r="AB30" t="s">
        <v>144</v>
      </c>
      <c r="AC30">
        <v>11611</v>
      </c>
      <c r="AD30">
        <v>11612</v>
      </c>
      <c r="AE30">
        <v>123</v>
      </c>
      <c r="AF30">
        <v>1</v>
      </c>
    </row>
    <row r="31" spans="1:32" x14ac:dyDescent="0.25">
      <c r="A31">
        <v>1</v>
      </c>
      <c r="B31">
        <v>44</v>
      </c>
      <c r="C31">
        <v>100193</v>
      </c>
      <c r="D31" t="s">
        <v>237</v>
      </c>
      <c r="E31" t="s">
        <v>275</v>
      </c>
      <c r="F31">
        <v>24</v>
      </c>
      <c r="G31" t="s">
        <v>486</v>
      </c>
      <c r="H31" t="s">
        <v>946</v>
      </c>
      <c r="I31" t="s">
        <v>947</v>
      </c>
      <c r="J31" t="s">
        <v>665</v>
      </c>
      <c r="K31" t="s">
        <v>830</v>
      </c>
      <c r="L31">
        <v>15649.731000000002</v>
      </c>
      <c r="M31">
        <v>375594</v>
      </c>
      <c r="N31">
        <v>16649</v>
      </c>
      <c r="O31">
        <v>399568</v>
      </c>
      <c r="P31">
        <v>17981</v>
      </c>
      <c r="Q31">
        <v>431533</v>
      </c>
      <c r="R31" s="133">
        <v>45553</v>
      </c>
      <c r="S31">
        <v>45553</v>
      </c>
      <c r="T31" t="s">
        <v>225</v>
      </c>
      <c r="U31" t="s">
        <v>129</v>
      </c>
      <c r="V31" t="s">
        <v>142</v>
      </c>
      <c r="W31">
        <v>20275</v>
      </c>
      <c r="X31" t="s">
        <v>490</v>
      </c>
      <c r="Y31" t="s">
        <v>653</v>
      </c>
      <c r="Z31" t="s">
        <v>654</v>
      </c>
      <c r="AA31" t="s">
        <v>143</v>
      </c>
      <c r="AB31" t="s">
        <v>144</v>
      </c>
      <c r="AC31">
        <v>11611</v>
      </c>
      <c r="AD31">
        <v>11612</v>
      </c>
      <c r="AE31">
        <v>123</v>
      </c>
      <c r="AF31">
        <v>1</v>
      </c>
    </row>
    <row r="32" spans="1:32" x14ac:dyDescent="0.25">
      <c r="A32">
        <v>1</v>
      </c>
      <c r="B32">
        <v>47</v>
      </c>
      <c r="C32">
        <v>100204</v>
      </c>
      <c r="D32" t="s">
        <v>237</v>
      </c>
      <c r="E32" t="s">
        <v>277</v>
      </c>
      <c r="F32">
        <v>48</v>
      </c>
      <c r="G32" t="s">
        <v>479</v>
      </c>
      <c r="H32" t="s">
        <v>946</v>
      </c>
      <c r="I32" t="s">
        <v>947</v>
      </c>
      <c r="J32" t="s">
        <v>666</v>
      </c>
      <c r="K32" t="s">
        <v>831</v>
      </c>
      <c r="L32">
        <v>1980.0160000000001</v>
      </c>
      <c r="M32">
        <v>95041</v>
      </c>
      <c r="N32">
        <v>2106</v>
      </c>
      <c r="O32">
        <v>101107</v>
      </c>
      <c r="P32">
        <v>2275</v>
      </c>
      <c r="Q32">
        <v>109196</v>
      </c>
      <c r="R32" s="133">
        <v>45553</v>
      </c>
      <c r="S32">
        <v>45945</v>
      </c>
      <c r="T32" t="s">
        <v>225</v>
      </c>
      <c r="U32" t="s">
        <v>129</v>
      </c>
      <c r="V32" t="s">
        <v>142</v>
      </c>
      <c r="W32">
        <v>10075</v>
      </c>
      <c r="X32" t="s">
        <v>520</v>
      </c>
      <c r="Y32" t="s">
        <v>653</v>
      </c>
      <c r="Z32" t="s">
        <v>654</v>
      </c>
      <c r="AA32" t="s">
        <v>143</v>
      </c>
      <c r="AB32" t="s">
        <v>144</v>
      </c>
      <c r="AC32">
        <v>11611</v>
      </c>
      <c r="AD32">
        <v>11612</v>
      </c>
      <c r="AE32">
        <v>123</v>
      </c>
      <c r="AF32">
        <v>1</v>
      </c>
    </row>
    <row r="33" spans="1:32" x14ac:dyDescent="0.25">
      <c r="A33">
        <v>1</v>
      </c>
      <c r="B33">
        <v>48</v>
      </c>
      <c r="C33">
        <v>100194</v>
      </c>
      <c r="D33" t="s">
        <v>237</v>
      </c>
      <c r="E33" t="s">
        <v>278</v>
      </c>
      <c r="F33">
        <v>48</v>
      </c>
      <c r="G33" t="s">
        <v>486</v>
      </c>
      <c r="H33" t="s">
        <v>946</v>
      </c>
      <c r="I33" t="s">
        <v>947</v>
      </c>
      <c r="J33" t="s">
        <v>664</v>
      </c>
      <c r="K33" t="s">
        <v>832</v>
      </c>
      <c r="L33">
        <v>8807.2078000000001</v>
      </c>
      <c r="M33">
        <v>422746</v>
      </c>
      <c r="N33">
        <v>9369</v>
      </c>
      <c r="O33">
        <v>449730</v>
      </c>
      <c r="P33">
        <v>10119</v>
      </c>
      <c r="Q33">
        <v>485708</v>
      </c>
      <c r="R33" s="133">
        <v>45553</v>
      </c>
      <c r="S33">
        <v>45553</v>
      </c>
      <c r="T33" t="s">
        <v>225</v>
      </c>
      <c r="U33" t="s">
        <v>129</v>
      </c>
      <c r="V33" t="s">
        <v>142</v>
      </c>
      <c r="W33">
        <v>20135</v>
      </c>
      <c r="X33" t="s">
        <v>484</v>
      </c>
      <c r="Y33" t="s">
        <v>653</v>
      </c>
      <c r="Z33" t="s">
        <v>654</v>
      </c>
      <c r="AA33" t="s">
        <v>143</v>
      </c>
      <c r="AB33" t="s">
        <v>144</v>
      </c>
      <c r="AC33">
        <v>11611</v>
      </c>
      <c r="AD33">
        <v>11612</v>
      </c>
      <c r="AE33">
        <v>123</v>
      </c>
      <c r="AF33">
        <v>1</v>
      </c>
    </row>
    <row r="34" spans="1:32" x14ac:dyDescent="0.25">
      <c r="A34">
        <v>1</v>
      </c>
      <c r="B34">
        <v>50</v>
      </c>
      <c r="C34">
        <v>100168</v>
      </c>
      <c r="D34" t="s">
        <v>280</v>
      </c>
      <c r="E34" t="s">
        <v>281</v>
      </c>
      <c r="F34">
        <v>24</v>
      </c>
      <c r="G34" t="s">
        <v>524</v>
      </c>
      <c r="H34" t="s">
        <v>946</v>
      </c>
      <c r="I34" t="s">
        <v>947</v>
      </c>
      <c r="J34" t="s">
        <v>753</v>
      </c>
      <c r="K34" t="s">
        <v>1086</v>
      </c>
      <c r="L34">
        <v>4234.2299999999996</v>
      </c>
      <c r="M34">
        <v>101622</v>
      </c>
      <c r="N34">
        <v>4504</v>
      </c>
      <c r="O34">
        <v>108108</v>
      </c>
      <c r="P34">
        <v>4730</v>
      </c>
      <c r="Q34">
        <v>113514</v>
      </c>
      <c r="R34" s="133">
        <v>45553</v>
      </c>
      <c r="S34">
        <v>45553</v>
      </c>
      <c r="T34" t="s">
        <v>225</v>
      </c>
      <c r="U34" t="s">
        <v>129</v>
      </c>
      <c r="V34" t="s">
        <v>142</v>
      </c>
      <c r="W34">
        <v>10015</v>
      </c>
      <c r="X34" t="s">
        <v>1081</v>
      </c>
      <c r="Y34" t="s">
        <v>653</v>
      </c>
      <c r="Z34" t="s">
        <v>654</v>
      </c>
      <c r="AA34" t="s">
        <v>143</v>
      </c>
      <c r="AB34" t="s">
        <v>144</v>
      </c>
      <c r="AC34">
        <v>11611</v>
      </c>
      <c r="AD34">
        <v>11612</v>
      </c>
      <c r="AE34">
        <v>123</v>
      </c>
      <c r="AF34">
        <v>1</v>
      </c>
    </row>
    <row r="35" spans="1:32" x14ac:dyDescent="0.25">
      <c r="A35">
        <v>1</v>
      </c>
      <c r="B35">
        <v>54</v>
      </c>
      <c r="C35">
        <v>100987</v>
      </c>
      <c r="D35" t="s">
        <v>280</v>
      </c>
      <c r="E35" t="s">
        <v>283</v>
      </c>
      <c r="F35">
        <v>24</v>
      </c>
      <c r="G35" t="s">
        <v>524</v>
      </c>
      <c r="H35" t="s">
        <v>946</v>
      </c>
      <c r="I35" t="s">
        <v>947</v>
      </c>
      <c r="J35" t="s">
        <v>754</v>
      </c>
      <c r="K35" t="s">
        <v>833</v>
      </c>
      <c r="L35">
        <v>3528.5720000000001</v>
      </c>
      <c r="M35">
        <v>84686</v>
      </c>
      <c r="N35">
        <v>3754</v>
      </c>
      <c r="O35">
        <v>90091</v>
      </c>
      <c r="P35">
        <v>3941</v>
      </c>
      <c r="Q35">
        <v>94596</v>
      </c>
      <c r="R35" s="133">
        <v>45553</v>
      </c>
      <c r="S35">
        <v>45553</v>
      </c>
      <c r="T35" t="s">
        <v>225</v>
      </c>
      <c r="U35" t="s">
        <v>129</v>
      </c>
      <c r="V35" t="s">
        <v>142</v>
      </c>
      <c r="W35">
        <v>10015</v>
      </c>
      <c r="X35" t="s">
        <v>522</v>
      </c>
      <c r="Y35" t="s">
        <v>653</v>
      </c>
      <c r="Z35" t="s">
        <v>654</v>
      </c>
      <c r="AA35" t="s">
        <v>143</v>
      </c>
      <c r="AB35" t="s">
        <v>144</v>
      </c>
      <c r="AC35">
        <v>11611</v>
      </c>
      <c r="AD35">
        <v>11612</v>
      </c>
      <c r="AE35">
        <v>123</v>
      </c>
      <c r="AF35">
        <v>1</v>
      </c>
    </row>
    <row r="36" spans="1:32" x14ac:dyDescent="0.25">
      <c r="A36">
        <v>1</v>
      </c>
      <c r="B36">
        <v>55</v>
      </c>
      <c r="C36">
        <v>100195</v>
      </c>
      <c r="D36" t="s">
        <v>280</v>
      </c>
      <c r="E36" t="s">
        <v>284</v>
      </c>
      <c r="F36">
        <v>12</v>
      </c>
      <c r="G36" t="s">
        <v>524</v>
      </c>
      <c r="H36" t="s">
        <v>946</v>
      </c>
      <c r="I36" t="s">
        <v>947</v>
      </c>
      <c r="J36" t="s">
        <v>755</v>
      </c>
      <c r="K36" t="s">
        <v>834</v>
      </c>
      <c r="L36">
        <v>8510.8069999999989</v>
      </c>
      <c r="M36">
        <v>102130</v>
      </c>
      <c r="N36">
        <v>9054</v>
      </c>
      <c r="O36">
        <v>108649</v>
      </c>
      <c r="P36">
        <v>9507</v>
      </c>
      <c r="Q36">
        <v>114081</v>
      </c>
      <c r="R36" s="133">
        <v>45553</v>
      </c>
      <c r="S36">
        <v>45553</v>
      </c>
      <c r="T36" t="s">
        <v>225</v>
      </c>
      <c r="U36" t="s">
        <v>129</v>
      </c>
      <c r="V36" t="s">
        <v>142</v>
      </c>
      <c r="W36">
        <v>10025</v>
      </c>
      <c r="X36" t="s">
        <v>527</v>
      </c>
      <c r="Y36" t="s">
        <v>653</v>
      </c>
      <c r="Z36" t="s">
        <v>654</v>
      </c>
      <c r="AA36" t="s">
        <v>143</v>
      </c>
      <c r="AB36" t="s">
        <v>144</v>
      </c>
      <c r="AC36">
        <v>11611</v>
      </c>
      <c r="AD36">
        <v>11612</v>
      </c>
      <c r="AE36">
        <v>123</v>
      </c>
      <c r="AF36">
        <v>1</v>
      </c>
    </row>
    <row r="37" spans="1:32" x14ac:dyDescent="0.25">
      <c r="A37">
        <v>1</v>
      </c>
      <c r="B37">
        <v>56</v>
      </c>
      <c r="C37">
        <v>100975</v>
      </c>
      <c r="D37" t="s">
        <v>280</v>
      </c>
      <c r="E37" t="s">
        <v>285</v>
      </c>
      <c r="F37">
        <v>12</v>
      </c>
      <c r="G37" t="s">
        <v>524</v>
      </c>
      <c r="H37" t="s">
        <v>946</v>
      </c>
      <c r="I37" t="s">
        <v>947</v>
      </c>
      <c r="J37" t="s">
        <v>756</v>
      </c>
      <c r="K37" t="s">
        <v>835</v>
      </c>
      <c r="L37">
        <v>6383.07</v>
      </c>
      <c r="M37">
        <v>76597</v>
      </c>
      <c r="N37">
        <v>6790</v>
      </c>
      <c r="O37">
        <v>81486</v>
      </c>
      <c r="P37">
        <v>7130</v>
      </c>
      <c r="Q37">
        <v>85560</v>
      </c>
      <c r="R37" s="133">
        <v>45553</v>
      </c>
      <c r="S37">
        <v>45553</v>
      </c>
      <c r="T37" t="s">
        <v>225</v>
      </c>
      <c r="U37" t="s">
        <v>129</v>
      </c>
      <c r="V37" t="s">
        <v>142</v>
      </c>
      <c r="W37">
        <v>10027</v>
      </c>
      <c r="X37" t="s">
        <v>528</v>
      </c>
      <c r="Y37" t="s">
        <v>653</v>
      </c>
      <c r="Z37" t="s">
        <v>654</v>
      </c>
      <c r="AA37" t="s">
        <v>143</v>
      </c>
      <c r="AB37" t="s">
        <v>144</v>
      </c>
      <c r="AC37">
        <v>11611</v>
      </c>
      <c r="AD37">
        <v>11612</v>
      </c>
      <c r="AE37">
        <v>123</v>
      </c>
      <c r="AF37">
        <v>1</v>
      </c>
    </row>
    <row r="38" spans="1:32" x14ac:dyDescent="0.25">
      <c r="A38">
        <v>1</v>
      </c>
      <c r="B38">
        <v>57</v>
      </c>
      <c r="C38">
        <v>110016</v>
      </c>
      <c r="D38" t="s">
        <v>237</v>
      </c>
      <c r="E38" t="s">
        <v>286</v>
      </c>
      <c r="F38">
        <v>48</v>
      </c>
      <c r="G38" t="s">
        <v>486</v>
      </c>
      <c r="H38" t="s">
        <v>948</v>
      </c>
      <c r="I38" t="s">
        <v>949</v>
      </c>
      <c r="J38" t="s">
        <v>757</v>
      </c>
      <c r="K38" t="s">
        <v>836</v>
      </c>
      <c r="L38">
        <v>4291.4810810810804</v>
      </c>
      <c r="M38">
        <v>205991</v>
      </c>
      <c r="N38">
        <v>4565</v>
      </c>
      <c r="O38">
        <v>219139</v>
      </c>
      <c r="P38">
        <v>4931</v>
      </c>
      <c r="Q38">
        <v>236671</v>
      </c>
      <c r="R38" s="133">
        <v>45553</v>
      </c>
      <c r="S38">
        <v>45839</v>
      </c>
      <c r="T38" t="s">
        <v>225</v>
      </c>
      <c r="U38" t="s">
        <v>129</v>
      </c>
      <c r="V38" t="s">
        <v>142</v>
      </c>
      <c r="W38">
        <v>20131</v>
      </c>
      <c r="X38" t="s">
        <v>531</v>
      </c>
      <c r="Y38" t="s">
        <v>653</v>
      </c>
      <c r="Z38" t="s">
        <v>654</v>
      </c>
      <c r="AA38" t="s">
        <v>143</v>
      </c>
      <c r="AB38" t="s">
        <v>144</v>
      </c>
      <c r="AC38">
        <v>11611</v>
      </c>
      <c r="AD38">
        <v>11612</v>
      </c>
      <c r="AE38">
        <v>123</v>
      </c>
      <c r="AF38">
        <v>1</v>
      </c>
    </row>
    <row r="39" spans="1:32" x14ac:dyDescent="0.25">
      <c r="A39">
        <v>1</v>
      </c>
      <c r="B39">
        <v>61</v>
      </c>
      <c r="C39">
        <v>110013</v>
      </c>
      <c r="D39" t="s">
        <v>237</v>
      </c>
      <c r="E39" t="s">
        <v>289</v>
      </c>
      <c r="F39">
        <v>12</v>
      </c>
      <c r="G39" t="s">
        <v>486</v>
      </c>
      <c r="H39" t="s">
        <v>948</v>
      </c>
      <c r="I39" t="s">
        <v>949</v>
      </c>
      <c r="J39" t="s">
        <v>682</v>
      </c>
      <c r="K39" t="s">
        <v>837</v>
      </c>
      <c r="L39">
        <v>13685.046399999999</v>
      </c>
      <c r="M39">
        <v>164221</v>
      </c>
      <c r="N39">
        <v>14559</v>
      </c>
      <c r="O39">
        <v>174703</v>
      </c>
      <c r="P39">
        <v>15723</v>
      </c>
      <c r="Q39">
        <v>188679</v>
      </c>
      <c r="R39" s="133">
        <v>45553</v>
      </c>
      <c r="S39">
        <v>45553</v>
      </c>
      <c r="T39" t="s">
        <v>225</v>
      </c>
      <c r="U39" t="s">
        <v>129</v>
      </c>
      <c r="V39" t="s">
        <v>142</v>
      </c>
      <c r="W39">
        <v>20620</v>
      </c>
      <c r="X39" t="s">
        <v>498</v>
      </c>
      <c r="Y39" t="s">
        <v>653</v>
      </c>
      <c r="Z39" t="s">
        <v>654</v>
      </c>
      <c r="AA39" t="s">
        <v>143</v>
      </c>
      <c r="AB39" t="s">
        <v>144</v>
      </c>
      <c r="AC39">
        <v>11611</v>
      </c>
      <c r="AD39">
        <v>11612</v>
      </c>
      <c r="AE39">
        <v>123</v>
      </c>
      <c r="AF39">
        <v>1</v>
      </c>
    </row>
    <row r="40" spans="1:32" x14ac:dyDescent="0.25">
      <c r="A40">
        <v>1</v>
      </c>
      <c r="B40">
        <v>63</v>
      </c>
      <c r="C40">
        <v>110014</v>
      </c>
      <c r="D40" t="s">
        <v>237</v>
      </c>
      <c r="E40" t="s">
        <v>290</v>
      </c>
      <c r="F40">
        <v>1</v>
      </c>
      <c r="G40" t="s">
        <v>506</v>
      </c>
      <c r="H40" t="s">
        <v>948</v>
      </c>
      <c r="I40" t="s">
        <v>949</v>
      </c>
      <c r="J40" t="s">
        <v>758</v>
      </c>
      <c r="K40" t="s">
        <v>838</v>
      </c>
      <c r="L40">
        <v>67366.669800000003</v>
      </c>
      <c r="M40">
        <v>67367</v>
      </c>
      <c r="N40">
        <v>71667</v>
      </c>
      <c r="O40">
        <v>71667</v>
      </c>
      <c r="P40">
        <v>77400</v>
      </c>
      <c r="Q40">
        <v>77400</v>
      </c>
      <c r="R40" s="133">
        <v>45553</v>
      </c>
      <c r="S40">
        <v>45553</v>
      </c>
      <c r="T40" t="s">
        <v>225</v>
      </c>
      <c r="U40" t="s">
        <v>129</v>
      </c>
      <c r="V40" t="s">
        <v>142</v>
      </c>
      <c r="W40">
        <v>11006</v>
      </c>
      <c r="X40" t="s">
        <v>505</v>
      </c>
      <c r="Y40" t="s">
        <v>653</v>
      </c>
      <c r="Z40" t="s">
        <v>654</v>
      </c>
      <c r="AA40" t="s">
        <v>143</v>
      </c>
      <c r="AB40" t="s">
        <v>144</v>
      </c>
      <c r="AC40">
        <v>11611</v>
      </c>
      <c r="AD40">
        <v>11612</v>
      </c>
      <c r="AE40">
        <v>123</v>
      </c>
      <c r="AF40">
        <v>1</v>
      </c>
    </row>
    <row r="41" spans="1:32" x14ac:dyDescent="0.25">
      <c r="A41">
        <v>1</v>
      </c>
      <c r="B41">
        <v>65</v>
      </c>
      <c r="C41">
        <v>120011</v>
      </c>
      <c r="D41" t="s">
        <v>291</v>
      </c>
      <c r="E41" t="s">
        <v>292</v>
      </c>
      <c r="F41">
        <v>24</v>
      </c>
      <c r="G41" t="s">
        <v>486</v>
      </c>
      <c r="H41" t="s">
        <v>533</v>
      </c>
      <c r="I41" t="s">
        <v>950</v>
      </c>
      <c r="J41" t="s">
        <v>683</v>
      </c>
      <c r="K41" t="s">
        <v>839</v>
      </c>
      <c r="L41">
        <v>42984.59099099099</v>
      </c>
      <c r="M41">
        <v>1031630</v>
      </c>
      <c r="N41">
        <v>45728</v>
      </c>
      <c r="O41">
        <v>1097479</v>
      </c>
      <c r="P41">
        <v>49387</v>
      </c>
      <c r="Q41">
        <v>1185277</v>
      </c>
      <c r="R41" s="133">
        <v>45553</v>
      </c>
      <c r="S41">
        <v>45839</v>
      </c>
      <c r="T41" t="s">
        <v>225</v>
      </c>
      <c r="U41" t="s">
        <v>129</v>
      </c>
      <c r="V41" t="s">
        <v>142</v>
      </c>
      <c r="W41">
        <v>20195</v>
      </c>
      <c r="X41" t="s">
        <v>535</v>
      </c>
      <c r="Y41" t="s">
        <v>653</v>
      </c>
      <c r="Z41" t="s">
        <v>654</v>
      </c>
      <c r="AA41" t="s">
        <v>143</v>
      </c>
      <c r="AB41" t="s">
        <v>144</v>
      </c>
      <c r="AC41">
        <v>11611</v>
      </c>
      <c r="AD41">
        <v>11612</v>
      </c>
      <c r="AE41">
        <v>123</v>
      </c>
      <c r="AF41">
        <v>1</v>
      </c>
    </row>
    <row r="42" spans="1:32" x14ac:dyDescent="0.25">
      <c r="A42">
        <v>2</v>
      </c>
      <c r="B42">
        <v>68</v>
      </c>
      <c r="C42">
        <v>120042</v>
      </c>
      <c r="D42" t="s">
        <v>534</v>
      </c>
      <c r="E42" t="s">
        <v>1053</v>
      </c>
      <c r="F42">
        <v>6</v>
      </c>
      <c r="G42" t="s">
        <v>506</v>
      </c>
      <c r="H42" t="s">
        <v>534</v>
      </c>
      <c r="I42" t="s">
        <v>950</v>
      </c>
      <c r="J42" t="s">
        <v>1056</v>
      </c>
      <c r="K42" t="s">
        <v>1072</v>
      </c>
      <c r="L42">
        <v>147846.75320000001</v>
      </c>
      <c r="M42">
        <v>887081</v>
      </c>
      <c r="N42">
        <v>157284</v>
      </c>
      <c r="O42">
        <v>943703</v>
      </c>
      <c r="P42">
        <v>169866</v>
      </c>
      <c r="Q42">
        <v>1019199</v>
      </c>
      <c r="R42" s="133">
        <v>45938</v>
      </c>
      <c r="T42" t="s">
        <v>225</v>
      </c>
      <c r="U42" t="s">
        <v>129</v>
      </c>
      <c r="V42" t="s">
        <v>142</v>
      </c>
      <c r="W42">
        <v>20195</v>
      </c>
      <c r="X42" t="s">
        <v>1055</v>
      </c>
      <c r="AA42" t="s">
        <v>143</v>
      </c>
      <c r="AB42" t="s">
        <v>144</v>
      </c>
      <c r="AC42">
        <v>11611</v>
      </c>
      <c r="AD42">
        <v>11612</v>
      </c>
      <c r="AF42">
        <v>1</v>
      </c>
    </row>
    <row r="43" spans="1:32" x14ac:dyDescent="0.25">
      <c r="A43">
        <v>3</v>
      </c>
      <c r="B43">
        <v>280</v>
      </c>
      <c r="C43">
        <v>120036</v>
      </c>
      <c r="E43" t="s">
        <v>1069</v>
      </c>
      <c r="F43">
        <v>48</v>
      </c>
      <c r="G43" t="s">
        <v>486</v>
      </c>
      <c r="H43" t="s">
        <v>533</v>
      </c>
      <c r="I43" t="s">
        <v>950</v>
      </c>
      <c r="J43" t="s">
        <v>1071</v>
      </c>
      <c r="K43" t="s">
        <v>1073</v>
      </c>
      <c r="L43">
        <v>7953.3023999999996</v>
      </c>
      <c r="M43">
        <v>381759</v>
      </c>
      <c r="N43">
        <v>8461</v>
      </c>
      <c r="O43">
        <v>406126</v>
      </c>
      <c r="P43">
        <v>9138</v>
      </c>
      <c r="Q43">
        <v>438616</v>
      </c>
      <c r="R43" s="133">
        <v>45967</v>
      </c>
      <c r="S43">
        <v>45967</v>
      </c>
      <c r="T43" t="s">
        <v>225</v>
      </c>
      <c r="U43" t="s">
        <v>129</v>
      </c>
      <c r="V43" t="s">
        <v>142</v>
      </c>
      <c r="W43">
        <v>130</v>
      </c>
      <c r="X43" t="s">
        <v>606</v>
      </c>
      <c r="AA43" t="s">
        <v>143</v>
      </c>
      <c r="AB43" t="s">
        <v>144</v>
      </c>
      <c r="AC43">
        <v>11611</v>
      </c>
      <c r="AD43">
        <v>11612</v>
      </c>
      <c r="AF43">
        <v>1</v>
      </c>
    </row>
    <row r="44" spans="1:32" x14ac:dyDescent="0.25">
      <c r="A44">
        <v>1</v>
      </c>
      <c r="B44">
        <v>69</v>
      </c>
      <c r="C44">
        <v>120030</v>
      </c>
      <c r="D44" t="s">
        <v>291</v>
      </c>
      <c r="E44" t="s">
        <v>294</v>
      </c>
      <c r="F44">
        <v>48</v>
      </c>
      <c r="G44" t="s">
        <v>486</v>
      </c>
      <c r="H44" t="s">
        <v>533</v>
      </c>
      <c r="I44" t="s">
        <v>950</v>
      </c>
      <c r="J44" t="s">
        <v>685</v>
      </c>
      <c r="K44" t="s">
        <v>840</v>
      </c>
      <c r="L44">
        <v>9830.2828828828806</v>
      </c>
      <c r="M44">
        <v>471854</v>
      </c>
      <c r="N44">
        <v>10458</v>
      </c>
      <c r="O44">
        <v>501972</v>
      </c>
      <c r="P44">
        <v>11294</v>
      </c>
      <c r="Q44">
        <v>542130</v>
      </c>
      <c r="R44" s="133">
        <v>45553</v>
      </c>
      <c r="S44">
        <v>45839</v>
      </c>
      <c r="T44" t="s">
        <v>225</v>
      </c>
      <c r="U44" t="s">
        <v>129</v>
      </c>
      <c r="V44" t="s">
        <v>142</v>
      </c>
      <c r="W44">
        <v>20135</v>
      </c>
      <c r="X44" t="s">
        <v>484</v>
      </c>
      <c r="Y44" t="s">
        <v>653</v>
      </c>
      <c r="Z44" t="s">
        <v>654</v>
      </c>
      <c r="AA44" t="s">
        <v>143</v>
      </c>
      <c r="AB44" t="s">
        <v>144</v>
      </c>
      <c r="AC44">
        <v>11611</v>
      </c>
      <c r="AD44">
        <v>11612</v>
      </c>
      <c r="AE44">
        <v>123</v>
      </c>
      <c r="AF44">
        <v>1</v>
      </c>
    </row>
    <row r="45" spans="1:32" x14ac:dyDescent="0.25">
      <c r="A45">
        <v>1</v>
      </c>
      <c r="B45">
        <v>71</v>
      </c>
      <c r="C45">
        <v>120034</v>
      </c>
      <c r="D45" t="s">
        <v>291</v>
      </c>
      <c r="E45" t="s">
        <v>296</v>
      </c>
      <c r="F45">
        <v>24</v>
      </c>
      <c r="G45" t="s">
        <v>486</v>
      </c>
      <c r="H45" t="s">
        <v>533</v>
      </c>
      <c r="I45" t="s">
        <v>950</v>
      </c>
      <c r="J45" t="s">
        <v>687</v>
      </c>
      <c r="K45" t="s">
        <v>841</v>
      </c>
      <c r="L45">
        <v>14540.445045045042</v>
      </c>
      <c r="M45">
        <v>348971</v>
      </c>
      <c r="N45">
        <v>15469</v>
      </c>
      <c r="O45">
        <v>371245</v>
      </c>
      <c r="P45">
        <v>16706</v>
      </c>
      <c r="Q45">
        <v>400945</v>
      </c>
      <c r="R45" s="133">
        <v>45553</v>
      </c>
      <c r="S45">
        <v>45839</v>
      </c>
      <c r="T45" t="s">
        <v>225</v>
      </c>
      <c r="U45" t="s">
        <v>129</v>
      </c>
      <c r="V45" t="s">
        <v>142</v>
      </c>
      <c r="W45">
        <v>20195</v>
      </c>
      <c r="X45" t="s">
        <v>535</v>
      </c>
      <c r="Y45" t="s">
        <v>653</v>
      </c>
      <c r="Z45" t="s">
        <v>654</v>
      </c>
      <c r="AA45" t="s">
        <v>143</v>
      </c>
      <c r="AB45" t="s">
        <v>144</v>
      </c>
      <c r="AC45">
        <v>11611</v>
      </c>
      <c r="AD45">
        <v>11612</v>
      </c>
      <c r="AE45">
        <v>123</v>
      </c>
      <c r="AF45">
        <v>1</v>
      </c>
    </row>
    <row r="46" spans="1:32" x14ac:dyDescent="0.25">
      <c r="A46">
        <v>1</v>
      </c>
      <c r="B46">
        <v>73</v>
      </c>
      <c r="C46">
        <v>120031</v>
      </c>
      <c r="D46" t="s">
        <v>291</v>
      </c>
      <c r="E46" t="s">
        <v>297</v>
      </c>
      <c r="F46">
        <v>24</v>
      </c>
      <c r="G46" t="s">
        <v>486</v>
      </c>
      <c r="H46" t="s">
        <v>533</v>
      </c>
      <c r="I46" t="s">
        <v>950</v>
      </c>
      <c r="J46" t="s">
        <v>684</v>
      </c>
      <c r="K46" t="s">
        <v>842</v>
      </c>
      <c r="L46">
        <v>30275.875675675674</v>
      </c>
      <c r="M46">
        <v>726621</v>
      </c>
      <c r="N46">
        <v>32208</v>
      </c>
      <c r="O46">
        <v>773001</v>
      </c>
      <c r="P46">
        <v>34785</v>
      </c>
      <c r="Q46">
        <v>834841</v>
      </c>
      <c r="R46" s="133">
        <v>45553</v>
      </c>
      <c r="S46">
        <v>45839</v>
      </c>
      <c r="T46" t="s">
        <v>225</v>
      </c>
      <c r="U46" t="s">
        <v>129</v>
      </c>
      <c r="V46" t="s">
        <v>142</v>
      </c>
      <c r="W46">
        <v>20420</v>
      </c>
      <c r="X46" t="s">
        <v>538</v>
      </c>
      <c r="Y46" t="s">
        <v>653</v>
      </c>
      <c r="Z46" t="s">
        <v>654</v>
      </c>
      <c r="AA46" t="s">
        <v>143</v>
      </c>
      <c r="AB46" t="s">
        <v>144</v>
      </c>
      <c r="AC46">
        <v>11611</v>
      </c>
      <c r="AD46">
        <v>11612</v>
      </c>
      <c r="AE46">
        <v>123</v>
      </c>
      <c r="AF46">
        <v>1</v>
      </c>
    </row>
    <row r="47" spans="1:32" x14ac:dyDescent="0.25">
      <c r="A47">
        <v>1</v>
      </c>
      <c r="B47">
        <v>76</v>
      </c>
      <c r="C47">
        <v>120032</v>
      </c>
      <c r="D47" t="s">
        <v>291</v>
      </c>
      <c r="E47" t="s">
        <v>299</v>
      </c>
      <c r="F47">
        <v>24</v>
      </c>
      <c r="G47" t="s">
        <v>486</v>
      </c>
      <c r="H47" t="s">
        <v>533</v>
      </c>
      <c r="I47" t="s">
        <v>950</v>
      </c>
      <c r="J47" t="s">
        <v>686</v>
      </c>
      <c r="K47" t="s">
        <v>843</v>
      </c>
      <c r="L47">
        <v>16023.273873873874</v>
      </c>
      <c r="M47">
        <v>384559</v>
      </c>
      <c r="N47">
        <v>17046</v>
      </c>
      <c r="O47">
        <v>409105</v>
      </c>
      <c r="P47">
        <v>18410</v>
      </c>
      <c r="Q47">
        <v>441833</v>
      </c>
      <c r="R47" s="133">
        <v>45553</v>
      </c>
      <c r="S47">
        <v>45839</v>
      </c>
      <c r="T47" t="s">
        <v>225</v>
      </c>
      <c r="U47" t="s">
        <v>129</v>
      </c>
      <c r="V47" t="s">
        <v>142</v>
      </c>
      <c r="W47">
        <v>20195</v>
      </c>
      <c r="X47" t="s">
        <v>535</v>
      </c>
      <c r="Y47" t="s">
        <v>653</v>
      </c>
      <c r="Z47" t="s">
        <v>654</v>
      </c>
      <c r="AA47" t="s">
        <v>143</v>
      </c>
      <c r="AB47" t="s">
        <v>144</v>
      </c>
      <c r="AC47">
        <v>11611</v>
      </c>
      <c r="AD47">
        <v>11612</v>
      </c>
      <c r="AE47">
        <v>123</v>
      </c>
      <c r="AF47">
        <v>1</v>
      </c>
    </row>
    <row r="48" spans="1:32" x14ac:dyDescent="0.25">
      <c r="A48">
        <v>1</v>
      </c>
      <c r="B48">
        <v>78</v>
      </c>
      <c r="C48">
        <v>120028</v>
      </c>
      <c r="D48" t="s">
        <v>291</v>
      </c>
      <c r="E48" t="s">
        <v>300</v>
      </c>
      <c r="F48">
        <v>24</v>
      </c>
      <c r="G48" t="s">
        <v>486</v>
      </c>
      <c r="H48" t="s">
        <v>533</v>
      </c>
      <c r="I48" t="s">
        <v>950</v>
      </c>
      <c r="J48" t="s">
        <v>688</v>
      </c>
      <c r="K48" t="s">
        <v>844</v>
      </c>
      <c r="L48">
        <v>10990.378378378375</v>
      </c>
      <c r="M48">
        <v>263769</v>
      </c>
      <c r="N48">
        <v>11692</v>
      </c>
      <c r="O48">
        <v>280605</v>
      </c>
      <c r="P48">
        <v>12627</v>
      </c>
      <c r="Q48">
        <v>303054</v>
      </c>
      <c r="R48" s="133">
        <v>45553</v>
      </c>
      <c r="S48">
        <v>45839</v>
      </c>
      <c r="T48" t="s">
        <v>225</v>
      </c>
      <c r="U48" t="s">
        <v>129</v>
      </c>
      <c r="V48" t="s">
        <v>142</v>
      </c>
      <c r="W48">
        <v>20195</v>
      </c>
      <c r="X48" t="s">
        <v>535</v>
      </c>
      <c r="Y48" t="s">
        <v>653</v>
      </c>
      <c r="Z48" t="s">
        <v>654</v>
      </c>
      <c r="AA48" t="s">
        <v>143</v>
      </c>
      <c r="AB48" t="s">
        <v>144</v>
      </c>
      <c r="AC48">
        <v>11611</v>
      </c>
      <c r="AD48">
        <v>11612</v>
      </c>
      <c r="AE48">
        <v>123</v>
      </c>
      <c r="AF48">
        <v>1</v>
      </c>
    </row>
    <row r="49" spans="1:32" x14ac:dyDescent="0.25">
      <c r="A49">
        <v>1</v>
      </c>
      <c r="B49">
        <v>80</v>
      </c>
      <c r="C49">
        <v>120045</v>
      </c>
      <c r="D49" t="s">
        <v>291</v>
      </c>
      <c r="E49" t="s">
        <v>1038</v>
      </c>
      <c r="F49">
        <v>12</v>
      </c>
      <c r="G49" t="s">
        <v>605</v>
      </c>
      <c r="H49" t="s">
        <v>533</v>
      </c>
      <c r="I49" t="s">
        <v>950</v>
      </c>
      <c r="J49" t="s">
        <v>1042</v>
      </c>
      <c r="K49" t="s">
        <v>1045</v>
      </c>
      <c r="L49">
        <v>10824.57</v>
      </c>
      <c r="M49">
        <v>129895</v>
      </c>
      <c r="N49">
        <v>11516</v>
      </c>
      <c r="O49">
        <v>138186</v>
      </c>
      <c r="P49">
        <v>11516</v>
      </c>
      <c r="Q49">
        <v>138186</v>
      </c>
      <c r="R49" s="133">
        <v>45855</v>
      </c>
      <c r="T49" t="s">
        <v>225</v>
      </c>
      <c r="U49" t="s">
        <v>129</v>
      </c>
      <c r="V49" t="s">
        <v>142</v>
      </c>
      <c r="W49">
        <v>10018</v>
      </c>
      <c r="X49" t="s">
        <v>639</v>
      </c>
      <c r="AA49" t="s">
        <v>143</v>
      </c>
      <c r="AB49" t="s">
        <v>144</v>
      </c>
      <c r="AC49">
        <v>11611</v>
      </c>
      <c r="AD49">
        <v>11612</v>
      </c>
      <c r="AF49">
        <v>1</v>
      </c>
    </row>
    <row r="50" spans="1:32" x14ac:dyDescent="0.25">
      <c r="A50">
        <v>1</v>
      </c>
      <c r="B50">
        <v>81</v>
      </c>
      <c r="C50">
        <v>101001</v>
      </c>
      <c r="D50" t="s">
        <v>280</v>
      </c>
      <c r="E50" t="s">
        <v>1029</v>
      </c>
      <c r="F50">
        <v>60</v>
      </c>
      <c r="G50" t="s">
        <v>479</v>
      </c>
      <c r="H50" t="s">
        <v>946</v>
      </c>
      <c r="I50" t="s">
        <v>1030</v>
      </c>
      <c r="J50" t="s">
        <v>1032</v>
      </c>
      <c r="K50" t="s">
        <v>1033</v>
      </c>
      <c r="L50">
        <v>0</v>
      </c>
      <c r="M50">
        <v>0</v>
      </c>
      <c r="O50">
        <v>0</v>
      </c>
      <c r="Q50">
        <v>0</v>
      </c>
      <c r="R50" s="133"/>
      <c r="T50" t="s">
        <v>225</v>
      </c>
      <c r="U50" t="s">
        <v>129</v>
      </c>
      <c r="V50" t="s">
        <v>142</v>
      </c>
      <c r="W50">
        <v>10062</v>
      </c>
      <c r="X50" t="s">
        <v>477</v>
      </c>
      <c r="AA50" t="s">
        <v>143</v>
      </c>
      <c r="AB50" t="s">
        <v>144</v>
      </c>
      <c r="AC50">
        <v>11611</v>
      </c>
      <c r="AD50">
        <v>11612</v>
      </c>
      <c r="AF50">
        <v>1</v>
      </c>
    </row>
    <row r="51" spans="1:32" x14ac:dyDescent="0.25">
      <c r="A51">
        <v>1</v>
      </c>
      <c r="B51">
        <v>82</v>
      </c>
      <c r="C51">
        <v>612087</v>
      </c>
      <c r="D51" t="s">
        <v>301</v>
      </c>
      <c r="E51" t="s">
        <v>302</v>
      </c>
      <c r="F51">
        <v>36</v>
      </c>
      <c r="G51" t="s">
        <v>545</v>
      </c>
      <c r="H51" t="s">
        <v>542</v>
      </c>
      <c r="I51" t="s">
        <v>951</v>
      </c>
      <c r="J51" t="s">
        <v>759</v>
      </c>
      <c r="K51" t="s">
        <v>845</v>
      </c>
      <c r="L51">
        <v>5922.5927927927914</v>
      </c>
      <c r="M51">
        <v>213213</v>
      </c>
      <c r="N51">
        <v>6301</v>
      </c>
      <c r="O51">
        <v>226823</v>
      </c>
      <c r="P51">
        <v>6616</v>
      </c>
      <c r="Q51">
        <v>238164</v>
      </c>
      <c r="R51" s="133">
        <v>45553</v>
      </c>
      <c r="S51">
        <v>45839</v>
      </c>
      <c r="T51" t="s">
        <v>225</v>
      </c>
      <c r="U51" t="s">
        <v>129</v>
      </c>
      <c r="V51" t="s">
        <v>142</v>
      </c>
      <c r="W51">
        <v>10003</v>
      </c>
      <c r="X51" t="s">
        <v>543</v>
      </c>
      <c r="Y51" t="s">
        <v>653</v>
      </c>
      <c r="Z51" t="s">
        <v>654</v>
      </c>
      <c r="AA51" t="s">
        <v>143</v>
      </c>
      <c r="AB51" t="s">
        <v>144</v>
      </c>
      <c r="AC51">
        <v>11611</v>
      </c>
      <c r="AD51">
        <v>11612</v>
      </c>
      <c r="AE51">
        <v>123</v>
      </c>
      <c r="AF51">
        <v>1</v>
      </c>
    </row>
    <row r="52" spans="1:32" x14ac:dyDescent="0.25">
      <c r="A52">
        <v>1</v>
      </c>
      <c r="B52">
        <v>85</v>
      </c>
      <c r="C52">
        <v>460166</v>
      </c>
      <c r="D52" t="s">
        <v>304</v>
      </c>
      <c r="E52" t="s">
        <v>305</v>
      </c>
      <c r="F52">
        <v>48</v>
      </c>
      <c r="G52" t="s">
        <v>552</v>
      </c>
      <c r="H52" t="s">
        <v>952</v>
      </c>
      <c r="I52" t="s">
        <v>953</v>
      </c>
      <c r="J52" t="s">
        <v>689</v>
      </c>
      <c r="K52" t="s">
        <v>846</v>
      </c>
      <c r="L52">
        <v>1351.9926</v>
      </c>
      <c r="M52">
        <v>64896</v>
      </c>
      <c r="N52">
        <v>1438</v>
      </c>
      <c r="O52">
        <v>69038</v>
      </c>
      <c r="P52">
        <v>1510</v>
      </c>
      <c r="Q52">
        <v>72490</v>
      </c>
      <c r="R52" s="133">
        <v>45553</v>
      </c>
      <c r="S52">
        <v>45945</v>
      </c>
      <c r="T52" t="s">
        <v>225</v>
      </c>
      <c r="U52" t="s">
        <v>129</v>
      </c>
      <c r="V52" t="s">
        <v>142</v>
      </c>
      <c r="W52">
        <v>20090</v>
      </c>
      <c r="X52" t="s">
        <v>550</v>
      </c>
      <c r="Y52" t="s">
        <v>653</v>
      </c>
      <c r="Z52" t="s">
        <v>654</v>
      </c>
      <c r="AA52" t="s">
        <v>143</v>
      </c>
      <c r="AB52" t="s">
        <v>144</v>
      </c>
      <c r="AC52">
        <v>11611</v>
      </c>
      <c r="AD52">
        <v>11612</v>
      </c>
      <c r="AE52">
        <v>123</v>
      </c>
      <c r="AF52">
        <v>1</v>
      </c>
    </row>
    <row r="53" spans="1:32" x14ac:dyDescent="0.25">
      <c r="A53">
        <v>1</v>
      </c>
      <c r="B53">
        <v>86</v>
      </c>
      <c r="C53">
        <v>460167</v>
      </c>
      <c r="D53" t="s">
        <v>304</v>
      </c>
      <c r="E53" t="s">
        <v>306</v>
      </c>
      <c r="F53">
        <v>48</v>
      </c>
      <c r="G53" t="s">
        <v>552</v>
      </c>
      <c r="H53" t="s">
        <v>952</v>
      </c>
      <c r="I53" t="s">
        <v>953</v>
      </c>
      <c r="J53" t="s">
        <v>690</v>
      </c>
      <c r="K53" t="s">
        <v>847</v>
      </c>
      <c r="L53">
        <v>1351.9926</v>
      </c>
      <c r="M53">
        <v>64896</v>
      </c>
      <c r="N53">
        <v>1438</v>
      </c>
      <c r="O53">
        <v>69038</v>
      </c>
      <c r="P53">
        <v>1510</v>
      </c>
      <c r="Q53">
        <v>72490</v>
      </c>
      <c r="R53" s="133">
        <v>45553</v>
      </c>
      <c r="S53">
        <v>45553</v>
      </c>
      <c r="T53" t="s">
        <v>225</v>
      </c>
      <c r="U53" t="s">
        <v>129</v>
      </c>
      <c r="V53" t="s">
        <v>142</v>
      </c>
      <c r="W53">
        <v>20090</v>
      </c>
      <c r="X53" t="s">
        <v>550</v>
      </c>
      <c r="Y53" t="s">
        <v>653</v>
      </c>
      <c r="Z53" t="s">
        <v>654</v>
      </c>
      <c r="AA53" t="s">
        <v>143</v>
      </c>
      <c r="AB53" t="s">
        <v>144</v>
      </c>
      <c r="AC53">
        <v>11611</v>
      </c>
      <c r="AD53">
        <v>11612</v>
      </c>
      <c r="AE53">
        <v>123</v>
      </c>
      <c r="AF53">
        <v>1</v>
      </c>
    </row>
    <row r="54" spans="1:32" x14ac:dyDescent="0.25">
      <c r="A54">
        <v>1</v>
      </c>
      <c r="B54">
        <v>87</v>
      </c>
      <c r="C54">
        <v>460168</v>
      </c>
      <c r="D54" t="s">
        <v>304</v>
      </c>
      <c r="E54" t="s">
        <v>307</v>
      </c>
      <c r="F54">
        <v>48</v>
      </c>
      <c r="G54" t="s">
        <v>552</v>
      </c>
      <c r="H54" t="s">
        <v>952</v>
      </c>
      <c r="I54" t="s">
        <v>953</v>
      </c>
      <c r="J54" t="s">
        <v>691</v>
      </c>
      <c r="K54" t="s">
        <v>848</v>
      </c>
      <c r="L54">
        <v>1351.9926</v>
      </c>
      <c r="M54">
        <v>64896</v>
      </c>
      <c r="N54">
        <v>1438</v>
      </c>
      <c r="O54">
        <v>69038</v>
      </c>
      <c r="P54">
        <v>1510</v>
      </c>
      <c r="Q54">
        <v>72490</v>
      </c>
      <c r="R54" s="133">
        <v>45553</v>
      </c>
      <c r="S54">
        <v>45945</v>
      </c>
      <c r="T54" t="s">
        <v>225</v>
      </c>
      <c r="U54" t="s">
        <v>129</v>
      </c>
      <c r="V54" t="s">
        <v>142</v>
      </c>
      <c r="W54">
        <v>20090</v>
      </c>
      <c r="X54" t="s">
        <v>550</v>
      </c>
      <c r="Y54" t="s">
        <v>653</v>
      </c>
      <c r="Z54" t="s">
        <v>654</v>
      </c>
      <c r="AA54" t="s">
        <v>143</v>
      </c>
      <c r="AB54" t="s">
        <v>144</v>
      </c>
      <c r="AC54">
        <v>11611</v>
      </c>
      <c r="AD54">
        <v>11612</v>
      </c>
      <c r="AE54">
        <v>123</v>
      </c>
      <c r="AF54">
        <v>1</v>
      </c>
    </row>
    <row r="55" spans="1:32" x14ac:dyDescent="0.25">
      <c r="A55">
        <v>1</v>
      </c>
      <c r="B55">
        <v>88</v>
      </c>
      <c r="C55">
        <v>460169</v>
      </c>
      <c r="D55" t="s">
        <v>304</v>
      </c>
      <c r="E55" t="s">
        <v>308</v>
      </c>
      <c r="F55">
        <v>48</v>
      </c>
      <c r="G55" t="s">
        <v>552</v>
      </c>
      <c r="H55" t="s">
        <v>952</v>
      </c>
      <c r="I55" t="s">
        <v>953</v>
      </c>
      <c r="J55" t="s">
        <v>692</v>
      </c>
      <c r="K55" t="s">
        <v>849</v>
      </c>
      <c r="L55">
        <v>1351.9926</v>
      </c>
      <c r="M55">
        <v>64896</v>
      </c>
      <c r="N55">
        <v>1438</v>
      </c>
      <c r="O55">
        <v>69038</v>
      </c>
      <c r="P55">
        <v>1510</v>
      </c>
      <c r="Q55">
        <v>72490</v>
      </c>
      <c r="R55" s="133">
        <v>45553</v>
      </c>
      <c r="S55">
        <v>45945</v>
      </c>
      <c r="T55" t="s">
        <v>225</v>
      </c>
      <c r="U55" t="s">
        <v>129</v>
      </c>
      <c r="V55" t="s">
        <v>142</v>
      </c>
      <c r="W55">
        <v>20090</v>
      </c>
      <c r="X55" t="s">
        <v>550</v>
      </c>
      <c r="Y55" t="s">
        <v>653</v>
      </c>
      <c r="Z55" t="s">
        <v>654</v>
      </c>
      <c r="AA55" t="s">
        <v>143</v>
      </c>
      <c r="AB55" t="s">
        <v>144</v>
      </c>
      <c r="AC55">
        <v>11611</v>
      </c>
      <c r="AD55">
        <v>11612</v>
      </c>
      <c r="AE55">
        <v>123</v>
      </c>
      <c r="AF55">
        <v>1</v>
      </c>
    </row>
    <row r="56" spans="1:32" x14ac:dyDescent="0.25">
      <c r="A56">
        <v>1</v>
      </c>
      <c r="B56">
        <v>89</v>
      </c>
      <c r="C56">
        <v>460172</v>
      </c>
      <c r="D56" t="s">
        <v>304</v>
      </c>
      <c r="E56" t="s">
        <v>309</v>
      </c>
      <c r="F56">
        <v>48</v>
      </c>
      <c r="G56" t="s">
        <v>552</v>
      </c>
      <c r="H56" t="s">
        <v>952</v>
      </c>
      <c r="I56" t="s">
        <v>953</v>
      </c>
      <c r="J56" t="s">
        <v>695</v>
      </c>
      <c r="K56" t="s">
        <v>850</v>
      </c>
      <c r="L56">
        <v>1351.9926</v>
      </c>
      <c r="M56">
        <v>64896</v>
      </c>
      <c r="N56">
        <v>1438</v>
      </c>
      <c r="O56">
        <v>69038</v>
      </c>
      <c r="P56">
        <v>1510</v>
      </c>
      <c r="Q56">
        <v>72490</v>
      </c>
      <c r="R56" s="133">
        <v>45553</v>
      </c>
      <c r="S56">
        <v>45945</v>
      </c>
      <c r="T56" t="s">
        <v>225</v>
      </c>
      <c r="U56" t="s">
        <v>129</v>
      </c>
      <c r="V56" t="s">
        <v>142</v>
      </c>
      <c r="W56">
        <v>20090</v>
      </c>
      <c r="X56" t="s">
        <v>550</v>
      </c>
      <c r="Y56" t="s">
        <v>653</v>
      </c>
      <c r="Z56" t="s">
        <v>654</v>
      </c>
      <c r="AA56" t="s">
        <v>143</v>
      </c>
      <c r="AB56" t="s">
        <v>144</v>
      </c>
      <c r="AC56">
        <v>11611</v>
      </c>
      <c r="AD56">
        <v>11612</v>
      </c>
      <c r="AE56">
        <v>123</v>
      </c>
      <c r="AF56">
        <v>1</v>
      </c>
    </row>
    <row r="57" spans="1:32" x14ac:dyDescent="0.25">
      <c r="A57">
        <v>1</v>
      </c>
      <c r="B57">
        <v>90</v>
      </c>
      <c r="C57">
        <v>460170</v>
      </c>
      <c r="D57" t="s">
        <v>304</v>
      </c>
      <c r="E57" t="s">
        <v>310</v>
      </c>
      <c r="F57">
        <v>48</v>
      </c>
      <c r="G57" t="s">
        <v>552</v>
      </c>
      <c r="H57" t="s">
        <v>954</v>
      </c>
      <c r="I57" t="s">
        <v>955</v>
      </c>
      <c r="J57" t="s">
        <v>693</v>
      </c>
      <c r="K57" t="s">
        <v>851</v>
      </c>
      <c r="L57">
        <v>1351.9926</v>
      </c>
      <c r="M57">
        <v>64896</v>
      </c>
      <c r="N57">
        <v>1438</v>
      </c>
      <c r="O57">
        <v>69038</v>
      </c>
      <c r="P57">
        <v>1510</v>
      </c>
      <c r="Q57">
        <v>72490</v>
      </c>
      <c r="R57" s="133">
        <v>45553</v>
      </c>
      <c r="S57">
        <v>45945</v>
      </c>
      <c r="T57" t="s">
        <v>225</v>
      </c>
      <c r="U57" t="s">
        <v>129</v>
      </c>
      <c r="V57" t="s">
        <v>142</v>
      </c>
      <c r="W57">
        <v>20090</v>
      </c>
      <c r="X57" t="s">
        <v>550</v>
      </c>
      <c r="Y57" t="s">
        <v>653</v>
      </c>
      <c r="Z57" t="s">
        <v>654</v>
      </c>
      <c r="AA57" t="s">
        <v>143</v>
      </c>
      <c r="AB57" t="s">
        <v>144</v>
      </c>
      <c r="AC57">
        <v>11611</v>
      </c>
      <c r="AD57">
        <v>11612</v>
      </c>
      <c r="AE57">
        <v>123</v>
      </c>
      <c r="AF57">
        <v>1</v>
      </c>
    </row>
    <row r="58" spans="1:32" x14ac:dyDescent="0.25">
      <c r="A58">
        <v>1</v>
      </c>
      <c r="B58">
        <v>91</v>
      </c>
      <c r="C58">
        <v>460171</v>
      </c>
      <c r="D58" t="s">
        <v>304</v>
      </c>
      <c r="E58" t="s">
        <v>311</v>
      </c>
      <c r="F58">
        <v>48</v>
      </c>
      <c r="G58" t="s">
        <v>552</v>
      </c>
      <c r="H58" t="s">
        <v>954</v>
      </c>
      <c r="I58" t="s">
        <v>955</v>
      </c>
      <c r="J58" t="s">
        <v>694</v>
      </c>
      <c r="K58" t="s">
        <v>852</v>
      </c>
      <c r="L58">
        <v>1351.9926</v>
      </c>
      <c r="M58">
        <v>64896</v>
      </c>
      <c r="N58">
        <v>1438</v>
      </c>
      <c r="O58">
        <v>69038</v>
      </c>
      <c r="P58">
        <v>1510</v>
      </c>
      <c r="Q58">
        <v>72490</v>
      </c>
      <c r="R58" s="133">
        <v>45553</v>
      </c>
      <c r="S58">
        <v>45945</v>
      </c>
      <c r="T58" t="s">
        <v>225</v>
      </c>
      <c r="U58" t="s">
        <v>129</v>
      </c>
      <c r="V58" t="s">
        <v>142</v>
      </c>
      <c r="W58">
        <v>20090</v>
      </c>
      <c r="X58" t="s">
        <v>550</v>
      </c>
      <c r="Y58" t="s">
        <v>653</v>
      </c>
      <c r="Z58" t="s">
        <v>654</v>
      </c>
      <c r="AA58" t="s">
        <v>143</v>
      </c>
      <c r="AB58" t="s">
        <v>144</v>
      </c>
      <c r="AC58">
        <v>11611</v>
      </c>
      <c r="AD58">
        <v>11612</v>
      </c>
      <c r="AE58">
        <v>123</v>
      </c>
      <c r="AF58">
        <v>1</v>
      </c>
    </row>
    <row r="59" spans="1:32" x14ac:dyDescent="0.25">
      <c r="A59">
        <v>1</v>
      </c>
      <c r="B59">
        <v>92</v>
      </c>
      <c r="C59">
        <v>460197</v>
      </c>
      <c r="D59" t="s">
        <v>312</v>
      </c>
      <c r="E59" t="s">
        <v>1039</v>
      </c>
      <c r="F59">
        <v>48</v>
      </c>
      <c r="G59" t="s">
        <v>552</v>
      </c>
      <c r="H59" t="s">
        <v>312</v>
      </c>
      <c r="I59" t="s">
        <v>956</v>
      </c>
      <c r="J59" t="s">
        <v>1043</v>
      </c>
      <c r="K59" t="s">
        <v>1046</v>
      </c>
      <c r="L59">
        <v>1422.7027291666666</v>
      </c>
      <c r="M59">
        <v>68290</v>
      </c>
      <c r="N59">
        <v>1514</v>
      </c>
      <c r="O59">
        <v>72649</v>
      </c>
      <c r="P59">
        <v>72649</v>
      </c>
      <c r="Q59">
        <v>3487135</v>
      </c>
      <c r="R59" s="133">
        <v>45855</v>
      </c>
      <c r="T59" t="s">
        <v>225</v>
      </c>
      <c r="U59" t="s">
        <v>129</v>
      </c>
      <c r="V59" t="s">
        <v>142</v>
      </c>
      <c r="W59">
        <v>20100</v>
      </c>
      <c r="X59" t="s">
        <v>1041</v>
      </c>
      <c r="AA59" t="s">
        <v>143</v>
      </c>
      <c r="AB59" t="s">
        <v>144</v>
      </c>
      <c r="AC59">
        <v>11611</v>
      </c>
      <c r="AD59">
        <v>11612</v>
      </c>
      <c r="AF59">
        <v>1</v>
      </c>
    </row>
    <row r="60" spans="1:32" x14ac:dyDescent="0.25">
      <c r="A60">
        <v>1</v>
      </c>
      <c r="B60">
        <v>93</v>
      </c>
      <c r="C60">
        <v>460056</v>
      </c>
      <c r="D60" t="s">
        <v>312</v>
      </c>
      <c r="E60" t="s">
        <v>313</v>
      </c>
      <c r="F60">
        <v>24</v>
      </c>
      <c r="G60" t="s">
        <v>552</v>
      </c>
      <c r="H60" t="s">
        <v>312</v>
      </c>
      <c r="I60" t="s">
        <v>956</v>
      </c>
      <c r="J60" t="s">
        <v>697</v>
      </c>
      <c r="K60" t="s">
        <v>853</v>
      </c>
      <c r="L60">
        <v>2930.7696000000001</v>
      </c>
      <c r="M60">
        <v>70338</v>
      </c>
      <c r="N60">
        <v>3118</v>
      </c>
      <c r="O60">
        <v>74828</v>
      </c>
      <c r="P60">
        <v>3274</v>
      </c>
      <c r="Q60">
        <v>78570</v>
      </c>
      <c r="R60" s="133">
        <v>45553</v>
      </c>
      <c r="S60">
        <v>45945</v>
      </c>
      <c r="T60" t="s">
        <v>225</v>
      </c>
      <c r="U60" t="s">
        <v>129</v>
      </c>
      <c r="V60" t="s">
        <v>142</v>
      </c>
      <c r="W60">
        <v>20200</v>
      </c>
      <c r="X60" t="s">
        <v>557</v>
      </c>
      <c r="Y60" t="s">
        <v>653</v>
      </c>
      <c r="Z60" t="s">
        <v>654</v>
      </c>
      <c r="AA60" t="s">
        <v>143</v>
      </c>
      <c r="AB60" t="s">
        <v>144</v>
      </c>
      <c r="AC60">
        <v>11611</v>
      </c>
      <c r="AD60">
        <v>11612</v>
      </c>
      <c r="AE60">
        <v>123</v>
      </c>
      <c r="AF60">
        <v>1</v>
      </c>
    </row>
    <row r="61" spans="1:32" x14ac:dyDescent="0.25">
      <c r="A61">
        <v>1</v>
      </c>
      <c r="B61">
        <v>95</v>
      </c>
      <c r="C61">
        <v>460179</v>
      </c>
      <c r="D61" t="s">
        <v>312</v>
      </c>
      <c r="E61" t="s">
        <v>316</v>
      </c>
      <c r="F61">
        <v>24</v>
      </c>
      <c r="G61" t="s">
        <v>552</v>
      </c>
      <c r="H61" t="s">
        <v>312</v>
      </c>
      <c r="I61" t="s">
        <v>956</v>
      </c>
      <c r="J61" t="s">
        <v>696</v>
      </c>
      <c r="K61" t="s">
        <v>855</v>
      </c>
      <c r="L61">
        <v>3446.6698000000001</v>
      </c>
      <c r="M61">
        <v>82720</v>
      </c>
      <c r="N61">
        <v>3667</v>
      </c>
      <c r="O61">
        <v>88000</v>
      </c>
      <c r="P61">
        <v>3850</v>
      </c>
      <c r="Q61">
        <v>92400</v>
      </c>
      <c r="R61" s="133">
        <v>45553</v>
      </c>
      <c r="S61">
        <v>45553</v>
      </c>
      <c r="T61" t="s">
        <v>225</v>
      </c>
      <c r="U61" t="s">
        <v>129</v>
      </c>
      <c r="V61" t="s">
        <v>142</v>
      </c>
      <c r="W61">
        <v>20250</v>
      </c>
      <c r="X61" t="s">
        <v>559</v>
      </c>
      <c r="Y61" t="s">
        <v>653</v>
      </c>
      <c r="Z61" t="s">
        <v>654</v>
      </c>
      <c r="AA61" t="s">
        <v>143</v>
      </c>
      <c r="AB61" t="s">
        <v>144</v>
      </c>
      <c r="AC61">
        <v>11611</v>
      </c>
      <c r="AD61">
        <v>11612</v>
      </c>
      <c r="AE61">
        <v>123</v>
      </c>
      <c r="AF61">
        <v>1</v>
      </c>
    </row>
    <row r="62" spans="1:32" x14ac:dyDescent="0.25">
      <c r="A62">
        <v>1</v>
      </c>
      <c r="B62">
        <v>96</v>
      </c>
      <c r="C62">
        <v>460918</v>
      </c>
      <c r="D62" t="s">
        <v>312</v>
      </c>
      <c r="E62" t="s">
        <v>317</v>
      </c>
      <c r="F62">
        <v>24</v>
      </c>
      <c r="G62" t="s">
        <v>552</v>
      </c>
      <c r="H62" t="s">
        <v>312</v>
      </c>
      <c r="I62" t="s">
        <v>956</v>
      </c>
      <c r="J62" t="s">
        <v>698</v>
      </c>
      <c r="K62" t="s">
        <v>856</v>
      </c>
      <c r="L62">
        <v>2930.7696000000001</v>
      </c>
      <c r="M62">
        <v>70338</v>
      </c>
      <c r="N62">
        <v>3118</v>
      </c>
      <c r="O62">
        <v>74828</v>
      </c>
      <c r="P62">
        <v>3118</v>
      </c>
      <c r="Q62">
        <v>74828</v>
      </c>
      <c r="R62" s="133">
        <v>45553</v>
      </c>
      <c r="S62">
        <v>45945</v>
      </c>
      <c r="T62" t="s">
        <v>225</v>
      </c>
      <c r="U62" t="s">
        <v>129</v>
      </c>
      <c r="V62" t="s">
        <v>142</v>
      </c>
      <c r="W62">
        <v>20250</v>
      </c>
      <c r="X62" t="s">
        <v>559</v>
      </c>
      <c r="Y62" t="s">
        <v>653</v>
      </c>
      <c r="Z62" t="s">
        <v>654</v>
      </c>
      <c r="AA62" t="s">
        <v>143</v>
      </c>
      <c r="AB62" t="s">
        <v>144</v>
      </c>
      <c r="AC62">
        <v>11611</v>
      </c>
      <c r="AD62">
        <v>11612</v>
      </c>
      <c r="AE62">
        <v>123</v>
      </c>
      <c r="AF62">
        <v>1</v>
      </c>
    </row>
    <row r="63" spans="1:32" x14ac:dyDescent="0.25">
      <c r="A63">
        <v>1</v>
      </c>
      <c r="B63">
        <v>97</v>
      </c>
      <c r="C63">
        <v>460917</v>
      </c>
      <c r="D63" t="s">
        <v>312</v>
      </c>
      <c r="E63" t="s">
        <v>318</v>
      </c>
      <c r="F63">
        <v>8</v>
      </c>
      <c r="G63" t="s">
        <v>561</v>
      </c>
      <c r="H63" t="s">
        <v>312</v>
      </c>
      <c r="I63" t="s">
        <v>956</v>
      </c>
      <c r="J63" t="s">
        <v>699</v>
      </c>
      <c r="K63" t="s">
        <v>857</v>
      </c>
      <c r="L63">
        <v>6893.3302000000003</v>
      </c>
      <c r="M63">
        <v>55147</v>
      </c>
      <c r="N63">
        <v>7333</v>
      </c>
      <c r="O63">
        <v>58667</v>
      </c>
      <c r="P63">
        <v>7700</v>
      </c>
      <c r="Q63">
        <v>61600</v>
      </c>
      <c r="R63" s="133">
        <v>45553</v>
      </c>
      <c r="S63">
        <v>45553</v>
      </c>
      <c r="T63" t="s">
        <v>225</v>
      </c>
      <c r="U63" t="s">
        <v>129</v>
      </c>
      <c r="V63" t="s">
        <v>142</v>
      </c>
      <c r="W63">
        <v>20250</v>
      </c>
      <c r="X63" t="s">
        <v>559</v>
      </c>
      <c r="Y63" t="s">
        <v>653</v>
      </c>
      <c r="Z63" t="s">
        <v>654</v>
      </c>
      <c r="AA63" t="s">
        <v>143</v>
      </c>
      <c r="AB63" t="s">
        <v>144</v>
      </c>
      <c r="AC63">
        <v>11611</v>
      </c>
      <c r="AD63">
        <v>11612</v>
      </c>
      <c r="AE63">
        <v>123</v>
      </c>
      <c r="AF63">
        <v>1</v>
      </c>
    </row>
    <row r="64" spans="1:32" x14ac:dyDescent="0.25">
      <c r="A64">
        <v>2</v>
      </c>
      <c r="B64">
        <v>99</v>
      </c>
      <c r="C64">
        <v>460174</v>
      </c>
      <c r="D64" t="s">
        <v>312</v>
      </c>
      <c r="E64" t="s">
        <v>315</v>
      </c>
      <c r="F64">
        <v>24</v>
      </c>
      <c r="G64" t="s">
        <v>552</v>
      </c>
      <c r="H64" t="s">
        <v>957</v>
      </c>
      <c r="I64" t="s">
        <v>958</v>
      </c>
      <c r="J64" t="s">
        <v>702</v>
      </c>
      <c r="K64" t="s">
        <v>854</v>
      </c>
      <c r="L64">
        <v>2752.2541999999999</v>
      </c>
      <c r="M64">
        <v>66054</v>
      </c>
      <c r="N64">
        <v>2928</v>
      </c>
      <c r="O64">
        <v>70270</v>
      </c>
      <c r="P64">
        <v>1859</v>
      </c>
      <c r="Q64">
        <v>44619</v>
      </c>
      <c r="R64" s="133">
        <v>45553</v>
      </c>
      <c r="S64">
        <v>45553</v>
      </c>
      <c r="T64" t="s">
        <v>225</v>
      </c>
      <c r="U64" t="s">
        <v>129</v>
      </c>
      <c r="V64" t="s">
        <v>142</v>
      </c>
      <c r="W64">
        <v>20200</v>
      </c>
      <c r="X64" t="s">
        <v>557</v>
      </c>
      <c r="Y64" t="s">
        <v>653</v>
      </c>
      <c r="Z64" t="s">
        <v>654</v>
      </c>
      <c r="AA64" t="s">
        <v>143</v>
      </c>
      <c r="AB64" t="s">
        <v>144</v>
      </c>
      <c r="AC64">
        <v>11611</v>
      </c>
      <c r="AD64">
        <v>11612</v>
      </c>
      <c r="AE64">
        <v>123</v>
      </c>
      <c r="AF64">
        <v>1</v>
      </c>
    </row>
    <row r="65" spans="1:32" x14ac:dyDescent="0.25">
      <c r="A65">
        <v>1</v>
      </c>
      <c r="B65">
        <v>101</v>
      </c>
      <c r="C65">
        <v>460194</v>
      </c>
      <c r="D65" t="s">
        <v>320</v>
      </c>
      <c r="E65" t="s">
        <v>322</v>
      </c>
      <c r="F65">
        <v>24</v>
      </c>
      <c r="G65" t="s">
        <v>552</v>
      </c>
      <c r="H65" t="s">
        <v>957</v>
      </c>
      <c r="I65" t="s">
        <v>958</v>
      </c>
      <c r="J65" t="s">
        <v>700</v>
      </c>
      <c r="K65" t="s">
        <v>858</v>
      </c>
      <c r="L65">
        <v>3556.7720000000004</v>
      </c>
      <c r="M65">
        <v>85363</v>
      </c>
      <c r="N65">
        <v>3784</v>
      </c>
      <c r="O65">
        <v>90811</v>
      </c>
      <c r="P65">
        <v>4086</v>
      </c>
      <c r="Q65">
        <v>98076</v>
      </c>
      <c r="R65" s="133">
        <v>45553</v>
      </c>
      <c r="S65">
        <v>45553</v>
      </c>
      <c r="T65" t="s">
        <v>225</v>
      </c>
      <c r="U65" t="s">
        <v>129</v>
      </c>
      <c r="V65" t="s">
        <v>142</v>
      </c>
      <c r="W65">
        <v>20200</v>
      </c>
      <c r="X65" t="s">
        <v>557</v>
      </c>
      <c r="Y65" t="s">
        <v>653</v>
      </c>
      <c r="Z65" t="s">
        <v>654</v>
      </c>
      <c r="AA65" t="s">
        <v>143</v>
      </c>
      <c r="AB65" t="s">
        <v>144</v>
      </c>
      <c r="AC65">
        <v>11611</v>
      </c>
      <c r="AD65">
        <v>11612</v>
      </c>
      <c r="AE65">
        <v>123</v>
      </c>
      <c r="AF65">
        <v>1</v>
      </c>
    </row>
    <row r="66" spans="1:32" x14ac:dyDescent="0.25">
      <c r="A66">
        <v>1</v>
      </c>
      <c r="B66">
        <v>102</v>
      </c>
      <c r="C66">
        <v>460195</v>
      </c>
      <c r="D66" t="s">
        <v>320</v>
      </c>
      <c r="E66" t="s">
        <v>323</v>
      </c>
      <c r="F66">
        <v>24</v>
      </c>
      <c r="G66" t="s">
        <v>552</v>
      </c>
      <c r="H66" t="s">
        <v>957</v>
      </c>
      <c r="I66" t="s">
        <v>958</v>
      </c>
      <c r="J66" t="s">
        <v>701</v>
      </c>
      <c r="K66" t="s">
        <v>859</v>
      </c>
      <c r="L66">
        <v>3556.7720000000004</v>
      </c>
      <c r="M66">
        <v>85363</v>
      </c>
      <c r="N66">
        <v>3784</v>
      </c>
      <c r="O66">
        <v>90811</v>
      </c>
      <c r="P66">
        <v>4086</v>
      </c>
      <c r="Q66">
        <v>98076</v>
      </c>
      <c r="R66" s="133">
        <v>45553</v>
      </c>
      <c r="S66">
        <v>45553</v>
      </c>
      <c r="T66" t="s">
        <v>225</v>
      </c>
      <c r="U66" t="s">
        <v>129</v>
      </c>
      <c r="V66" t="s">
        <v>142</v>
      </c>
      <c r="W66">
        <v>20200</v>
      </c>
      <c r="X66" t="s">
        <v>557</v>
      </c>
      <c r="Y66" t="s">
        <v>653</v>
      </c>
      <c r="Z66" t="s">
        <v>654</v>
      </c>
      <c r="AA66" t="s">
        <v>143</v>
      </c>
      <c r="AB66" t="s">
        <v>144</v>
      </c>
      <c r="AC66">
        <v>11611</v>
      </c>
      <c r="AD66">
        <v>11612</v>
      </c>
      <c r="AE66">
        <v>123</v>
      </c>
      <c r="AF66">
        <v>1</v>
      </c>
    </row>
    <row r="67" spans="1:32" x14ac:dyDescent="0.25">
      <c r="A67">
        <v>1</v>
      </c>
      <c r="B67">
        <v>103</v>
      </c>
      <c r="C67">
        <v>460164</v>
      </c>
      <c r="D67" t="s">
        <v>324</v>
      </c>
      <c r="E67" t="s">
        <v>325</v>
      </c>
      <c r="F67">
        <v>24</v>
      </c>
      <c r="G67" t="s">
        <v>552</v>
      </c>
      <c r="H67" t="s">
        <v>562</v>
      </c>
      <c r="I67" t="s">
        <v>959</v>
      </c>
      <c r="J67" t="s">
        <v>703</v>
      </c>
      <c r="K67" t="s">
        <v>860</v>
      </c>
      <c r="L67">
        <v>6140.6533999999992</v>
      </c>
      <c r="M67">
        <v>147376</v>
      </c>
      <c r="N67">
        <v>6533</v>
      </c>
      <c r="O67">
        <v>156783</v>
      </c>
      <c r="P67">
        <v>7055</v>
      </c>
      <c r="Q67">
        <v>169325</v>
      </c>
      <c r="R67" s="133">
        <v>45553</v>
      </c>
      <c r="S67">
        <v>45945</v>
      </c>
      <c r="T67" t="s">
        <v>225</v>
      </c>
      <c r="U67" t="s">
        <v>129</v>
      </c>
      <c r="V67" t="s">
        <v>142</v>
      </c>
      <c r="W67">
        <v>20250</v>
      </c>
      <c r="X67" t="s">
        <v>559</v>
      </c>
      <c r="Y67" t="s">
        <v>653</v>
      </c>
      <c r="Z67" t="s">
        <v>654</v>
      </c>
      <c r="AA67" t="s">
        <v>143</v>
      </c>
      <c r="AB67" t="s">
        <v>144</v>
      </c>
      <c r="AC67">
        <v>11611</v>
      </c>
      <c r="AD67">
        <v>11612</v>
      </c>
      <c r="AE67">
        <v>123</v>
      </c>
      <c r="AF67">
        <v>1</v>
      </c>
    </row>
    <row r="68" spans="1:32" x14ac:dyDescent="0.25">
      <c r="A68">
        <v>1</v>
      </c>
      <c r="B68">
        <v>105</v>
      </c>
      <c r="C68">
        <v>460165</v>
      </c>
      <c r="D68" t="s">
        <v>324</v>
      </c>
      <c r="E68" t="s">
        <v>327</v>
      </c>
      <c r="F68">
        <v>12</v>
      </c>
      <c r="G68" t="s">
        <v>552</v>
      </c>
      <c r="H68" t="s">
        <v>562</v>
      </c>
      <c r="I68" t="s">
        <v>959</v>
      </c>
      <c r="J68" t="s">
        <v>760</v>
      </c>
      <c r="K68" t="s">
        <v>861</v>
      </c>
      <c r="L68">
        <v>20629.192999999999</v>
      </c>
      <c r="M68">
        <v>247550</v>
      </c>
      <c r="N68">
        <v>21946</v>
      </c>
      <c r="O68">
        <v>263351</v>
      </c>
      <c r="P68">
        <v>23702</v>
      </c>
      <c r="Q68">
        <v>284420</v>
      </c>
      <c r="R68" s="133">
        <v>45553</v>
      </c>
      <c r="S68">
        <v>45553</v>
      </c>
      <c r="T68" t="s">
        <v>225</v>
      </c>
      <c r="U68" t="s">
        <v>129</v>
      </c>
      <c r="V68" t="s">
        <v>142</v>
      </c>
      <c r="W68">
        <v>21001</v>
      </c>
      <c r="X68" t="s">
        <v>563</v>
      </c>
      <c r="Y68" t="s">
        <v>653</v>
      </c>
      <c r="Z68" t="s">
        <v>654</v>
      </c>
      <c r="AA68" t="s">
        <v>143</v>
      </c>
      <c r="AB68" t="s">
        <v>144</v>
      </c>
      <c r="AC68">
        <v>11611</v>
      </c>
      <c r="AD68">
        <v>11612</v>
      </c>
      <c r="AE68">
        <v>123</v>
      </c>
      <c r="AF68">
        <v>1</v>
      </c>
    </row>
    <row r="69" spans="1:32" x14ac:dyDescent="0.25">
      <c r="A69">
        <v>1</v>
      </c>
      <c r="B69">
        <v>107</v>
      </c>
      <c r="C69">
        <v>460061</v>
      </c>
      <c r="D69" t="s">
        <v>324</v>
      </c>
      <c r="E69" t="s">
        <v>329</v>
      </c>
      <c r="F69">
        <v>24</v>
      </c>
      <c r="G69" t="s">
        <v>552</v>
      </c>
      <c r="H69" t="s">
        <v>562</v>
      </c>
      <c r="I69" t="s">
        <v>959</v>
      </c>
      <c r="J69" t="s">
        <v>704</v>
      </c>
      <c r="K69" t="s">
        <v>862</v>
      </c>
      <c r="L69">
        <v>6140.6533999999992</v>
      </c>
      <c r="M69">
        <v>147376</v>
      </c>
      <c r="N69">
        <v>6533</v>
      </c>
      <c r="O69">
        <v>156783</v>
      </c>
      <c r="P69">
        <v>7055</v>
      </c>
      <c r="Q69">
        <v>169325</v>
      </c>
      <c r="R69" s="133">
        <v>45553</v>
      </c>
      <c r="S69">
        <v>45945</v>
      </c>
      <c r="T69" t="s">
        <v>225</v>
      </c>
      <c r="U69" t="s">
        <v>129</v>
      </c>
      <c r="V69" t="s">
        <v>142</v>
      </c>
      <c r="W69">
        <v>20250</v>
      </c>
      <c r="X69" t="s">
        <v>559</v>
      </c>
      <c r="Y69" t="s">
        <v>653</v>
      </c>
      <c r="Z69" t="s">
        <v>654</v>
      </c>
      <c r="AA69" t="s">
        <v>143</v>
      </c>
      <c r="AB69" t="s">
        <v>144</v>
      </c>
      <c r="AC69">
        <v>11611</v>
      </c>
      <c r="AD69">
        <v>11612</v>
      </c>
      <c r="AE69">
        <v>123</v>
      </c>
      <c r="AF69">
        <v>1</v>
      </c>
    </row>
    <row r="70" spans="1:32" x14ac:dyDescent="0.25">
      <c r="A70">
        <v>1</v>
      </c>
      <c r="B70">
        <v>109</v>
      </c>
      <c r="C70">
        <v>460189</v>
      </c>
      <c r="D70" t="s">
        <v>324</v>
      </c>
      <c r="E70" t="s">
        <v>331</v>
      </c>
      <c r="F70">
        <v>12</v>
      </c>
      <c r="G70" t="s">
        <v>552</v>
      </c>
      <c r="H70" t="s">
        <v>562</v>
      </c>
      <c r="I70" t="s">
        <v>959</v>
      </c>
      <c r="J70" t="s">
        <v>761</v>
      </c>
      <c r="K70" t="s">
        <v>863</v>
      </c>
      <c r="L70">
        <v>20629.192999999999</v>
      </c>
      <c r="M70">
        <v>247550</v>
      </c>
      <c r="N70">
        <v>21946</v>
      </c>
      <c r="O70">
        <v>263351</v>
      </c>
      <c r="P70">
        <v>23702</v>
      </c>
      <c r="Q70">
        <v>284420</v>
      </c>
      <c r="R70" s="133">
        <v>45553</v>
      </c>
      <c r="S70">
        <v>45553</v>
      </c>
      <c r="T70" t="s">
        <v>225</v>
      </c>
      <c r="U70" t="s">
        <v>129</v>
      </c>
      <c r="V70" t="s">
        <v>142</v>
      </c>
      <c r="W70">
        <v>21001</v>
      </c>
      <c r="X70" t="s">
        <v>563</v>
      </c>
      <c r="Y70" t="s">
        <v>653</v>
      </c>
      <c r="Z70" t="s">
        <v>654</v>
      </c>
      <c r="AA70" t="s">
        <v>143</v>
      </c>
      <c r="AB70" t="s">
        <v>144</v>
      </c>
      <c r="AC70">
        <v>11611</v>
      </c>
      <c r="AD70">
        <v>11612</v>
      </c>
      <c r="AE70">
        <v>123</v>
      </c>
      <c r="AF70">
        <v>1</v>
      </c>
    </row>
    <row r="71" spans="1:32" x14ac:dyDescent="0.25">
      <c r="A71">
        <v>1</v>
      </c>
      <c r="B71">
        <v>110</v>
      </c>
      <c r="C71">
        <v>460192</v>
      </c>
      <c r="D71" t="s">
        <v>324</v>
      </c>
      <c r="E71" t="s">
        <v>332</v>
      </c>
      <c r="F71">
        <v>24</v>
      </c>
      <c r="G71" t="s">
        <v>552</v>
      </c>
      <c r="H71" t="s">
        <v>562</v>
      </c>
      <c r="I71" t="s">
        <v>959</v>
      </c>
      <c r="J71" t="s">
        <v>705</v>
      </c>
      <c r="K71" t="s">
        <v>864</v>
      </c>
      <c r="L71">
        <v>6140.6533999999992</v>
      </c>
      <c r="M71">
        <v>147376</v>
      </c>
      <c r="N71">
        <v>6533</v>
      </c>
      <c r="O71">
        <v>156783</v>
      </c>
      <c r="P71">
        <v>7055</v>
      </c>
      <c r="Q71">
        <v>169325</v>
      </c>
      <c r="R71" s="133">
        <v>45553</v>
      </c>
      <c r="S71">
        <v>45945</v>
      </c>
      <c r="T71" t="s">
        <v>225</v>
      </c>
      <c r="U71" t="s">
        <v>129</v>
      </c>
      <c r="V71" t="s">
        <v>142</v>
      </c>
      <c r="W71">
        <v>20250</v>
      </c>
      <c r="X71" t="s">
        <v>559</v>
      </c>
      <c r="Y71" t="s">
        <v>653</v>
      </c>
      <c r="Z71" t="s">
        <v>654</v>
      </c>
      <c r="AA71" t="s">
        <v>143</v>
      </c>
      <c r="AB71" t="s">
        <v>144</v>
      </c>
      <c r="AC71">
        <v>11611</v>
      </c>
      <c r="AD71">
        <v>11612</v>
      </c>
      <c r="AE71">
        <v>123</v>
      </c>
      <c r="AF71">
        <v>1</v>
      </c>
    </row>
    <row r="72" spans="1:32" x14ac:dyDescent="0.25">
      <c r="A72">
        <v>1</v>
      </c>
      <c r="B72">
        <v>111</v>
      </c>
      <c r="C72">
        <v>460193</v>
      </c>
      <c r="D72" t="s">
        <v>324</v>
      </c>
      <c r="E72" t="s">
        <v>333</v>
      </c>
      <c r="F72">
        <v>12</v>
      </c>
      <c r="G72" t="s">
        <v>552</v>
      </c>
      <c r="H72" t="s">
        <v>562</v>
      </c>
      <c r="I72" t="s">
        <v>959</v>
      </c>
      <c r="J72" t="s">
        <v>762</v>
      </c>
      <c r="K72" t="s">
        <v>865</v>
      </c>
      <c r="L72">
        <v>20629.192999999999</v>
      </c>
      <c r="M72">
        <v>247550</v>
      </c>
      <c r="N72">
        <v>21946</v>
      </c>
      <c r="O72">
        <v>263351</v>
      </c>
      <c r="P72">
        <v>23702</v>
      </c>
      <c r="Q72">
        <v>284420</v>
      </c>
      <c r="R72" s="133">
        <v>45553</v>
      </c>
      <c r="S72">
        <v>45553</v>
      </c>
      <c r="T72" t="s">
        <v>225</v>
      </c>
      <c r="U72" t="s">
        <v>129</v>
      </c>
      <c r="V72" t="s">
        <v>142</v>
      </c>
      <c r="W72">
        <v>21001</v>
      </c>
      <c r="X72" t="s">
        <v>563</v>
      </c>
      <c r="Y72" t="s">
        <v>653</v>
      </c>
      <c r="Z72" t="s">
        <v>654</v>
      </c>
      <c r="AA72" t="s">
        <v>143</v>
      </c>
      <c r="AB72" t="s">
        <v>144</v>
      </c>
      <c r="AC72">
        <v>11611</v>
      </c>
      <c r="AD72">
        <v>11612</v>
      </c>
      <c r="AE72">
        <v>123</v>
      </c>
      <c r="AF72">
        <v>1</v>
      </c>
    </row>
    <row r="73" spans="1:32" x14ac:dyDescent="0.25">
      <c r="A73">
        <v>1</v>
      </c>
      <c r="B73">
        <v>112</v>
      </c>
      <c r="C73">
        <v>460060</v>
      </c>
      <c r="D73" t="s">
        <v>324</v>
      </c>
      <c r="E73" t="s">
        <v>334</v>
      </c>
      <c r="F73">
        <v>24</v>
      </c>
      <c r="G73" t="s">
        <v>552</v>
      </c>
      <c r="H73" t="s">
        <v>562</v>
      </c>
      <c r="I73" t="s">
        <v>959</v>
      </c>
      <c r="J73" t="s">
        <v>706</v>
      </c>
      <c r="K73" t="s">
        <v>866</v>
      </c>
      <c r="L73">
        <v>6140.6533999999992</v>
      </c>
      <c r="M73">
        <v>147376</v>
      </c>
      <c r="N73">
        <v>6533</v>
      </c>
      <c r="O73">
        <v>156783</v>
      </c>
      <c r="P73">
        <v>7055</v>
      </c>
      <c r="Q73">
        <v>169325</v>
      </c>
      <c r="R73" s="133">
        <v>45553</v>
      </c>
      <c r="S73">
        <v>45945</v>
      </c>
      <c r="T73" t="s">
        <v>225</v>
      </c>
      <c r="U73" t="s">
        <v>129</v>
      </c>
      <c r="V73" t="s">
        <v>142</v>
      </c>
      <c r="W73">
        <v>20250</v>
      </c>
      <c r="X73" t="s">
        <v>559</v>
      </c>
      <c r="Y73" t="s">
        <v>653</v>
      </c>
      <c r="Z73" t="s">
        <v>654</v>
      </c>
      <c r="AA73" t="s">
        <v>143</v>
      </c>
      <c r="AB73" t="s">
        <v>144</v>
      </c>
      <c r="AC73">
        <v>11611</v>
      </c>
      <c r="AD73">
        <v>11612</v>
      </c>
      <c r="AE73">
        <v>123</v>
      </c>
      <c r="AF73">
        <v>1</v>
      </c>
    </row>
    <row r="74" spans="1:32" x14ac:dyDescent="0.25">
      <c r="A74">
        <v>1</v>
      </c>
      <c r="B74">
        <v>114</v>
      </c>
      <c r="C74">
        <v>460054</v>
      </c>
      <c r="D74" t="s">
        <v>324</v>
      </c>
      <c r="E74" t="s">
        <v>336</v>
      </c>
      <c r="F74">
        <v>24</v>
      </c>
      <c r="G74" t="s">
        <v>552</v>
      </c>
      <c r="H74" t="s">
        <v>562</v>
      </c>
      <c r="I74" t="s">
        <v>959</v>
      </c>
      <c r="J74" t="s">
        <v>707</v>
      </c>
      <c r="K74" t="s">
        <v>867</v>
      </c>
      <c r="L74">
        <v>6140.6533999999992</v>
      </c>
      <c r="M74">
        <v>147376</v>
      </c>
      <c r="N74">
        <v>6533</v>
      </c>
      <c r="O74">
        <v>156783</v>
      </c>
      <c r="P74">
        <v>7055</v>
      </c>
      <c r="Q74">
        <v>169325</v>
      </c>
      <c r="R74" s="133">
        <v>45553</v>
      </c>
      <c r="S74">
        <v>45945</v>
      </c>
      <c r="T74" t="s">
        <v>225</v>
      </c>
      <c r="U74" t="s">
        <v>129</v>
      </c>
      <c r="V74" t="s">
        <v>142</v>
      </c>
      <c r="W74">
        <v>20250</v>
      </c>
      <c r="X74" t="s">
        <v>559</v>
      </c>
      <c r="Y74" t="s">
        <v>653</v>
      </c>
      <c r="Z74" t="s">
        <v>654</v>
      </c>
      <c r="AA74" t="s">
        <v>143</v>
      </c>
      <c r="AB74" t="s">
        <v>144</v>
      </c>
      <c r="AC74">
        <v>11611</v>
      </c>
      <c r="AD74">
        <v>11612</v>
      </c>
      <c r="AE74">
        <v>123</v>
      </c>
      <c r="AF74">
        <v>1</v>
      </c>
    </row>
    <row r="75" spans="1:32" x14ac:dyDescent="0.25">
      <c r="A75">
        <v>1</v>
      </c>
      <c r="B75">
        <v>116</v>
      </c>
      <c r="C75">
        <v>460055</v>
      </c>
      <c r="D75" t="s">
        <v>324</v>
      </c>
      <c r="E75" t="s">
        <v>338</v>
      </c>
      <c r="F75">
        <v>24</v>
      </c>
      <c r="G75" t="s">
        <v>552</v>
      </c>
      <c r="H75" t="s">
        <v>562</v>
      </c>
      <c r="I75" t="s">
        <v>959</v>
      </c>
      <c r="J75" t="s">
        <v>708</v>
      </c>
      <c r="K75" t="s">
        <v>868</v>
      </c>
      <c r="L75">
        <v>6140.6533999999992</v>
      </c>
      <c r="M75">
        <v>147376</v>
      </c>
      <c r="N75">
        <v>6533</v>
      </c>
      <c r="O75">
        <v>156783</v>
      </c>
      <c r="P75">
        <v>7055</v>
      </c>
      <c r="Q75">
        <v>169325</v>
      </c>
      <c r="R75" s="133">
        <v>45553</v>
      </c>
      <c r="S75">
        <v>45945</v>
      </c>
      <c r="T75" t="s">
        <v>225</v>
      </c>
      <c r="U75" t="s">
        <v>129</v>
      </c>
      <c r="V75" t="s">
        <v>142</v>
      </c>
      <c r="W75">
        <v>20250</v>
      </c>
      <c r="X75" t="s">
        <v>559</v>
      </c>
      <c r="Y75" t="s">
        <v>653</v>
      </c>
      <c r="Z75" t="s">
        <v>654</v>
      </c>
      <c r="AA75" t="s">
        <v>143</v>
      </c>
      <c r="AB75" t="s">
        <v>144</v>
      </c>
      <c r="AC75">
        <v>11611</v>
      </c>
      <c r="AD75">
        <v>11612</v>
      </c>
      <c r="AE75">
        <v>123</v>
      </c>
      <c r="AF75">
        <v>1</v>
      </c>
    </row>
    <row r="76" spans="1:32" x14ac:dyDescent="0.25">
      <c r="A76">
        <v>1</v>
      </c>
      <c r="B76">
        <v>118</v>
      </c>
      <c r="C76">
        <v>460182</v>
      </c>
      <c r="D76" t="s">
        <v>340</v>
      </c>
      <c r="E76" t="s">
        <v>341</v>
      </c>
      <c r="F76">
        <v>24</v>
      </c>
      <c r="G76" t="s">
        <v>552</v>
      </c>
      <c r="H76" t="s">
        <v>340</v>
      </c>
      <c r="I76" t="s">
        <v>960</v>
      </c>
      <c r="J76" t="s">
        <v>763</v>
      </c>
      <c r="K76" t="s">
        <v>869</v>
      </c>
      <c r="L76">
        <v>3707.0686000000001</v>
      </c>
      <c r="M76">
        <v>88970</v>
      </c>
      <c r="N76">
        <v>3944</v>
      </c>
      <c r="O76">
        <v>94649</v>
      </c>
      <c r="P76">
        <v>4259</v>
      </c>
      <c r="Q76">
        <v>102221</v>
      </c>
      <c r="R76" s="133">
        <v>45553</v>
      </c>
      <c r="S76">
        <v>45945</v>
      </c>
      <c r="T76" t="s">
        <v>225</v>
      </c>
      <c r="U76" t="s">
        <v>129</v>
      </c>
      <c r="V76" t="s">
        <v>142</v>
      </c>
      <c r="W76">
        <v>20250</v>
      </c>
      <c r="X76" t="s">
        <v>559</v>
      </c>
      <c r="Y76" t="s">
        <v>653</v>
      </c>
      <c r="Z76" t="s">
        <v>654</v>
      </c>
      <c r="AA76" t="s">
        <v>143</v>
      </c>
      <c r="AB76" t="s">
        <v>144</v>
      </c>
      <c r="AC76">
        <v>11611</v>
      </c>
      <c r="AD76">
        <v>11612</v>
      </c>
      <c r="AE76">
        <v>123</v>
      </c>
      <c r="AF76">
        <v>1</v>
      </c>
    </row>
    <row r="77" spans="1:32" x14ac:dyDescent="0.25">
      <c r="A77">
        <v>1</v>
      </c>
      <c r="B77">
        <v>284</v>
      </c>
      <c r="C77">
        <v>410076</v>
      </c>
      <c r="E77" t="s">
        <v>1082</v>
      </c>
      <c r="F77">
        <v>6</v>
      </c>
      <c r="G77" t="s">
        <v>545</v>
      </c>
      <c r="H77" t="s">
        <v>961</v>
      </c>
      <c r="I77" t="s">
        <v>962</v>
      </c>
      <c r="J77" t="s">
        <v>1085</v>
      </c>
      <c r="K77" t="s">
        <v>1087</v>
      </c>
      <c r="L77">
        <v>25405.38</v>
      </c>
      <c r="M77">
        <v>152432</v>
      </c>
      <c r="N77">
        <v>27027</v>
      </c>
      <c r="O77">
        <v>162162</v>
      </c>
      <c r="P77">
        <v>29189</v>
      </c>
      <c r="Q77">
        <v>175135</v>
      </c>
      <c r="R77" s="133">
        <v>45680</v>
      </c>
      <c r="T77" t="s">
        <v>225</v>
      </c>
      <c r="U77" t="s">
        <v>129</v>
      </c>
      <c r="V77" t="s">
        <v>142</v>
      </c>
      <c r="W77">
        <v>20028</v>
      </c>
      <c r="X77" t="s">
        <v>1083</v>
      </c>
      <c r="AA77" t="s">
        <v>143</v>
      </c>
      <c r="AB77" t="s">
        <v>144</v>
      </c>
      <c r="AC77">
        <v>11611</v>
      </c>
      <c r="AD77">
        <v>11612</v>
      </c>
      <c r="AF77">
        <v>1</v>
      </c>
    </row>
    <row r="78" spans="1:32" x14ac:dyDescent="0.25">
      <c r="A78">
        <v>1</v>
      </c>
      <c r="B78">
        <v>119</v>
      </c>
      <c r="C78">
        <v>410066</v>
      </c>
      <c r="D78" t="s">
        <v>342</v>
      </c>
      <c r="E78" t="s">
        <v>343</v>
      </c>
      <c r="F78">
        <v>12</v>
      </c>
      <c r="G78" t="s">
        <v>486</v>
      </c>
      <c r="H78" t="s">
        <v>961</v>
      </c>
      <c r="I78" t="s">
        <v>962</v>
      </c>
      <c r="J78" t="s">
        <v>709</v>
      </c>
      <c r="K78" t="s">
        <v>870</v>
      </c>
      <c r="L78">
        <v>21918.515800000001</v>
      </c>
      <c r="M78">
        <v>263022</v>
      </c>
      <c r="N78">
        <v>23318</v>
      </c>
      <c r="O78">
        <v>279811</v>
      </c>
      <c r="P78">
        <v>25183</v>
      </c>
      <c r="Q78">
        <v>302199</v>
      </c>
      <c r="R78" s="133">
        <v>45553</v>
      </c>
      <c r="S78">
        <v>45553</v>
      </c>
      <c r="T78" t="s">
        <v>225</v>
      </c>
      <c r="U78" t="s">
        <v>129</v>
      </c>
      <c r="V78" t="s">
        <v>142</v>
      </c>
      <c r="W78">
        <v>20460</v>
      </c>
      <c r="X78" t="s">
        <v>571</v>
      </c>
      <c r="Y78" t="s">
        <v>653</v>
      </c>
      <c r="Z78" t="s">
        <v>654</v>
      </c>
      <c r="AA78" t="s">
        <v>143</v>
      </c>
      <c r="AB78" t="s">
        <v>144</v>
      </c>
      <c r="AC78">
        <v>11611</v>
      </c>
      <c r="AD78">
        <v>11612</v>
      </c>
      <c r="AE78">
        <v>123</v>
      </c>
      <c r="AF78">
        <v>1</v>
      </c>
    </row>
    <row r="79" spans="1:32" x14ac:dyDescent="0.25">
      <c r="A79">
        <v>1</v>
      </c>
      <c r="B79">
        <v>121</v>
      </c>
      <c r="C79">
        <v>410068</v>
      </c>
      <c r="D79" t="s">
        <v>342</v>
      </c>
      <c r="E79" t="s">
        <v>345</v>
      </c>
      <c r="F79">
        <v>12</v>
      </c>
      <c r="G79" t="s">
        <v>486</v>
      </c>
      <c r="H79" t="s">
        <v>961</v>
      </c>
      <c r="I79" t="s">
        <v>962</v>
      </c>
      <c r="J79" t="s">
        <v>710</v>
      </c>
      <c r="K79" t="s">
        <v>871</v>
      </c>
      <c r="L79">
        <v>21918.515800000001</v>
      </c>
      <c r="M79">
        <v>263022</v>
      </c>
      <c r="N79">
        <v>23318</v>
      </c>
      <c r="O79">
        <v>279811</v>
      </c>
      <c r="P79">
        <v>25183</v>
      </c>
      <c r="Q79">
        <v>302199</v>
      </c>
      <c r="R79" s="133">
        <v>45553</v>
      </c>
      <c r="S79">
        <v>45553</v>
      </c>
      <c r="T79" t="s">
        <v>225</v>
      </c>
      <c r="U79" t="s">
        <v>129</v>
      </c>
      <c r="V79" t="s">
        <v>142</v>
      </c>
      <c r="W79">
        <v>20460</v>
      </c>
      <c r="X79" t="s">
        <v>571</v>
      </c>
      <c r="Y79" t="s">
        <v>653</v>
      </c>
      <c r="Z79" t="s">
        <v>654</v>
      </c>
      <c r="AA79" t="s">
        <v>143</v>
      </c>
      <c r="AB79" t="s">
        <v>144</v>
      </c>
      <c r="AC79">
        <v>11611</v>
      </c>
      <c r="AD79">
        <v>11612</v>
      </c>
      <c r="AE79">
        <v>123</v>
      </c>
      <c r="AF79">
        <v>1</v>
      </c>
    </row>
    <row r="80" spans="1:32" x14ac:dyDescent="0.25">
      <c r="A80">
        <v>1</v>
      </c>
      <c r="B80">
        <v>123</v>
      </c>
      <c r="C80">
        <v>400129</v>
      </c>
      <c r="D80" t="s">
        <v>347</v>
      </c>
      <c r="E80" t="s">
        <v>348</v>
      </c>
      <c r="F80">
        <v>12</v>
      </c>
      <c r="G80" t="s">
        <v>486</v>
      </c>
      <c r="H80" t="s">
        <v>963</v>
      </c>
      <c r="I80" t="s">
        <v>964</v>
      </c>
      <c r="J80" t="s">
        <v>711</v>
      </c>
      <c r="K80" t="s">
        <v>872</v>
      </c>
      <c r="L80">
        <v>12759.8608</v>
      </c>
      <c r="M80">
        <v>153118</v>
      </c>
      <c r="N80">
        <v>13574</v>
      </c>
      <c r="O80">
        <v>162892</v>
      </c>
      <c r="P80">
        <v>13574</v>
      </c>
      <c r="Q80">
        <v>162892</v>
      </c>
      <c r="R80" s="133">
        <v>45553</v>
      </c>
      <c r="S80">
        <v>45553</v>
      </c>
      <c r="T80" t="s">
        <v>225</v>
      </c>
      <c r="U80" t="s">
        <v>129</v>
      </c>
      <c r="V80" t="s">
        <v>142</v>
      </c>
      <c r="W80">
        <v>20450</v>
      </c>
      <c r="X80" t="s">
        <v>574</v>
      </c>
      <c r="Y80" t="s">
        <v>653</v>
      </c>
      <c r="Z80" t="s">
        <v>654</v>
      </c>
      <c r="AA80" t="s">
        <v>143</v>
      </c>
      <c r="AB80" t="s">
        <v>144</v>
      </c>
      <c r="AC80">
        <v>11611</v>
      </c>
      <c r="AD80">
        <v>11612</v>
      </c>
      <c r="AE80">
        <v>123</v>
      </c>
      <c r="AF80">
        <v>1</v>
      </c>
    </row>
    <row r="81" spans="1:32" x14ac:dyDescent="0.25">
      <c r="A81">
        <v>3</v>
      </c>
      <c r="B81">
        <v>284</v>
      </c>
      <c r="C81">
        <v>400154</v>
      </c>
      <c r="E81" t="s">
        <v>1088</v>
      </c>
      <c r="F81">
        <v>12</v>
      </c>
      <c r="G81" t="s">
        <v>486</v>
      </c>
      <c r="H81" t="s">
        <v>963</v>
      </c>
      <c r="I81" t="s">
        <v>964</v>
      </c>
      <c r="J81" t="s">
        <v>1090</v>
      </c>
      <c r="K81" t="s">
        <v>1091</v>
      </c>
      <c r="L81">
        <v>12759.870199999999</v>
      </c>
      <c r="M81">
        <v>153118</v>
      </c>
      <c r="N81">
        <v>13574</v>
      </c>
      <c r="O81">
        <v>162892</v>
      </c>
      <c r="P81">
        <v>13574</v>
      </c>
      <c r="Q81">
        <v>162892</v>
      </c>
      <c r="R81" s="133">
        <v>45685</v>
      </c>
      <c r="T81" t="s">
        <v>225</v>
      </c>
      <c r="U81" t="s">
        <v>129</v>
      </c>
      <c r="V81" t="s">
        <v>142</v>
      </c>
      <c r="W81">
        <v>20425</v>
      </c>
      <c r="X81" t="s">
        <v>1089</v>
      </c>
      <c r="AA81" t="s">
        <v>143</v>
      </c>
      <c r="AB81" t="s">
        <v>144</v>
      </c>
      <c r="AC81">
        <v>11611</v>
      </c>
      <c r="AD81">
        <v>11612</v>
      </c>
      <c r="AF81">
        <v>1</v>
      </c>
    </row>
    <row r="82" spans="1:32" x14ac:dyDescent="0.25">
      <c r="A82">
        <v>1</v>
      </c>
      <c r="B82">
        <v>125</v>
      </c>
      <c r="C82">
        <v>400132</v>
      </c>
      <c r="D82" t="s">
        <v>347</v>
      </c>
      <c r="E82" t="s">
        <v>350</v>
      </c>
      <c r="F82">
        <v>12</v>
      </c>
      <c r="G82" t="s">
        <v>486</v>
      </c>
      <c r="H82" t="s">
        <v>963</v>
      </c>
      <c r="I82" t="s">
        <v>964</v>
      </c>
      <c r="J82" t="s">
        <v>712</v>
      </c>
      <c r="K82" t="s">
        <v>873</v>
      </c>
      <c r="L82">
        <v>12759.8608</v>
      </c>
      <c r="M82">
        <v>153118</v>
      </c>
      <c r="N82">
        <v>13574</v>
      </c>
      <c r="O82">
        <v>162892</v>
      </c>
      <c r="P82">
        <v>13574</v>
      </c>
      <c r="Q82">
        <v>162892</v>
      </c>
      <c r="R82" s="133">
        <v>45553</v>
      </c>
      <c r="S82">
        <v>45553</v>
      </c>
      <c r="T82" t="s">
        <v>225</v>
      </c>
      <c r="U82" t="s">
        <v>129</v>
      </c>
      <c r="V82" t="s">
        <v>142</v>
      </c>
      <c r="W82">
        <v>20450</v>
      </c>
      <c r="X82" t="s">
        <v>574</v>
      </c>
      <c r="Y82" t="s">
        <v>653</v>
      </c>
      <c r="Z82" t="s">
        <v>654</v>
      </c>
      <c r="AA82" t="s">
        <v>143</v>
      </c>
      <c r="AB82" t="s">
        <v>144</v>
      </c>
      <c r="AC82">
        <v>11611</v>
      </c>
      <c r="AD82">
        <v>11612</v>
      </c>
      <c r="AE82">
        <v>123</v>
      </c>
      <c r="AF82">
        <v>1</v>
      </c>
    </row>
    <row r="83" spans="1:32" x14ac:dyDescent="0.25">
      <c r="A83">
        <v>1</v>
      </c>
      <c r="B83">
        <v>127</v>
      </c>
      <c r="C83">
        <v>400133</v>
      </c>
      <c r="D83" t="s">
        <v>347</v>
      </c>
      <c r="E83" t="s">
        <v>352</v>
      </c>
      <c r="F83">
        <v>12</v>
      </c>
      <c r="G83" t="s">
        <v>486</v>
      </c>
      <c r="H83" t="s">
        <v>963</v>
      </c>
      <c r="I83" t="s">
        <v>964</v>
      </c>
      <c r="J83" t="s">
        <v>713</v>
      </c>
      <c r="K83" t="s">
        <v>874</v>
      </c>
      <c r="L83">
        <v>12759.8608</v>
      </c>
      <c r="M83">
        <v>153118</v>
      </c>
      <c r="N83">
        <v>13574</v>
      </c>
      <c r="O83">
        <v>162892</v>
      </c>
      <c r="P83">
        <v>13574</v>
      </c>
      <c r="Q83">
        <v>162892</v>
      </c>
      <c r="R83" s="133">
        <v>45553</v>
      </c>
      <c r="S83">
        <v>45553</v>
      </c>
      <c r="T83" t="s">
        <v>225</v>
      </c>
      <c r="U83" t="s">
        <v>129</v>
      </c>
      <c r="V83" t="s">
        <v>142</v>
      </c>
      <c r="W83">
        <v>20450</v>
      </c>
      <c r="X83" t="s">
        <v>574</v>
      </c>
      <c r="Y83" t="s">
        <v>653</v>
      </c>
      <c r="Z83" t="s">
        <v>654</v>
      </c>
      <c r="AA83" t="s">
        <v>143</v>
      </c>
      <c r="AB83" t="s">
        <v>144</v>
      </c>
      <c r="AC83">
        <v>11611</v>
      </c>
      <c r="AD83">
        <v>11612</v>
      </c>
      <c r="AE83">
        <v>123</v>
      </c>
      <c r="AF83">
        <v>1</v>
      </c>
    </row>
    <row r="84" spans="1:32" x14ac:dyDescent="0.25">
      <c r="A84">
        <v>1</v>
      </c>
      <c r="B84">
        <v>129</v>
      </c>
      <c r="C84">
        <v>400131</v>
      </c>
      <c r="D84" t="s">
        <v>347</v>
      </c>
      <c r="E84" t="s">
        <v>354</v>
      </c>
      <c r="F84">
        <v>12</v>
      </c>
      <c r="G84" t="s">
        <v>486</v>
      </c>
      <c r="H84" t="s">
        <v>963</v>
      </c>
      <c r="I84" t="s">
        <v>964</v>
      </c>
      <c r="J84" t="s">
        <v>714</v>
      </c>
      <c r="K84" t="s">
        <v>875</v>
      </c>
      <c r="L84">
        <v>12759.8608</v>
      </c>
      <c r="M84">
        <v>153118</v>
      </c>
      <c r="N84">
        <v>13574</v>
      </c>
      <c r="O84">
        <v>162892</v>
      </c>
      <c r="P84">
        <v>13574</v>
      </c>
      <c r="Q84">
        <v>162892</v>
      </c>
      <c r="R84" s="133">
        <v>45553</v>
      </c>
      <c r="S84">
        <v>45553</v>
      </c>
      <c r="T84" t="s">
        <v>225</v>
      </c>
      <c r="U84" t="s">
        <v>129</v>
      </c>
      <c r="V84" t="s">
        <v>142</v>
      </c>
      <c r="W84">
        <v>20450</v>
      </c>
      <c r="X84" t="s">
        <v>574</v>
      </c>
      <c r="Y84" t="s">
        <v>653</v>
      </c>
      <c r="Z84" t="s">
        <v>654</v>
      </c>
      <c r="AA84" t="s">
        <v>143</v>
      </c>
      <c r="AB84" t="s">
        <v>144</v>
      </c>
      <c r="AC84">
        <v>11611</v>
      </c>
      <c r="AD84">
        <v>11612</v>
      </c>
      <c r="AE84">
        <v>123</v>
      </c>
      <c r="AF84">
        <v>1</v>
      </c>
    </row>
    <row r="85" spans="1:32" x14ac:dyDescent="0.25">
      <c r="A85">
        <v>1</v>
      </c>
      <c r="B85">
        <v>131</v>
      </c>
      <c r="C85">
        <v>400130</v>
      </c>
      <c r="D85" t="s">
        <v>347</v>
      </c>
      <c r="E85" t="s">
        <v>356</v>
      </c>
      <c r="F85">
        <v>12</v>
      </c>
      <c r="G85" t="s">
        <v>486</v>
      </c>
      <c r="H85" t="s">
        <v>963</v>
      </c>
      <c r="I85" t="s">
        <v>964</v>
      </c>
      <c r="J85" t="s">
        <v>715</v>
      </c>
      <c r="K85" t="s">
        <v>876</v>
      </c>
      <c r="L85">
        <v>12759.8608</v>
      </c>
      <c r="M85">
        <v>153118</v>
      </c>
      <c r="N85">
        <v>13574</v>
      </c>
      <c r="O85">
        <v>162892</v>
      </c>
      <c r="P85">
        <v>13574</v>
      </c>
      <c r="Q85">
        <v>162892</v>
      </c>
      <c r="R85" s="133">
        <v>45553</v>
      </c>
      <c r="S85">
        <v>45553</v>
      </c>
      <c r="T85" t="s">
        <v>225</v>
      </c>
      <c r="U85" t="s">
        <v>129</v>
      </c>
      <c r="V85" t="s">
        <v>142</v>
      </c>
      <c r="W85">
        <v>20450</v>
      </c>
      <c r="X85" t="s">
        <v>574</v>
      </c>
      <c r="Y85" t="s">
        <v>653</v>
      </c>
      <c r="Z85" t="s">
        <v>654</v>
      </c>
      <c r="AA85" t="s">
        <v>143</v>
      </c>
      <c r="AB85" t="s">
        <v>144</v>
      </c>
      <c r="AC85">
        <v>11611</v>
      </c>
      <c r="AD85">
        <v>11612</v>
      </c>
      <c r="AE85">
        <v>123</v>
      </c>
      <c r="AF85">
        <v>1</v>
      </c>
    </row>
    <row r="86" spans="1:32" x14ac:dyDescent="0.25">
      <c r="A86">
        <v>1</v>
      </c>
      <c r="B86">
        <v>133</v>
      </c>
      <c r="C86">
        <v>400134</v>
      </c>
      <c r="D86" t="s">
        <v>347</v>
      </c>
      <c r="E86" t="s">
        <v>358</v>
      </c>
      <c r="F86">
        <v>12</v>
      </c>
      <c r="G86" t="s">
        <v>486</v>
      </c>
      <c r="H86" t="s">
        <v>963</v>
      </c>
      <c r="I86" t="s">
        <v>964</v>
      </c>
      <c r="J86" t="s">
        <v>716</v>
      </c>
      <c r="K86" t="s">
        <v>877</v>
      </c>
      <c r="L86">
        <v>12759.8608</v>
      </c>
      <c r="M86">
        <v>153118</v>
      </c>
      <c r="N86">
        <v>13574</v>
      </c>
      <c r="O86">
        <v>162892</v>
      </c>
      <c r="P86">
        <v>13574</v>
      </c>
      <c r="Q86">
        <v>162892</v>
      </c>
      <c r="R86" s="133">
        <v>45553</v>
      </c>
      <c r="S86">
        <v>45553</v>
      </c>
      <c r="T86" t="s">
        <v>225</v>
      </c>
      <c r="U86" t="s">
        <v>129</v>
      </c>
      <c r="V86" t="s">
        <v>142</v>
      </c>
      <c r="W86">
        <v>20450</v>
      </c>
      <c r="X86" t="s">
        <v>574</v>
      </c>
      <c r="Y86" t="s">
        <v>653</v>
      </c>
      <c r="Z86" t="s">
        <v>654</v>
      </c>
      <c r="AA86" t="s">
        <v>143</v>
      </c>
      <c r="AB86" t="s">
        <v>144</v>
      </c>
      <c r="AC86">
        <v>11611</v>
      </c>
      <c r="AD86">
        <v>11612</v>
      </c>
      <c r="AE86">
        <v>123</v>
      </c>
      <c r="AF86">
        <v>1</v>
      </c>
    </row>
    <row r="87" spans="1:32" x14ac:dyDescent="0.25">
      <c r="A87">
        <v>1</v>
      </c>
      <c r="B87">
        <v>136</v>
      </c>
      <c r="C87">
        <v>612045</v>
      </c>
      <c r="D87" t="s">
        <v>360</v>
      </c>
      <c r="E87" t="s">
        <v>1062</v>
      </c>
      <c r="F87">
        <v>60</v>
      </c>
      <c r="G87" t="s">
        <v>206</v>
      </c>
      <c r="H87" t="s">
        <v>579</v>
      </c>
      <c r="I87" t="s">
        <v>965</v>
      </c>
      <c r="J87" t="s">
        <v>717</v>
      </c>
      <c r="K87" t="s">
        <v>1062</v>
      </c>
      <c r="L87">
        <v>9145.9462000000003</v>
      </c>
      <c r="M87">
        <v>548757</v>
      </c>
      <c r="N87">
        <v>9730</v>
      </c>
      <c r="O87">
        <v>583784</v>
      </c>
      <c r="P87">
        <v>10216</v>
      </c>
      <c r="Q87">
        <v>612973</v>
      </c>
      <c r="R87" s="133">
        <v>45553</v>
      </c>
      <c r="S87">
        <v>45553</v>
      </c>
      <c r="T87" t="s">
        <v>225</v>
      </c>
      <c r="U87" t="s">
        <v>129</v>
      </c>
      <c r="V87" t="s">
        <v>142</v>
      </c>
      <c r="W87">
        <v>10155</v>
      </c>
      <c r="X87" t="s">
        <v>581</v>
      </c>
      <c r="Y87" t="s">
        <v>653</v>
      </c>
      <c r="Z87" t="s">
        <v>654</v>
      </c>
      <c r="AA87" t="s">
        <v>143</v>
      </c>
      <c r="AB87" t="s">
        <v>144</v>
      </c>
      <c r="AC87">
        <v>11611</v>
      </c>
      <c r="AD87">
        <v>11612</v>
      </c>
      <c r="AE87">
        <v>123</v>
      </c>
      <c r="AF87">
        <v>1</v>
      </c>
    </row>
    <row r="88" spans="1:32" x14ac:dyDescent="0.25">
      <c r="A88">
        <v>1</v>
      </c>
      <c r="B88">
        <v>135</v>
      </c>
      <c r="C88">
        <v>612953</v>
      </c>
      <c r="D88" t="s">
        <v>360</v>
      </c>
      <c r="E88" t="s">
        <v>361</v>
      </c>
      <c r="F88">
        <v>30</v>
      </c>
      <c r="G88" t="s">
        <v>206</v>
      </c>
      <c r="H88" t="s">
        <v>579</v>
      </c>
      <c r="I88" t="s">
        <v>965</v>
      </c>
      <c r="J88" t="s">
        <v>718</v>
      </c>
      <c r="K88" t="s">
        <v>878</v>
      </c>
      <c r="L88">
        <v>18291.892400000001</v>
      </c>
      <c r="M88">
        <v>548757</v>
      </c>
      <c r="N88">
        <v>19459</v>
      </c>
      <c r="O88">
        <v>583784</v>
      </c>
      <c r="P88">
        <v>20432</v>
      </c>
      <c r="Q88">
        <v>612973</v>
      </c>
      <c r="R88" s="133">
        <v>45553</v>
      </c>
      <c r="S88">
        <v>45553</v>
      </c>
      <c r="T88" t="s">
        <v>225</v>
      </c>
      <c r="U88" t="s">
        <v>129</v>
      </c>
      <c r="V88" t="s">
        <v>142</v>
      </c>
      <c r="W88">
        <v>10155</v>
      </c>
      <c r="X88" t="s">
        <v>581</v>
      </c>
      <c r="Y88" t="s">
        <v>653</v>
      </c>
      <c r="Z88" t="s">
        <v>654</v>
      </c>
      <c r="AA88" t="s">
        <v>143</v>
      </c>
      <c r="AB88" t="s">
        <v>144</v>
      </c>
      <c r="AC88">
        <v>11611</v>
      </c>
      <c r="AD88">
        <v>11612</v>
      </c>
      <c r="AE88">
        <v>123</v>
      </c>
      <c r="AF88">
        <v>1</v>
      </c>
    </row>
    <row r="89" spans="1:32" x14ac:dyDescent="0.25">
      <c r="A89">
        <v>1</v>
      </c>
      <c r="B89">
        <v>137</v>
      </c>
      <c r="C89">
        <v>612157</v>
      </c>
      <c r="D89" t="s">
        <v>360</v>
      </c>
      <c r="E89" t="s">
        <v>1057</v>
      </c>
      <c r="F89">
        <v>60</v>
      </c>
      <c r="G89" t="s">
        <v>206</v>
      </c>
      <c r="H89" t="s">
        <v>579</v>
      </c>
      <c r="I89" t="s">
        <v>965</v>
      </c>
      <c r="J89" t="s">
        <v>990</v>
      </c>
      <c r="K89" t="s">
        <v>993</v>
      </c>
      <c r="L89">
        <v>7775.7477476800004</v>
      </c>
      <c r="M89">
        <v>466545</v>
      </c>
      <c r="N89">
        <v>8272</v>
      </c>
      <c r="O89">
        <v>496324</v>
      </c>
      <c r="P89">
        <v>0</v>
      </c>
      <c r="Q89">
        <v>0</v>
      </c>
      <c r="R89" s="133">
        <v>45674</v>
      </c>
      <c r="S89">
        <v>45553</v>
      </c>
      <c r="T89" t="s">
        <v>225</v>
      </c>
      <c r="U89" t="s">
        <v>129</v>
      </c>
      <c r="V89" t="s">
        <v>142</v>
      </c>
      <c r="W89">
        <v>10155</v>
      </c>
      <c r="X89" t="s">
        <v>581</v>
      </c>
      <c r="AA89" t="s">
        <v>143</v>
      </c>
      <c r="AB89" t="s">
        <v>144</v>
      </c>
      <c r="AC89">
        <v>11611</v>
      </c>
      <c r="AD89">
        <v>11612</v>
      </c>
      <c r="AF89">
        <v>1</v>
      </c>
    </row>
    <row r="90" spans="1:32" x14ac:dyDescent="0.25">
      <c r="A90">
        <v>1</v>
      </c>
      <c r="B90">
        <v>138</v>
      </c>
      <c r="C90">
        <v>612042</v>
      </c>
      <c r="D90" t="s">
        <v>360</v>
      </c>
      <c r="E90" t="s">
        <v>362</v>
      </c>
      <c r="F90">
        <v>24</v>
      </c>
      <c r="G90" t="s">
        <v>206</v>
      </c>
      <c r="H90" t="s">
        <v>579</v>
      </c>
      <c r="I90" t="s">
        <v>965</v>
      </c>
      <c r="J90" t="s">
        <v>719</v>
      </c>
      <c r="K90" t="s">
        <v>879</v>
      </c>
      <c r="L90">
        <v>20705.408199999998</v>
      </c>
      <c r="M90">
        <v>496930</v>
      </c>
      <c r="N90">
        <v>22027</v>
      </c>
      <c r="O90">
        <v>528649</v>
      </c>
      <c r="P90">
        <v>23128</v>
      </c>
      <c r="Q90">
        <v>555081</v>
      </c>
      <c r="R90" s="133">
        <v>45553</v>
      </c>
      <c r="S90">
        <v>45553</v>
      </c>
      <c r="T90" t="s">
        <v>225</v>
      </c>
      <c r="U90" t="s">
        <v>129</v>
      </c>
      <c r="V90" t="s">
        <v>142</v>
      </c>
      <c r="W90">
        <v>10425</v>
      </c>
      <c r="X90" t="s">
        <v>583</v>
      </c>
      <c r="Y90" t="s">
        <v>653</v>
      </c>
      <c r="Z90" t="s">
        <v>654</v>
      </c>
      <c r="AA90" t="s">
        <v>143</v>
      </c>
      <c r="AB90" t="s">
        <v>144</v>
      </c>
      <c r="AC90">
        <v>11611</v>
      </c>
      <c r="AD90">
        <v>11612</v>
      </c>
      <c r="AE90">
        <v>123</v>
      </c>
      <c r="AF90">
        <v>1</v>
      </c>
    </row>
    <row r="91" spans="1:32" x14ac:dyDescent="0.25">
      <c r="A91">
        <v>1</v>
      </c>
      <c r="B91">
        <v>139</v>
      </c>
      <c r="C91">
        <v>612046</v>
      </c>
      <c r="D91" t="s">
        <v>360</v>
      </c>
      <c r="E91" t="s">
        <v>1060</v>
      </c>
      <c r="F91">
        <v>60</v>
      </c>
      <c r="G91" t="s">
        <v>206</v>
      </c>
      <c r="H91" t="s">
        <v>579</v>
      </c>
      <c r="I91" t="s">
        <v>965</v>
      </c>
      <c r="J91" t="s">
        <v>720</v>
      </c>
      <c r="K91" t="s">
        <v>1058</v>
      </c>
      <c r="L91">
        <v>9145.9462000000003</v>
      </c>
      <c r="M91">
        <v>548757</v>
      </c>
      <c r="N91">
        <v>9730</v>
      </c>
      <c r="O91">
        <v>583784</v>
      </c>
      <c r="P91">
        <v>10216</v>
      </c>
      <c r="Q91">
        <v>612973</v>
      </c>
      <c r="R91" s="133">
        <v>45553</v>
      </c>
      <c r="S91">
        <v>45553</v>
      </c>
      <c r="T91" t="s">
        <v>225</v>
      </c>
      <c r="U91" t="s">
        <v>129</v>
      </c>
      <c r="V91" t="s">
        <v>142</v>
      </c>
      <c r="W91">
        <v>10155</v>
      </c>
      <c r="X91" t="s">
        <v>581</v>
      </c>
      <c r="Y91" t="s">
        <v>653</v>
      </c>
      <c r="Z91" t="s">
        <v>654</v>
      </c>
      <c r="AA91" t="s">
        <v>143</v>
      </c>
      <c r="AB91" t="s">
        <v>144</v>
      </c>
      <c r="AC91">
        <v>11611</v>
      </c>
      <c r="AD91">
        <v>11612</v>
      </c>
      <c r="AE91">
        <v>123</v>
      </c>
      <c r="AF91">
        <v>1</v>
      </c>
    </row>
    <row r="92" spans="1:32" x14ac:dyDescent="0.25">
      <c r="A92">
        <v>1</v>
      </c>
      <c r="B92">
        <v>140</v>
      </c>
      <c r="C92">
        <v>612158</v>
      </c>
      <c r="D92" t="s">
        <v>360</v>
      </c>
      <c r="E92" t="s">
        <v>988</v>
      </c>
      <c r="F92">
        <v>60</v>
      </c>
      <c r="G92" t="s">
        <v>206</v>
      </c>
      <c r="H92" t="s">
        <v>579</v>
      </c>
      <c r="I92" t="s">
        <v>965</v>
      </c>
      <c r="J92" t="s">
        <v>991</v>
      </c>
      <c r="K92" t="s">
        <v>994</v>
      </c>
      <c r="L92">
        <v>7775.7477476800004</v>
      </c>
      <c r="M92">
        <v>466545</v>
      </c>
      <c r="N92">
        <v>8272</v>
      </c>
      <c r="O92">
        <v>496324</v>
      </c>
      <c r="P92">
        <v>0</v>
      </c>
      <c r="Q92">
        <v>0</v>
      </c>
      <c r="R92" s="133">
        <v>45674</v>
      </c>
      <c r="S92">
        <v>45553</v>
      </c>
      <c r="T92" t="s">
        <v>225</v>
      </c>
      <c r="U92" t="s">
        <v>129</v>
      </c>
      <c r="V92" t="s">
        <v>142</v>
      </c>
      <c r="W92">
        <v>10155</v>
      </c>
      <c r="X92" t="s">
        <v>581</v>
      </c>
      <c r="AA92" t="s">
        <v>143</v>
      </c>
      <c r="AB92" t="s">
        <v>144</v>
      </c>
      <c r="AC92">
        <v>11611</v>
      </c>
      <c r="AD92">
        <v>11612</v>
      </c>
      <c r="AF92">
        <v>1</v>
      </c>
    </row>
    <row r="93" spans="1:32" x14ac:dyDescent="0.25">
      <c r="A93">
        <v>1</v>
      </c>
      <c r="B93">
        <v>141</v>
      </c>
      <c r="C93">
        <v>612043</v>
      </c>
      <c r="D93" t="s">
        <v>360</v>
      </c>
      <c r="E93" t="s">
        <v>363</v>
      </c>
      <c r="F93">
        <v>24</v>
      </c>
      <c r="G93" t="s">
        <v>206</v>
      </c>
      <c r="H93" t="s">
        <v>579</v>
      </c>
      <c r="I93" t="s">
        <v>965</v>
      </c>
      <c r="J93" t="s">
        <v>721</v>
      </c>
      <c r="K93" t="s">
        <v>880</v>
      </c>
      <c r="L93">
        <v>20705.408199999998</v>
      </c>
      <c r="M93">
        <v>496930</v>
      </c>
      <c r="N93">
        <v>22027</v>
      </c>
      <c r="O93">
        <v>528649</v>
      </c>
      <c r="P93">
        <v>23128</v>
      </c>
      <c r="Q93">
        <v>555081</v>
      </c>
      <c r="R93" s="133">
        <v>45553</v>
      </c>
      <c r="S93">
        <v>45553</v>
      </c>
      <c r="T93" t="s">
        <v>225</v>
      </c>
      <c r="U93" t="s">
        <v>129</v>
      </c>
      <c r="V93" t="s">
        <v>142</v>
      </c>
      <c r="W93">
        <v>10425</v>
      </c>
      <c r="X93" t="s">
        <v>583</v>
      </c>
      <c r="Y93" t="s">
        <v>653</v>
      </c>
      <c r="Z93" t="s">
        <v>654</v>
      </c>
      <c r="AA93" t="s">
        <v>143</v>
      </c>
      <c r="AB93" t="s">
        <v>144</v>
      </c>
      <c r="AC93">
        <v>11611</v>
      </c>
      <c r="AD93">
        <v>11612</v>
      </c>
      <c r="AE93">
        <v>123</v>
      </c>
      <c r="AF93">
        <v>1</v>
      </c>
    </row>
    <row r="94" spans="1:32" x14ac:dyDescent="0.25">
      <c r="A94">
        <v>1</v>
      </c>
      <c r="B94">
        <v>142</v>
      </c>
      <c r="C94">
        <v>612141</v>
      </c>
      <c r="D94" t="s">
        <v>360</v>
      </c>
      <c r="E94" t="s">
        <v>364</v>
      </c>
      <c r="F94">
        <v>24</v>
      </c>
      <c r="G94" t="s">
        <v>206</v>
      </c>
      <c r="H94" t="s">
        <v>579</v>
      </c>
      <c r="I94" t="s">
        <v>965</v>
      </c>
      <c r="J94" t="s">
        <v>722</v>
      </c>
      <c r="K94" t="s">
        <v>881</v>
      </c>
      <c r="L94">
        <v>14386.3992</v>
      </c>
      <c r="M94">
        <v>345274</v>
      </c>
      <c r="N94">
        <v>15305</v>
      </c>
      <c r="O94">
        <v>367312</v>
      </c>
      <c r="P94">
        <v>16070</v>
      </c>
      <c r="Q94">
        <v>385678</v>
      </c>
      <c r="R94" s="133">
        <v>45553</v>
      </c>
      <c r="S94">
        <v>45945</v>
      </c>
      <c r="T94" t="s">
        <v>225</v>
      </c>
      <c r="U94" t="s">
        <v>129</v>
      </c>
      <c r="V94" t="s">
        <v>142</v>
      </c>
      <c r="W94">
        <v>10300</v>
      </c>
      <c r="X94" t="s">
        <v>493</v>
      </c>
      <c r="Y94" t="s">
        <v>653</v>
      </c>
      <c r="Z94" t="s">
        <v>654</v>
      </c>
      <c r="AA94" t="s">
        <v>143</v>
      </c>
      <c r="AB94" t="s">
        <v>144</v>
      </c>
      <c r="AC94">
        <v>11611</v>
      </c>
      <c r="AD94">
        <v>11612</v>
      </c>
      <c r="AE94">
        <v>123</v>
      </c>
      <c r="AF94">
        <v>1</v>
      </c>
    </row>
    <row r="95" spans="1:32" x14ac:dyDescent="0.25">
      <c r="A95">
        <v>1</v>
      </c>
      <c r="B95">
        <v>144</v>
      </c>
      <c r="C95">
        <v>612047</v>
      </c>
      <c r="D95" t="s">
        <v>360</v>
      </c>
      <c r="E95" t="s">
        <v>1061</v>
      </c>
      <c r="F95">
        <v>60</v>
      </c>
      <c r="G95" t="s">
        <v>206</v>
      </c>
      <c r="H95" t="s">
        <v>579</v>
      </c>
      <c r="I95" t="s">
        <v>965</v>
      </c>
      <c r="J95" t="s">
        <v>723</v>
      </c>
      <c r="K95" t="s">
        <v>1059</v>
      </c>
      <c r="L95">
        <v>9145.9462000000003</v>
      </c>
      <c r="M95">
        <v>548757</v>
      </c>
      <c r="N95">
        <v>9730</v>
      </c>
      <c r="O95">
        <v>583784</v>
      </c>
      <c r="P95">
        <v>10216</v>
      </c>
      <c r="Q95">
        <v>612973</v>
      </c>
      <c r="R95" s="133">
        <v>45553</v>
      </c>
      <c r="S95">
        <v>45553</v>
      </c>
      <c r="T95" t="s">
        <v>225</v>
      </c>
      <c r="U95" t="s">
        <v>129</v>
      </c>
      <c r="V95" t="s">
        <v>142</v>
      </c>
      <c r="W95">
        <v>10155</v>
      </c>
      <c r="X95" t="s">
        <v>581</v>
      </c>
      <c r="Y95" t="s">
        <v>653</v>
      </c>
      <c r="Z95" t="s">
        <v>654</v>
      </c>
      <c r="AA95" t="s">
        <v>143</v>
      </c>
      <c r="AB95" t="s">
        <v>144</v>
      </c>
      <c r="AC95">
        <v>11611</v>
      </c>
      <c r="AD95">
        <v>11612</v>
      </c>
      <c r="AE95">
        <v>123</v>
      </c>
      <c r="AF95">
        <v>1</v>
      </c>
    </row>
    <row r="96" spans="1:32" x14ac:dyDescent="0.25">
      <c r="A96">
        <v>2</v>
      </c>
      <c r="B96">
        <v>145</v>
      </c>
      <c r="C96">
        <v>612159</v>
      </c>
      <c r="D96" t="s">
        <v>360</v>
      </c>
      <c r="E96" t="s">
        <v>989</v>
      </c>
      <c r="F96">
        <v>60</v>
      </c>
      <c r="G96" t="s">
        <v>206</v>
      </c>
      <c r="H96" t="s">
        <v>579</v>
      </c>
      <c r="I96" t="s">
        <v>965</v>
      </c>
      <c r="J96" t="s">
        <v>992</v>
      </c>
      <c r="K96" t="s">
        <v>995</v>
      </c>
      <c r="L96">
        <v>7775.7740000000003</v>
      </c>
      <c r="M96">
        <v>466546</v>
      </c>
      <c r="N96">
        <v>8272</v>
      </c>
      <c r="O96">
        <v>496326</v>
      </c>
      <c r="P96">
        <v>0</v>
      </c>
      <c r="Q96">
        <v>0</v>
      </c>
      <c r="R96" s="133">
        <v>45674</v>
      </c>
      <c r="S96">
        <v>45553</v>
      </c>
      <c r="T96" t="s">
        <v>225</v>
      </c>
      <c r="U96" t="s">
        <v>129</v>
      </c>
      <c r="V96" t="s">
        <v>142</v>
      </c>
      <c r="W96">
        <v>10155</v>
      </c>
      <c r="X96" t="s">
        <v>581</v>
      </c>
      <c r="AA96" t="s">
        <v>143</v>
      </c>
      <c r="AB96" t="s">
        <v>144</v>
      </c>
      <c r="AC96">
        <v>11611</v>
      </c>
      <c r="AD96">
        <v>11612</v>
      </c>
      <c r="AF96">
        <v>1</v>
      </c>
    </row>
    <row r="97" spans="1:32" x14ac:dyDescent="0.25">
      <c r="A97">
        <v>1</v>
      </c>
      <c r="B97">
        <v>146</v>
      </c>
      <c r="C97">
        <v>612044</v>
      </c>
      <c r="D97" t="s">
        <v>360</v>
      </c>
      <c r="E97" t="s">
        <v>365</v>
      </c>
      <c r="F97">
        <v>24</v>
      </c>
      <c r="G97" t="s">
        <v>206</v>
      </c>
      <c r="H97" t="s">
        <v>579</v>
      </c>
      <c r="I97" t="s">
        <v>965</v>
      </c>
      <c r="J97" t="s">
        <v>724</v>
      </c>
      <c r="K97" t="s">
        <v>882</v>
      </c>
      <c r="L97">
        <v>20705.408199999998</v>
      </c>
      <c r="M97">
        <v>496930</v>
      </c>
      <c r="N97">
        <v>22027</v>
      </c>
      <c r="O97">
        <v>528649</v>
      </c>
      <c r="P97">
        <v>23128</v>
      </c>
      <c r="Q97">
        <v>555081</v>
      </c>
      <c r="R97" s="133">
        <v>45553</v>
      </c>
      <c r="S97">
        <v>45553</v>
      </c>
      <c r="T97" t="s">
        <v>225</v>
      </c>
      <c r="U97" t="s">
        <v>129</v>
      </c>
      <c r="V97" t="s">
        <v>142</v>
      </c>
      <c r="W97">
        <v>10425</v>
      </c>
      <c r="X97" t="s">
        <v>583</v>
      </c>
      <c r="Y97" t="s">
        <v>653</v>
      </c>
      <c r="Z97" t="s">
        <v>654</v>
      </c>
      <c r="AA97" t="s">
        <v>143</v>
      </c>
      <c r="AB97" t="s">
        <v>144</v>
      </c>
      <c r="AC97">
        <v>11611</v>
      </c>
      <c r="AD97">
        <v>11612</v>
      </c>
      <c r="AE97">
        <v>123</v>
      </c>
      <c r="AF97">
        <v>1</v>
      </c>
    </row>
    <row r="98" spans="1:32" x14ac:dyDescent="0.25">
      <c r="A98">
        <v>1</v>
      </c>
      <c r="B98">
        <v>147</v>
      </c>
      <c r="C98">
        <v>612134</v>
      </c>
      <c r="D98" t="s">
        <v>360</v>
      </c>
      <c r="E98" t="s">
        <v>366</v>
      </c>
      <c r="F98">
        <v>60</v>
      </c>
      <c r="G98" t="s">
        <v>206</v>
      </c>
      <c r="H98" t="s">
        <v>579</v>
      </c>
      <c r="I98" t="s">
        <v>965</v>
      </c>
      <c r="J98" t="s">
        <v>725</v>
      </c>
      <c r="K98" t="s">
        <v>883</v>
      </c>
      <c r="L98">
        <v>9145.9462000000003</v>
      </c>
      <c r="M98">
        <v>548757</v>
      </c>
      <c r="N98">
        <v>9730</v>
      </c>
      <c r="O98">
        <v>583784</v>
      </c>
      <c r="P98">
        <v>10216</v>
      </c>
      <c r="Q98">
        <v>612973</v>
      </c>
      <c r="R98" s="133">
        <v>45553</v>
      </c>
      <c r="S98">
        <v>45553</v>
      </c>
      <c r="T98" t="s">
        <v>225</v>
      </c>
      <c r="U98" t="s">
        <v>129</v>
      </c>
      <c r="V98" t="s">
        <v>142</v>
      </c>
      <c r="W98">
        <v>10155</v>
      </c>
      <c r="X98" t="s">
        <v>581</v>
      </c>
      <c r="Y98" t="s">
        <v>653</v>
      </c>
      <c r="Z98" t="s">
        <v>654</v>
      </c>
      <c r="AA98" t="s">
        <v>143</v>
      </c>
      <c r="AB98" t="s">
        <v>144</v>
      </c>
      <c r="AC98">
        <v>11611</v>
      </c>
      <c r="AD98">
        <v>11612</v>
      </c>
      <c r="AE98">
        <v>123</v>
      </c>
      <c r="AF98">
        <v>1</v>
      </c>
    </row>
    <row r="99" spans="1:32" x14ac:dyDescent="0.25">
      <c r="A99">
        <v>1</v>
      </c>
      <c r="B99">
        <v>148</v>
      </c>
      <c r="C99">
        <v>612958</v>
      </c>
      <c r="D99" t="s">
        <v>360</v>
      </c>
      <c r="E99" t="s">
        <v>367</v>
      </c>
      <c r="F99">
        <v>60</v>
      </c>
      <c r="G99" t="s">
        <v>206</v>
      </c>
      <c r="H99" t="s">
        <v>579</v>
      </c>
      <c r="I99" t="s">
        <v>965</v>
      </c>
      <c r="J99" t="s">
        <v>727</v>
      </c>
      <c r="K99" t="s">
        <v>884</v>
      </c>
      <c r="L99">
        <v>9145.9462000000003</v>
      </c>
      <c r="M99">
        <v>548757</v>
      </c>
      <c r="N99">
        <v>9730</v>
      </c>
      <c r="O99">
        <v>583784</v>
      </c>
      <c r="P99">
        <v>10216</v>
      </c>
      <c r="Q99">
        <v>612973</v>
      </c>
      <c r="R99" s="133">
        <v>45553</v>
      </c>
      <c r="S99">
        <v>45553</v>
      </c>
      <c r="T99" t="s">
        <v>225</v>
      </c>
      <c r="U99" t="s">
        <v>129</v>
      </c>
      <c r="V99" t="s">
        <v>142</v>
      </c>
      <c r="W99">
        <v>10155</v>
      </c>
      <c r="X99" t="s">
        <v>581</v>
      </c>
      <c r="Y99" t="s">
        <v>653</v>
      </c>
      <c r="Z99" t="s">
        <v>654</v>
      </c>
      <c r="AA99" t="s">
        <v>143</v>
      </c>
      <c r="AB99" t="s">
        <v>144</v>
      </c>
      <c r="AC99">
        <v>11611</v>
      </c>
      <c r="AD99">
        <v>11612</v>
      </c>
      <c r="AE99">
        <v>123</v>
      </c>
      <c r="AF99">
        <v>1</v>
      </c>
    </row>
    <row r="100" spans="1:32" x14ac:dyDescent="0.25">
      <c r="A100">
        <v>1</v>
      </c>
      <c r="B100">
        <v>149</v>
      </c>
      <c r="C100">
        <v>612091</v>
      </c>
      <c r="D100" t="s">
        <v>360</v>
      </c>
      <c r="E100" t="s">
        <v>368</v>
      </c>
      <c r="F100">
        <v>24</v>
      </c>
      <c r="G100" t="s">
        <v>206</v>
      </c>
      <c r="H100" t="s">
        <v>579</v>
      </c>
      <c r="I100" t="s">
        <v>965</v>
      </c>
      <c r="J100" t="s">
        <v>726</v>
      </c>
      <c r="K100" t="s">
        <v>885</v>
      </c>
      <c r="L100">
        <v>20705.408199999998</v>
      </c>
      <c r="M100">
        <v>496930</v>
      </c>
      <c r="N100">
        <v>22027</v>
      </c>
      <c r="O100">
        <v>528649</v>
      </c>
      <c r="P100">
        <v>23128</v>
      </c>
      <c r="Q100">
        <v>555081</v>
      </c>
      <c r="R100" s="133">
        <v>45553</v>
      </c>
      <c r="S100">
        <v>45553</v>
      </c>
      <c r="T100" t="s">
        <v>225</v>
      </c>
      <c r="U100" t="s">
        <v>129</v>
      </c>
      <c r="V100" t="s">
        <v>142</v>
      </c>
      <c r="W100">
        <v>10400</v>
      </c>
      <c r="X100" t="s">
        <v>588</v>
      </c>
      <c r="Y100" t="s">
        <v>653</v>
      </c>
      <c r="Z100" t="s">
        <v>654</v>
      </c>
      <c r="AA100" t="s">
        <v>143</v>
      </c>
      <c r="AB100" t="s">
        <v>144</v>
      </c>
      <c r="AC100">
        <v>11611</v>
      </c>
      <c r="AD100">
        <v>11612</v>
      </c>
      <c r="AE100">
        <v>123</v>
      </c>
      <c r="AF100">
        <v>1</v>
      </c>
    </row>
    <row r="101" spans="1:32" x14ac:dyDescent="0.25">
      <c r="A101">
        <v>1</v>
      </c>
      <c r="B101">
        <v>150</v>
      </c>
      <c r="C101">
        <v>190034</v>
      </c>
      <c r="D101" t="s">
        <v>369</v>
      </c>
      <c r="E101" t="s">
        <v>370</v>
      </c>
      <c r="F101">
        <v>21</v>
      </c>
      <c r="G101" t="s">
        <v>591</v>
      </c>
      <c r="H101" t="s">
        <v>580</v>
      </c>
      <c r="I101" t="s">
        <v>966</v>
      </c>
      <c r="J101" t="s">
        <v>730</v>
      </c>
      <c r="K101" t="s">
        <v>886</v>
      </c>
      <c r="L101">
        <v>5137.5657657657639</v>
      </c>
      <c r="M101">
        <v>107889</v>
      </c>
      <c r="N101">
        <v>5465</v>
      </c>
      <c r="O101">
        <v>114775</v>
      </c>
      <c r="P101">
        <v>5903</v>
      </c>
      <c r="Q101">
        <v>123957</v>
      </c>
      <c r="R101" s="133">
        <v>45553</v>
      </c>
      <c r="S101">
        <v>45839</v>
      </c>
      <c r="T101" t="s">
        <v>225</v>
      </c>
      <c r="U101" t="s">
        <v>129</v>
      </c>
      <c r="V101" t="s">
        <v>142</v>
      </c>
      <c r="W101">
        <v>10008</v>
      </c>
      <c r="X101" t="s">
        <v>589</v>
      </c>
      <c r="Y101" t="s">
        <v>653</v>
      </c>
      <c r="Z101" t="s">
        <v>654</v>
      </c>
      <c r="AA101" t="s">
        <v>143</v>
      </c>
      <c r="AB101" t="s">
        <v>144</v>
      </c>
      <c r="AC101">
        <v>11611</v>
      </c>
      <c r="AD101">
        <v>11612</v>
      </c>
      <c r="AE101">
        <v>123</v>
      </c>
      <c r="AF101">
        <v>1</v>
      </c>
    </row>
    <row r="102" spans="1:32" x14ac:dyDescent="0.25">
      <c r="A102">
        <v>1</v>
      </c>
      <c r="B102">
        <v>153</v>
      </c>
      <c r="C102">
        <v>190040</v>
      </c>
      <c r="D102" t="s">
        <v>369</v>
      </c>
      <c r="E102" t="s">
        <v>1067</v>
      </c>
      <c r="F102">
        <v>48</v>
      </c>
      <c r="G102" t="s">
        <v>486</v>
      </c>
      <c r="H102" t="s">
        <v>580</v>
      </c>
      <c r="I102" t="s">
        <v>966</v>
      </c>
      <c r="J102" t="s">
        <v>731</v>
      </c>
      <c r="K102" t="s">
        <v>887</v>
      </c>
      <c r="L102">
        <v>6428.4990990990991</v>
      </c>
      <c r="M102">
        <v>308568</v>
      </c>
      <c r="N102">
        <v>6839</v>
      </c>
      <c r="O102">
        <v>328264</v>
      </c>
      <c r="P102">
        <v>7386</v>
      </c>
      <c r="Q102">
        <v>354525</v>
      </c>
      <c r="R102" s="133">
        <v>45553</v>
      </c>
      <c r="S102">
        <v>45839</v>
      </c>
      <c r="T102" t="s">
        <v>225</v>
      </c>
      <c r="U102" t="s">
        <v>129</v>
      </c>
      <c r="V102" t="s">
        <v>142</v>
      </c>
      <c r="W102">
        <v>20135</v>
      </c>
      <c r="X102" t="s">
        <v>484</v>
      </c>
      <c r="Y102" t="s">
        <v>653</v>
      </c>
      <c r="Z102" t="s">
        <v>654</v>
      </c>
      <c r="AA102" t="s">
        <v>143</v>
      </c>
      <c r="AB102" t="s">
        <v>144</v>
      </c>
      <c r="AC102">
        <v>11611</v>
      </c>
      <c r="AD102">
        <v>11612</v>
      </c>
      <c r="AE102">
        <v>123</v>
      </c>
      <c r="AF102">
        <v>1</v>
      </c>
    </row>
    <row r="103" spans="1:32" x14ac:dyDescent="0.25">
      <c r="A103">
        <v>1</v>
      </c>
      <c r="B103">
        <v>155</v>
      </c>
      <c r="C103">
        <v>190041</v>
      </c>
      <c r="D103" t="s">
        <v>369</v>
      </c>
      <c r="E103" t="s">
        <v>372</v>
      </c>
      <c r="F103">
        <v>24</v>
      </c>
      <c r="G103" t="s">
        <v>486</v>
      </c>
      <c r="H103" t="s">
        <v>580</v>
      </c>
      <c r="I103" t="s">
        <v>966</v>
      </c>
      <c r="J103" t="s">
        <v>732</v>
      </c>
      <c r="K103" t="s">
        <v>888</v>
      </c>
      <c r="L103">
        <v>11278.221621621626</v>
      </c>
      <c r="M103">
        <v>270677</v>
      </c>
      <c r="N103">
        <v>11998</v>
      </c>
      <c r="O103">
        <v>287955</v>
      </c>
      <c r="P103">
        <v>12958</v>
      </c>
      <c r="Q103">
        <v>310991</v>
      </c>
      <c r="R103" s="133">
        <v>45553</v>
      </c>
      <c r="S103">
        <v>45839</v>
      </c>
      <c r="T103" t="s">
        <v>225</v>
      </c>
      <c r="U103" t="s">
        <v>129</v>
      </c>
      <c r="V103" t="s">
        <v>142</v>
      </c>
      <c r="W103">
        <v>20275</v>
      </c>
      <c r="X103" t="s">
        <v>490</v>
      </c>
      <c r="Y103" t="s">
        <v>653</v>
      </c>
      <c r="Z103" t="s">
        <v>654</v>
      </c>
      <c r="AA103" t="s">
        <v>143</v>
      </c>
      <c r="AB103" t="s">
        <v>144</v>
      </c>
      <c r="AC103">
        <v>11611</v>
      </c>
      <c r="AD103">
        <v>11612</v>
      </c>
      <c r="AE103">
        <v>123</v>
      </c>
      <c r="AF103">
        <v>1</v>
      </c>
    </row>
    <row r="104" spans="1:32" x14ac:dyDescent="0.25">
      <c r="A104">
        <v>1</v>
      </c>
      <c r="B104">
        <v>157</v>
      </c>
      <c r="C104">
        <v>190031</v>
      </c>
      <c r="D104" t="s">
        <v>369</v>
      </c>
      <c r="E104" t="s">
        <v>373</v>
      </c>
      <c r="F104">
        <v>24</v>
      </c>
      <c r="G104" t="s">
        <v>486</v>
      </c>
      <c r="H104" t="s">
        <v>580</v>
      </c>
      <c r="I104" t="s">
        <v>966</v>
      </c>
      <c r="J104" t="s">
        <v>733</v>
      </c>
      <c r="K104" t="s">
        <v>889</v>
      </c>
      <c r="L104">
        <v>14540.445045045046</v>
      </c>
      <c r="M104">
        <v>348971</v>
      </c>
      <c r="N104">
        <v>15469</v>
      </c>
      <c r="O104">
        <v>371245</v>
      </c>
      <c r="P104">
        <v>16706</v>
      </c>
      <c r="Q104">
        <v>400945</v>
      </c>
      <c r="R104" s="133">
        <v>45553</v>
      </c>
      <c r="S104">
        <v>45839</v>
      </c>
      <c r="T104" t="s">
        <v>225</v>
      </c>
      <c r="U104" t="s">
        <v>129</v>
      </c>
      <c r="V104" t="s">
        <v>142</v>
      </c>
      <c r="W104">
        <v>20335</v>
      </c>
      <c r="X104" t="s">
        <v>592</v>
      </c>
      <c r="Y104" t="s">
        <v>653</v>
      </c>
      <c r="Z104" t="s">
        <v>654</v>
      </c>
      <c r="AA104" t="s">
        <v>143</v>
      </c>
      <c r="AB104" t="s">
        <v>144</v>
      </c>
      <c r="AC104">
        <v>11611</v>
      </c>
      <c r="AD104">
        <v>11612</v>
      </c>
      <c r="AE104">
        <v>123</v>
      </c>
      <c r="AF104">
        <v>1</v>
      </c>
    </row>
    <row r="105" spans="1:32" x14ac:dyDescent="0.25">
      <c r="A105">
        <v>1</v>
      </c>
      <c r="B105">
        <v>159</v>
      </c>
      <c r="C105">
        <v>190035</v>
      </c>
      <c r="D105" t="s">
        <v>369</v>
      </c>
      <c r="E105" t="s">
        <v>374</v>
      </c>
      <c r="F105">
        <v>1</v>
      </c>
      <c r="G105" t="s">
        <v>506</v>
      </c>
      <c r="H105" t="s">
        <v>580</v>
      </c>
      <c r="I105" t="s">
        <v>966</v>
      </c>
      <c r="J105" t="s">
        <v>764</v>
      </c>
      <c r="K105" t="s">
        <v>890</v>
      </c>
      <c r="L105">
        <v>91787.104504504488</v>
      </c>
      <c r="M105">
        <v>91787</v>
      </c>
      <c r="N105">
        <v>97646</v>
      </c>
      <c r="O105">
        <v>97646</v>
      </c>
      <c r="P105">
        <v>105458</v>
      </c>
      <c r="Q105">
        <v>105458</v>
      </c>
      <c r="R105" s="133">
        <v>45553</v>
      </c>
      <c r="S105">
        <v>45839</v>
      </c>
      <c r="T105" t="s">
        <v>225</v>
      </c>
      <c r="U105" t="s">
        <v>129</v>
      </c>
      <c r="V105" t="s">
        <v>142</v>
      </c>
      <c r="W105">
        <v>11005</v>
      </c>
      <c r="X105" t="s">
        <v>594</v>
      </c>
      <c r="Y105" t="s">
        <v>653</v>
      </c>
      <c r="Z105" t="s">
        <v>654</v>
      </c>
      <c r="AA105" t="s">
        <v>143</v>
      </c>
      <c r="AB105" t="s">
        <v>144</v>
      </c>
      <c r="AC105">
        <v>11611</v>
      </c>
      <c r="AD105">
        <v>11612</v>
      </c>
      <c r="AE105">
        <v>123</v>
      </c>
      <c r="AF105">
        <v>1</v>
      </c>
    </row>
    <row r="106" spans="1:32" x14ac:dyDescent="0.25">
      <c r="A106">
        <v>1</v>
      </c>
      <c r="B106">
        <v>162</v>
      </c>
      <c r="C106">
        <v>190036</v>
      </c>
      <c r="D106" t="s">
        <v>369</v>
      </c>
      <c r="E106" t="s">
        <v>376</v>
      </c>
      <c r="F106">
        <v>6</v>
      </c>
      <c r="G106" t="s">
        <v>552</v>
      </c>
      <c r="H106" t="s">
        <v>580</v>
      </c>
      <c r="I106" t="s">
        <v>966</v>
      </c>
      <c r="J106" t="s">
        <v>765</v>
      </c>
      <c r="K106" t="s">
        <v>891</v>
      </c>
      <c r="L106">
        <v>16241.336936936937</v>
      </c>
      <c r="M106">
        <v>97448</v>
      </c>
      <c r="N106">
        <v>17278</v>
      </c>
      <c r="O106">
        <v>103668</v>
      </c>
      <c r="P106">
        <v>18660</v>
      </c>
      <c r="Q106">
        <v>111962</v>
      </c>
      <c r="R106" s="133">
        <v>45553</v>
      </c>
      <c r="S106">
        <v>45839</v>
      </c>
      <c r="T106" t="s">
        <v>225</v>
      </c>
      <c r="U106" t="s">
        <v>129</v>
      </c>
      <c r="V106" t="s">
        <v>142</v>
      </c>
      <c r="W106">
        <v>11001</v>
      </c>
      <c r="X106" t="s">
        <v>596</v>
      </c>
      <c r="Y106" t="s">
        <v>653</v>
      </c>
      <c r="Z106" t="s">
        <v>654</v>
      </c>
      <c r="AA106" t="s">
        <v>143</v>
      </c>
      <c r="AB106" t="s">
        <v>144</v>
      </c>
      <c r="AC106">
        <v>11611</v>
      </c>
      <c r="AD106">
        <v>11612</v>
      </c>
      <c r="AE106">
        <v>123</v>
      </c>
      <c r="AF106">
        <v>1</v>
      </c>
    </row>
    <row r="107" spans="1:32" x14ac:dyDescent="0.25">
      <c r="A107">
        <v>1</v>
      </c>
      <c r="B107">
        <v>165</v>
      </c>
      <c r="C107">
        <v>190039</v>
      </c>
      <c r="D107" t="s">
        <v>369</v>
      </c>
      <c r="E107" t="s">
        <v>378</v>
      </c>
      <c r="F107">
        <v>48</v>
      </c>
      <c r="G107" t="s">
        <v>479</v>
      </c>
      <c r="H107" t="s">
        <v>967</v>
      </c>
      <c r="I107" t="s">
        <v>968</v>
      </c>
      <c r="J107" t="s">
        <v>729</v>
      </c>
      <c r="K107" t="s">
        <v>892</v>
      </c>
      <c r="L107">
        <v>6234.623045833333</v>
      </c>
      <c r="M107">
        <v>299262</v>
      </c>
      <c r="N107">
        <v>6633</v>
      </c>
      <c r="O107">
        <v>318364</v>
      </c>
      <c r="P107">
        <v>7163</v>
      </c>
      <c r="Q107">
        <v>343833</v>
      </c>
      <c r="R107" s="133">
        <v>45553</v>
      </c>
      <c r="S107">
        <v>45839</v>
      </c>
      <c r="T107" t="s">
        <v>225</v>
      </c>
      <c r="U107" t="s">
        <v>129</v>
      </c>
      <c r="V107" t="s">
        <v>142</v>
      </c>
      <c r="W107">
        <v>10125</v>
      </c>
      <c r="X107" t="s">
        <v>599</v>
      </c>
      <c r="Y107" t="s">
        <v>653</v>
      </c>
      <c r="Z107" t="s">
        <v>654</v>
      </c>
      <c r="AA107" t="s">
        <v>143</v>
      </c>
      <c r="AB107" t="s">
        <v>144</v>
      </c>
      <c r="AC107">
        <v>11611</v>
      </c>
      <c r="AD107">
        <v>11612</v>
      </c>
      <c r="AE107">
        <v>123</v>
      </c>
      <c r="AF107">
        <v>1</v>
      </c>
    </row>
    <row r="108" spans="1:32" x14ac:dyDescent="0.25">
      <c r="A108">
        <v>1</v>
      </c>
      <c r="B108">
        <v>166</v>
      </c>
      <c r="C108">
        <v>190047</v>
      </c>
      <c r="D108" t="s">
        <v>369</v>
      </c>
      <c r="E108" t="s">
        <v>379</v>
      </c>
      <c r="F108">
        <v>24</v>
      </c>
      <c r="G108" t="s">
        <v>486</v>
      </c>
      <c r="H108" t="s">
        <v>967</v>
      </c>
      <c r="I108" t="s">
        <v>968</v>
      </c>
      <c r="J108" t="s">
        <v>728</v>
      </c>
      <c r="K108" t="s">
        <v>893</v>
      </c>
      <c r="L108">
        <v>14596.341149999998</v>
      </c>
      <c r="M108">
        <v>350312</v>
      </c>
      <c r="N108">
        <v>15528</v>
      </c>
      <c r="O108">
        <v>372673</v>
      </c>
      <c r="P108">
        <v>16770</v>
      </c>
      <c r="Q108">
        <v>402486</v>
      </c>
      <c r="R108" s="133">
        <v>45553</v>
      </c>
      <c r="S108">
        <v>45839</v>
      </c>
      <c r="T108" t="s">
        <v>225</v>
      </c>
      <c r="U108" t="s">
        <v>129</v>
      </c>
      <c r="V108" t="s">
        <v>142</v>
      </c>
      <c r="W108">
        <v>10325</v>
      </c>
      <c r="X108" t="s">
        <v>601</v>
      </c>
      <c r="Y108" t="s">
        <v>653</v>
      </c>
      <c r="Z108" t="s">
        <v>654</v>
      </c>
      <c r="AA108" t="s">
        <v>143</v>
      </c>
      <c r="AB108" t="s">
        <v>144</v>
      </c>
      <c r="AC108">
        <v>11611</v>
      </c>
      <c r="AD108">
        <v>11612</v>
      </c>
      <c r="AE108">
        <v>123</v>
      </c>
      <c r="AF108">
        <v>1</v>
      </c>
    </row>
    <row r="109" spans="1:32" x14ac:dyDescent="0.25">
      <c r="A109">
        <v>1</v>
      </c>
      <c r="B109">
        <v>168</v>
      </c>
      <c r="C109">
        <v>150129</v>
      </c>
      <c r="D109" t="s">
        <v>381</v>
      </c>
      <c r="E109" t="s">
        <v>382</v>
      </c>
      <c r="F109">
        <v>21</v>
      </c>
      <c r="G109" t="s">
        <v>591</v>
      </c>
      <c r="H109" t="s">
        <v>603</v>
      </c>
      <c r="I109" t="s">
        <v>969</v>
      </c>
      <c r="J109" t="s">
        <v>766</v>
      </c>
      <c r="K109" t="s">
        <v>894</v>
      </c>
      <c r="L109">
        <v>5669.6381999999994</v>
      </c>
      <c r="M109">
        <v>119062</v>
      </c>
      <c r="N109">
        <v>6032</v>
      </c>
      <c r="O109">
        <v>126662</v>
      </c>
      <c r="P109">
        <v>6514</v>
      </c>
      <c r="Q109">
        <v>136795</v>
      </c>
      <c r="R109" s="133">
        <v>45553</v>
      </c>
      <c r="S109">
        <v>45945</v>
      </c>
      <c r="T109" t="s">
        <v>225</v>
      </c>
      <c r="U109" t="s">
        <v>129</v>
      </c>
      <c r="V109" t="s">
        <v>142</v>
      </c>
      <c r="W109">
        <v>10008</v>
      </c>
      <c r="X109" t="s">
        <v>589</v>
      </c>
      <c r="Y109" t="s">
        <v>653</v>
      </c>
      <c r="Z109" t="s">
        <v>654</v>
      </c>
      <c r="AA109" t="s">
        <v>143</v>
      </c>
      <c r="AB109" t="s">
        <v>144</v>
      </c>
      <c r="AC109">
        <v>11611</v>
      </c>
      <c r="AD109">
        <v>11612</v>
      </c>
      <c r="AE109">
        <v>123</v>
      </c>
      <c r="AF109">
        <v>1</v>
      </c>
    </row>
    <row r="110" spans="1:32" x14ac:dyDescent="0.25">
      <c r="A110">
        <v>2</v>
      </c>
      <c r="B110">
        <v>169</v>
      </c>
      <c r="C110">
        <v>150204</v>
      </c>
      <c r="D110" t="s">
        <v>381</v>
      </c>
      <c r="E110" t="s">
        <v>383</v>
      </c>
      <c r="F110">
        <v>21</v>
      </c>
      <c r="G110" t="s">
        <v>591</v>
      </c>
      <c r="H110" t="s">
        <v>603</v>
      </c>
      <c r="I110" t="s">
        <v>969</v>
      </c>
      <c r="J110" t="s">
        <v>2995</v>
      </c>
      <c r="K110" t="s">
        <v>2996</v>
      </c>
      <c r="L110">
        <v>5669.6381999999994</v>
      </c>
      <c r="M110">
        <v>119062</v>
      </c>
      <c r="N110">
        <v>6032</v>
      </c>
      <c r="O110">
        <v>126662</v>
      </c>
      <c r="P110">
        <v>6514</v>
      </c>
      <c r="Q110">
        <v>136795</v>
      </c>
      <c r="R110" s="133">
        <v>45553</v>
      </c>
      <c r="S110">
        <v>45945</v>
      </c>
      <c r="T110" t="s">
        <v>225</v>
      </c>
      <c r="U110" t="s">
        <v>129</v>
      </c>
      <c r="V110" t="s">
        <v>142</v>
      </c>
      <c r="W110">
        <v>10008</v>
      </c>
      <c r="X110" t="s">
        <v>589</v>
      </c>
      <c r="Y110" t="s">
        <v>653</v>
      </c>
      <c r="Z110" t="s">
        <v>654</v>
      </c>
      <c r="AA110" t="s">
        <v>143</v>
      </c>
      <c r="AB110" t="s">
        <v>144</v>
      </c>
      <c r="AC110">
        <v>11611</v>
      </c>
      <c r="AD110">
        <v>11612</v>
      </c>
      <c r="AE110">
        <v>123</v>
      </c>
      <c r="AF110">
        <v>1</v>
      </c>
    </row>
    <row r="111" spans="1:32" x14ac:dyDescent="0.25">
      <c r="A111">
        <v>1</v>
      </c>
      <c r="B111">
        <v>171</v>
      </c>
      <c r="C111">
        <v>150132</v>
      </c>
      <c r="D111" t="s">
        <v>381</v>
      </c>
      <c r="E111" t="s">
        <v>385</v>
      </c>
      <c r="F111">
        <v>30</v>
      </c>
      <c r="G111" t="s">
        <v>605</v>
      </c>
      <c r="H111" t="s">
        <v>603</v>
      </c>
      <c r="I111" t="s">
        <v>969</v>
      </c>
      <c r="J111" t="s">
        <v>767</v>
      </c>
      <c r="K111" t="s">
        <v>895</v>
      </c>
      <c r="L111">
        <v>5538.7996000000003</v>
      </c>
      <c r="M111">
        <v>166164</v>
      </c>
      <c r="N111">
        <v>5892</v>
      </c>
      <c r="O111">
        <v>176770</v>
      </c>
      <c r="P111">
        <v>6364</v>
      </c>
      <c r="Q111">
        <v>190912</v>
      </c>
      <c r="R111" s="133">
        <v>45553</v>
      </c>
      <c r="S111">
        <v>45945</v>
      </c>
      <c r="T111" t="s">
        <v>225</v>
      </c>
      <c r="U111" t="s">
        <v>129</v>
      </c>
      <c r="V111" t="s">
        <v>142</v>
      </c>
      <c r="W111">
        <v>10015</v>
      </c>
      <c r="X111" t="s">
        <v>522</v>
      </c>
      <c r="Y111" t="s">
        <v>653</v>
      </c>
      <c r="Z111" t="s">
        <v>654</v>
      </c>
      <c r="AA111" t="s">
        <v>143</v>
      </c>
      <c r="AB111" t="s">
        <v>144</v>
      </c>
      <c r="AC111">
        <v>11611</v>
      </c>
      <c r="AD111">
        <v>11612</v>
      </c>
      <c r="AE111">
        <v>123</v>
      </c>
      <c r="AF111">
        <v>1</v>
      </c>
    </row>
    <row r="112" spans="1:32" x14ac:dyDescent="0.25">
      <c r="A112">
        <v>1</v>
      </c>
      <c r="B112">
        <v>176</v>
      </c>
      <c r="C112">
        <v>150180</v>
      </c>
      <c r="D112" t="s">
        <v>381</v>
      </c>
      <c r="E112" t="s">
        <v>389</v>
      </c>
      <c r="F112">
        <v>48</v>
      </c>
      <c r="G112" t="s">
        <v>479</v>
      </c>
      <c r="H112" t="s">
        <v>603</v>
      </c>
      <c r="I112" t="s">
        <v>969</v>
      </c>
      <c r="J112" t="s">
        <v>768</v>
      </c>
      <c r="K112" t="s">
        <v>1020</v>
      </c>
      <c r="L112">
        <v>2224.2467999999999</v>
      </c>
      <c r="M112">
        <v>106764</v>
      </c>
      <c r="N112">
        <v>2366</v>
      </c>
      <c r="O112">
        <v>113579</v>
      </c>
      <c r="P112">
        <v>2556</v>
      </c>
      <c r="Q112">
        <v>122665</v>
      </c>
      <c r="R112" s="133">
        <v>45553</v>
      </c>
      <c r="S112">
        <v>45945</v>
      </c>
      <c r="T112" t="s">
        <v>225</v>
      </c>
      <c r="U112" t="s">
        <v>129</v>
      </c>
      <c r="V112" t="s">
        <v>142</v>
      </c>
      <c r="W112">
        <v>10075</v>
      </c>
      <c r="X112" t="s">
        <v>617</v>
      </c>
      <c r="Y112" t="s">
        <v>653</v>
      </c>
      <c r="Z112" t="s">
        <v>654</v>
      </c>
      <c r="AA112" t="s">
        <v>143</v>
      </c>
      <c r="AB112" t="s">
        <v>144</v>
      </c>
      <c r="AC112">
        <v>11611</v>
      </c>
      <c r="AD112">
        <v>11612</v>
      </c>
      <c r="AE112">
        <v>123</v>
      </c>
      <c r="AF112">
        <v>1</v>
      </c>
    </row>
    <row r="113" spans="1:32" x14ac:dyDescent="0.25">
      <c r="A113">
        <v>1</v>
      </c>
      <c r="B113">
        <v>178</v>
      </c>
      <c r="C113">
        <v>150294</v>
      </c>
      <c r="D113" t="s">
        <v>381</v>
      </c>
      <c r="E113" t="s">
        <v>390</v>
      </c>
      <c r="F113">
        <v>48</v>
      </c>
      <c r="G113" t="s">
        <v>486</v>
      </c>
      <c r="H113" t="s">
        <v>603</v>
      </c>
      <c r="I113" t="s">
        <v>969</v>
      </c>
      <c r="J113" t="s">
        <v>769</v>
      </c>
      <c r="K113" t="s">
        <v>896</v>
      </c>
      <c r="L113">
        <v>5504.5459999999994</v>
      </c>
      <c r="M113">
        <v>264218</v>
      </c>
      <c r="N113">
        <v>5856</v>
      </c>
      <c r="O113">
        <v>281083</v>
      </c>
      <c r="P113">
        <v>0</v>
      </c>
      <c r="Q113">
        <v>0</v>
      </c>
      <c r="R113" s="133">
        <v>45553</v>
      </c>
      <c r="S113">
        <v>45553</v>
      </c>
      <c r="T113" t="s">
        <v>225</v>
      </c>
      <c r="U113" t="s">
        <v>129</v>
      </c>
      <c r="V113" t="s">
        <v>142</v>
      </c>
      <c r="W113">
        <v>20130</v>
      </c>
      <c r="X113" t="s">
        <v>606</v>
      </c>
      <c r="Y113" t="s">
        <v>653</v>
      </c>
      <c r="Z113" t="s">
        <v>654</v>
      </c>
      <c r="AA113" t="s">
        <v>143</v>
      </c>
      <c r="AB113" t="s">
        <v>144</v>
      </c>
      <c r="AC113">
        <v>11611</v>
      </c>
      <c r="AD113">
        <v>11612</v>
      </c>
      <c r="AE113">
        <v>123</v>
      </c>
      <c r="AF113">
        <v>1</v>
      </c>
    </row>
    <row r="114" spans="1:32" x14ac:dyDescent="0.25">
      <c r="C114">
        <v>150363</v>
      </c>
      <c r="E114" t="s">
        <v>1108</v>
      </c>
      <c r="F114">
        <v>48</v>
      </c>
      <c r="G114" t="s">
        <v>486</v>
      </c>
      <c r="H114" t="s">
        <v>603</v>
      </c>
      <c r="I114" t="s">
        <v>969</v>
      </c>
      <c r="J114" t="s">
        <v>783</v>
      </c>
      <c r="K114" t="s">
        <v>909</v>
      </c>
      <c r="L114">
        <v>0</v>
      </c>
      <c r="M114">
        <v>0</v>
      </c>
      <c r="O114">
        <v>0</v>
      </c>
      <c r="Q114">
        <v>0</v>
      </c>
      <c r="R114" s="133"/>
      <c r="T114" t="s">
        <v>225</v>
      </c>
      <c r="U114" t="s">
        <v>129</v>
      </c>
      <c r="V114" t="s">
        <v>142</v>
      </c>
      <c r="W114">
        <v>130</v>
      </c>
      <c r="X114" t="s">
        <v>606</v>
      </c>
      <c r="AA114" t="s">
        <v>143</v>
      </c>
      <c r="AB114" t="s">
        <v>144</v>
      </c>
      <c r="AC114">
        <v>11611</v>
      </c>
      <c r="AD114">
        <v>11612</v>
      </c>
      <c r="AF114">
        <v>1</v>
      </c>
    </row>
    <row r="115" spans="1:32" x14ac:dyDescent="0.25">
      <c r="A115">
        <v>1</v>
      </c>
      <c r="B115">
        <v>180</v>
      </c>
      <c r="C115">
        <v>150975</v>
      </c>
      <c r="D115" t="s">
        <v>381</v>
      </c>
      <c r="E115" t="s">
        <v>392</v>
      </c>
      <c r="F115">
        <v>48</v>
      </c>
      <c r="G115" t="s">
        <v>486</v>
      </c>
      <c r="H115" t="s">
        <v>603</v>
      </c>
      <c r="I115" t="s">
        <v>969</v>
      </c>
      <c r="J115" t="s">
        <v>770</v>
      </c>
      <c r="K115" t="s">
        <v>897</v>
      </c>
      <c r="L115">
        <v>5504.5459999999994</v>
      </c>
      <c r="M115">
        <v>264218</v>
      </c>
      <c r="N115">
        <v>5856</v>
      </c>
      <c r="O115">
        <v>281083</v>
      </c>
      <c r="P115">
        <v>6149</v>
      </c>
      <c r="Q115">
        <v>295138</v>
      </c>
      <c r="R115" s="133">
        <v>45553</v>
      </c>
      <c r="S115">
        <v>45553</v>
      </c>
      <c r="T115" t="s">
        <v>225</v>
      </c>
      <c r="U115" t="s">
        <v>129</v>
      </c>
      <c r="V115" t="s">
        <v>142</v>
      </c>
      <c r="W115">
        <v>20130</v>
      </c>
      <c r="X115" t="s">
        <v>606</v>
      </c>
      <c r="Y115" t="s">
        <v>653</v>
      </c>
      <c r="Z115" t="s">
        <v>654</v>
      </c>
      <c r="AA115" t="s">
        <v>143</v>
      </c>
      <c r="AB115" t="s">
        <v>144</v>
      </c>
      <c r="AC115">
        <v>11611</v>
      </c>
      <c r="AD115">
        <v>11612</v>
      </c>
      <c r="AE115">
        <v>123</v>
      </c>
      <c r="AF115">
        <v>1</v>
      </c>
    </row>
    <row r="116" spans="1:32" x14ac:dyDescent="0.25">
      <c r="A116">
        <v>1</v>
      </c>
      <c r="B116">
        <v>181</v>
      </c>
      <c r="C116">
        <v>150164</v>
      </c>
      <c r="D116" t="s">
        <v>381</v>
      </c>
      <c r="E116" t="s">
        <v>393</v>
      </c>
      <c r="F116">
        <v>48</v>
      </c>
      <c r="G116" t="s">
        <v>486</v>
      </c>
      <c r="H116" t="s">
        <v>603</v>
      </c>
      <c r="I116" t="s">
        <v>969</v>
      </c>
      <c r="J116" t="s">
        <v>771</v>
      </c>
      <c r="K116" t="s">
        <v>898</v>
      </c>
      <c r="L116">
        <v>6097.3005999999996</v>
      </c>
      <c r="M116">
        <v>292670</v>
      </c>
      <c r="N116">
        <v>6486</v>
      </c>
      <c r="O116">
        <v>311352</v>
      </c>
      <c r="P116">
        <v>6811</v>
      </c>
      <c r="Q116">
        <v>326919</v>
      </c>
      <c r="R116" s="133">
        <v>45553</v>
      </c>
      <c r="S116">
        <v>45553</v>
      </c>
      <c r="T116" t="s">
        <v>225</v>
      </c>
      <c r="U116" t="s">
        <v>129</v>
      </c>
      <c r="V116" t="s">
        <v>142</v>
      </c>
      <c r="W116">
        <v>20135</v>
      </c>
      <c r="X116" t="s">
        <v>484</v>
      </c>
      <c r="Y116" t="s">
        <v>653</v>
      </c>
      <c r="Z116" t="s">
        <v>654</v>
      </c>
      <c r="AA116" t="s">
        <v>143</v>
      </c>
      <c r="AB116" t="s">
        <v>144</v>
      </c>
      <c r="AC116">
        <v>11611</v>
      </c>
      <c r="AD116">
        <v>11612</v>
      </c>
      <c r="AE116">
        <v>123</v>
      </c>
      <c r="AF116">
        <v>1</v>
      </c>
    </row>
    <row r="117" spans="1:32" x14ac:dyDescent="0.25">
      <c r="A117">
        <v>1</v>
      </c>
      <c r="B117">
        <v>183</v>
      </c>
      <c r="C117">
        <v>150168</v>
      </c>
      <c r="D117" t="s">
        <v>381</v>
      </c>
      <c r="E117" t="s">
        <v>395</v>
      </c>
      <c r="F117">
        <v>24</v>
      </c>
      <c r="G117" t="s">
        <v>486</v>
      </c>
      <c r="H117" t="s">
        <v>603</v>
      </c>
      <c r="I117" t="s">
        <v>969</v>
      </c>
      <c r="J117" t="s">
        <v>772</v>
      </c>
      <c r="K117" t="s">
        <v>899</v>
      </c>
      <c r="L117">
        <v>11271.5306</v>
      </c>
      <c r="M117">
        <v>270517</v>
      </c>
      <c r="N117">
        <v>11991</v>
      </c>
      <c r="O117">
        <v>287784</v>
      </c>
      <c r="P117">
        <v>12950</v>
      </c>
      <c r="Q117">
        <v>310807</v>
      </c>
      <c r="R117" s="133">
        <v>45553</v>
      </c>
      <c r="S117">
        <v>45553</v>
      </c>
      <c r="T117" t="s">
        <v>225</v>
      </c>
      <c r="U117" t="s">
        <v>129</v>
      </c>
      <c r="V117" t="s">
        <v>142</v>
      </c>
      <c r="W117">
        <v>20270</v>
      </c>
      <c r="X117" t="s">
        <v>607</v>
      </c>
      <c r="Y117" t="s">
        <v>653</v>
      </c>
      <c r="Z117" t="s">
        <v>654</v>
      </c>
      <c r="AA117" t="s">
        <v>143</v>
      </c>
      <c r="AB117" t="s">
        <v>144</v>
      </c>
      <c r="AC117">
        <v>11611</v>
      </c>
      <c r="AD117">
        <v>11612</v>
      </c>
      <c r="AE117">
        <v>123</v>
      </c>
      <c r="AF117">
        <v>1</v>
      </c>
    </row>
    <row r="118" spans="1:32" x14ac:dyDescent="0.25">
      <c r="A118">
        <v>1</v>
      </c>
      <c r="B118">
        <v>285</v>
      </c>
      <c r="C118">
        <v>150984</v>
      </c>
      <c r="E118" t="s">
        <v>1094</v>
      </c>
      <c r="F118">
        <v>24</v>
      </c>
      <c r="G118" t="s">
        <v>486</v>
      </c>
      <c r="H118" t="s">
        <v>603</v>
      </c>
      <c r="I118" t="s">
        <v>969</v>
      </c>
      <c r="J118" t="s">
        <v>1095</v>
      </c>
      <c r="K118" t="s">
        <v>1096</v>
      </c>
      <c r="L118">
        <v>11271.54</v>
      </c>
      <c r="M118">
        <v>270517</v>
      </c>
      <c r="N118">
        <v>11991</v>
      </c>
      <c r="O118">
        <v>287784</v>
      </c>
      <c r="P118">
        <v>12950</v>
      </c>
      <c r="Q118">
        <v>310807</v>
      </c>
      <c r="R118" s="133">
        <v>46083</v>
      </c>
      <c r="T118" t="s">
        <v>225</v>
      </c>
      <c r="U118" t="s">
        <v>129</v>
      </c>
      <c r="V118" t="s">
        <v>142</v>
      </c>
      <c r="W118">
        <v>20270</v>
      </c>
      <c r="X118" t="s">
        <v>607</v>
      </c>
      <c r="Y118" t="s">
        <v>653</v>
      </c>
      <c r="Z118" t="s">
        <v>654</v>
      </c>
      <c r="AA118" t="s">
        <v>143</v>
      </c>
      <c r="AB118" t="s">
        <v>144</v>
      </c>
      <c r="AC118">
        <v>11611</v>
      </c>
      <c r="AD118">
        <v>11612</v>
      </c>
      <c r="AE118">
        <v>123</v>
      </c>
      <c r="AF118">
        <v>1</v>
      </c>
    </row>
    <row r="119" spans="1:32" x14ac:dyDescent="0.25">
      <c r="A119">
        <v>1</v>
      </c>
      <c r="B119">
        <v>187</v>
      </c>
      <c r="C119">
        <v>150171</v>
      </c>
      <c r="D119" t="s">
        <v>381</v>
      </c>
      <c r="E119" t="s">
        <v>398</v>
      </c>
      <c r="F119">
        <v>24</v>
      </c>
      <c r="G119" t="s">
        <v>486</v>
      </c>
      <c r="H119" t="s">
        <v>603</v>
      </c>
      <c r="I119" t="s">
        <v>969</v>
      </c>
      <c r="J119" t="s">
        <v>773</v>
      </c>
      <c r="K119" t="s">
        <v>900</v>
      </c>
      <c r="L119">
        <v>14023.784799999999</v>
      </c>
      <c r="M119">
        <v>336571</v>
      </c>
      <c r="N119">
        <v>14919</v>
      </c>
      <c r="O119">
        <v>358054</v>
      </c>
      <c r="P119">
        <v>16112</v>
      </c>
      <c r="Q119">
        <v>386698</v>
      </c>
      <c r="R119" s="133">
        <v>45553</v>
      </c>
      <c r="S119">
        <v>45553</v>
      </c>
      <c r="T119" t="s">
        <v>225</v>
      </c>
      <c r="U119" t="s">
        <v>129</v>
      </c>
      <c r="V119" t="s">
        <v>142</v>
      </c>
      <c r="W119">
        <v>20335</v>
      </c>
      <c r="X119" t="s">
        <v>592</v>
      </c>
      <c r="Y119" t="s">
        <v>653</v>
      </c>
      <c r="Z119" t="s">
        <v>654</v>
      </c>
      <c r="AA119" t="s">
        <v>143</v>
      </c>
      <c r="AB119" t="s">
        <v>144</v>
      </c>
      <c r="AC119">
        <v>11611</v>
      </c>
      <c r="AD119">
        <v>11612</v>
      </c>
      <c r="AE119">
        <v>123</v>
      </c>
      <c r="AF119">
        <v>1</v>
      </c>
    </row>
    <row r="120" spans="1:32" x14ac:dyDescent="0.25">
      <c r="A120">
        <v>1</v>
      </c>
      <c r="B120">
        <v>189</v>
      </c>
      <c r="C120">
        <v>150177</v>
      </c>
      <c r="D120" t="s">
        <v>381</v>
      </c>
      <c r="E120" t="s">
        <v>399</v>
      </c>
      <c r="F120">
        <v>12</v>
      </c>
      <c r="G120" t="s">
        <v>479</v>
      </c>
      <c r="H120" t="s">
        <v>603</v>
      </c>
      <c r="I120" t="s">
        <v>969</v>
      </c>
      <c r="J120" t="s">
        <v>774</v>
      </c>
      <c r="K120" t="s">
        <v>901</v>
      </c>
      <c r="L120">
        <v>13328.015600000001</v>
      </c>
      <c r="M120">
        <v>159936</v>
      </c>
      <c r="N120">
        <v>14179</v>
      </c>
      <c r="O120">
        <v>170145</v>
      </c>
      <c r="P120">
        <v>15313</v>
      </c>
      <c r="Q120">
        <v>183756</v>
      </c>
      <c r="R120" s="133">
        <v>45553</v>
      </c>
      <c r="S120">
        <v>45945</v>
      </c>
      <c r="T120" t="s">
        <v>225</v>
      </c>
      <c r="U120" t="s">
        <v>129</v>
      </c>
      <c r="V120" t="s">
        <v>142</v>
      </c>
      <c r="W120">
        <v>10380</v>
      </c>
      <c r="X120" t="s">
        <v>609</v>
      </c>
      <c r="Y120" t="s">
        <v>653</v>
      </c>
      <c r="Z120" t="s">
        <v>654</v>
      </c>
      <c r="AA120" t="s">
        <v>143</v>
      </c>
      <c r="AB120" t="s">
        <v>144</v>
      </c>
      <c r="AC120">
        <v>11611</v>
      </c>
      <c r="AD120">
        <v>11612</v>
      </c>
      <c r="AE120">
        <v>123</v>
      </c>
      <c r="AF120">
        <v>1</v>
      </c>
    </row>
    <row r="121" spans="1:32" x14ac:dyDescent="0.25">
      <c r="A121">
        <v>1</v>
      </c>
      <c r="B121">
        <v>192</v>
      </c>
      <c r="C121">
        <v>150188</v>
      </c>
      <c r="D121" t="s">
        <v>381</v>
      </c>
      <c r="E121" t="s">
        <v>401</v>
      </c>
      <c r="F121">
        <v>12</v>
      </c>
      <c r="G121" t="s">
        <v>486</v>
      </c>
      <c r="H121" t="s">
        <v>603</v>
      </c>
      <c r="I121" t="s">
        <v>969</v>
      </c>
      <c r="J121" t="s">
        <v>775</v>
      </c>
      <c r="K121" t="s">
        <v>902</v>
      </c>
      <c r="L121">
        <v>22898.738400000002</v>
      </c>
      <c r="M121">
        <v>274785</v>
      </c>
      <c r="N121">
        <v>24360</v>
      </c>
      <c r="O121">
        <v>292324</v>
      </c>
      <c r="P121">
        <v>26309</v>
      </c>
      <c r="Q121">
        <v>315710</v>
      </c>
      <c r="R121" s="133">
        <v>45553</v>
      </c>
      <c r="S121">
        <v>45553</v>
      </c>
      <c r="T121" t="s">
        <v>225</v>
      </c>
      <c r="U121" t="s">
        <v>129</v>
      </c>
      <c r="V121" t="s">
        <v>142</v>
      </c>
      <c r="W121">
        <v>20600</v>
      </c>
      <c r="X121" t="s">
        <v>497</v>
      </c>
      <c r="Y121" t="s">
        <v>653</v>
      </c>
      <c r="Z121" t="s">
        <v>654</v>
      </c>
      <c r="AA121" t="s">
        <v>143</v>
      </c>
      <c r="AB121" t="s">
        <v>144</v>
      </c>
      <c r="AC121">
        <v>11611</v>
      </c>
      <c r="AD121">
        <v>11612</v>
      </c>
      <c r="AE121">
        <v>123</v>
      </c>
      <c r="AF121">
        <v>1</v>
      </c>
    </row>
    <row r="122" spans="1:32" x14ac:dyDescent="0.25">
      <c r="A122">
        <v>1</v>
      </c>
      <c r="B122">
        <v>194</v>
      </c>
      <c r="C122">
        <v>150320</v>
      </c>
      <c r="D122" t="s">
        <v>381</v>
      </c>
      <c r="E122" t="s">
        <v>403</v>
      </c>
      <c r="F122">
        <v>6</v>
      </c>
      <c r="G122" t="s">
        <v>552</v>
      </c>
      <c r="H122" t="s">
        <v>603</v>
      </c>
      <c r="I122" t="s">
        <v>969</v>
      </c>
      <c r="J122" t="s">
        <v>776</v>
      </c>
      <c r="K122" t="s">
        <v>903</v>
      </c>
      <c r="L122">
        <v>17496.144799999998</v>
      </c>
      <c r="M122">
        <v>104977</v>
      </c>
      <c r="N122">
        <v>18613</v>
      </c>
      <c r="O122">
        <v>111678</v>
      </c>
      <c r="P122">
        <v>20102</v>
      </c>
      <c r="Q122">
        <v>120612</v>
      </c>
      <c r="R122" s="133">
        <v>45553</v>
      </c>
      <c r="S122">
        <v>45553</v>
      </c>
      <c r="T122" t="s">
        <v>225</v>
      </c>
      <c r="U122" t="s">
        <v>129</v>
      </c>
      <c r="V122" t="s">
        <v>142</v>
      </c>
      <c r="W122">
        <v>10690</v>
      </c>
      <c r="X122" t="s">
        <v>611</v>
      </c>
      <c r="Y122" t="s">
        <v>653</v>
      </c>
      <c r="Z122" t="s">
        <v>654</v>
      </c>
      <c r="AA122" t="s">
        <v>143</v>
      </c>
      <c r="AB122" t="s">
        <v>144</v>
      </c>
      <c r="AC122">
        <v>11611</v>
      </c>
      <c r="AD122">
        <v>11612</v>
      </c>
      <c r="AE122">
        <v>123</v>
      </c>
      <c r="AF122">
        <v>1</v>
      </c>
    </row>
    <row r="123" spans="1:32" x14ac:dyDescent="0.25">
      <c r="A123">
        <v>1</v>
      </c>
      <c r="B123">
        <v>195</v>
      </c>
      <c r="C123">
        <v>150162</v>
      </c>
      <c r="D123" t="s">
        <v>381</v>
      </c>
      <c r="E123" t="s">
        <v>404</v>
      </c>
      <c r="F123">
        <v>1</v>
      </c>
      <c r="G123" t="s">
        <v>506</v>
      </c>
      <c r="H123" t="s">
        <v>603</v>
      </c>
      <c r="I123" t="s">
        <v>969</v>
      </c>
      <c r="J123" t="s">
        <v>777</v>
      </c>
      <c r="K123" t="s">
        <v>904</v>
      </c>
      <c r="L123">
        <v>118880.27567567566</v>
      </c>
      <c r="M123">
        <v>118880</v>
      </c>
      <c r="N123">
        <v>126468</v>
      </c>
      <c r="O123">
        <v>126468</v>
      </c>
      <c r="P123">
        <v>136586</v>
      </c>
      <c r="Q123">
        <v>136586</v>
      </c>
      <c r="R123" s="133">
        <v>45553</v>
      </c>
      <c r="S123">
        <v>45839</v>
      </c>
      <c r="T123" t="s">
        <v>225</v>
      </c>
      <c r="U123" t="s">
        <v>129</v>
      </c>
      <c r="V123" t="s">
        <v>142</v>
      </c>
      <c r="W123">
        <v>11005</v>
      </c>
      <c r="X123" t="s">
        <v>613</v>
      </c>
      <c r="Y123" t="s">
        <v>653</v>
      </c>
      <c r="Z123" t="s">
        <v>654</v>
      </c>
      <c r="AA123" t="s">
        <v>143</v>
      </c>
      <c r="AB123" t="s">
        <v>144</v>
      </c>
      <c r="AC123">
        <v>11611</v>
      </c>
      <c r="AD123">
        <v>11612</v>
      </c>
      <c r="AE123">
        <v>123</v>
      </c>
      <c r="AF123">
        <v>1</v>
      </c>
    </row>
    <row r="124" spans="1:32" x14ac:dyDescent="0.25">
      <c r="A124">
        <v>1</v>
      </c>
      <c r="B124">
        <v>197</v>
      </c>
      <c r="C124">
        <v>150163</v>
      </c>
      <c r="D124" t="s">
        <v>381</v>
      </c>
      <c r="E124" t="s">
        <v>405</v>
      </c>
      <c r="F124">
        <v>1</v>
      </c>
      <c r="G124" t="s">
        <v>506</v>
      </c>
      <c r="H124" t="s">
        <v>603</v>
      </c>
      <c r="I124" t="s">
        <v>969</v>
      </c>
      <c r="J124" t="s">
        <v>778</v>
      </c>
      <c r="K124" t="s">
        <v>905</v>
      </c>
      <c r="L124">
        <v>459312.79220000003</v>
      </c>
      <c r="M124">
        <v>459313</v>
      </c>
      <c r="N124">
        <v>488631</v>
      </c>
      <c r="O124">
        <v>488631</v>
      </c>
      <c r="P124">
        <v>527721</v>
      </c>
      <c r="Q124">
        <v>527721</v>
      </c>
      <c r="R124" s="133">
        <v>45553</v>
      </c>
      <c r="S124">
        <v>45553</v>
      </c>
      <c r="T124" t="s">
        <v>225</v>
      </c>
      <c r="U124" t="s">
        <v>129</v>
      </c>
      <c r="V124" t="s">
        <v>142</v>
      </c>
      <c r="W124">
        <v>11024</v>
      </c>
      <c r="X124" t="s">
        <v>614</v>
      </c>
      <c r="Y124" t="s">
        <v>653</v>
      </c>
      <c r="Z124" t="s">
        <v>654</v>
      </c>
      <c r="AA124" t="s">
        <v>143</v>
      </c>
      <c r="AB124" t="s">
        <v>144</v>
      </c>
      <c r="AC124">
        <v>11611</v>
      </c>
      <c r="AD124">
        <v>11612</v>
      </c>
      <c r="AE124">
        <v>123</v>
      </c>
      <c r="AF124">
        <v>1</v>
      </c>
    </row>
    <row r="125" spans="1:32" x14ac:dyDescent="0.25">
      <c r="A125">
        <v>1</v>
      </c>
      <c r="B125">
        <v>199</v>
      </c>
      <c r="C125">
        <v>150119</v>
      </c>
      <c r="D125" t="s">
        <v>381</v>
      </c>
      <c r="E125" t="s">
        <v>407</v>
      </c>
      <c r="F125">
        <v>6</v>
      </c>
      <c r="G125" t="s">
        <v>552</v>
      </c>
      <c r="H125" t="s">
        <v>603</v>
      </c>
      <c r="I125" t="s">
        <v>969</v>
      </c>
      <c r="J125" t="s">
        <v>779</v>
      </c>
      <c r="K125" t="s">
        <v>906</v>
      </c>
      <c r="L125">
        <v>25058.200400000002</v>
      </c>
      <c r="M125">
        <v>150349</v>
      </c>
      <c r="N125">
        <v>26658</v>
      </c>
      <c r="O125">
        <v>159946</v>
      </c>
      <c r="P125">
        <v>28790</v>
      </c>
      <c r="Q125">
        <v>172742</v>
      </c>
      <c r="R125" s="133">
        <v>45553</v>
      </c>
      <c r="S125">
        <v>45553</v>
      </c>
      <c r="T125" t="s">
        <v>225</v>
      </c>
      <c r="U125" t="s">
        <v>129</v>
      </c>
      <c r="V125" t="s">
        <v>142</v>
      </c>
      <c r="W125">
        <v>11001</v>
      </c>
      <c r="X125" t="s">
        <v>596</v>
      </c>
      <c r="Y125" t="s">
        <v>653</v>
      </c>
      <c r="Z125" t="s">
        <v>654</v>
      </c>
      <c r="AA125" t="s">
        <v>143</v>
      </c>
      <c r="AB125" t="s">
        <v>144</v>
      </c>
      <c r="AC125">
        <v>11611</v>
      </c>
      <c r="AD125">
        <v>11612</v>
      </c>
      <c r="AE125">
        <v>123</v>
      </c>
      <c r="AF125">
        <v>1</v>
      </c>
    </row>
    <row r="126" spans="1:32" x14ac:dyDescent="0.25">
      <c r="A126">
        <v>1</v>
      </c>
      <c r="B126">
        <v>202</v>
      </c>
      <c r="C126">
        <v>150154</v>
      </c>
      <c r="D126" t="s">
        <v>381</v>
      </c>
      <c r="E126" t="s">
        <v>409</v>
      </c>
      <c r="F126">
        <v>21</v>
      </c>
      <c r="G126" t="s">
        <v>591</v>
      </c>
      <c r="H126" t="s">
        <v>603</v>
      </c>
      <c r="I126" t="s">
        <v>969</v>
      </c>
      <c r="J126" t="s">
        <v>780</v>
      </c>
      <c r="K126" t="s">
        <v>907</v>
      </c>
      <c r="L126">
        <v>5669.6381999999994</v>
      </c>
      <c r="M126">
        <v>119062</v>
      </c>
      <c r="N126">
        <v>6032</v>
      </c>
      <c r="O126">
        <v>126662</v>
      </c>
      <c r="P126">
        <v>6573</v>
      </c>
      <c r="Q126">
        <v>138039</v>
      </c>
      <c r="R126" s="133">
        <v>45553</v>
      </c>
      <c r="S126">
        <v>45945</v>
      </c>
      <c r="T126" t="s">
        <v>225</v>
      </c>
      <c r="U126" t="s">
        <v>129</v>
      </c>
      <c r="V126" t="s">
        <v>142</v>
      </c>
      <c r="W126">
        <v>10008</v>
      </c>
      <c r="X126" t="s">
        <v>589</v>
      </c>
      <c r="Y126" t="s">
        <v>653</v>
      </c>
      <c r="Z126" t="s">
        <v>654</v>
      </c>
      <c r="AA126" t="s">
        <v>143</v>
      </c>
      <c r="AB126" t="s">
        <v>144</v>
      </c>
      <c r="AC126">
        <v>11611</v>
      </c>
      <c r="AD126">
        <v>11612</v>
      </c>
      <c r="AE126">
        <v>123</v>
      </c>
      <c r="AF126">
        <v>1</v>
      </c>
    </row>
    <row r="127" spans="1:32" x14ac:dyDescent="0.25">
      <c r="A127">
        <v>1</v>
      </c>
      <c r="B127">
        <v>205</v>
      </c>
      <c r="C127">
        <v>150153</v>
      </c>
      <c r="D127" t="s">
        <v>381</v>
      </c>
      <c r="E127" t="s">
        <v>411</v>
      </c>
      <c r="F127">
        <v>30</v>
      </c>
      <c r="G127" t="s">
        <v>605</v>
      </c>
      <c r="H127" t="s">
        <v>603</v>
      </c>
      <c r="I127" t="s">
        <v>969</v>
      </c>
      <c r="J127" t="s">
        <v>781</v>
      </c>
      <c r="K127" t="s">
        <v>908</v>
      </c>
      <c r="L127">
        <v>5669.6381999999994</v>
      </c>
      <c r="M127">
        <v>170089</v>
      </c>
      <c r="N127">
        <v>6032</v>
      </c>
      <c r="O127">
        <v>180946</v>
      </c>
      <c r="P127">
        <v>6573</v>
      </c>
      <c r="Q127">
        <v>197198</v>
      </c>
      <c r="R127" s="133">
        <v>45553</v>
      </c>
      <c r="S127">
        <v>45945</v>
      </c>
      <c r="T127" t="s">
        <v>225</v>
      </c>
      <c r="U127" t="s">
        <v>129</v>
      </c>
      <c r="V127" t="s">
        <v>142</v>
      </c>
      <c r="W127">
        <v>10015</v>
      </c>
      <c r="X127" t="s">
        <v>522</v>
      </c>
      <c r="Y127" t="s">
        <v>653</v>
      </c>
      <c r="Z127" t="s">
        <v>654</v>
      </c>
      <c r="AA127" t="s">
        <v>143</v>
      </c>
      <c r="AB127" t="s">
        <v>144</v>
      </c>
      <c r="AC127">
        <v>11611</v>
      </c>
      <c r="AD127">
        <v>11612</v>
      </c>
      <c r="AE127">
        <v>123</v>
      </c>
      <c r="AF127">
        <v>1</v>
      </c>
    </row>
    <row r="128" spans="1:32" x14ac:dyDescent="0.25">
      <c r="A128">
        <v>1</v>
      </c>
      <c r="B128">
        <v>209</v>
      </c>
      <c r="C128">
        <v>150181</v>
      </c>
      <c r="D128" t="s">
        <v>381</v>
      </c>
      <c r="E128" t="s">
        <v>414</v>
      </c>
      <c r="F128">
        <v>48</v>
      </c>
      <c r="G128" t="s">
        <v>479</v>
      </c>
      <c r="H128" t="s">
        <v>603</v>
      </c>
      <c r="I128" t="s">
        <v>969</v>
      </c>
      <c r="J128" t="s">
        <v>782</v>
      </c>
      <c r="K128" t="s">
        <v>1021</v>
      </c>
      <c r="L128">
        <v>2224.2467999999999</v>
      </c>
      <c r="M128">
        <v>106764</v>
      </c>
      <c r="N128">
        <v>2366</v>
      </c>
      <c r="O128">
        <v>113579</v>
      </c>
      <c r="P128">
        <v>2556</v>
      </c>
      <c r="Q128">
        <v>122665</v>
      </c>
      <c r="R128" s="133">
        <v>45553</v>
      </c>
      <c r="S128">
        <v>45945</v>
      </c>
      <c r="T128" t="s">
        <v>225</v>
      </c>
      <c r="U128" t="s">
        <v>129</v>
      </c>
      <c r="V128" t="s">
        <v>142</v>
      </c>
      <c r="W128">
        <v>10075</v>
      </c>
      <c r="X128" t="s">
        <v>617</v>
      </c>
      <c r="Y128" t="s">
        <v>653</v>
      </c>
      <c r="Z128" t="s">
        <v>654</v>
      </c>
      <c r="AA128" t="s">
        <v>143</v>
      </c>
      <c r="AB128" t="s">
        <v>144</v>
      </c>
      <c r="AC128">
        <v>11611</v>
      </c>
      <c r="AD128">
        <v>11612</v>
      </c>
      <c r="AE128">
        <v>123</v>
      </c>
      <c r="AF128">
        <v>1</v>
      </c>
    </row>
    <row r="129" spans="1:32" x14ac:dyDescent="0.25">
      <c r="A129">
        <v>1</v>
      </c>
      <c r="B129">
        <v>214</v>
      </c>
      <c r="C129">
        <v>150976</v>
      </c>
      <c r="D129" t="s">
        <v>381</v>
      </c>
      <c r="E129" t="s">
        <v>419</v>
      </c>
      <c r="F129">
        <v>48</v>
      </c>
      <c r="G129" t="s">
        <v>486</v>
      </c>
      <c r="H129" t="s">
        <v>603</v>
      </c>
      <c r="I129" t="s">
        <v>969</v>
      </c>
      <c r="J129" t="s">
        <v>784</v>
      </c>
      <c r="K129" t="s">
        <v>910</v>
      </c>
      <c r="L129">
        <v>5504.5459999999994</v>
      </c>
      <c r="M129">
        <v>264218</v>
      </c>
      <c r="N129">
        <v>5856</v>
      </c>
      <c r="O129">
        <v>281083</v>
      </c>
      <c r="P129">
        <v>0</v>
      </c>
      <c r="Q129">
        <v>0</v>
      </c>
      <c r="R129" s="133">
        <v>45553</v>
      </c>
      <c r="S129">
        <v>45553</v>
      </c>
      <c r="T129" t="s">
        <v>225</v>
      </c>
      <c r="U129" t="s">
        <v>129</v>
      </c>
      <c r="V129" t="s">
        <v>142</v>
      </c>
      <c r="W129">
        <v>20130</v>
      </c>
      <c r="X129" t="s">
        <v>606</v>
      </c>
      <c r="Y129" t="s">
        <v>653</v>
      </c>
      <c r="Z129" t="s">
        <v>654</v>
      </c>
      <c r="AA129" t="s">
        <v>143</v>
      </c>
      <c r="AB129" t="s">
        <v>144</v>
      </c>
      <c r="AC129">
        <v>11611</v>
      </c>
      <c r="AD129">
        <v>11612</v>
      </c>
      <c r="AE129">
        <v>123</v>
      </c>
      <c r="AF129">
        <v>1</v>
      </c>
    </row>
    <row r="130" spans="1:32" x14ac:dyDescent="0.25">
      <c r="A130">
        <v>1</v>
      </c>
      <c r="B130">
        <v>215</v>
      </c>
      <c r="C130">
        <v>150191</v>
      </c>
      <c r="D130" t="s">
        <v>381</v>
      </c>
      <c r="E130" t="s">
        <v>420</v>
      </c>
      <c r="F130">
        <v>48</v>
      </c>
      <c r="G130" t="s">
        <v>486</v>
      </c>
      <c r="H130" t="s">
        <v>603</v>
      </c>
      <c r="I130" t="s">
        <v>969</v>
      </c>
      <c r="J130" t="s">
        <v>785</v>
      </c>
      <c r="K130" t="s">
        <v>911</v>
      </c>
      <c r="L130">
        <v>6097.3005999999996</v>
      </c>
      <c r="M130">
        <v>292670</v>
      </c>
      <c r="N130">
        <v>6486</v>
      </c>
      <c r="O130">
        <v>311352</v>
      </c>
      <c r="P130">
        <v>6811</v>
      </c>
      <c r="Q130">
        <v>326919</v>
      </c>
      <c r="R130" s="133">
        <v>45553</v>
      </c>
      <c r="S130">
        <v>45553</v>
      </c>
      <c r="T130" t="s">
        <v>225</v>
      </c>
      <c r="U130" t="s">
        <v>129</v>
      </c>
      <c r="V130" t="s">
        <v>142</v>
      </c>
      <c r="W130">
        <v>20135</v>
      </c>
      <c r="X130" t="s">
        <v>484</v>
      </c>
      <c r="Y130" t="s">
        <v>653</v>
      </c>
      <c r="Z130" t="s">
        <v>654</v>
      </c>
      <c r="AA130" t="s">
        <v>143</v>
      </c>
      <c r="AB130" t="s">
        <v>144</v>
      </c>
      <c r="AC130">
        <v>11611</v>
      </c>
      <c r="AD130">
        <v>11612</v>
      </c>
      <c r="AE130">
        <v>123</v>
      </c>
      <c r="AF130">
        <v>1</v>
      </c>
    </row>
    <row r="131" spans="1:32" x14ac:dyDescent="0.25">
      <c r="A131">
        <v>1</v>
      </c>
      <c r="B131">
        <v>217</v>
      </c>
      <c r="C131">
        <v>150192</v>
      </c>
      <c r="D131" t="s">
        <v>381</v>
      </c>
      <c r="E131" t="s">
        <v>422</v>
      </c>
      <c r="F131">
        <v>24</v>
      </c>
      <c r="G131" t="s">
        <v>486</v>
      </c>
      <c r="H131" t="s">
        <v>603</v>
      </c>
      <c r="I131" t="s">
        <v>969</v>
      </c>
      <c r="J131" t="s">
        <v>786</v>
      </c>
      <c r="K131" t="s">
        <v>912</v>
      </c>
      <c r="L131">
        <v>11271.5306</v>
      </c>
      <c r="M131">
        <v>270517</v>
      </c>
      <c r="N131">
        <v>11991</v>
      </c>
      <c r="O131">
        <v>287784</v>
      </c>
      <c r="P131">
        <v>12950</v>
      </c>
      <c r="Q131">
        <v>310807</v>
      </c>
      <c r="R131" s="133">
        <v>45553</v>
      </c>
      <c r="S131">
        <v>45553</v>
      </c>
      <c r="T131" t="s">
        <v>225</v>
      </c>
      <c r="U131" t="s">
        <v>129</v>
      </c>
      <c r="V131" t="s">
        <v>142</v>
      </c>
      <c r="W131">
        <v>20270</v>
      </c>
      <c r="X131" t="s">
        <v>607</v>
      </c>
      <c r="Y131" t="s">
        <v>653</v>
      </c>
      <c r="Z131" t="s">
        <v>654</v>
      </c>
      <c r="AA131" t="s">
        <v>143</v>
      </c>
      <c r="AB131" t="s">
        <v>144</v>
      </c>
      <c r="AC131">
        <v>11611</v>
      </c>
      <c r="AD131">
        <v>11612</v>
      </c>
      <c r="AE131">
        <v>123</v>
      </c>
      <c r="AF131">
        <v>1</v>
      </c>
    </row>
    <row r="132" spans="1:32" x14ac:dyDescent="0.25">
      <c r="A132">
        <v>1</v>
      </c>
      <c r="B132">
        <v>221</v>
      </c>
      <c r="C132">
        <v>150081</v>
      </c>
      <c r="D132" t="s">
        <v>381</v>
      </c>
      <c r="E132" t="s">
        <v>425</v>
      </c>
      <c r="F132">
        <v>24</v>
      </c>
      <c r="G132" t="s">
        <v>486</v>
      </c>
      <c r="H132" t="s">
        <v>603</v>
      </c>
      <c r="I132" t="s">
        <v>969</v>
      </c>
      <c r="J132" t="s">
        <v>787</v>
      </c>
      <c r="K132" t="s">
        <v>913</v>
      </c>
      <c r="L132">
        <v>14023.784799999999</v>
      </c>
      <c r="M132">
        <v>336571</v>
      </c>
      <c r="N132">
        <v>14919</v>
      </c>
      <c r="O132">
        <v>358054</v>
      </c>
      <c r="P132">
        <v>16112</v>
      </c>
      <c r="Q132">
        <v>386698</v>
      </c>
      <c r="R132" s="133">
        <v>45553</v>
      </c>
      <c r="S132">
        <v>45553</v>
      </c>
      <c r="T132" t="s">
        <v>225</v>
      </c>
      <c r="U132" t="s">
        <v>129</v>
      </c>
      <c r="V132" t="s">
        <v>142</v>
      </c>
      <c r="W132">
        <v>20335</v>
      </c>
      <c r="X132" t="s">
        <v>592</v>
      </c>
      <c r="Y132" t="s">
        <v>653</v>
      </c>
      <c r="Z132" t="s">
        <v>654</v>
      </c>
      <c r="AA132" t="s">
        <v>143</v>
      </c>
      <c r="AB132" t="s">
        <v>144</v>
      </c>
      <c r="AC132">
        <v>11611</v>
      </c>
      <c r="AD132">
        <v>11612</v>
      </c>
      <c r="AE132">
        <v>123</v>
      </c>
      <c r="AF132">
        <v>1</v>
      </c>
    </row>
    <row r="133" spans="1:32" x14ac:dyDescent="0.25">
      <c r="A133">
        <v>1</v>
      </c>
      <c r="B133">
        <v>225</v>
      </c>
      <c r="C133">
        <v>150178</v>
      </c>
      <c r="D133" t="s">
        <v>381</v>
      </c>
      <c r="E133" t="s">
        <v>429</v>
      </c>
      <c r="F133">
        <v>12</v>
      </c>
      <c r="G133" t="s">
        <v>479</v>
      </c>
      <c r="H133" t="s">
        <v>603</v>
      </c>
      <c r="I133" t="s">
        <v>969</v>
      </c>
      <c r="J133" t="s">
        <v>788</v>
      </c>
      <c r="K133" t="s">
        <v>914</v>
      </c>
      <c r="L133">
        <v>12939.8238</v>
      </c>
      <c r="M133">
        <v>155278</v>
      </c>
      <c r="N133">
        <v>13766</v>
      </c>
      <c r="O133">
        <v>165189</v>
      </c>
      <c r="P133">
        <v>15313</v>
      </c>
      <c r="Q133">
        <v>183756</v>
      </c>
      <c r="R133" s="133">
        <v>45553</v>
      </c>
      <c r="S133">
        <v>45945</v>
      </c>
      <c r="T133" t="s">
        <v>225</v>
      </c>
      <c r="U133" t="s">
        <v>129</v>
      </c>
      <c r="V133" t="s">
        <v>142</v>
      </c>
      <c r="W133">
        <v>10380</v>
      </c>
      <c r="X133" t="s">
        <v>609</v>
      </c>
      <c r="Y133" t="s">
        <v>653</v>
      </c>
      <c r="Z133" t="s">
        <v>654</v>
      </c>
      <c r="AA133" t="s">
        <v>143</v>
      </c>
      <c r="AB133" t="s">
        <v>144</v>
      </c>
      <c r="AC133">
        <v>11611</v>
      </c>
      <c r="AD133">
        <v>11612</v>
      </c>
      <c r="AE133">
        <v>123</v>
      </c>
      <c r="AF133">
        <v>1</v>
      </c>
    </row>
    <row r="134" spans="1:32" x14ac:dyDescent="0.25">
      <c r="A134">
        <v>1</v>
      </c>
      <c r="B134">
        <v>228</v>
      </c>
      <c r="C134">
        <v>150150</v>
      </c>
      <c r="D134" t="s">
        <v>381</v>
      </c>
      <c r="E134" t="s">
        <v>432</v>
      </c>
      <c r="F134">
        <v>6</v>
      </c>
      <c r="G134" t="s">
        <v>552</v>
      </c>
      <c r="H134" t="s">
        <v>603</v>
      </c>
      <c r="I134" t="s">
        <v>969</v>
      </c>
      <c r="J134" t="s">
        <v>789</v>
      </c>
      <c r="K134" t="s">
        <v>915</v>
      </c>
      <c r="L134">
        <v>23381.4378</v>
      </c>
      <c r="M134">
        <v>140289</v>
      </c>
      <c r="N134">
        <v>24874</v>
      </c>
      <c r="O134">
        <v>149243</v>
      </c>
      <c r="P134">
        <v>26864</v>
      </c>
      <c r="Q134">
        <v>161183</v>
      </c>
      <c r="R134" s="133">
        <v>45553</v>
      </c>
      <c r="S134">
        <v>45553</v>
      </c>
      <c r="T134" t="s">
        <v>225</v>
      </c>
      <c r="U134" t="s">
        <v>129</v>
      </c>
      <c r="V134" t="s">
        <v>142</v>
      </c>
      <c r="W134">
        <v>10950</v>
      </c>
      <c r="X134" t="s">
        <v>619</v>
      </c>
      <c r="Y134" t="s">
        <v>653</v>
      </c>
      <c r="Z134" t="s">
        <v>654</v>
      </c>
      <c r="AA134" t="s">
        <v>143</v>
      </c>
      <c r="AB134" t="s">
        <v>144</v>
      </c>
      <c r="AC134">
        <v>11611</v>
      </c>
      <c r="AD134">
        <v>11612</v>
      </c>
      <c r="AE134">
        <v>123</v>
      </c>
      <c r="AF134">
        <v>1</v>
      </c>
    </row>
    <row r="135" spans="1:32" x14ac:dyDescent="0.25">
      <c r="A135">
        <v>1</v>
      </c>
      <c r="B135">
        <v>231</v>
      </c>
      <c r="C135">
        <v>150298</v>
      </c>
      <c r="D135" t="s">
        <v>381</v>
      </c>
      <c r="E135" t="s">
        <v>434</v>
      </c>
      <c r="F135">
        <v>48</v>
      </c>
      <c r="G135" t="s">
        <v>479</v>
      </c>
      <c r="H135" t="s">
        <v>603</v>
      </c>
      <c r="I135" t="s">
        <v>969</v>
      </c>
      <c r="J135" t="s">
        <v>790</v>
      </c>
      <c r="K135" t="s">
        <v>916</v>
      </c>
      <c r="L135">
        <v>2375.38</v>
      </c>
      <c r="M135">
        <v>114018</v>
      </c>
      <c r="N135">
        <v>2527</v>
      </c>
      <c r="O135">
        <v>121296</v>
      </c>
      <c r="P135">
        <v>2729</v>
      </c>
      <c r="Q135">
        <v>131000</v>
      </c>
      <c r="R135" s="133">
        <v>45553</v>
      </c>
      <c r="S135">
        <v>45553</v>
      </c>
      <c r="T135" t="s">
        <v>225</v>
      </c>
      <c r="U135" t="s">
        <v>129</v>
      </c>
      <c r="V135" t="s">
        <v>142</v>
      </c>
      <c r="W135">
        <v>10075</v>
      </c>
      <c r="X135" t="s">
        <v>520</v>
      </c>
      <c r="Y135" t="s">
        <v>653</v>
      </c>
      <c r="Z135" t="s">
        <v>654</v>
      </c>
      <c r="AA135" t="s">
        <v>143</v>
      </c>
      <c r="AB135" t="s">
        <v>144</v>
      </c>
      <c r="AC135">
        <v>11611</v>
      </c>
      <c r="AD135">
        <v>11612</v>
      </c>
      <c r="AE135">
        <v>123</v>
      </c>
      <c r="AF135">
        <v>1</v>
      </c>
    </row>
    <row r="136" spans="1:32" x14ac:dyDescent="0.25">
      <c r="A136">
        <v>1</v>
      </c>
      <c r="B136">
        <v>232</v>
      </c>
      <c r="C136">
        <v>150299</v>
      </c>
      <c r="D136" t="s">
        <v>381</v>
      </c>
      <c r="E136" t="s">
        <v>435</v>
      </c>
      <c r="F136">
        <v>48</v>
      </c>
      <c r="G136" t="s">
        <v>486</v>
      </c>
      <c r="H136" t="s">
        <v>603</v>
      </c>
      <c r="I136" t="s">
        <v>969</v>
      </c>
      <c r="J136" t="s">
        <v>791</v>
      </c>
      <c r="K136" t="s">
        <v>917</v>
      </c>
      <c r="L136">
        <v>6402.152</v>
      </c>
      <c r="M136">
        <v>307303</v>
      </c>
      <c r="N136">
        <v>6811</v>
      </c>
      <c r="O136">
        <v>326918</v>
      </c>
      <c r="P136">
        <v>7356</v>
      </c>
      <c r="Q136">
        <v>353072</v>
      </c>
      <c r="R136" s="133">
        <v>45553</v>
      </c>
      <c r="S136">
        <v>45553</v>
      </c>
      <c r="T136" t="s">
        <v>225</v>
      </c>
      <c r="U136" t="s">
        <v>129</v>
      </c>
      <c r="V136" t="s">
        <v>142</v>
      </c>
      <c r="W136">
        <v>20135</v>
      </c>
      <c r="X136" t="s">
        <v>484</v>
      </c>
      <c r="Y136" t="s">
        <v>653</v>
      </c>
      <c r="Z136" t="s">
        <v>654</v>
      </c>
      <c r="AA136" t="s">
        <v>143</v>
      </c>
      <c r="AB136" t="s">
        <v>144</v>
      </c>
      <c r="AC136">
        <v>11611</v>
      </c>
      <c r="AD136">
        <v>11612</v>
      </c>
      <c r="AE136">
        <v>123</v>
      </c>
      <c r="AF136">
        <v>1</v>
      </c>
    </row>
    <row r="137" spans="1:32" x14ac:dyDescent="0.25">
      <c r="A137">
        <v>1</v>
      </c>
      <c r="B137">
        <v>233</v>
      </c>
      <c r="C137">
        <v>150166</v>
      </c>
      <c r="D137" t="s">
        <v>381</v>
      </c>
      <c r="E137" t="s">
        <v>436</v>
      </c>
      <c r="F137">
        <v>48</v>
      </c>
      <c r="G137" t="s">
        <v>486</v>
      </c>
      <c r="H137" t="s">
        <v>603</v>
      </c>
      <c r="I137" t="s">
        <v>969</v>
      </c>
      <c r="J137" t="s">
        <v>792</v>
      </c>
      <c r="K137" t="s">
        <v>918</v>
      </c>
      <c r="L137">
        <v>6097.2904166666667</v>
      </c>
      <c r="M137">
        <v>292670</v>
      </c>
      <c r="N137">
        <v>6486</v>
      </c>
      <c r="O137">
        <v>311351</v>
      </c>
      <c r="P137">
        <v>7005</v>
      </c>
      <c r="Q137">
        <v>336259</v>
      </c>
      <c r="R137" s="133">
        <v>45553</v>
      </c>
      <c r="S137">
        <v>45839</v>
      </c>
      <c r="T137" t="s">
        <v>225</v>
      </c>
      <c r="U137" t="s">
        <v>129</v>
      </c>
      <c r="V137" t="s">
        <v>142</v>
      </c>
      <c r="W137">
        <v>20135</v>
      </c>
      <c r="X137" t="s">
        <v>484</v>
      </c>
      <c r="Y137" t="s">
        <v>653</v>
      </c>
      <c r="Z137" t="s">
        <v>654</v>
      </c>
      <c r="AA137" t="s">
        <v>143</v>
      </c>
      <c r="AB137" t="s">
        <v>144</v>
      </c>
      <c r="AC137">
        <v>11611</v>
      </c>
      <c r="AD137">
        <v>11612</v>
      </c>
      <c r="AE137">
        <v>123</v>
      </c>
      <c r="AF137">
        <v>1</v>
      </c>
    </row>
    <row r="138" spans="1:32" x14ac:dyDescent="0.25">
      <c r="A138">
        <v>1</v>
      </c>
      <c r="B138">
        <v>235</v>
      </c>
      <c r="C138">
        <v>150173</v>
      </c>
      <c r="D138" t="s">
        <v>381</v>
      </c>
      <c r="E138" t="s">
        <v>438</v>
      </c>
      <c r="F138">
        <v>24</v>
      </c>
      <c r="G138" t="s">
        <v>486</v>
      </c>
      <c r="H138" t="s">
        <v>603</v>
      </c>
      <c r="I138" t="s">
        <v>969</v>
      </c>
      <c r="J138" t="s">
        <v>793</v>
      </c>
      <c r="K138" t="s">
        <v>919</v>
      </c>
      <c r="L138">
        <v>14023.78378378378</v>
      </c>
      <c r="M138">
        <v>336571</v>
      </c>
      <c r="N138">
        <v>14919</v>
      </c>
      <c r="O138">
        <v>358054</v>
      </c>
      <c r="P138">
        <v>16112</v>
      </c>
      <c r="Q138">
        <v>386698</v>
      </c>
      <c r="R138" s="133">
        <v>45553</v>
      </c>
      <c r="S138">
        <v>45839</v>
      </c>
      <c r="T138" t="s">
        <v>225</v>
      </c>
      <c r="U138" t="s">
        <v>129</v>
      </c>
      <c r="V138" t="s">
        <v>142</v>
      </c>
      <c r="W138">
        <v>20335</v>
      </c>
      <c r="X138" t="s">
        <v>592</v>
      </c>
      <c r="Y138" t="s">
        <v>653</v>
      </c>
      <c r="Z138" t="s">
        <v>654</v>
      </c>
      <c r="AA138" t="s">
        <v>143</v>
      </c>
      <c r="AB138" t="s">
        <v>144</v>
      </c>
      <c r="AC138">
        <v>11611</v>
      </c>
      <c r="AD138">
        <v>11612</v>
      </c>
      <c r="AE138">
        <v>123</v>
      </c>
      <c r="AF138">
        <v>1</v>
      </c>
    </row>
    <row r="139" spans="1:32" x14ac:dyDescent="0.25">
      <c r="A139">
        <v>1</v>
      </c>
      <c r="B139">
        <v>237</v>
      </c>
      <c r="C139">
        <v>150167</v>
      </c>
      <c r="D139" t="s">
        <v>381</v>
      </c>
      <c r="E139" t="s">
        <v>439</v>
      </c>
      <c r="F139">
        <v>48</v>
      </c>
      <c r="G139" t="s">
        <v>486</v>
      </c>
      <c r="H139" t="s">
        <v>603</v>
      </c>
      <c r="I139" t="s">
        <v>969</v>
      </c>
      <c r="J139" t="s">
        <v>794</v>
      </c>
      <c r="K139" t="s">
        <v>920</v>
      </c>
      <c r="L139">
        <v>6097.2904166666667</v>
      </c>
      <c r="M139">
        <v>292670</v>
      </c>
      <c r="N139">
        <v>6486</v>
      </c>
      <c r="O139">
        <v>311351</v>
      </c>
      <c r="P139">
        <v>7005</v>
      </c>
      <c r="Q139">
        <v>336259</v>
      </c>
      <c r="R139" s="133">
        <v>45553</v>
      </c>
      <c r="S139">
        <v>45839</v>
      </c>
      <c r="T139" t="s">
        <v>225</v>
      </c>
      <c r="U139" t="s">
        <v>129</v>
      </c>
      <c r="V139" t="s">
        <v>142</v>
      </c>
      <c r="W139">
        <v>20135</v>
      </c>
      <c r="X139" t="s">
        <v>484</v>
      </c>
      <c r="Y139" t="s">
        <v>653</v>
      </c>
      <c r="Z139" t="s">
        <v>654</v>
      </c>
      <c r="AA139" t="s">
        <v>143</v>
      </c>
      <c r="AB139" t="s">
        <v>144</v>
      </c>
      <c r="AC139">
        <v>11611</v>
      </c>
      <c r="AD139">
        <v>11612</v>
      </c>
      <c r="AE139">
        <v>123</v>
      </c>
      <c r="AF139">
        <v>1</v>
      </c>
    </row>
    <row r="140" spans="1:32" x14ac:dyDescent="0.25">
      <c r="A140">
        <v>2</v>
      </c>
      <c r="B140">
        <v>239</v>
      </c>
      <c r="C140">
        <v>150336</v>
      </c>
      <c r="D140" t="s">
        <v>381</v>
      </c>
      <c r="E140" t="s">
        <v>440</v>
      </c>
      <c r="F140">
        <v>24</v>
      </c>
      <c r="G140" t="s">
        <v>486</v>
      </c>
      <c r="H140" t="s">
        <v>603</v>
      </c>
      <c r="I140" t="s">
        <v>969</v>
      </c>
      <c r="J140" t="s">
        <v>795</v>
      </c>
      <c r="K140" t="s">
        <v>921</v>
      </c>
      <c r="L140">
        <v>14023.784799999999</v>
      </c>
      <c r="M140">
        <v>336571</v>
      </c>
      <c r="N140">
        <v>14919</v>
      </c>
      <c r="O140">
        <v>358054</v>
      </c>
      <c r="P140">
        <v>16112</v>
      </c>
      <c r="Q140">
        <v>386698</v>
      </c>
      <c r="R140" s="133"/>
      <c r="S140">
        <v>45553</v>
      </c>
      <c r="T140" t="s">
        <v>225</v>
      </c>
      <c r="U140" t="s">
        <v>129</v>
      </c>
      <c r="V140" t="s">
        <v>142</v>
      </c>
      <c r="W140">
        <v>20335</v>
      </c>
      <c r="X140" t="s">
        <v>592</v>
      </c>
      <c r="Y140" t="s">
        <v>653</v>
      </c>
      <c r="Z140" t="s">
        <v>654</v>
      </c>
      <c r="AA140" t="s">
        <v>143</v>
      </c>
      <c r="AB140" t="s">
        <v>144</v>
      </c>
      <c r="AC140">
        <v>11611</v>
      </c>
      <c r="AD140">
        <v>11612</v>
      </c>
      <c r="AE140">
        <v>123</v>
      </c>
      <c r="AF140">
        <v>1</v>
      </c>
    </row>
    <row r="141" spans="1:32" x14ac:dyDescent="0.25">
      <c r="A141">
        <v>1</v>
      </c>
      <c r="B141">
        <v>241</v>
      </c>
      <c r="C141">
        <v>150175</v>
      </c>
      <c r="D141" t="s">
        <v>381</v>
      </c>
      <c r="E141" t="s">
        <v>442</v>
      </c>
      <c r="F141">
        <v>48</v>
      </c>
      <c r="G141" t="s">
        <v>486</v>
      </c>
      <c r="H141" t="s">
        <v>603</v>
      </c>
      <c r="I141" t="s">
        <v>969</v>
      </c>
      <c r="J141" t="s">
        <v>796</v>
      </c>
      <c r="K141" t="s">
        <v>922</v>
      </c>
      <c r="L141">
        <v>6097.3005999999996</v>
      </c>
      <c r="M141">
        <v>292670</v>
      </c>
      <c r="N141">
        <v>6486</v>
      </c>
      <c r="O141">
        <v>311352</v>
      </c>
      <c r="P141">
        <v>6811</v>
      </c>
      <c r="Q141">
        <v>326919</v>
      </c>
      <c r="R141" s="133">
        <v>45553</v>
      </c>
      <c r="S141">
        <v>45553</v>
      </c>
      <c r="T141" t="s">
        <v>225</v>
      </c>
      <c r="U141" t="s">
        <v>129</v>
      </c>
      <c r="V141" t="s">
        <v>142</v>
      </c>
      <c r="W141">
        <v>20135</v>
      </c>
      <c r="X141" t="s">
        <v>484</v>
      </c>
      <c r="Y141" t="s">
        <v>653</v>
      </c>
      <c r="Z141" t="s">
        <v>654</v>
      </c>
      <c r="AA141" t="s">
        <v>143</v>
      </c>
      <c r="AB141" t="s">
        <v>144</v>
      </c>
      <c r="AC141">
        <v>11611</v>
      </c>
      <c r="AD141">
        <v>11612</v>
      </c>
      <c r="AE141">
        <v>123</v>
      </c>
      <c r="AF141">
        <v>1</v>
      </c>
    </row>
    <row r="142" spans="1:32" x14ac:dyDescent="0.25">
      <c r="A142">
        <v>1</v>
      </c>
      <c r="B142">
        <v>242</v>
      </c>
      <c r="C142">
        <v>150176</v>
      </c>
      <c r="D142" t="s">
        <v>381</v>
      </c>
      <c r="E142" t="s">
        <v>443</v>
      </c>
      <c r="F142">
        <v>24</v>
      </c>
      <c r="G142" t="s">
        <v>486</v>
      </c>
      <c r="H142" t="s">
        <v>603</v>
      </c>
      <c r="I142" t="s">
        <v>969</v>
      </c>
      <c r="J142" t="s">
        <v>797</v>
      </c>
      <c r="K142" t="s">
        <v>923</v>
      </c>
      <c r="L142">
        <v>11271.5306</v>
      </c>
      <c r="M142">
        <v>270517</v>
      </c>
      <c r="N142">
        <v>11991</v>
      </c>
      <c r="O142">
        <v>287784</v>
      </c>
      <c r="P142">
        <v>12950</v>
      </c>
      <c r="Q142">
        <v>310806</v>
      </c>
      <c r="R142" s="133">
        <v>45553</v>
      </c>
      <c r="S142">
        <v>45553</v>
      </c>
      <c r="T142" t="s">
        <v>225</v>
      </c>
      <c r="U142" t="s">
        <v>129</v>
      </c>
      <c r="V142" t="s">
        <v>142</v>
      </c>
      <c r="W142">
        <v>20275</v>
      </c>
      <c r="X142" t="s">
        <v>490</v>
      </c>
      <c r="Y142" t="s">
        <v>653</v>
      </c>
      <c r="Z142" t="s">
        <v>654</v>
      </c>
      <c r="AA142" t="s">
        <v>143</v>
      </c>
      <c r="AB142" t="s">
        <v>144</v>
      </c>
      <c r="AC142">
        <v>11611</v>
      </c>
      <c r="AD142">
        <v>11612</v>
      </c>
      <c r="AE142">
        <v>123</v>
      </c>
      <c r="AF142">
        <v>1</v>
      </c>
    </row>
    <row r="143" spans="1:32" x14ac:dyDescent="0.25">
      <c r="A143">
        <v>1</v>
      </c>
      <c r="B143">
        <v>244</v>
      </c>
      <c r="C143">
        <v>150190</v>
      </c>
      <c r="D143" t="s">
        <v>381</v>
      </c>
      <c r="E143" t="s">
        <v>444</v>
      </c>
      <c r="F143">
        <v>21</v>
      </c>
      <c r="G143" t="s">
        <v>627</v>
      </c>
      <c r="H143" t="s">
        <v>970</v>
      </c>
      <c r="I143" t="s">
        <v>971</v>
      </c>
      <c r="J143" t="s">
        <v>734</v>
      </c>
      <c r="K143" t="s">
        <v>924</v>
      </c>
      <c r="L143">
        <v>3610.4366</v>
      </c>
      <c r="M143">
        <v>75819</v>
      </c>
      <c r="N143">
        <v>3841</v>
      </c>
      <c r="O143">
        <v>80659</v>
      </c>
      <c r="P143">
        <v>4148</v>
      </c>
      <c r="Q143">
        <v>87111</v>
      </c>
      <c r="R143" s="133">
        <v>45553</v>
      </c>
      <c r="S143">
        <v>45553</v>
      </c>
      <c r="T143" t="s">
        <v>225</v>
      </c>
      <c r="U143" t="s">
        <v>129</v>
      </c>
      <c r="V143" t="s">
        <v>142</v>
      </c>
      <c r="W143">
        <v>10007</v>
      </c>
      <c r="X143" t="s">
        <v>625</v>
      </c>
      <c r="Y143" t="s">
        <v>653</v>
      </c>
      <c r="Z143" t="s">
        <v>654</v>
      </c>
      <c r="AA143" t="s">
        <v>143</v>
      </c>
      <c r="AB143" t="s">
        <v>144</v>
      </c>
      <c r="AC143">
        <v>11611</v>
      </c>
      <c r="AD143">
        <v>11612</v>
      </c>
      <c r="AE143">
        <v>123</v>
      </c>
      <c r="AF143">
        <v>1</v>
      </c>
    </row>
    <row r="144" spans="1:32" x14ac:dyDescent="0.25">
      <c r="A144">
        <v>1</v>
      </c>
      <c r="B144">
        <v>245</v>
      </c>
      <c r="C144">
        <v>150189</v>
      </c>
      <c r="D144" t="s">
        <v>381</v>
      </c>
      <c r="E144" t="s">
        <v>445</v>
      </c>
      <c r="F144">
        <v>6</v>
      </c>
      <c r="G144" t="s">
        <v>552</v>
      </c>
      <c r="H144" t="s">
        <v>970</v>
      </c>
      <c r="I144" t="s">
        <v>971</v>
      </c>
      <c r="J144" t="s">
        <v>735</v>
      </c>
      <c r="K144" t="s">
        <v>925</v>
      </c>
      <c r="L144">
        <v>5215.5429999999997</v>
      </c>
      <c r="M144">
        <v>31293</v>
      </c>
      <c r="N144">
        <v>5548</v>
      </c>
      <c r="O144">
        <v>33291</v>
      </c>
      <c r="P144">
        <v>5992</v>
      </c>
      <c r="Q144">
        <v>35954</v>
      </c>
      <c r="R144" s="133">
        <v>45553</v>
      </c>
      <c r="S144">
        <v>45553</v>
      </c>
      <c r="T144" t="s">
        <v>225</v>
      </c>
      <c r="U144" t="s">
        <v>129</v>
      </c>
      <c r="V144" t="s">
        <v>142</v>
      </c>
      <c r="W144">
        <v>10580</v>
      </c>
      <c r="X144" t="s">
        <v>628</v>
      </c>
      <c r="Y144" t="s">
        <v>653</v>
      </c>
      <c r="Z144" t="s">
        <v>654</v>
      </c>
      <c r="AA144" t="s">
        <v>143</v>
      </c>
      <c r="AB144" t="s">
        <v>144</v>
      </c>
      <c r="AC144">
        <v>11611</v>
      </c>
      <c r="AD144">
        <v>11612</v>
      </c>
      <c r="AE144">
        <v>123</v>
      </c>
      <c r="AF144">
        <v>1</v>
      </c>
    </row>
    <row r="145" spans="1:32" x14ac:dyDescent="0.25">
      <c r="A145">
        <v>1</v>
      </c>
      <c r="B145">
        <v>247</v>
      </c>
      <c r="C145">
        <v>612096</v>
      </c>
      <c r="D145" t="s">
        <v>381</v>
      </c>
      <c r="E145" t="s">
        <v>447</v>
      </c>
      <c r="F145">
        <v>10</v>
      </c>
      <c r="G145" t="s">
        <v>605</v>
      </c>
      <c r="H145" t="s">
        <v>972</v>
      </c>
      <c r="I145" t="s">
        <v>973</v>
      </c>
      <c r="J145" t="s">
        <v>736</v>
      </c>
      <c r="K145" t="s">
        <v>926</v>
      </c>
      <c r="L145">
        <v>10554.254199999999</v>
      </c>
      <c r="M145">
        <v>105543</v>
      </c>
      <c r="N145">
        <v>11228</v>
      </c>
      <c r="O145">
        <v>112279</v>
      </c>
      <c r="P145">
        <v>12126</v>
      </c>
      <c r="Q145">
        <v>121262</v>
      </c>
      <c r="R145" s="133">
        <v>45553</v>
      </c>
      <c r="S145">
        <v>45945</v>
      </c>
      <c r="T145" t="s">
        <v>225</v>
      </c>
      <c r="U145" t="s">
        <v>129</v>
      </c>
      <c r="V145" t="s">
        <v>142</v>
      </c>
      <c r="W145">
        <v>10018</v>
      </c>
      <c r="X145" t="s">
        <v>630</v>
      </c>
      <c r="Y145" t="s">
        <v>653</v>
      </c>
      <c r="Z145" t="s">
        <v>654</v>
      </c>
      <c r="AA145" t="s">
        <v>143</v>
      </c>
      <c r="AB145" t="s">
        <v>144</v>
      </c>
      <c r="AC145">
        <v>11611</v>
      </c>
      <c r="AD145">
        <v>11612</v>
      </c>
      <c r="AE145">
        <v>123</v>
      </c>
      <c r="AF145">
        <v>1</v>
      </c>
    </row>
    <row r="146" spans="1:32" x14ac:dyDescent="0.25">
      <c r="A146">
        <v>1</v>
      </c>
      <c r="B146">
        <v>250</v>
      </c>
      <c r="C146">
        <v>150960</v>
      </c>
      <c r="D146" t="s">
        <v>381</v>
      </c>
      <c r="E146" t="s">
        <v>449</v>
      </c>
      <c r="F146">
        <v>10</v>
      </c>
      <c r="G146" t="s">
        <v>605</v>
      </c>
      <c r="H146" t="s">
        <v>974</v>
      </c>
      <c r="I146" t="s">
        <v>973</v>
      </c>
      <c r="J146" t="s">
        <v>737</v>
      </c>
      <c r="K146" t="s">
        <v>927</v>
      </c>
      <c r="L146">
        <v>8197.4580000000005</v>
      </c>
      <c r="M146">
        <v>81975</v>
      </c>
      <c r="N146">
        <v>8721</v>
      </c>
      <c r="O146">
        <v>87207</v>
      </c>
      <c r="P146">
        <v>9294</v>
      </c>
      <c r="Q146">
        <v>92938</v>
      </c>
      <c r="R146" s="133">
        <v>45553</v>
      </c>
      <c r="S146">
        <v>45553</v>
      </c>
      <c r="T146" t="s">
        <v>225</v>
      </c>
      <c r="U146" t="s">
        <v>129</v>
      </c>
      <c r="V146" t="s">
        <v>142</v>
      </c>
      <c r="W146">
        <v>10018</v>
      </c>
      <c r="X146" t="s">
        <v>630</v>
      </c>
      <c r="Y146" t="s">
        <v>653</v>
      </c>
      <c r="Z146" t="s">
        <v>654</v>
      </c>
      <c r="AA146" t="s">
        <v>143</v>
      </c>
      <c r="AB146" t="s">
        <v>144</v>
      </c>
      <c r="AC146">
        <v>11611</v>
      </c>
      <c r="AD146">
        <v>11612</v>
      </c>
      <c r="AE146">
        <v>123</v>
      </c>
      <c r="AF146">
        <v>1</v>
      </c>
    </row>
    <row r="147" spans="1:32" x14ac:dyDescent="0.25">
      <c r="A147">
        <v>1</v>
      </c>
      <c r="B147">
        <v>252</v>
      </c>
      <c r="C147">
        <v>150990</v>
      </c>
      <c r="D147" t="s">
        <v>381</v>
      </c>
      <c r="E147" t="s">
        <v>997</v>
      </c>
      <c r="F147">
        <v>10</v>
      </c>
      <c r="G147" t="s">
        <v>605</v>
      </c>
      <c r="H147" t="s">
        <v>974</v>
      </c>
      <c r="I147" t="s">
        <v>973</v>
      </c>
      <c r="J147" t="s">
        <v>999</v>
      </c>
      <c r="K147" t="s">
        <v>1000</v>
      </c>
      <c r="L147">
        <v>10554.254199999999</v>
      </c>
      <c r="M147">
        <v>105543</v>
      </c>
      <c r="N147">
        <v>11228</v>
      </c>
      <c r="O147">
        <v>112279</v>
      </c>
      <c r="P147">
        <v>12126</v>
      </c>
      <c r="Q147">
        <v>121262</v>
      </c>
      <c r="R147" s="133">
        <v>45681</v>
      </c>
      <c r="S147">
        <v>45945</v>
      </c>
      <c r="T147" t="s">
        <v>225</v>
      </c>
      <c r="U147" t="s">
        <v>129</v>
      </c>
      <c r="V147" t="s">
        <v>142</v>
      </c>
      <c r="W147">
        <v>10018</v>
      </c>
      <c r="X147" t="s">
        <v>630</v>
      </c>
      <c r="AA147" t="s">
        <v>143</v>
      </c>
      <c r="AB147" t="s">
        <v>144</v>
      </c>
      <c r="AC147">
        <v>11611</v>
      </c>
      <c r="AD147">
        <v>11612</v>
      </c>
      <c r="AF147">
        <v>1</v>
      </c>
    </row>
    <row r="148" spans="1:32" x14ac:dyDescent="0.25">
      <c r="A148">
        <v>1</v>
      </c>
      <c r="B148">
        <v>253</v>
      </c>
      <c r="C148">
        <v>150994</v>
      </c>
      <c r="D148" t="s">
        <v>381</v>
      </c>
      <c r="E148" t="s">
        <v>1037</v>
      </c>
      <c r="F148">
        <v>12</v>
      </c>
      <c r="G148" t="s">
        <v>605</v>
      </c>
      <c r="H148" t="s">
        <v>974</v>
      </c>
      <c r="I148" t="s">
        <v>973</v>
      </c>
      <c r="J148" t="s">
        <v>1044</v>
      </c>
      <c r="K148" t="s">
        <v>1047</v>
      </c>
      <c r="L148">
        <v>8794.7903999999999</v>
      </c>
      <c r="M148">
        <v>105537</v>
      </c>
      <c r="N148">
        <v>9356</v>
      </c>
      <c r="O148">
        <v>112274</v>
      </c>
      <c r="P148">
        <v>10105</v>
      </c>
      <c r="Q148">
        <v>121262</v>
      </c>
      <c r="R148" s="133">
        <v>45855</v>
      </c>
      <c r="S148">
        <v>45945</v>
      </c>
      <c r="T148" t="s">
        <v>225</v>
      </c>
      <c r="U148" t="s">
        <v>129</v>
      </c>
      <c r="V148" t="s">
        <v>142</v>
      </c>
      <c r="W148">
        <v>10018</v>
      </c>
      <c r="X148" t="s">
        <v>639</v>
      </c>
      <c r="AA148" t="s">
        <v>143</v>
      </c>
      <c r="AB148" t="s">
        <v>144</v>
      </c>
      <c r="AC148">
        <v>11611</v>
      </c>
      <c r="AD148">
        <v>11612</v>
      </c>
      <c r="AF148">
        <v>1</v>
      </c>
    </row>
    <row r="149" spans="1:32" x14ac:dyDescent="0.25">
      <c r="A149">
        <v>1</v>
      </c>
      <c r="B149">
        <v>254</v>
      </c>
      <c r="C149">
        <v>150319</v>
      </c>
      <c r="D149" t="s">
        <v>381</v>
      </c>
      <c r="E149" t="s">
        <v>451</v>
      </c>
      <c r="F149">
        <v>48</v>
      </c>
      <c r="G149" t="s">
        <v>479</v>
      </c>
      <c r="H149" t="s">
        <v>972</v>
      </c>
      <c r="I149" t="s">
        <v>973</v>
      </c>
      <c r="J149" t="s">
        <v>740</v>
      </c>
      <c r="K149" t="s">
        <v>928</v>
      </c>
      <c r="L149">
        <v>4394.6503999999995</v>
      </c>
      <c r="M149">
        <v>210943</v>
      </c>
      <c r="N149">
        <v>4675</v>
      </c>
      <c r="O149">
        <v>224408</v>
      </c>
      <c r="P149">
        <v>5049</v>
      </c>
      <c r="Q149">
        <v>242360</v>
      </c>
      <c r="R149" s="133">
        <v>45553</v>
      </c>
      <c r="S149">
        <v>45945</v>
      </c>
      <c r="T149" t="s">
        <v>225</v>
      </c>
      <c r="U149" t="s">
        <v>129</v>
      </c>
      <c r="V149" t="s">
        <v>142</v>
      </c>
      <c r="W149">
        <v>10070</v>
      </c>
      <c r="X149" t="s">
        <v>634</v>
      </c>
      <c r="Y149" t="s">
        <v>653</v>
      </c>
      <c r="Z149" t="s">
        <v>654</v>
      </c>
      <c r="AA149" t="s">
        <v>143</v>
      </c>
      <c r="AB149" t="s">
        <v>144</v>
      </c>
      <c r="AC149">
        <v>11611</v>
      </c>
      <c r="AD149">
        <v>11612</v>
      </c>
      <c r="AE149">
        <v>123</v>
      </c>
      <c r="AF149">
        <v>1</v>
      </c>
    </row>
    <row r="150" spans="1:32" x14ac:dyDescent="0.25">
      <c r="A150">
        <v>1</v>
      </c>
      <c r="B150">
        <v>256</v>
      </c>
      <c r="C150">
        <v>150193</v>
      </c>
      <c r="D150" t="s">
        <v>381</v>
      </c>
      <c r="E150" t="s">
        <v>452</v>
      </c>
      <c r="F150">
        <v>24</v>
      </c>
      <c r="G150" t="s">
        <v>479</v>
      </c>
      <c r="H150" t="s">
        <v>972</v>
      </c>
      <c r="I150" t="s">
        <v>973</v>
      </c>
      <c r="J150" t="s">
        <v>738</v>
      </c>
      <c r="K150" t="s">
        <v>929</v>
      </c>
      <c r="L150">
        <v>15607.383999999998</v>
      </c>
      <c r="M150">
        <v>374577</v>
      </c>
      <c r="N150">
        <v>16604</v>
      </c>
      <c r="O150">
        <v>398486</v>
      </c>
      <c r="P150">
        <v>17932</v>
      </c>
      <c r="Q150">
        <v>430365</v>
      </c>
      <c r="R150" s="133">
        <v>45553</v>
      </c>
      <c r="S150">
        <v>45553</v>
      </c>
      <c r="T150" t="s">
        <v>225</v>
      </c>
      <c r="U150" t="s">
        <v>129</v>
      </c>
      <c r="V150" t="s">
        <v>142</v>
      </c>
      <c r="W150">
        <v>10180</v>
      </c>
      <c r="X150" t="s">
        <v>636</v>
      </c>
      <c r="Y150" t="s">
        <v>653</v>
      </c>
      <c r="Z150" t="s">
        <v>654</v>
      </c>
      <c r="AA150" t="s">
        <v>143</v>
      </c>
      <c r="AB150" t="s">
        <v>144</v>
      </c>
      <c r="AC150">
        <v>11611</v>
      </c>
      <c r="AD150">
        <v>11612</v>
      </c>
      <c r="AE150">
        <v>123</v>
      </c>
      <c r="AF150">
        <v>1</v>
      </c>
    </row>
    <row r="151" spans="1:32" x14ac:dyDescent="0.25">
      <c r="A151">
        <v>1</v>
      </c>
      <c r="B151">
        <v>258</v>
      </c>
      <c r="C151">
        <v>150961</v>
      </c>
      <c r="D151" t="s">
        <v>381</v>
      </c>
      <c r="E151" t="s">
        <v>453</v>
      </c>
      <c r="F151">
        <v>12</v>
      </c>
      <c r="G151" t="s">
        <v>479</v>
      </c>
      <c r="H151" t="s">
        <v>972</v>
      </c>
      <c r="I151" t="s">
        <v>973</v>
      </c>
      <c r="J151" t="s">
        <v>739</v>
      </c>
      <c r="K151" t="s">
        <v>930</v>
      </c>
      <c r="L151">
        <v>15607.383999999998</v>
      </c>
      <c r="M151">
        <v>187289</v>
      </c>
      <c r="N151">
        <v>16604</v>
      </c>
      <c r="O151">
        <v>199243</v>
      </c>
      <c r="P151">
        <v>0</v>
      </c>
      <c r="Q151">
        <v>0</v>
      </c>
      <c r="R151" s="133">
        <v>45553</v>
      </c>
      <c r="S151">
        <v>45553</v>
      </c>
      <c r="T151" t="s">
        <v>225</v>
      </c>
      <c r="U151" t="s">
        <v>129</v>
      </c>
      <c r="V151" t="s">
        <v>142</v>
      </c>
      <c r="W151">
        <v>10180</v>
      </c>
      <c r="X151" t="s">
        <v>636</v>
      </c>
      <c r="Y151" t="s">
        <v>653</v>
      </c>
      <c r="Z151" t="s">
        <v>654</v>
      </c>
      <c r="AA151" t="s">
        <v>143</v>
      </c>
      <c r="AB151" t="s">
        <v>144</v>
      </c>
      <c r="AC151">
        <v>11611</v>
      </c>
      <c r="AD151">
        <v>11612</v>
      </c>
      <c r="AE151">
        <v>123</v>
      </c>
      <c r="AF151">
        <v>1</v>
      </c>
    </row>
    <row r="152" spans="1:32" x14ac:dyDescent="0.25">
      <c r="A152">
        <v>1</v>
      </c>
      <c r="B152">
        <v>259</v>
      </c>
      <c r="C152">
        <v>612095</v>
      </c>
      <c r="D152" t="s">
        <v>381</v>
      </c>
      <c r="E152" t="s">
        <v>454</v>
      </c>
      <c r="F152">
        <v>24</v>
      </c>
      <c r="G152" t="s">
        <v>486</v>
      </c>
      <c r="H152" t="s">
        <v>972</v>
      </c>
      <c r="I152" t="s">
        <v>973</v>
      </c>
      <c r="J152" t="s">
        <v>741</v>
      </c>
      <c r="K152" t="s">
        <v>931</v>
      </c>
      <c r="L152">
        <v>15607.383999999998</v>
      </c>
      <c r="M152">
        <v>374577</v>
      </c>
      <c r="N152">
        <v>16604</v>
      </c>
      <c r="O152">
        <v>398486</v>
      </c>
      <c r="P152">
        <v>17932</v>
      </c>
      <c r="Q152">
        <v>430365</v>
      </c>
      <c r="R152" s="133">
        <v>45553</v>
      </c>
      <c r="S152">
        <v>45553</v>
      </c>
      <c r="T152" t="s">
        <v>225</v>
      </c>
      <c r="U152" t="s">
        <v>129</v>
      </c>
      <c r="V152" t="s">
        <v>142</v>
      </c>
      <c r="W152">
        <v>10180</v>
      </c>
      <c r="X152" t="s">
        <v>636</v>
      </c>
      <c r="Y152" t="s">
        <v>653</v>
      </c>
      <c r="Z152" t="s">
        <v>654</v>
      </c>
      <c r="AA152" t="s">
        <v>143</v>
      </c>
      <c r="AB152" t="s">
        <v>144</v>
      </c>
      <c r="AC152">
        <v>11611</v>
      </c>
      <c r="AD152">
        <v>11612</v>
      </c>
      <c r="AE152">
        <v>123</v>
      </c>
      <c r="AF152">
        <v>1</v>
      </c>
    </row>
    <row r="153" spans="1:32" x14ac:dyDescent="0.25">
      <c r="A153">
        <v>1</v>
      </c>
      <c r="B153">
        <v>260</v>
      </c>
      <c r="C153">
        <v>612098</v>
      </c>
      <c r="D153" t="s">
        <v>381</v>
      </c>
      <c r="E153" t="s">
        <v>455</v>
      </c>
      <c r="F153">
        <v>10</v>
      </c>
      <c r="G153" t="s">
        <v>605</v>
      </c>
      <c r="H153" t="s">
        <v>972</v>
      </c>
      <c r="I153" t="s">
        <v>973</v>
      </c>
      <c r="J153" t="s">
        <v>743</v>
      </c>
      <c r="K153" t="s">
        <v>932</v>
      </c>
      <c r="L153">
        <v>13330.9108</v>
      </c>
      <c r="M153">
        <v>133309</v>
      </c>
      <c r="N153">
        <v>14182</v>
      </c>
      <c r="O153">
        <v>141818</v>
      </c>
      <c r="P153">
        <v>15316</v>
      </c>
      <c r="Q153">
        <v>153164</v>
      </c>
      <c r="R153" s="133">
        <v>45553</v>
      </c>
      <c r="S153">
        <v>45553</v>
      </c>
      <c r="T153" t="s">
        <v>225</v>
      </c>
      <c r="U153" t="s">
        <v>129</v>
      </c>
      <c r="V153" t="s">
        <v>142</v>
      </c>
      <c r="W153">
        <v>10018</v>
      </c>
      <c r="X153" t="s">
        <v>630</v>
      </c>
      <c r="Y153" t="s">
        <v>653</v>
      </c>
      <c r="Z153" t="s">
        <v>654</v>
      </c>
      <c r="AA153" t="s">
        <v>143</v>
      </c>
      <c r="AB153" t="s">
        <v>144</v>
      </c>
      <c r="AC153">
        <v>11611</v>
      </c>
      <c r="AD153">
        <v>11612</v>
      </c>
      <c r="AE153">
        <v>123</v>
      </c>
      <c r="AF153">
        <v>1</v>
      </c>
    </row>
    <row r="154" spans="1:32" x14ac:dyDescent="0.25">
      <c r="A154">
        <v>1</v>
      </c>
      <c r="B154">
        <v>262</v>
      </c>
      <c r="C154">
        <v>612954</v>
      </c>
      <c r="D154" t="s">
        <v>381</v>
      </c>
      <c r="E154" t="s">
        <v>457</v>
      </c>
      <c r="F154">
        <v>10</v>
      </c>
      <c r="G154" t="s">
        <v>605</v>
      </c>
      <c r="H154" t="s">
        <v>974</v>
      </c>
      <c r="I154" t="s">
        <v>973</v>
      </c>
      <c r="J154" t="s">
        <v>742</v>
      </c>
      <c r="K154" t="s">
        <v>933</v>
      </c>
      <c r="L154">
        <v>10664.723</v>
      </c>
      <c r="M154">
        <v>106647</v>
      </c>
      <c r="N154">
        <v>11345</v>
      </c>
      <c r="O154">
        <v>113454</v>
      </c>
      <c r="P154">
        <v>12253</v>
      </c>
      <c r="Q154">
        <v>122531</v>
      </c>
      <c r="R154" s="133">
        <v>45553</v>
      </c>
      <c r="S154">
        <v>45553</v>
      </c>
      <c r="T154" t="s">
        <v>225</v>
      </c>
      <c r="U154" t="s">
        <v>129</v>
      </c>
      <c r="V154" t="s">
        <v>142</v>
      </c>
      <c r="W154">
        <v>10018</v>
      </c>
      <c r="X154" t="s">
        <v>630</v>
      </c>
      <c r="Y154" t="s">
        <v>653</v>
      </c>
      <c r="Z154" t="s">
        <v>654</v>
      </c>
      <c r="AA154" t="s">
        <v>143</v>
      </c>
      <c r="AB154" t="s">
        <v>144</v>
      </c>
      <c r="AC154">
        <v>11611</v>
      </c>
      <c r="AD154">
        <v>11612</v>
      </c>
      <c r="AE154">
        <v>123</v>
      </c>
      <c r="AF154">
        <v>1</v>
      </c>
    </row>
    <row r="155" spans="1:32" x14ac:dyDescent="0.25">
      <c r="A155">
        <v>1</v>
      </c>
      <c r="B155">
        <v>264</v>
      </c>
      <c r="C155">
        <v>612128</v>
      </c>
      <c r="D155" t="s">
        <v>381</v>
      </c>
      <c r="E155" t="s">
        <v>459</v>
      </c>
      <c r="F155">
        <v>10</v>
      </c>
      <c r="G155" t="s">
        <v>605</v>
      </c>
      <c r="H155" t="s">
        <v>972</v>
      </c>
      <c r="I155" t="s">
        <v>973</v>
      </c>
      <c r="J155" t="s">
        <v>745</v>
      </c>
      <c r="K155" t="s">
        <v>934</v>
      </c>
      <c r="L155">
        <v>13330.9108</v>
      </c>
      <c r="M155">
        <v>133309</v>
      </c>
      <c r="N155">
        <v>14182</v>
      </c>
      <c r="O155">
        <v>141818</v>
      </c>
      <c r="P155">
        <v>0</v>
      </c>
      <c r="Q155">
        <v>0</v>
      </c>
      <c r="R155" s="133">
        <v>45553</v>
      </c>
      <c r="S155">
        <v>45553</v>
      </c>
      <c r="T155" t="s">
        <v>225</v>
      </c>
      <c r="U155" t="s">
        <v>129</v>
      </c>
      <c r="V155" t="s">
        <v>142</v>
      </c>
      <c r="W155">
        <v>10018</v>
      </c>
      <c r="X155" t="s">
        <v>630</v>
      </c>
      <c r="Y155" t="s">
        <v>653</v>
      </c>
      <c r="Z155" t="s">
        <v>654</v>
      </c>
      <c r="AA155" t="s">
        <v>143</v>
      </c>
      <c r="AB155" t="s">
        <v>144</v>
      </c>
      <c r="AC155">
        <v>11611</v>
      </c>
      <c r="AD155">
        <v>11612</v>
      </c>
      <c r="AE155">
        <v>123</v>
      </c>
      <c r="AF155">
        <v>1</v>
      </c>
    </row>
    <row r="156" spans="1:32" x14ac:dyDescent="0.25">
      <c r="A156">
        <v>1</v>
      </c>
      <c r="B156">
        <v>265</v>
      </c>
      <c r="C156">
        <v>612955</v>
      </c>
      <c r="D156" t="s">
        <v>381</v>
      </c>
      <c r="E156" t="s">
        <v>460</v>
      </c>
      <c r="F156">
        <v>10</v>
      </c>
      <c r="G156" t="s">
        <v>605</v>
      </c>
      <c r="H156" t="s">
        <v>974</v>
      </c>
      <c r="I156" t="s">
        <v>973</v>
      </c>
      <c r="J156" t="s">
        <v>744</v>
      </c>
      <c r="K156" t="s">
        <v>935</v>
      </c>
      <c r="L156">
        <v>10664.723</v>
      </c>
      <c r="M156">
        <v>106647</v>
      </c>
      <c r="N156">
        <v>11345</v>
      </c>
      <c r="O156">
        <v>113454</v>
      </c>
      <c r="P156">
        <v>0</v>
      </c>
      <c r="Q156">
        <v>0</v>
      </c>
      <c r="R156" s="133">
        <v>45553</v>
      </c>
      <c r="S156">
        <v>45553</v>
      </c>
      <c r="T156" t="s">
        <v>225</v>
      </c>
      <c r="U156" t="s">
        <v>129</v>
      </c>
      <c r="V156" t="s">
        <v>142</v>
      </c>
      <c r="W156">
        <v>10018</v>
      </c>
      <c r="X156" t="s">
        <v>639</v>
      </c>
      <c r="Y156" t="s">
        <v>653</v>
      </c>
      <c r="Z156" t="s">
        <v>654</v>
      </c>
      <c r="AA156" t="s">
        <v>143</v>
      </c>
      <c r="AB156" t="s">
        <v>144</v>
      </c>
      <c r="AC156">
        <v>11611</v>
      </c>
      <c r="AD156">
        <v>11612</v>
      </c>
      <c r="AE156">
        <v>123</v>
      </c>
      <c r="AF156">
        <v>1</v>
      </c>
    </row>
    <row r="157" spans="1:32" x14ac:dyDescent="0.25">
      <c r="A157">
        <v>1</v>
      </c>
      <c r="B157">
        <v>266</v>
      </c>
      <c r="C157">
        <v>612130</v>
      </c>
      <c r="D157" t="s">
        <v>381</v>
      </c>
      <c r="E157" t="s">
        <v>461</v>
      </c>
      <c r="F157">
        <v>10</v>
      </c>
      <c r="G157" t="s">
        <v>605</v>
      </c>
      <c r="H157" t="s">
        <v>972</v>
      </c>
      <c r="I157" t="s">
        <v>973</v>
      </c>
      <c r="J157" t="s">
        <v>747</v>
      </c>
      <c r="K157" t="s">
        <v>936</v>
      </c>
      <c r="L157">
        <v>13330.9108</v>
      </c>
      <c r="M157">
        <v>133309</v>
      </c>
      <c r="N157">
        <v>14182</v>
      </c>
      <c r="O157">
        <v>141818</v>
      </c>
      <c r="P157">
        <v>15316</v>
      </c>
      <c r="Q157">
        <v>153164</v>
      </c>
      <c r="R157" s="133">
        <v>45553</v>
      </c>
      <c r="S157">
        <v>45553</v>
      </c>
      <c r="T157" t="s">
        <v>225</v>
      </c>
      <c r="U157" t="s">
        <v>129</v>
      </c>
      <c r="V157" t="s">
        <v>142</v>
      </c>
      <c r="W157">
        <v>10018</v>
      </c>
      <c r="X157" t="s">
        <v>630</v>
      </c>
      <c r="Y157" t="s">
        <v>653</v>
      </c>
      <c r="Z157" t="s">
        <v>654</v>
      </c>
      <c r="AA157" t="s">
        <v>143</v>
      </c>
      <c r="AB157" t="s">
        <v>144</v>
      </c>
      <c r="AC157">
        <v>11611</v>
      </c>
      <c r="AD157">
        <v>11612</v>
      </c>
      <c r="AE157">
        <v>123</v>
      </c>
      <c r="AF157">
        <v>1</v>
      </c>
    </row>
    <row r="158" spans="1:32" x14ac:dyDescent="0.25">
      <c r="A158">
        <v>1</v>
      </c>
      <c r="B158">
        <v>268</v>
      </c>
      <c r="C158">
        <v>612957</v>
      </c>
      <c r="D158" t="s">
        <v>381</v>
      </c>
      <c r="E158" t="s">
        <v>463</v>
      </c>
      <c r="F158">
        <v>10</v>
      </c>
      <c r="G158" t="s">
        <v>605</v>
      </c>
      <c r="H158" t="s">
        <v>974</v>
      </c>
      <c r="I158" t="s">
        <v>973</v>
      </c>
      <c r="J158" t="s">
        <v>746</v>
      </c>
      <c r="K158" t="s">
        <v>937</v>
      </c>
      <c r="L158">
        <v>10664.723</v>
      </c>
      <c r="M158">
        <v>106647</v>
      </c>
      <c r="N158">
        <v>11345</v>
      </c>
      <c r="O158">
        <v>113454</v>
      </c>
      <c r="P158">
        <v>0</v>
      </c>
      <c r="Q158">
        <v>0</v>
      </c>
      <c r="R158" s="133">
        <v>45553</v>
      </c>
      <c r="S158">
        <v>45553</v>
      </c>
      <c r="T158" t="s">
        <v>225</v>
      </c>
      <c r="U158" t="s">
        <v>129</v>
      </c>
      <c r="V158" t="s">
        <v>142</v>
      </c>
      <c r="W158">
        <v>10018</v>
      </c>
      <c r="X158" t="s">
        <v>630</v>
      </c>
      <c r="Y158" t="s">
        <v>653</v>
      </c>
      <c r="Z158" t="s">
        <v>654</v>
      </c>
      <c r="AA158" t="s">
        <v>143</v>
      </c>
      <c r="AB158" t="s">
        <v>144</v>
      </c>
      <c r="AC158">
        <v>11611</v>
      </c>
      <c r="AD158">
        <v>11612</v>
      </c>
      <c r="AE158">
        <v>123</v>
      </c>
      <c r="AF158">
        <v>1</v>
      </c>
    </row>
    <row r="159" spans="1:32" x14ac:dyDescent="0.25">
      <c r="A159">
        <v>1</v>
      </c>
      <c r="B159">
        <v>269</v>
      </c>
      <c r="C159">
        <v>612100</v>
      </c>
      <c r="D159" t="s">
        <v>381</v>
      </c>
      <c r="E159" t="s">
        <v>464</v>
      </c>
      <c r="F159">
        <v>10</v>
      </c>
      <c r="G159" t="s">
        <v>605</v>
      </c>
      <c r="H159" t="s">
        <v>972</v>
      </c>
      <c r="I159" t="s">
        <v>973</v>
      </c>
      <c r="J159" t="s">
        <v>749</v>
      </c>
      <c r="K159" t="s">
        <v>938</v>
      </c>
      <c r="L159">
        <v>13330.9108</v>
      </c>
      <c r="M159">
        <v>133309</v>
      </c>
      <c r="N159">
        <v>14182</v>
      </c>
      <c r="O159">
        <v>141818</v>
      </c>
      <c r="P159">
        <v>15316</v>
      </c>
      <c r="Q159">
        <v>153164</v>
      </c>
      <c r="R159" s="133">
        <v>45553</v>
      </c>
      <c r="S159">
        <v>45553</v>
      </c>
      <c r="T159" t="s">
        <v>225</v>
      </c>
      <c r="U159" t="s">
        <v>129</v>
      </c>
      <c r="V159" t="s">
        <v>142</v>
      </c>
      <c r="W159">
        <v>10018</v>
      </c>
      <c r="X159" t="s">
        <v>630</v>
      </c>
      <c r="Y159" t="s">
        <v>653</v>
      </c>
      <c r="Z159" t="s">
        <v>654</v>
      </c>
      <c r="AA159" t="s">
        <v>143</v>
      </c>
      <c r="AB159" t="s">
        <v>144</v>
      </c>
      <c r="AC159">
        <v>11611</v>
      </c>
      <c r="AD159">
        <v>11612</v>
      </c>
      <c r="AE159">
        <v>123</v>
      </c>
      <c r="AF159">
        <v>1</v>
      </c>
    </row>
    <row r="160" spans="1:32" x14ac:dyDescent="0.25">
      <c r="A160">
        <v>1</v>
      </c>
      <c r="B160">
        <v>270</v>
      </c>
      <c r="C160">
        <v>612956</v>
      </c>
      <c r="D160" t="s">
        <v>381</v>
      </c>
      <c r="E160" t="s">
        <v>465</v>
      </c>
      <c r="F160">
        <v>10</v>
      </c>
      <c r="G160" t="s">
        <v>605</v>
      </c>
      <c r="H160" t="s">
        <v>974</v>
      </c>
      <c r="I160" t="s">
        <v>973</v>
      </c>
      <c r="J160" t="s">
        <v>748</v>
      </c>
      <c r="K160" t="s">
        <v>939</v>
      </c>
      <c r="L160">
        <v>10664.723</v>
      </c>
      <c r="M160">
        <v>106647</v>
      </c>
      <c r="N160">
        <v>11345</v>
      </c>
      <c r="O160">
        <v>113454</v>
      </c>
      <c r="P160">
        <v>0</v>
      </c>
      <c r="Q160">
        <v>0</v>
      </c>
      <c r="R160" s="133">
        <v>45553</v>
      </c>
      <c r="S160">
        <v>45553</v>
      </c>
      <c r="T160" t="s">
        <v>225</v>
      </c>
      <c r="U160" t="s">
        <v>129</v>
      </c>
      <c r="V160" t="s">
        <v>142</v>
      </c>
      <c r="W160">
        <v>10018</v>
      </c>
      <c r="X160" t="s">
        <v>630</v>
      </c>
      <c r="Y160" t="s">
        <v>653</v>
      </c>
      <c r="Z160" t="s">
        <v>654</v>
      </c>
      <c r="AA160" t="s">
        <v>143</v>
      </c>
      <c r="AB160" t="s">
        <v>144</v>
      </c>
      <c r="AC160">
        <v>11611</v>
      </c>
      <c r="AD160">
        <v>11612</v>
      </c>
      <c r="AE160">
        <v>123</v>
      </c>
      <c r="AF160">
        <v>1</v>
      </c>
    </row>
    <row r="161" spans="1:32" x14ac:dyDescent="0.25">
      <c r="A161">
        <v>1</v>
      </c>
      <c r="B161">
        <v>271</v>
      </c>
      <c r="C161">
        <v>150148</v>
      </c>
      <c r="D161" t="s">
        <v>381</v>
      </c>
      <c r="E161" t="s">
        <v>466</v>
      </c>
      <c r="F161">
        <v>48</v>
      </c>
      <c r="G161" t="s">
        <v>479</v>
      </c>
      <c r="H161" t="s">
        <v>975</v>
      </c>
      <c r="I161" t="s">
        <v>976</v>
      </c>
      <c r="J161" t="s">
        <v>798</v>
      </c>
      <c r="K161" t="s">
        <v>940</v>
      </c>
      <c r="L161">
        <v>6053.0360000000001</v>
      </c>
      <c r="M161">
        <v>290546</v>
      </c>
      <c r="N161">
        <v>6439</v>
      </c>
      <c r="O161">
        <v>309091</v>
      </c>
      <c r="P161">
        <v>6955</v>
      </c>
      <c r="Q161">
        <v>333818</v>
      </c>
      <c r="R161" s="133">
        <v>45553</v>
      </c>
      <c r="S161">
        <v>45553</v>
      </c>
      <c r="T161" t="s">
        <v>225</v>
      </c>
      <c r="U161" t="s">
        <v>129</v>
      </c>
      <c r="V161" t="s">
        <v>142</v>
      </c>
      <c r="W161">
        <v>10125</v>
      </c>
      <c r="X161" t="s">
        <v>599</v>
      </c>
      <c r="Y161" t="s">
        <v>653</v>
      </c>
      <c r="Z161" t="s">
        <v>654</v>
      </c>
      <c r="AA161" t="s">
        <v>143</v>
      </c>
      <c r="AB161" t="s">
        <v>144</v>
      </c>
      <c r="AC161">
        <v>11611</v>
      </c>
      <c r="AD161">
        <v>11612</v>
      </c>
      <c r="AE161">
        <v>123</v>
      </c>
      <c r="AF161">
        <v>1</v>
      </c>
    </row>
    <row r="162" spans="1:32" x14ac:dyDescent="0.25">
      <c r="A162">
        <v>1</v>
      </c>
      <c r="B162">
        <v>273</v>
      </c>
      <c r="C162">
        <v>150217</v>
      </c>
      <c r="D162" t="s">
        <v>381</v>
      </c>
      <c r="E162" t="s">
        <v>468</v>
      </c>
      <c r="F162">
        <v>48</v>
      </c>
      <c r="G162" t="s">
        <v>479</v>
      </c>
      <c r="H162" t="s">
        <v>975</v>
      </c>
      <c r="I162" t="s">
        <v>976</v>
      </c>
      <c r="J162" t="s">
        <v>799</v>
      </c>
      <c r="K162" t="s">
        <v>941</v>
      </c>
      <c r="L162">
        <v>6053.0360000000001</v>
      </c>
      <c r="M162">
        <v>290546</v>
      </c>
      <c r="N162">
        <v>6439</v>
      </c>
      <c r="O162">
        <v>309091</v>
      </c>
      <c r="P162">
        <v>6955</v>
      </c>
      <c r="Q162">
        <v>333818</v>
      </c>
      <c r="R162" s="133">
        <v>45553</v>
      </c>
      <c r="S162">
        <v>45553</v>
      </c>
      <c r="T162" t="s">
        <v>225</v>
      </c>
      <c r="U162" t="s">
        <v>129</v>
      </c>
      <c r="V162" t="s">
        <v>142</v>
      </c>
      <c r="W162">
        <v>10125</v>
      </c>
      <c r="X162" t="s">
        <v>599</v>
      </c>
      <c r="Y162" t="s">
        <v>653</v>
      </c>
      <c r="Z162" t="s">
        <v>654</v>
      </c>
      <c r="AA162" t="s">
        <v>143</v>
      </c>
      <c r="AB162" t="s">
        <v>144</v>
      </c>
      <c r="AC162">
        <v>11611</v>
      </c>
      <c r="AD162">
        <v>11612</v>
      </c>
      <c r="AE162">
        <v>123</v>
      </c>
      <c r="AF162">
        <v>1</v>
      </c>
    </row>
    <row r="163" spans="1:32" x14ac:dyDescent="0.25">
      <c r="A163">
        <v>1</v>
      </c>
      <c r="B163">
        <v>274</v>
      </c>
      <c r="C163">
        <v>150219</v>
      </c>
      <c r="D163" t="s">
        <v>381</v>
      </c>
      <c r="E163" t="s">
        <v>469</v>
      </c>
      <c r="F163">
        <v>48</v>
      </c>
      <c r="G163" t="s">
        <v>479</v>
      </c>
      <c r="H163" t="s">
        <v>975</v>
      </c>
      <c r="I163" t="s">
        <v>976</v>
      </c>
      <c r="J163" t="s">
        <v>800</v>
      </c>
      <c r="K163" t="s">
        <v>942</v>
      </c>
      <c r="L163">
        <v>6053.0360000000001</v>
      </c>
      <c r="M163">
        <v>290546</v>
      </c>
      <c r="N163">
        <v>6439</v>
      </c>
      <c r="O163">
        <v>309091</v>
      </c>
      <c r="P163">
        <v>6955</v>
      </c>
      <c r="Q163">
        <v>333818</v>
      </c>
      <c r="R163" s="133">
        <v>45553</v>
      </c>
      <c r="S163">
        <v>45553</v>
      </c>
      <c r="T163" t="s">
        <v>225</v>
      </c>
      <c r="U163" t="s">
        <v>129</v>
      </c>
      <c r="V163" t="s">
        <v>142</v>
      </c>
      <c r="W163">
        <v>10125</v>
      </c>
      <c r="X163" t="s">
        <v>599</v>
      </c>
      <c r="Y163" t="s">
        <v>653</v>
      </c>
      <c r="Z163" t="s">
        <v>654</v>
      </c>
      <c r="AA163" t="s">
        <v>143</v>
      </c>
      <c r="AB163" t="s">
        <v>144</v>
      </c>
      <c r="AC163">
        <v>11611</v>
      </c>
      <c r="AD163">
        <v>11612</v>
      </c>
      <c r="AE163">
        <v>123</v>
      </c>
      <c r="AF163">
        <v>1</v>
      </c>
    </row>
    <row r="164" spans="1:32" x14ac:dyDescent="0.25">
      <c r="A164">
        <v>1</v>
      </c>
      <c r="B164">
        <v>275</v>
      </c>
      <c r="C164">
        <v>150159</v>
      </c>
      <c r="D164" t="s">
        <v>381</v>
      </c>
      <c r="E164" t="s">
        <v>470</v>
      </c>
      <c r="F164">
        <v>48</v>
      </c>
      <c r="G164" t="s">
        <v>486</v>
      </c>
      <c r="H164" t="s">
        <v>977</v>
      </c>
      <c r="I164" t="s">
        <v>978</v>
      </c>
      <c r="J164" t="s">
        <v>801</v>
      </c>
      <c r="K164" t="s">
        <v>943</v>
      </c>
      <c r="L164">
        <v>5725.4553999999998</v>
      </c>
      <c r="M164">
        <v>274822</v>
      </c>
      <c r="N164">
        <v>6091</v>
      </c>
      <c r="O164">
        <v>292364</v>
      </c>
      <c r="P164">
        <v>0</v>
      </c>
      <c r="Q164">
        <v>0</v>
      </c>
      <c r="R164" s="133">
        <v>45553</v>
      </c>
      <c r="S164">
        <v>45553</v>
      </c>
      <c r="T164" t="s">
        <v>225</v>
      </c>
      <c r="U164" t="s">
        <v>129</v>
      </c>
      <c r="V164" t="s">
        <v>142</v>
      </c>
      <c r="W164">
        <v>20135</v>
      </c>
      <c r="X164" t="s">
        <v>484</v>
      </c>
      <c r="Y164" t="s">
        <v>653</v>
      </c>
      <c r="Z164" t="s">
        <v>654</v>
      </c>
      <c r="AA164" t="s">
        <v>143</v>
      </c>
      <c r="AB164" t="s">
        <v>144</v>
      </c>
      <c r="AC164">
        <v>11611</v>
      </c>
      <c r="AD164">
        <v>11612</v>
      </c>
      <c r="AE164">
        <v>123</v>
      </c>
      <c r="AF164">
        <v>1</v>
      </c>
    </row>
    <row r="165" spans="1:32" x14ac:dyDescent="0.25">
      <c r="A165">
        <v>1</v>
      </c>
      <c r="B165">
        <v>276</v>
      </c>
      <c r="C165">
        <v>150184</v>
      </c>
      <c r="D165" t="s">
        <v>381</v>
      </c>
      <c r="E165" t="s">
        <v>471</v>
      </c>
      <c r="F165">
        <v>48</v>
      </c>
      <c r="G165" t="s">
        <v>486</v>
      </c>
      <c r="H165" t="s">
        <v>977</v>
      </c>
      <c r="I165" t="s">
        <v>978</v>
      </c>
      <c r="J165" t="s">
        <v>805</v>
      </c>
      <c r="K165" t="s">
        <v>944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133">
        <v>45553</v>
      </c>
      <c r="S165">
        <v>45553</v>
      </c>
      <c r="T165" t="s">
        <v>225</v>
      </c>
      <c r="U165" t="s">
        <v>129</v>
      </c>
      <c r="V165" t="s">
        <v>142</v>
      </c>
      <c r="W165">
        <v>20135</v>
      </c>
      <c r="X165" t="s">
        <v>484</v>
      </c>
      <c r="Y165" t="s">
        <v>653</v>
      </c>
      <c r="Z165" t="s">
        <v>654</v>
      </c>
      <c r="AA165" t="s">
        <v>143</v>
      </c>
      <c r="AB165" t="s">
        <v>144</v>
      </c>
      <c r="AC165">
        <v>11611</v>
      </c>
      <c r="AD165">
        <v>11612</v>
      </c>
      <c r="AE165">
        <v>123</v>
      </c>
      <c r="AF165">
        <v>1</v>
      </c>
    </row>
    <row r="166" spans="1:32" x14ac:dyDescent="0.25">
      <c r="A166">
        <v>1</v>
      </c>
      <c r="B166">
        <v>277</v>
      </c>
      <c r="C166">
        <v>900005</v>
      </c>
      <c r="D166" t="s">
        <v>472</v>
      </c>
      <c r="E166" t="s">
        <v>473</v>
      </c>
      <c r="F166">
        <v>48</v>
      </c>
      <c r="G166" t="s">
        <v>651</v>
      </c>
      <c r="H166" t="s">
        <v>472</v>
      </c>
      <c r="I166" t="s">
        <v>979</v>
      </c>
      <c r="J166" t="s">
        <v>804</v>
      </c>
      <c r="K166" t="s">
        <v>945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133">
        <v>45606</v>
      </c>
      <c r="S166">
        <v>45553</v>
      </c>
      <c r="T166" t="s">
        <v>225</v>
      </c>
      <c r="U166" t="s">
        <v>129</v>
      </c>
      <c r="V166" t="s">
        <v>142</v>
      </c>
      <c r="W166">
        <v>20220</v>
      </c>
      <c r="X166" t="s">
        <v>649</v>
      </c>
      <c r="Y166" t="s">
        <v>653</v>
      </c>
      <c r="Z166" t="s">
        <v>654</v>
      </c>
      <c r="AA166" t="s">
        <v>143</v>
      </c>
      <c r="AB166" t="s">
        <v>144</v>
      </c>
      <c r="AC166">
        <v>11611</v>
      </c>
      <c r="AD166">
        <v>11612</v>
      </c>
      <c r="AE166">
        <v>123</v>
      </c>
      <c r="AF166">
        <v>1</v>
      </c>
    </row>
    <row r="167" spans="1:32" x14ac:dyDescent="0.25">
      <c r="A167">
        <v>1</v>
      </c>
      <c r="B167">
        <v>278</v>
      </c>
      <c r="C167">
        <v>900053</v>
      </c>
      <c r="D167" t="s">
        <v>1002</v>
      </c>
      <c r="E167" t="s">
        <v>1001</v>
      </c>
      <c r="F167">
        <v>1</v>
      </c>
      <c r="G167" t="s">
        <v>552</v>
      </c>
      <c r="H167" t="s">
        <v>1003</v>
      </c>
      <c r="I167" t="s">
        <v>1010</v>
      </c>
      <c r="J167" t="s">
        <v>1008</v>
      </c>
      <c r="K167" t="s">
        <v>1009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133">
        <v>45694</v>
      </c>
      <c r="S167">
        <v>45553</v>
      </c>
      <c r="T167" t="s">
        <v>225</v>
      </c>
      <c r="U167" t="s">
        <v>129</v>
      </c>
      <c r="V167" t="s">
        <v>142</v>
      </c>
      <c r="W167">
        <v>30000</v>
      </c>
      <c r="X167">
        <v>0</v>
      </c>
      <c r="AA167" t="s">
        <v>143</v>
      </c>
      <c r="AB167" t="s">
        <v>144</v>
      </c>
      <c r="AC167">
        <v>11611</v>
      </c>
      <c r="AD167">
        <v>11612</v>
      </c>
      <c r="AF167">
        <v>1</v>
      </c>
    </row>
    <row r="168" spans="1:32" x14ac:dyDescent="0.25">
      <c r="A168">
        <v>1</v>
      </c>
      <c r="B168">
        <v>286</v>
      </c>
      <c r="C168">
        <v>900044</v>
      </c>
      <c r="E168" t="s">
        <v>1097</v>
      </c>
      <c r="F168">
        <v>1</v>
      </c>
      <c r="G168" t="s">
        <v>552</v>
      </c>
      <c r="H168" t="s">
        <v>1098</v>
      </c>
      <c r="I168" t="s">
        <v>1106</v>
      </c>
      <c r="J168" t="s">
        <v>1103</v>
      </c>
      <c r="K168" t="s">
        <v>1104</v>
      </c>
      <c r="L168">
        <v>0</v>
      </c>
      <c r="M168">
        <v>0</v>
      </c>
      <c r="O168">
        <v>0</v>
      </c>
      <c r="Q168">
        <v>0</v>
      </c>
      <c r="R168" s="133">
        <v>46085</v>
      </c>
      <c r="T168" t="s">
        <v>225</v>
      </c>
      <c r="U168" t="s">
        <v>129</v>
      </c>
      <c r="V168" t="s">
        <v>142</v>
      </c>
      <c r="W168">
        <v>30000</v>
      </c>
      <c r="X168">
        <v>0</v>
      </c>
      <c r="AA168" t="s">
        <v>143</v>
      </c>
      <c r="AB168" t="s">
        <v>144</v>
      </c>
      <c r="AC168">
        <v>11611</v>
      </c>
      <c r="AD168">
        <v>11612</v>
      </c>
      <c r="AF168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B5F0-3EDC-46A5-ACFA-BB4E3F818A0B}">
  <sheetPr codeName="Sheet11"/>
  <dimension ref="A1:F24"/>
  <sheetViews>
    <sheetView workbookViewId="0">
      <selection activeCell="A10" sqref="A10"/>
    </sheetView>
  </sheetViews>
  <sheetFormatPr defaultRowHeight="15" x14ac:dyDescent="0.25"/>
  <cols>
    <col min="1" max="1" width="6.5703125" style="20" bestFit="1" customWidth="1"/>
    <col min="2" max="2" width="14.5703125" style="20" bestFit="1" customWidth="1"/>
    <col min="3" max="3" width="16.28515625" style="20" bestFit="1" customWidth="1"/>
    <col min="4" max="4" width="40.140625" style="20" bestFit="1" customWidth="1"/>
    <col min="5" max="5" width="11.28515625" style="20" customWidth="1"/>
    <col min="6" max="6" width="11.5703125" customWidth="1"/>
  </cols>
  <sheetData>
    <row r="1" spans="1:6" ht="32.25" customHeight="1" x14ac:dyDescent="0.25">
      <c r="A1" s="5" t="s">
        <v>119</v>
      </c>
      <c r="B1" s="5" t="s">
        <v>48</v>
      </c>
      <c r="C1" s="5" t="s">
        <v>49</v>
      </c>
      <c r="D1" s="5" t="s">
        <v>50</v>
      </c>
      <c r="E1" s="5" t="s">
        <v>15</v>
      </c>
      <c r="F1" s="8" t="s">
        <v>16</v>
      </c>
    </row>
    <row r="2" spans="1:6" x14ac:dyDescent="0.25">
      <c r="A2" s="20">
        <v>1</v>
      </c>
      <c r="B2" s="20" t="s">
        <v>51</v>
      </c>
      <c r="C2" s="20" t="s">
        <v>52</v>
      </c>
      <c r="D2" t="s">
        <v>53</v>
      </c>
      <c r="E2" s="20" t="s">
        <v>38</v>
      </c>
      <c r="F2" s="21" t="s">
        <v>37</v>
      </c>
    </row>
    <row r="3" spans="1:6" x14ac:dyDescent="0.25">
      <c r="A3" s="20">
        <v>2</v>
      </c>
      <c r="B3" s="20" t="s">
        <v>51</v>
      </c>
      <c r="C3" s="20" t="s">
        <v>52</v>
      </c>
      <c r="D3" t="s">
        <v>54</v>
      </c>
      <c r="E3" s="20" t="s">
        <v>81</v>
      </c>
      <c r="F3" s="21" t="s">
        <v>80</v>
      </c>
    </row>
    <row r="4" spans="1:6" x14ac:dyDescent="0.25">
      <c r="A4" s="20">
        <v>3</v>
      </c>
      <c r="B4" s="20" t="s">
        <v>51</v>
      </c>
      <c r="C4" s="20" t="s">
        <v>52</v>
      </c>
      <c r="D4" t="s">
        <v>55</v>
      </c>
      <c r="E4" s="20" t="s">
        <v>82</v>
      </c>
      <c r="F4" s="21" t="s">
        <v>83</v>
      </c>
    </row>
    <row r="5" spans="1:6" x14ac:dyDescent="0.25">
      <c r="A5" s="20">
        <v>4</v>
      </c>
      <c r="B5" s="20" t="s">
        <v>51</v>
      </c>
      <c r="C5" s="20" t="s">
        <v>56</v>
      </c>
      <c r="D5" t="s">
        <v>57</v>
      </c>
      <c r="E5" s="20" t="s">
        <v>84</v>
      </c>
      <c r="F5" s="21" t="s">
        <v>109</v>
      </c>
    </row>
    <row r="6" spans="1:6" x14ac:dyDescent="0.25">
      <c r="A6" s="20">
        <v>5</v>
      </c>
      <c r="B6" s="20" t="s">
        <v>51</v>
      </c>
      <c r="C6" s="20" t="s">
        <v>58</v>
      </c>
      <c r="D6" t="s">
        <v>59</v>
      </c>
      <c r="E6" s="20" t="s">
        <v>86</v>
      </c>
      <c r="F6" s="21" t="s">
        <v>87</v>
      </c>
    </row>
    <row r="7" spans="1:6" x14ac:dyDescent="0.25">
      <c r="A7" s="20">
        <v>6</v>
      </c>
      <c r="B7" s="20" t="s">
        <v>51</v>
      </c>
      <c r="C7" s="20" t="s">
        <v>58</v>
      </c>
      <c r="D7" t="s">
        <v>60</v>
      </c>
      <c r="E7" s="20" t="s">
        <v>88</v>
      </c>
      <c r="F7" s="21" t="s">
        <v>89</v>
      </c>
    </row>
    <row r="8" spans="1:6" x14ac:dyDescent="0.25">
      <c r="A8" s="20">
        <v>7</v>
      </c>
      <c r="B8" s="20" t="s">
        <v>51</v>
      </c>
      <c r="C8" s="20" t="s">
        <v>58</v>
      </c>
      <c r="D8" t="s">
        <v>61</v>
      </c>
      <c r="E8" s="20" t="s">
        <v>90</v>
      </c>
      <c r="F8" s="21" t="s">
        <v>91</v>
      </c>
    </row>
    <row r="9" spans="1:6" x14ac:dyDescent="0.25">
      <c r="A9" s="20">
        <v>8</v>
      </c>
      <c r="B9" s="20" t="s">
        <v>51</v>
      </c>
      <c r="C9" s="20" t="s">
        <v>58</v>
      </c>
      <c r="D9" t="s">
        <v>62</v>
      </c>
      <c r="E9" s="20" t="s">
        <v>92</v>
      </c>
      <c r="F9" s="21" t="s">
        <v>93</v>
      </c>
    </row>
    <row r="10" spans="1:6" x14ac:dyDescent="0.25">
      <c r="A10" s="20">
        <v>9</v>
      </c>
      <c r="B10" s="20" t="s">
        <v>51</v>
      </c>
      <c r="C10" s="20" t="s">
        <v>63</v>
      </c>
      <c r="D10" t="s">
        <v>64</v>
      </c>
      <c r="E10" s="20" t="s">
        <v>94</v>
      </c>
      <c r="F10" s="21" t="s">
        <v>95</v>
      </c>
    </row>
    <row r="11" spans="1:6" x14ac:dyDescent="0.25">
      <c r="A11" s="20">
        <v>10</v>
      </c>
      <c r="B11" s="20" t="s">
        <v>51</v>
      </c>
      <c r="C11" s="20" t="s">
        <v>63</v>
      </c>
      <c r="D11" t="s">
        <v>65</v>
      </c>
      <c r="E11" s="20" t="s">
        <v>96</v>
      </c>
      <c r="F11" s="21" t="s">
        <v>97</v>
      </c>
    </row>
    <row r="12" spans="1:6" x14ac:dyDescent="0.25">
      <c r="A12" s="20">
        <v>11</v>
      </c>
      <c r="B12" s="20" t="s">
        <v>66</v>
      </c>
      <c r="C12" s="20" t="s">
        <v>51</v>
      </c>
      <c r="D12" t="s">
        <v>67</v>
      </c>
      <c r="E12" s="20" t="s">
        <v>58</v>
      </c>
      <c r="F12" s="21" t="s">
        <v>98</v>
      </c>
    </row>
    <row r="13" spans="1:6" x14ac:dyDescent="0.25">
      <c r="A13" s="20">
        <v>12</v>
      </c>
      <c r="B13" s="20" t="s">
        <v>66</v>
      </c>
      <c r="C13" s="20" t="s">
        <v>68</v>
      </c>
      <c r="D13" t="s">
        <v>69</v>
      </c>
      <c r="E13" s="20" t="s">
        <v>99</v>
      </c>
      <c r="F13" s="21" t="s">
        <v>100</v>
      </c>
    </row>
    <row r="14" spans="1:6" x14ac:dyDescent="0.25">
      <c r="A14" s="20">
        <v>13</v>
      </c>
      <c r="B14" s="20" t="s">
        <v>66</v>
      </c>
      <c r="C14" s="20" t="s">
        <v>68</v>
      </c>
      <c r="D14" t="s">
        <v>70</v>
      </c>
      <c r="E14" s="20" t="s">
        <v>101</v>
      </c>
      <c r="F14" s="21" t="s">
        <v>102</v>
      </c>
    </row>
    <row r="15" spans="1:6" x14ac:dyDescent="0.25">
      <c r="A15" s="20">
        <v>14</v>
      </c>
      <c r="B15" s="20" t="s">
        <v>66</v>
      </c>
      <c r="C15" s="20" t="s">
        <v>71</v>
      </c>
      <c r="D15" t="s">
        <v>72</v>
      </c>
      <c r="E15" s="20" t="s">
        <v>103</v>
      </c>
      <c r="F15" s="21" t="s">
        <v>104</v>
      </c>
    </row>
    <row r="16" spans="1:6" x14ac:dyDescent="0.25">
      <c r="A16" s="20">
        <v>15</v>
      </c>
      <c r="B16" s="20" t="s">
        <v>66</v>
      </c>
      <c r="C16" s="20" t="s">
        <v>71</v>
      </c>
      <c r="D16" t="s">
        <v>73</v>
      </c>
      <c r="E16" s="20" t="s">
        <v>105</v>
      </c>
      <c r="F16" s="21" t="s">
        <v>106</v>
      </c>
    </row>
    <row r="17" spans="1:6" x14ac:dyDescent="0.25">
      <c r="A17" s="20">
        <v>16</v>
      </c>
      <c r="B17" s="20" t="s">
        <v>66</v>
      </c>
      <c r="C17" s="20" t="s">
        <v>71</v>
      </c>
      <c r="D17" t="s">
        <v>74</v>
      </c>
      <c r="E17" s="20" t="s">
        <v>107</v>
      </c>
      <c r="F17" s="21" t="s">
        <v>108</v>
      </c>
    </row>
    <row r="18" spans="1:6" x14ac:dyDescent="0.25">
      <c r="A18" s="20">
        <v>17</v>
      </c>
      <c r="B18" s="20" t="s">
        <v>66</v>
      </c>
      <c r="C18" s="20" t="s">
        <v>71</v>
      </c>
      <c r="D18" t="s">
        <v>75</v>
      </c>
      <c r="E18" s="20" t="s">
        <v>110</v>
      </c>
      <c r="F18" s="21" t="s">
        <v>115</v>
      </c>
    </row>
    <row r="19" spans="1:6" x14ac:dyDescent="0.25">
      <c r="A19" s="20">
        <v>18</v>
      </c>
      <c r="B19" s="20" t="s">
        <v>66</v>
      </c>
      <c r="C19" s="20" t="s">
        <v>71</v>
      </c>
      <c r="D19" t="s">
        <v>76</v>
      </c>
      <c r="E19" s="20" t="s">
        <v>111</v>
      </c>
      <c r="F19" s="21" t="s">
        <v>112</v>
      </c>
    </row>
    <row r="20" spans="1:6" x14ac:dyDescent="0.25">
      <c r="A20" s="20">
        <v>19</v>
      </c>
      <c r="B20" s="20" t="s">
        <v>66</v>
      </c>
      <c r="C20" s="20" t="s">
        <v>71</v>
      </c>
      <c r="D20" t="s">
        <v>77</v>
      </c>
      <c r="E20" s="20" t="s">
        <v>113</v>
      </c>
      <c r="F20" s="21" t="s">
        <v>114</v>
      </c>
    </row>
    <row r="21" spans="1:6" x14ac:dyDescent="0.25">
      <c r="A21" s="20">
        <v>20</v>
      </c>
      <c r="B21" s="20" t="s">
        <v>66</v>
      </c>
      <c r="C21" s="20" t="s">
        <v>78</v>
      </c>
      <c r="D21" t="s">
        <v>79</v>
      </c>
      <c r="E21" s="20" t="s">
        <v>28</v>
      </c>
      <c r="F21" s="21" t="s">
        <v>85</v>
      </c>
    </row>
    <row r="22" spans="1:6" x14ac:dyDescent="0.25">
      <c r="A22" s="20">
        <v>21</v>
      </c>
      <c r="B22" s="20" t="s">
        <v>66</v>
      </c>
      <c r="C22" s="20" t="s">
        <v>71</v>
      </c>
      <c r="D22" t="s">
        <v>116</v>
      </c>
      <c r="E22" s="20" t="s">
        <v>117</v>
      </c>
      <c r="F22" s="21" t="s">
        <v>118</v>
      </c>
    </row>
    <row r="23" spans="1:6" x14ac:dyDescent="0.25">
      <c r="A23" s="20">
        <v>22</v>
      </c>
      <c r="B23" s="20" t="s">
        <v>66</v>
      </c>
      <c r="C23" s="20" t="s">
        <v>58</v>
      </c>
      <c r="D23" s="32" t="s">
        <v>166</v>
      </c>
      <c r="E23" s="20" t="s">
        <v>165</v>
      </c>
      <c r="F23" s="21" t="s">
        <v>167</v>
      </c>
    </row>
    <row r="24" spans="1:6" x14ac:dyDescent="0.25">
      <c r="A24" s="20">
        <v>23</v>
      </c>
      <c r="B24" s="20" t="s">
        <v>66</v>
      </c>
      <c r="C24" s="20" t="s">
        <v>205</v>
      </c>
      <c r="D24" s="32" t="s">
        <v>171</v>
      </c>
      <c r="E24" s="20" t="s">
        <v>172</v>
      </c>
      <c r="F24" s="21" t="s">
        <v>173</v>
      </c>
    </row>
  </sheetData>
  <conditionalFormatting sqref="E23:E1048576 F1:F2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00a3ca-a341-42d9-b2fb-ab12249157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F0700F3F38B44D94439CA43E171009" ma:contentTypeVersion="6" ma:contentTypeDescription="Create a new document." ma:contentTypeScope="" ma:versionID="4c1a5321ca5bc25b67cef7c5ca47af24">
  <xsd:schema xmlns:xsd="http://www.w3.org/2001/XMLSchema" xmlns:xs="http://www.w3.org/2001/XMLSchema" xmlns:p="http://schemas.microsoft.com/office/2006/metadata/properties" xmlns:ns3="4b00a3ca-a341-42d9-b2fb-ab1224915750" targetNamespace="http://schemas.microsoft.com/office/2006/metadata/properties" ma:root="true" ma:fieldsID="18868ce31007d0d43f572c0d95d9417b" ns3:_="">
    <xsd:import namespace="4b00a3ca-a341-42d9-b2fb-ab12249157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0a3ca-a341-42d9-b2fb-ab12249157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AE2C0DA-074E-4A16-9F4B-1029207D331B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b00a3ca-a341-42d9-b2fb-ab1224915750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BB007B0-F2FB-424F-AA4F-29F45BE79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0a3ca-a341-42d9-b2fb-ab12249157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219C6C-B254-4A31-8EE6-D4DCB992E8F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435FAAF-2EF5-45A2-9D67-A360A795C8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PRICE LIST Motasa</vt:lpstr>
      <vt:lpstr>FORM DASAR KLP</vt:lpstr>
      <vt:lpstr>Cara Buat</vt:lpstr>
      <vt:lpstr>Pvt Map 1</vt:lpstr>
      <vt:lpstr>Table Pvt 1</vt:lpstr>
      <vt:lpstr>Fix Mapping</vt:lpstr>
      <vt:lpstr>Query Map.BrgDoubleDms</vt:lpstr>
      <vt:lpstr>Form Fix</vt:lpstr>
      <vt:lpstr>Sheet2</vt:lpstr>
      <vt:lpstr>Sheet1</vt:lpstr>
      <vt:lpstr>Upload To Win</vt:lpstr>
      <vt:lpstr>LIST PCPL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FDR</dc:creator>
  <cp:lastModifiedBy>nezumikyun</cp:lastModifiedBy>
  <cp:lastPrinted>2024-12-26T09:00:27Z</cp:lastPrinted>
  <dcterms:created xsi:type="dcterms:W3CDTF">2024-07-13T06:32:43Z</dcterms:created>
  <dcterms:modified xsi:type="dcterms:W3CDTF">2026-07-07T01:58:21Z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0x0101003FF0700F3F38B44D94439CA43E171009</vt:lpwstr>
  </property>
</Properties>
</file>